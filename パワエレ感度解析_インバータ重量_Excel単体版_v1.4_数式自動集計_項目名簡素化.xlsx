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1dfb4f4e414f18" /></Relationships>
</file>

<file path=xl/workbook.xml><?xml version="1.0" encoding="utf-8"?>
<x:workbook xmlns:x="http://schemas.openxmlformats.org/spreadsheetml/2006/main">
  <x:sheets>
    <x:sheet xmlns:r="http://schemas.openxmlformats.org/officeDocument/2006/relationships" name="00_使い方" sheetId="1" r:id="Rfe87e571bfce4178"/>
    <x:sheet xmlns:r="http://schemas.openxmlformats.org/officeDocument/2006/relationships" name="01_入力仕様" sheetId="2" r:id="R856f2dbcc6d04b33"/>
    <x:sheet xmlns:r="http://schemas.openxmlformats.org/officeDocument/2006/relationships" name="02_ツリー" sheetId="3" r:id="R3981963e862a43ff"/>
    <x:sheet xmlns:r="http://schemas.openxmlformats.org/officeDocument/2006/relationships" name="04_未反映トレードオフ" sheetId="5" r:id="R53a27e3ac7d14776"/>
    <x:sheet xmlns:r="http://schemas.openxmlformats.org/officeDocument/2006/relationships" name="05_第1バッチ実装" sheetId="6" r:id="R03c64b48433f419b"/>
    <x:sheet xmlns:r="http://schemas.openxmlformats.org/officeDocument/2006/relationships" name="06_第2バッチ実装" sheetId="7" r:id="R41addc4ee72e4706"/>
    <x:sheet xmlns:r="http://schemas.openxmlformats.org/officeDocument/2006/relationships" name="07_システム要求" sheetId="8" r:id="Rd6553f8aa1dc4f08"/>
    <x:sheet xmlns:r="http://schemas.openxmlformats.org/officeDocument/2006/relationships" name="08_第3バッチ実装" sheetId="9" r:id="R810c9f70f15045f6"/>
    <x:sheet xmlns:r="http://schemas.openxmlformats.org/officeDocument/2006/relationships" name="09_基準仕様" sheetId="11" r:id="Rf60fb945a08d4f6d"/>
    <x:sheet xmlns:r="http://schemas.openxmlformats.org/officeDocument/2006/relationships" name="10_シナリオ入力" sheetId="12" r:id="R3474397183c4411f"/>
    <x:sheet xmlns:r="http://schemas.openxmlformats.org/officeDocument/2006/relationships" name="11_入力分類一覧" sheetId="13" r:id="R130f7f1b799e46bf"/>
    <x:sheet xmlns:r="http://schemas.openxmlformats.org/officeDocument/2006/relationships" name="12_第4バッチ実装" sheetId="14" r:id="Re8b8799bad9b4264"/>
    <x:sheet xmlns:r="http://schemas.openxmlformats.org/officeDocument/2006/relationships" name="03_ダッシュボード" sheetId="15" r:id="R33198b732a4b484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
    <x:numFmt numFmtId="201" formatCode="0.000"/>
    <x:numFmt numFmtId="202" formatCode="0"/>
  </x:numFmts>
  <x:fonts count="11">
    <x:font>
      <x:sz val="11"/>
      <x:name val="Carlito"/>
    </x:font>
    <x:font>
      <x:b/>
      <x:sz val="16"/>
      <x:color rgb="FFFFFFFF"/>
      <x:name val="Carlito"/>
    </x:font>
    <x:font>
      <x:b/>
      <x:sz val="11"/>
      <x:name val="Carlito"/>
    </x:font>
    <x:font>
      <x:sz val="11"/>
      <x:color rgb="FF666666"/>
      <x:name val="Carlito"/>
    </x:font>
    <x:font>
      <x:b/>
      <x:sz val="11"/>
      <x:color rgb="FFFFFFFF"/>
      <x:name val="Carlito"/>
    </x:font>
    <x:font>
      <x:sz val="11"/>
      <x:color rgb="FF7F6000"/>
      <x:name val="Carlito"/>
    </x:font>
    <x:font>
      <x:b/>
      <x:sz val="11"/>
      <x:color rgb="FF404040"/>
      <x:name val="Carlito"/>
    </x:font>
    <x:font>
      <x:b/>
      <x:sz val="15"/>
      <x:color rgb="FFFFFFFF"/>
      <x:name val="Carlito"/>
    </x:font>
    <x:font>
      <x:b/>
      <x:sz val="13"/>
      <x:color rgb="FFFFFFFF"/>
      <x:name val="Carlito"/>
    </x:font>
    <x:font>
      <x:b/>
      <x:sz val="13"/>
      <x:name val="Carlito"/>
    </x:font>
    <x:font>
      <x:b/>
      <x:sz val="11"/>
      <x:color rgb="FF666666"/>
      <x:name val="Carlito"/>
    </x:font>
  </x:fonts>
  <x:fills count="4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9D9D9"/>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E7E6E6"/>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70AD4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FFF2CC"/>
      </x:patternFill>
    </x:fill>
    <x:fill>
      <x:patternFill patternType="solid">
        <x:fgColor rgb="FFED7D31"/>
      </x:patternFill>
    </x:fill>
    <x:fill>
      <x:patternFill patternType="solid">
        <x:fgColor rgb="FF70AD47"/>
      </x:patternFill>
    </x:fill>
    <x:fill>
      <x:patternFill patternType="solid">
        <x:fgColor rgb="FF4472C4"/>
      </x:patternFill>
    </x:fill>
    <x:fill>
      <x:patternFill patternType="solid">
        <x:fgColor rgb="FFE7E6E6"/>
      </x:patternFill>
    </x:fill>
    <x:fill>
      <x:patternFill patternType="solid">
        <x:fgColor rgb="FFFFF2CC"/>
      </x:patternFill>
    </x:fill>
    <x:fill>
      <x:patternFill patternType="solid">
        <x:fgColor rgb="FF5B9BD5"/>
      </x:patternFill>
    </x:fill>
    <x:fill>
      <x:patternFill patternType="solid">
        <x:fgColor rgb="FF1F4E78"/>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D7D31"/>
      </x:patternFill>
    </x:fill>
    <x:fill>
      <x:patternFill patternType="solid">
        <x:fgColor rgb="FFFFF2CC"/>
      </x:patternFill>
    </x:fill>
    <x:fill>
      <x:patternFill patternType="solid">
        <x:fgColor rgb="FF4472C4"/>
      </x:patternFill>
    </x:fill>
  </x:fills>
  <x:borders count="2">
    <x:border/>
    <x:border/>
  </x:borders>
  <x:cellStyleXfs count="1">
    <x:xf numFmtId="0" fontId="0" fillId="0" borderId="0"/>
  </x:cellStyleXfs>
  <x:cellXfs count="2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6" fillId="7" borderId="1" xfId="0" applyNumberFormat="1" applyFont="1" applyFill="1" applyBorder="1"/>
    <x:xf numFmtId="0" fontId="6" fillId="7" borderId="0" xfId="0" applyNumberFormat="1" applyFont="1" applyFill="1" applyBorder="1" applyAlignment="1">
      <x:alignment wrapText="1"/>
    </x:xf>
    <x:xf numFmtId="0" fontId="5" fillId="6" borderId="0" xfId="0" applyNumberFormat="1" applyFont="1" applyFill="1" applyBorder="1" applyAlignment="1">
      <x:alignment wrapText="1"/>
    </x:xf>
    <x:xf numFmtId="0" fontId="6" fillId="7" borderId="1" xfId="0" applyNumberFormat="1" applyFont="1" applyFill="1" applyBorder="1" applyAlignment="1">
      <x:alignment wrapText="1"/>
    </x:xf>
    <x:xf numFmtId="0" fontId="5" fillId="6" borderId="1" xfId="0" applyNumberFormat="1" applyFont="1" applyFill="1" applyBorder="1" applyAlignment="1">
      <x:alignment wrapText="1"/>
    </x:xf>
    <x:xf numFmtId="200" fontId="6" fillId="7" borderId="0" xfId="0" applyNumberFormat="1" applyFont="1" applyFill="1" applyBorder="1" applyAlignment="1">
      <x:alignment wrapText="1"/>
    </x:xf>
    <x:xf numFmtId="200" fontId="5" fillId="6" borderId="0" xfId="0" applyNumberFormat="1" applyFont="1" applyFill="1" applyBorder="1" applyAlignment="1">
      <x:alignment wrapText="1"/>
    </x:xf>
    <x:xf numFmtId="200" fontId="6" fillId="7" borderId="1" xfId="0" applyNumberFormat="1" applyFont="1" applyFill="1" applyBorder="1" applyAlignment="1">
      <x:alignment wrapText="1"/>
    </x:xf>
    <x:xf numFmtId="200" fontId="5" fillId="6"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8" borderId="0" xfId="0" applyNumberFormat="1" applyFont="1" applyFill="1" applyBorder="1" applyAlignment="1">
      <x:alignment wrapText="1"/>
    </x:xf>
    <x:xf numFmtId="200" fontId="0" fillId="8" borderId="0" xfId="0" applyNumberFormat="1" applyFont="1" applyFill="1" applyBorder="1" applyAlignment="1">
      <x:alignment wrapText="1"/>
    </x:xf>
    <x:xf numFmtId="0" fontId="0" fillId="8" borderId="1" xfId="0" applyNumberFormat="1" applyFont="1" applyFill="1" applyBorder="1" applyAlignment="1">
      <x:alignment wrapText="1"/>
    </x:xf>
    <x:xf numFmtId="200" fontId="0" fillId="8" borderId="1" xfId="0" applyNumberFormat="1" applyFont="1" applyFill="1" applyBorder="1" applyAlignment="1">
      <x:alignment wrapText="1"/>
    </x:xf>
    <x:xf numFmtId="0" fontId="0" fillId="9" borderId="0" xfId="0" applyNumberFormat="1" applyFont="1" applyFill="1" applyBorder="1" applyAlignment="1">
      <x:alignment wrapText="1"/>
    </x:xf>
    <x:xf numFmtId="200" fontId="0" fillId="9" borderId="0" xfId="0" applyNumberFormat="1" applyFont="1" applyFill="1" applyBorder="1" applyAlignment="1">
      <x:alignment wrapText="1"/>
    </x:xf>
    <x:xf numFmtId="0" fontId="0" fillId="9" borderId="1" xfId="0" applyNumberFormat="1" applyFont="1" applyFill="1" applyBorder="1" applyAlignment="1">
      <x:alignment wrapText="1"/>
    </x:xf>
    <x:xf numFmtId="200" fontId="0" fillId="9" borderId="1" xfId="0" applyNumberFormat="1" applyFont="1" applyFill="1" applyBorder="1" applyAlignment="1">
      <x:alignment wrapText="1"/>
    </x:xf>
    <x:xf numFmtId="0" fontId="0" fillId="6" borderId="0" xfId="0" applyNumberFormat="1" applyFont="1" applyFill="1" applyBorder="1" applyAlignment="1">
      <x:alignment wrapText="1"/>
    </x:xf>
    <x:xf numFmtId="20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200" fontId="0" fillId="6" borderId="1" xfId="0" applyNumberFormat="1" applyFont="1" applyFill="1" applyBorder="1" applyAlignment="1">
      <x:alignment wrapText="1"/>
    </x:xf>
    <x:xf numFmtId="0" fontId="0" fillId="10" borderId="0" xfId="0" applyNumberFormat="1" applyFont="1" applyFill="1" applyBorder="1" applyAlignment="1">
      <x:alignment wrapText="1"/>
    </x:xf>
    <x:xf numFmtId="200" fontId="0" fillId="10" borderId="0" xfId="0" applyNumberFormat="1" applyFont="1" applyFill="1" applyBorder="1" applyAlignment="1">
      <x:alignment wrapText="1"/>
    </x:xf>
    <x:xf numFmtId="0" fontId="0" fillId="10" borderId="1" xfId="0" applyNumberFormat="1" applyFont="1" applyFill="1" applyBorder="1" applyAlignment="1">
      <x:alignment wrapText="1"/>
    </x:xf>
    <x:xf numFmtId="200" fontId="0" fillId="10" borderId="1" xfId="0" applyNumberFormat="1" applyFont="1" applyFill="1" applyBorder="1" applyAlignment="1">
      <x:alignment wrapText="1"/>
    </x:xf>
    <x:xf numFmtId="0" fontId="0" fillId="11" borderId="0" xfId="0" applyNumberFormat="1" applyFont="1" applyFill="1" applyBorder="1" applyAlignment="1">
      <x:alignment wrapText="1"/>
    </x:xf>
    <x:xf numFmtId="20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200" fontId="0" fillId="11"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5" fillId="6" borderId="0" xfId="0" applyNumberFormat="1" applyFont="1" applyFill="1" applyBorder="1"/>
    <x:xf numFmtId="200" fontId="5" fillId="6"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200" fontId="3" fillId="4" borderId="0" xfId="0" applyNumberFormat="1" applyFont="1" applyFill="1" applyBorder="1" applyAlignment="1">
      <x:alignment wrapText="1"/>
    </x:xf>
    <x:xf numFmtId="200" fontId="3" fillId="4" borderId="1" xfId="0" applyNumberFormat="1" applyFont="1" applyFill="1" applyBorder="1" applyAlignment="1">
      <x:alignment wrapText="1"/>
    </x:xf>
    <x:xf numFmtId="0" fontId="0" fillId="9" borderId="0" xfId="0" applyNumberFormat="1" applyFont="1" applyFill="1" applyBorder="1"/>
    <x:xf numFmtId="0" fontId="0" fillId="9" borderId="1" xfId="0" applyNumberFormat="1" applyFont="1" applyFill="1" applyBorder="1"/>
    <x:xf numFmtId="0" fontId="0" fillId="0" borderId="0" xfId="0" applyNumberFormat="1" applyFont="1" applyFill="1" applyBorder="1"/>
    <x:xf numFmtId="0" fontId="0" fillId="12" borderId="0" xfId="0" applyNumberFormat="1" applyFont="1" applyFill="1" applyBorder="1"/>
    <x:xf numFmtId="0" fontId="5" fillId="12" borderId="0" xfId="0" applyNumberFormat="1" applyFont="1" applyFill="1" applyBorder="1"/>
    <x:xf numFmtId="200" fontId="5" fillId="12" borderId="0" xfId="0" applyNumberFormat="1" applyFont="1" applyFill="1" applyBorder="1"/>
    <x:xf numFmtId="200" fontId="5" fillId="12" borderId="0" xfId="0" applyNumberFormat="1" applyFont="1" applyFill="1" applyBorder="1" applyAlignment="1">
      <x:alignment wrapText="1"/>
    </x:xf>
    <x:xf numFmtId="0" fontId="0" fillId="13" borderId="0" xfId="0" applyNumberFormat="1" applyFont="1" applyFill="1" applyBorder="1"/>
    <x:xf numFmtId="0" fontId="7" fillId="13" borderId="0" xfId="0" applyNumberFormat="1" applyFont="1" applyFill="1" applyBorder="1"/>
    <x:xf numFmtId="0" fontId="0" fillId="14" borderId="0" xfId="0" applyNumberFormat="1" applyFont="1" applyFill="1" applyBorder="1"/>
    <x:xf numFmtId="0" fontId="4" fillId="14" borderId="0" xfId="0" applyNumberFormat="1" applyFont="1" applyFill="1" applyBorder="1"/>
    <x:xf numFmtId="0" fontId="4" fillId="14" borderId="0" xfId="0" applyNumberFormat="1" applyFont="1" applyFill="1" applyBorder="1" applyAlignment="1">
      <x:alignment wrapText="1"/>
    </x:xf>
    <x:xf numFmtId="0" fontId="0" fillId="15" borderId="0" xfId="0" applyNumberFormat="1" applyFont="1" applyFill="1" applyBorder="1" applyAlignment="1">
      <x:alignment wrapText="1"/>
    </x:xf>
    <x:xf numFmtId="200" fontId="0" fillId="15" borderId="0" xfId="0" applyNumberFormat="1" applyFont="1" applyFill="1" applyBorder="1" applyAlignment="1">
      <x:alignment wrapText="1"/>
    </x:xf>
    <x:xf numFmtId="0" fontId="0" fillId="12" borderId="0" xfId="0" applyNumberFormat="1" applyFont="1" applyFill="1" applyBorder="1" applyAlignment="1">
      <x:alignment wrapText="1"/>
    </x:xf>
    <x:xf numFmtId="200" fontId="0" fillId="12" borderId="0" xfId="0" applyNumberFormat="1" applyFont="1" applyFill="1" applyBorder="1" applyAlignment="1">
      <x:alignment wrapText="1"/>
    </x:xf>
    <x:xf numFmtId="0" fontId="0" fillId="16" borderId="0" xfId="0" applyNumberFormat="1" applyFont="1" applyFill="1" applyBorder="1" applyAlignment="1">
      <x:alignment wrapText="1"/>
    </x:xf>
    <x:xf numFmtId="200" fontId="0" fillId="16" borderId="0" xfId="0" applyNumberFormat="1" applyFont="1" applyFill="1" applyBorder="1" applyAlignment="1">
      <x:alignment wrapText="1"/>
    </x:xf>
    <x:xf numFmtId="0" fontId="7" fillId="2"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200" fontId="5" fillId="17" borderId="0" xfId="0" applyNumberFormat="1" applyFont="1" applyFill="1" applyBorder="1"/>
    <x:xf numFmtId="200" fontId="5" fillId="17" borderId="0" xfId="0" applyNumberFormat="1" applyFont="1" applyFill="1" applyBorder="1" applyAlignment="1">
      <x:alignment wrapText="1"/>
    </x:xf>
    <x:xf numFmtId="0" fontId="0" fillId="18" borderId="0" xfId="0" applyNumberFormat="1" applyFont="1" applyFill="1" applyBorder="1"/>
    <x:xf numFmtId="0" fontId="7" fillId="18" borderId="0" xfId="0" applyNumberFormat="1" applyFont="1" applyFill="1" applyBorder="1"/>
    <x:xf numFmtId="0" fontId="0" fillId="19" borderId="0" xfId="0" applyNumberFormat="1" applyFont="1" applyFill="1" applyBorder="1"/>
    <x:xf numFmtId="0" fontId="4" fillId="19" borderId="0" xfId="0" applyNumberFormat="1" applyFont="1" applyFill="1" applyBorder="1"/>
    <x:xf numFmtId="0" fontId="4" fillId="19" borderId="0" xfId="0" applyNumberFormat="1" applyFont="1" applyFill="1" applyBorder="1" applyAlignment="1">
      <x:alignment wrapText="1"/>
    </x:xf>
    <x:xf numFmtId="0" fontId="0" fillId="20" borderId="0" xfId="0" applyNumberFormat="1" applyFont="1" applyFill="1" applyBorder="1"/>
    <x:xf numFmtId="0" fontId="7" fillId="20" borderId="0" xfId="0" applyNumberFormat="1" applyFont="1" applyFill="1" applyBorder="1"/>
    <x:xf numFmtId="0" fontId="7" fillId="20" borderId="0" xfId="0" applyNumberFormat="1" applyFont="1" applyFill="1" applyBorder="1" applyAlignment="1">
      <x:alignment horizontal="center"/>
    </x:xf>
    <x:xf numFmtId="0" fontId="7" fillId="20" borderId="0" xfId="0" applyNumberFormat="1" applyFont="1" applyFill="1" applyBorder="1" applyAlignment="1">
      <x:alignment horizontal="center" vertical="center"/>
    </x:xf>
    <x:xf numFmtId="0" fontId="0" fillId="21" borderId="0" xfId="0" applyNumberFormat="1" applyFont="1" applyFill="1" applyBorder="1"/>
    <x:xf numFmtId="0" fontId="0" fillId="21" borderId="0" xfId="0" applyNumberFormat="1" applyFont="1" applyFill="1" applyBorder="1" applyAlignment="1">
      <x:alignment wrapText="1"/>
    </x:xf>
    <x:xf numFmtId="0" fontId="0" fillId="22" borderId="0" xfId="0" applyNumberFormat="1" applyFont="1" applyFill="1" applyBorder="1"/>
    <x:xf numFmtId="0" fontId="4" fillId="22" borderId="0" xfId="0" applyNumberFormat="1" applyFont="1" applyFill="1" applyBorder="1"/>
    <x:xf numFmtId="0" fontId="4" fillId="22" borderId="0" xfId="0" applyNumberFormat="1" applyFont="1" applyFill="1" applyBorder="1" applyAlignment="1">
      <x:alignment wrapText="1"/>
    </x:xf>
    <x:xf numFmtId="0" fontId="0" fillId="23" borderId="0" xfId="0" applyNumberFormat="1" applyFont="1" applyFill="1" applyBorder="1"/>
    <x:xf numFmtId="0" fontId="5" fillId="23" borderId="0" xfId="0" applyNumberFormat="1" applyFont="1" applyFill="1" applyBorder="1"/>
    <x:xf numFmtId="0" fontId="5" fillId="23" borderId="0" xfId="0" applyNumberFormat="1" applyFont="1" applyFill="1" applyBorder="1" applyAlignment="1">
      <x:alignment wrapText="1"/>
    </x:xf>
    <x:xf numFmtId="0" fontId="0" fillId="24" borderId="0" xfId="0" applyNumberFormat="1" applyFont="1" applyFill="1" applyBorder="1"/>
    <x:xf numFmtId="0" fontId="4" fillId="24" borderId="0" xfId="0" applyNumberFormat="1" applyFont="1" applyFill="1" applyBorder="1"/>
    <x:xf numFmtId="0" fontId="4" fillId="24" borderId="0" xfId="0" applyNumberFormat="1" applyFont="1" applyFill="1" applyBorder="1" applyAlignment="1">
      <x:alignment wrapText="1"/>
    </x:xf>
    <x:xf numFmtId="200" fontId="5" fillId="23" borderId="0" xfId="0" applyNumberFormat="1" applyFont="1" applyFill="1" applyBorder="1" applyAlignment="1">
      <x:alignment wrapText="1"/>
    </x:xf>
    <x:xf numFmtId="200" fontId="4" fillId="24" borderId="0" xfId="0" applyNumberFormat="1" applyFont="1" applyFill="1" applyBorder="1" applyAlignment="1">
      <x:alignment wrapText="1"/>
    </x:xf>
    <x:xf numFmtId="200" fontId="5" fillId="23" borderId="0" xfId="0" applyNumberFormat="1" applyFont="1" applyFill="1" applyBorder="1"/>
    <x:xf numFmtId="0" fontId="1" fillId="20" borderId="0" xfId="0" applyNumberFormat="1" applyFont="1" applyFill="1" applyBorder="1" applyAlignment="1">
      <x:alignment vertical="center"/>
    </x:xf>
    <x:xf numFmtId="0" fontId="1" fillId="20" borderId="0" xfId="0" applyNumberFormat="1" applyFont="1" applyFill="1" applyBorder="1" applyAlignment="1">
      <x:alignment horizontal="center" vertical="center"/>
    </x:xf>
    <x:xf numFmtId="0" fontId="4" fillId="21" borderId="0" xfId="0" applyNumberFormat="1" applyFont="1" applyFill="1" applyBorder="1" applyAlignment="1">
      <x:alignment horizontal="center" vertical="center" wrapText="1"/>
    </x:xf>
    <x:xf numFmtId="0" fontId="8" fillId="21" borderId="0" xfId="0" applyNumberFormat="1" applyFont="1" applyFill="1" applyBorder="1" applyAlignment="1">
      <x:alignment horizontal="center" vertical="center" wrapText="1"/>
    </x:xf>
    <x:xf numFmtId="0" fontId="9" fillId="21" borderId="0" xfId="0" applyNumberFormat="1" applyFont="1" applyFill="1" applyBorder="1"/>
    <x:xf numFmtId="0" fontId="8" fillId="21" xfId="0" applyNumberFormat="1" applyFont="1" applyFill="1" applyBorder="0" applyAlignment="1">
      <x:alignment horizontal="center" vertical="center" wrapText="1"/>
    </x:xf>
    <x:xf numFmtId="0" fontId="9" fillId="21" xfId="0" applyNumberFormat="1" applyFont="1" applyFill="1" applyBorder="0"/>
    <x:xf numFmtId="0" fontId="9" fillId="21" xfId="0" applyNumberFormat="1" applyFont="1" applyFill="1" applyBorder="0" applyAlignment="1">
      <x:alignment wrapText="1"/>
    </x:xf>
    <x:xf numFmtId="0" fontId="9" fillId="21" xfId="0" applyNumberFormat="1" applyFont="1" applyFill="1" applyBorder="0" applyAlignment="1">
      <x:alignment horizontal="center" wrapText="1"/>
    </x:xf>
    <x:xf numFmtId="0" fontId="9" fillId="21" xfId="0" applyNumberFormat="1" applyFont="1" applyFill="1" applyBorder="0" applyAlignment="1">
      <x:alignment horizontal="center" vertical="center" wrapText="1"/>
    </x:xf>
    <x:xf numFmtId="201" fontId="4" fillId="5" borderId="0" xfId="0" applyNumberFormat="1" applyFont="1" applyFill="1" applyBorder="1" applyAlignment="1">
      <x:alignment horizontal="center" vertical="center" wrapText="1"/>
    </x:xf>
    <x:xf numFmtId="201" fontId="0" fillId="0" borderId="0" xfId="0" applyNumberFormat="1" applyFont="1" applyFill="1" applyBorder="1"/>
    <x:xf numFmtId="200" fontId="0" fillId="22" borderId="0" xfId="0" applyNumberFormat="1" applyFont="1" applyFill="1" applyBorder="1"/>
    <x:xf numFmtId="200" fontId="4" fillId="22" borderId="0" xfId="0" applyNumberFormat="1" applyFont="1" applyFill="1" applyBorder="1"/>
    <x:xf numFmtId="200" fontId="4" fillId="22" borderId="0" xfId="0" applyNumberFormat="1" applyFont="1" applyFill="1" applyBorder="1" applyAlignment="1">
      <x:alignment wrapText="1"/>
    </x:xf>
    <x:xf numFmtId="0" fontId="1" fillId="20"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0" fillId="3" borderId="0" xfId="0" applyNumberFormat="1" applyFont="1" applyFill="1" applyBorder="1" applyAlignment="1">
      <x:alignment wrapText="1"/>
    </x:xf>
    <x:xf numFmtId="0" fontId="1" fillId="2" borderId="0" xfId="0" applyNumberFormat="1" applyFont="1" applyFill="1" applyBorder="1" applyAlignment="1">
      <x:alignment horizontal="center" vertical="center"/>
    </x:xf>
    <x:xf numFmtId="0" fontId="4" fillId="3"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0" fontId="9" fillId="3" borderId="0" xfId="0" applyNumberFormat="1" applyFont="1" applyFill="1" applyBorder="1"/>
    <x:xf numFmtId="0" fontId="8" fillId="3" xfId="0" applyNumberFormat="1" applyFont="1" applyFill="1" applyBorder="0" applyAlignment="1">
      <x:alignment horizontal="center" vertical="center" wrapText="1"/>
    </x:xf>
    <x:xf numFmtId="0" fontId="9" fillId="3" xfId="0" applyNumberFormat="1" applyFont="1" applyFill="1" applyBorder="0"/>
    <x:xf numFmtId="0" fontId="9" fillId="3" xfId="0" applyNumberFormat="1" applyFont="1" applyFill="1" applyBorder="0" applyAlignment="1">
      <x:alignment wrapText="1"/>
    </x:xf>
    <x:xf numFmtId="0" fontId="9" fillId="3" xfId="0" applyNumberFormat="1" applyFont="1" applyFill="1" applyBorder="0" applyAlignment="1">
      <x:alignment horizontal="center" wrapText="1"/>
    </x:xf>
    <x:xf numFmtId="0" fontId="9" fillId="3" xfId="0" applyNumberFormat="1" applyFont="1" applyFill="1" applyBorder="0" applyAlignment="1">
      <x:alignment horizontal="center" vertical="center" wrapText="1"/>
    </x:xf>
    <x:xf numFmtId="200" fontId="0" fillId="5" borderId="0" xfId="0" applyNumberFormat="1" applyFont="1" applyFill="1" applyBorder="1"/>
    <x:xf numFmtId="200" fontId="4" fillId="5" borderId="0" xfId="0" applyNumberFormat="1" applyFont="1" applyFill="1" applyBorder="1"/>
    <x:xf numFmtId="200" fontId="4" fillId="5"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 fillId="25" borderId="0" xfId="0" applyNumberFormat="1" applyFont="1" applyFill="1" applyBorder="1" applyAlignment="1">
      <x:alignment horizontal="center" vertical="center"/>
    </x:xf>
    <x:xf numFmtId="0" fontId="0" fillId="26" borderId="0" xfId="0" applyNumberFormat="1" applyFont="1" applyFill="1" applyBorder="1"/>
    <x:xf numFmtId="0" fontId="9" fillId="26" borderId="0" xfId="0" applyNumberFormat="1" applyFont="1" applyFill="1" applyBorder="1"/>
    <x:xf numFmtId="0" fontId="9" fillId="26" xfId="0" applyNumberFormat="1" applyFont="1" applyFill="1" applyBorder="0"/>
    <x:xf numFmtId="0" fontId="9" fillId="26" xfId="0" applyNumberFormat="1" applyFont="1" applyFill="1" applyBorder="0" applyAlignment="1">
      <x:alignment wrapText="1"/>
    </x:xf>
    <x:xf numFmtId="0" fontId="9" fillId="26" xfId="0" applyNumberFormat="1" applyFont="1" applyFill="1" applyBorder="0" applyAlignment="1">
      <x:alignment horizontal="center" wrapText="1"/>
    </x:xf>
    <x:xf numFmtId="0" fontId="9" fillId="26" xfId="0" applyNumberFormat="1" applyFont="1" applyFill="1" applyBorder="0" applyAlignment="1">
      <x:alignment horizontal="center" vertical="center" wrapText="1"/>
    </x:xf>
    <x:xf numFmtId="0" fontId="0" fillId="27" borderId="0" xfId="0" applyNumberFormat="1" applyFont="1" applyFill="1" applyBorder="1"/>
    <x:xf numFmtId="0" fontId="4" fillId="27" borderId="0" xfId="0" applyNumberFormat="1" applyFont="1" applyFill="1" applyBorder="1"/>
    <x:xf numFmtId="0" fontId="0" fillId="28" borderId="0" xfId="0" applyNumberFormat="1" applyFont="1" applyFill="1" applyBorder="1"/>
    <x:xf numFmtId="0" fontId="4" fillId="28" borderId="0" xfId="0" applyNumberFormat="1" applyFont="1" applyFill="1" applyBorder="1"/>
    <x:xf numFmtId="0" fontId="1" fillId="25" borderId="0" xfId="0" applyNumberFormat="1" applyFont="1" applyFill="1" applyBorder="1" applyAlignment="1">
      <x:alignment horizontal="center" vertical="center" wrapText="1"/>
    </x:xf>
    <x:xf numFmtId="0" fontId="4" fillId="27" borderId="0" xfId="0" applyNumberFormat="1" applyFont="1" applyFill="1" applyBorder="1" applyAlignment="1">
      <x:alignment wrapText="1"/>
    </x:xf>
    <x:xf numFmtId="0" fontId="4" fillId="28"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0" fillId="29" borderId="0" xfId="0" applyNumberFormat="1" applyFont="1" applyFill="1" applyBorder="1"/>
    <x:xf numFmtId="0" fontId="7" fillId="29" borderId="0" xfId="0" applyNumberFormat="1" applyFont="1" applyFill="1" applyBorder="1"/>
    <x:xf numFmtId="0" fontId="7" fillId="29" borderId="0" xfId="0" applyNumberFormat="1" applyFont="1" applyFill="1" applyBorder="1" applyAlignment="1">
      <x:alignment horizontal="center"/>
    </x:xf>
    <x:xf numFmtId="0" fontId="7" fillId="29" borderId="0" xfId="0" applyNumberFormat="1" applyFont="1" applyFill="1" applyBorder="1" applyAlignment="1">
      <x:alignment horizontal="center" vertical="center"/>
    </x:xf>
    <x:xf numFmtId="0" fontId="0" fillId="30" borderId="0" xfId="0" applyNumberFormat="1" applyFont="1" applyFill="1" applyBorder="1"/>
    <x:xf numFmtId="0" fontId="0" fillId="30" borderId="0" xfId="0" applyNumberFormat="1" applyFont="1" applyFill="1" applyBorder="1" applyAlignment="1">
      <x:alignment wrapText="1"/>
    </x:xf>
    <x:xf numFmtId="0" fontId="0" fillId="31" borderId="0" xfId="0" applyNumberFormat="1" applyFont="1" applyFill="1" applyBorder="1"/>
    <x:xf numFmtId="0" fontId="4" fillId="31" borderId="0" xfId="0" applyNumberFormat="1" applyFont="1" applyFill="1" applyBorder="1"/>
    <x:xf numFmtId="0" fontId="0" fillId="32" borderId="0" xfId="0" applyNumberFormat="1" applyFont="1" applyFill="1" applyBorder="1"/>
    <x:xf numFmtId="0" fontId="4" fillId="31" borderId="0" xfId="0" applyNumberFormat="1" applyFont="1" applyFill="1" applyBorder="1" applyAlignment="1">
      <x:alignment wrapText="1"/>
    </x:xf>
    <x:xf numFmtId="0" fontId="0" fillId="32" borderId="0" xfId="0" applyNumberFormat="1" applyFont="1" applyFill="1" applyBorder="1" applyAlignment="1">
      <x:alignment wrapText="1"/>
    </x:xf>
    <x:xf numFmtId="0" fontId="0" fillId="33" borderId="0" xfId="0" applyNumberFormat="1" applyFont="1" applyFill="1" applyBorder="1"/>
    <x:xf numFmtId="0" fontId="0" fillId="33" borderId="0" xfId="0" applyNumberFormat="1" applyFont="1" applyFill="1" applyBorder="1" applyAlignment="1">
      <x:alignment wrapText="1"/>
    </x:xf>
    <x:xf numFmtId="0" fontId="0" fillId="34" borderId="0" xfId="0" applyNumberFormat="1" applyFont="1" applyFill="1" applyBorder="1"/>
    <x:xf numFmtId="0" fontId="4" fillId="34" borderId="0" xfId="0" applyNumberFormat="1" applyFont="1" applyFill="1" applyBorder="1"/>
    <x:xf numFmtId="0" fontId="4" fillId="34" borderId="0" xfId="0" applyNumberFormat="1" applyFont="1" applyFill="1" applyBorder="1" applyAlignment="1">
      <x:alignment wrapText="1"/>
    </x:xf>
    <x:xf numFmtId="0" fontId="0" fillId="35" borderId="0" xfId="0" applyNumberFormat="1" applyFont="1" applyFill="1" applyBorder="1"/>
    <x:xf numFmtId="0" fontId="4" fillId="35" borderId="0" xfId="0" applyNumberFormat="1" applyFont="1" applyFill="1" applyBorder="1"/>
    <x:xf numFmtId="0" fontId="0" fillId="36" borderId="0" xfId="0" applyNumberFormat="1" applyFont="1" applyFill="1" applyBorder="1"/>
    <x:xf numFmtId="0" fontId="4" fillId="36" borderId="0" xfId="0" applyNumberFormat="1" applyFont="1" applyFill="1" applyBorder="1"/>
    <x:xf numFmtId="0" fontId="4" fillId="36" borderId="0" xfId="0" applyNumberFormat="1" applyFont="1" applyFill="1" applyBorder="1" applyAlignment="1">
      <x:alignment wrapText="1"/>
    </x:xf>
    <x:xf numFmtId="200" fontId="6" fillId="37" borderId="0" xfId="0" applyNumberFormat="1" applyFont="1" applyFill="1" applyBorder="1" applyAlignment="1">
      <x:alignment wrapText="1"/>
    </x:xf>
    <x:xf numFmtId="200" fontId="5" fillId="37" borderId="0" xfId="0" applyNumberFormat="1" applyFont="1" applyFill="1" applyBorder="1" applyAlignment="1">
      <x:alignment wrapText="1"/>
    </x:xf>
    <x:xf numFmtId="200" fontId="5" fillId="37" borderId="0" xfId="0" applyNumberFormat="1" applyFont="1" applyFill="1" applyBorder="1"/>
    <x:xf numFmtId="0" fontId="5" fillId="37" borderId="0" xfId="0" applyNumberFormat="1" applyFont="1" applyFill="1" applyBorder="1"/>
    <x:xf numFmtId="0" fontId="1" fillId="2" borderId="0" xfId="0" applyNumberFormat="1" applyFont="1" applyFill="1" applyBorder="1" applyAlignment="1">
      <x:alignment vertical="center" wrapText="1"/>
    </x:xf>
    <x:xf numFmtId="0" fontId="5" fillId="37" borderId="0" xfId="0" applyNumberFormat="1" applyFont="1" applyFill="1" applyBorder="1" applyAlignment="1">
      <x:alignment wrapText="1"/>
    </x:xf>
    <x:xf numFmtId="0" fontId="3" fillId="30" borderId="0" xfId="0" applyNumberFormat="1" applyFont="1" applyFill="1" applyBorder="1" applyAlignment="1">
      <x:alignment wrapText="1"/>
    </x:xf>
    <x:xf numFmtId="0" fontId="10" fillId="30" borderId="0" xfId="0" applyNumberFormat="1" applyFont="1" applyFill="1" applyBorder="1" applyAlignment="1">
      <x:alignment wrapText="1"/>
    </x:xf>
    <x:xf numFmtId="0" fontId="2" fillId="30" borderId="0" xfId="0" applyNumberFormat="1" applyFont="1" applyFill="1" applyBorder="1"/>
    <x:xf numFmtId="0" fontId="2" fillId="30" borderId="0" xfId="0" applyNumberFormat="1" applyFont="1" applyFill="1" applyBorder="1" applyAlignment="1">
      <x:alignment wrapText="1"/>
    </x:xf>
    <x:xf numFmtId="200" fontId="6" fillId="11" borderId="0" xfId="0" applyNumberFormat="1" applyFont="1" applyFill="1" applyBorder="1" applyAlignment="1">
      <x:alignment wrapText="1"/>
    </x:xf>
    <x:xf numFmtId="200" fontId="5" fillId="11" borderId="0" xfId="0" applyNumberFormat="1" applyFont="1" applyFill="1" applyBorder="1" applyAlignment="1">
      <x:alignment wrapText="1"/>
    </x:xf>
    <x:xf numFmtId="200" fontId="5"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3" fillId="3" borderId="0" xfId="0" applyNumberFormat="1" applyFont="1" applyFill="1" applyBorder="1" applyAlignment="1">
      <x:alignment wrapText="1"/>
    </x:xf>
    <x:xf numFmtId="0" fontId="1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38" borderId="0" xfId="0" applyNumberFormat="1" applyFont="1" applyFill="1" applyBorder="1"/>
    <x:xf numFmtId="0" fontId="5" fillId="38" borderId="0" xfId="0" applyNumberFormat="1" applyFont="1" applyFill="1" applyBorder="1"/>
    <x:xf numFmtId="0" fontId="5" fillId="38" borderId="0" xfId="0" applyNumberFormat="1" applyFont="1" applyFill="1" applyBorder="1" applyAlignment="1">
      <x:alignment wrapText="1"/>
    </x:xf>
    <x:xf numFmtId="0" fontId="0" fillId="38" borderId="0" xfId="0" applyNumberFormat="1" applyFont="1" applyFill="1" applyBorder="1" applyAlignment="1">
      <x:alignment wrapText="1"/>
    </x:xf>
    <x:xf numFmtId="0" fontId="4" fillId="39" borderId="0" xfId="0" applyNumberFormat="1" applyFont="1" applyFill="1" applyBorder="1"/>
    <x:xf numFmtId="0" fontId="4" fillId="39" borderId="0" xfId="0" applyNumberFormat="1" applyFont="1" applyFill="1" applyBorder="1" applyAlignment="1">
      <x:alignment wrapText="1"/>
    </x:xf>
    <x:xf numFmtId="0" fontId="0" fillId="40" borderId="0" xfId="0" applyNumberFormat="1" applyFont="1" applyFill="1" applyBorder="1"/>
    <x:xf numFmtId="0" fontId="7" fillId="40" borderId="0" xfId="0" applyNumberFormat="1" applyFont="1" applyFill="1" applyBorder="1"/>
    <x:xf numFmtId="0" fontId="7" fillId="40" borderId="0" xfId="0" applyNumberFormat="1" applyFont="1" applyFill="1" applyBorder="1" applyAlignment="1">
      <x:alignment horizontal="center"/>
    </x:xf>
    <x:xf numFmtId="0" fontId="7" fillId="40" borderId="0" xfId="0" applyNumberFormat="1" applyFont="1" applyFill="1" applyBorder="1" applyAlignment="1">
      <x:alignment horizontal="center" vertical="center"/>
    </x:xf>
    <x:xf numFmtId="0" fontId="0" fillId="39" borderId="0" xfId="0" applyNumberFormat="1" applyFont="1" applyFill="1" applyBorder="1"/>
    <x:xf numFmtId="0" fontId="0" fillId="41" borderId="0" xfId="0" applyNumberFormat="1" applyFont="1" applyFill="1" applyBorder="1"/>
    <x:xf numFmtId="0" fontId="4" fillId="41" borderId="0" xfId="0" applyNumberFormat="1" applyFont="1" applyFill="1" applyBorder="1"/>
    <x:xf numFmtId="0" fontId="4" fillId="41" borderId="0" xfId="0" applyNumberFormat="1" applyFont="1" applyFill="1" applyBorder="1" applyAlignment="1">
      <x:alignment wrapText="1"/>
    </x:xf>
    <x:xf numFmtId="0" fontId="4" fillId="41" borderId="0" xfId="0" applyNumberFormat="1" applyFont="1" applyFill="1" applyBorder="1" applyAlignment="1">
      <x:alignment horizontal="center" wrapText="1"/>
    </x:xf>
    <x:xf numFmtId="202" fontId="0" fillId="0" borderId="0" xfId="0" applyNumberFormat="1" applyFont="1" applyFill="1" applyBorder="1"/>
    <x:xf numFmtId="0" fontId="4" fillId="36" borderId="0" xfId="0" applyNumberFormat="1" applyFont="1" applyFill="1" applyBorder="1" applyAlignment="1">
      <x:alignment horizontal="center" wrapText="1"/>
    </x:xf>
    <x:xf numFmtId="0" fontId="0" fillId="42"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horizontal="center"/>
    </x:xf>
    <x:xf numFmtId="0" fontId="0" fillId="43" borderId="0" xfId="0" applyNumberFormat="1" applyFont="1" applyFill="1" applyBorder="1"/>
    <x:xf numFmtId="0" fontId="0" fillId="43" borderId="0" xfId="0" applyNumberFormat="1" applyFont="1" applyFill="1" applyBorder="1" applyAlignment="1">
      <x:alignment wrapText="1"/>
    </x:xf>
    <x:xf numFmtId="0" fontId="0" fillId="44" borderId="0" xfId="0" applyNumberFormat="1" applyFont="1" applyFill="1" applyBorder="1"/>
    <x:xf numFmtId="0" fontId="4" fillId="44" borderId="0" xfId="0" applyNumberFormat="1" applyFont="1" applyFill="1" applyBorder="1"/>
    <x:xf numFmtId="0" fontId="4" fillId="44" borderId="0" xfId="0" applyNumberFormat="1" applyFont="1" applyFill="1" applyBorder="1" applyAlignment="1">
      <x:alignment wrapText="1"/>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wrapText="1"/>
    </x:xf>
    <x:xf numFmtId="0" fontId="0" fillId="46" borderId="0" xfId="0" applyNumberFormat="1" applyFont="1" applyFill="1" applyBorder="1"/>
    <x:xf numFmtId="0" fontId="0" fillId="46"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47" borderId="0" xfId="0" applyNumberFormat="1" applyFont="1" applyFill="1" applyBorder="1"/>
    <x:xf numFmtId="0" fontId="4" fillId="47" borderId="0" xfId="0" applyNumberFormat="1" applyFont="1" applyFill="1" applyBorder="1"/>
    <x:xf numFmtId="0" fontId="4" fillId="47" borderId="0" xfId="0" applyNumberFormat="1" applyFont="1" applyFill="1" applyBorder="1" applyAlignment="1">
      <x:alignment wrapText="1"/>
    </x:xf>
    <x:xf numFmtId="0" fontId="4" fillId="47" borderId="0" xfId="0" applyNumberFormat="1" applyFont="1" applyFill="1" applyBorder="1" applyAlignment="1">
      <x:alignment horizontal="center" wrapText="1"/>
    </x:xf>
  </x:cellXfs>
  <x:cellStyles count="1">
    <x:cellStyle name="Normal" xfId="0"/>
  </x:cellStyles>
  <x:dxfs count="4">
    <x:dxf>
      <x:font>
        <x:b/>
      </x:font>
      <x:fill>
        <x:patternFill>
          <x:bgColor rgb="FFF4CCCC"/>
        </x:patternFill>
      </x:fill>
    </x:dxf>
    <x:dxf>
      <x:fill>
        <x:patternFill>
          <x:bgColor rgb="FFFFF2CC"/>
        </x:patternFill>
      </x:fill>
    </x:dxf>
    <x:dxf>
      <x:fill>
        <x:patternFill>
          <x:bgColor rgb="FFFCE4D6"/>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fa6d77781a4e95" /><Relationship Type="http://schemas.openxmlformats.org/officeDocument/2006/relationships/theme" Target="/xl/theme/theme1.xml" Id="R734bfd03f1aa49ec" /><Relationship Type="http://schemas.openxmlformats.org/officeDocument/2006/relationships/sharedStrings" Target="/xl/sharedStrings.xml" Id="Rf99e1170cec54ab4" /><Relationship Type="http://schemas.openxmlformats.org/officeDocument/2006/relationships/worksheet" Target="/xl/worksheets/sheet1.xml" Id="Rfe87e571bfce4178" /><Relationship Type="http://schemas.openxmlformats.org/officeDocument/2006/relationships/worksheet" Target="/xl/worksheets/sheet2.xml" Id="R856f2dbcc6d04b33" /><Relationship Type="http://schemas.openxmlformats.org/officeDocument/2006/relationships/worksheet" Target="/xl/worksheets/sheet3.xml" Id="R3981963e862a43ff" /><Relationship Type="http://schemas.openxmlformats.org/officeDocument/2006/relationships/worksheet" Target="/xl/worksheets/sheet4.xml" Id="R53a27e3ac7d14776" /><Relationship Type="http://schemas.openxmlformats.org/officeDocument/2006/relationships/worksheet" Target="/xl/worksheets/sheet5.xml" Id="R03c64b48433f419b" /><Relationship Type="http://schemas.openxmlformats.org/officeDocument/2006/relationships/worksheet" Target="/xl/worksheets/sheet6.xml" Id="R41addc4ee72e4706" /><Relationship Type="http://schemas.openxmlformats.org/officeDocument/2006/relationships/worksheet" Target="/xl/worksheets/sheet7.xml" Id="Rd6553f8aa1dc4f08" /><Relationship Type="http://schemas.openxmlformats.org/officeDocument/2006/relationships/worksheet" Target="/xl/worksheets/sheet8.xml" Id="R810c9f70f15045f6" /><Relationship Type="http://schemas.openxmlformats.org/officeDocument/2006/relationships/worksheet" Target="/xl/worksheets/sheet9.xml" Id="Rf60fb945a08d4f6d" /><Relationship Type="http://schemas.openxmlformats.org/officeDocument/2006/relationships/worksheet" Target="/xl/worksheets/sheet10.xml" Id="R3474397183c4411f" /><Relationship Type="http://schemas.openxmlformats.org/officeDocument/2006/relationships/worksheet" Target="/xl/worksheets/sheet11.xml" Id="R130f7f1b799e46bf" /><Relationship Type="http://schemas.openxmlformats.org/officeDocument/2006/relationships/worksheet" Target="/xl/worksheets/sheet12.xml" Id="Re8b8799bad9b4264" /><Relationship Type="http://schemas.openxmlformats.org/officeDocument/2006/relationships/worksheet" Target="/xl/worksheets/sheet13.xml" Id="R33198b732a4b4845" /></Relationships>
</file>

<file path=xl/tables/table1.xml><?xml version="1.0" encoding="utf-8"?>
<x:table xmlns:x="http://schemas.openxmlformats.org/spreadsheetml/2006/main" id="1" name="AllVariableSensitivity" displayName="AllVariableSensitivity" ref="A10:M412" headerRowCount="1" totalsRowCount="0" totalsRowShown="0">
  <x:tableColumns count="13">
    <x:tableColumn id="1" name="変数"/>
    <x:tableColumn id="2" name="正感度合計 S+"/>
    <x:tableColumn id="3" name="負感度合計 S-"/>
    <x:tableColumn id="4" name="ネット感度 S_net"/>
    <x:tableColumn id="5" name="絶対感度合計 Σ|S|"/>
    <x:tableColumn id="6" name="正等価重量 [kg]"/>
    <x:tableColumn id="7" name="負等価重量 [kg]"/>
    <x:tableColumn id="8" name="ネット等価重量 [kg]"/>
    <x:tableColumn id="9" name="最終変数判定"/>
    <x:tableColumn id="10" name="符号構成"/>
    <x:tableColumn id="11" name="トレードオフ有無"/>
    <x:tableColumn id="12" name="ノード数"/>
    <x:tableColumn id="13" name="Enable系"/>
  </x:tableColumns>
  <x:tableStyleInfo name="TableStyleMedium2" showFirstColumn="0" showLastColumn="0" showRowStripes="1" showColumnStripes="0"/>
</x:table>
</file>

<file path=xl/tables/table2.xml><?xml version="1.0" encoding="utf-8"?>
<x:table xmlns:x="http://schemas.openxmlformats.org/spreadsheetml/2006/main" id="2" name="EnableScenarioComparison" displayName="EnableScenarioComparison" ref="O10:Y29" headerRowCount="1" totalsRowCount="0" totalsRowShown="0">
  <x:tableColumns count="11">
    <x:tableColumn id="1" name="Enable変数"/>
    <x:tableColumn id="2" name="現在値"/>
    <x:tableColumn id="3" name="M_inv OFF [kg]"/>
    <x:tableColumn id="4" name="M_inv ON [kg]"/>
    <x:tableColumn id="5" name="厳密ΔM [kg]"/>
    <x:tableColumn id="6" name="効果"/>
    <x:tableColumn id="7" name="ツリー正等価 [kg]"/>
    <x:tableColumn id="8" name="ツリー負等価 [kg]"/>
    <x:tableColumn id="9" name="ツリーネット [kg]"/>
    <x:tableColumn id="10" name="厳密ΔM－ツリーネット [kg]"/>
    <x:tableColumn id="11" name="一致性"/>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3.xml.rels>&#65279;<?xml version="1.0" encoding="utf-8"?><Relationships xmlns="http://schemas.openxmlformats.org/package/2006/relationships"><Relationship Type="http://schemas.openxmlformats.org/officeDocument/2006/relationships/table" Target="/xl/tables/table1.xml" Id="Re134f07c53b54f69" /><Relationship Type="http://schemas.openxmlformats.org/officeDocument/2006/relationships/table" Target="/xl/tables/table2.xml" Id="Rc80d48604aeb47df" /></Relationships>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x:c r="A1" s="4" t="str">
        <x:v>インバータ重量感度解析 Excel単体版 v0.5（Level 12 / VBAなし）</x:v>
      </x:c>
      <x:c r="B1" s="4"/>
      <x:c r="C1" s="4"/>
      <x:c r="D1" s="4"/>
      <x:c r="E1" s="4"/>
      <x:c r="F1" s="4"/>
      <x:c r="G1" s="4"/>
      <x:c r="H1" s="4"/>
      <x:c r="I1" s="4"/>
      <x:c r="J1" s="4"/>
    </x:row>
    <x:row r="2">
      <x:c r="A2" s="4"/>
      <x:c r="B2" s="4"/>
      <x:c r="C2" s="4"/>
      <x:c r="D2" s="4"/>
      <x:c r="E2" s="4"/>
      <x:c r="F2" s="4"/>
      <x:c r="G2" s="4"/>
      <x:c r="H2" s="4"/>
      <x:c r="I2" s="4"/>
      <x:c r="J2" s="4"/>
    </x:row>
    <x:row r="4">
      <x:c r="A4" s="9" t="str">
        <x:v>固定要求</x:v>
      </x:c>
      <x:c r="B4" s="12" t="str">
        <x:v>定格出力 P_out はアプリケーション側で決まる固定要求とし、感度ツリーの子ノードには配置しません。計算式では定数入力として参照します。</x:v>
      </x:c>
    </x:row>
    <x:row r="5">
      <x:c r="A5" s="9" t="str">
        <x:v>設計変数</x:v>
      </x:c>
      <x:c r="B5" s="12" t="str">
        <x:v>V_dc、V_ll、f_sw、チップ面積、耐圧設計、電流密度、冷却流速、バスバー温度余裕、EMI遮断周波数など、設計余地がある変数を感度対象にします。</x:v>
      </x:c>
    </x:row>
    <x:row r="6">
      <x:c r="A6" s="9" t="str">
        <x:v>半導体深化</x:v>
      </x:c>
      <x:c r="B6" s="12" t="str">
        <x:v>V_dc→必要耐圧→ドリフト層厚/ドーピング→比オン抵抗→R_on、およびチップ面積→R_on低下/C_oss増加/チップ重量増加を別経路で表現します。</x:v>
      </x:c>
    </x:row>
    <x:row r="7">
      <x:c r="A7" s="9" t="str">
        <x:v>感度</x:v>
      </x:c>
      <x:c r="B7" s="12" t="str">
        <x:v>局所弾性 ε を親式ごとに定義し、S_child=S_parent×ε でトップ重量まで伝播します。重量列は |S|×M_inv の感度等価重量です。</x:v>
      </x:c>
    </x:row>
    <x:row r="8">
      <x:c r="A8" s="9" t="str">
        <x:v>トレードオフ</x:v>
      </x:c>
      <x:c r="B8" s="12" t="str">
        <x:v>同一変数が複数経路に現れる場合、ダッシュボードで重量増加側・減少側・ネット感度を集計します。</x:v>
      </x:c>
    </x:row>
    <x:row r="9">
      <x:c r="A9" s="9" t="str">
        <x:v>Level 12</x:v>
      </x:c>
      <x:c r="B9" s="12" t="str">
        <x:v>主要枝を最大Level 12まで深化しています。式右辺の変数は下位ノードの変数列に接続します。</x:v>
      </x:c>
    </x:row>
    <x:row r="10">
      <x:c r="A10" s="9" t="str">
        <x:v>位置付け</x:v>
      </x:c>
      <x:c r="B10" s="12" t="str">
        <x:v>説明・デモ用の独立Excel版です。本流の要求仕様書・DB設計・プログラム版には影響させません。</x:v>
      </x:c>
    </x:row>
    <x:row r="12">
      <x:c r="A12" s="16" t="str">
        <x:v>式・係数は説明用簡易モデルです。半導体の耐圧―ドリフト層―オン抵抗―寄生容量などの物理関係は方向性とトレードオフをExcelで追跡するための近似です。実設計ではデバイスデータ/TCAD/損失マップへ置換してください。</x:v>
      </x:c>
      <x:c r="B12" s="16"/>
      <x:c r="C12" s="16"/>
      <x:c r="D12" s="16"/>
      <x:c r="E12" s="16"/>
      <x:c r="F12" s="16"/>
      <x:c r="G12" s="16"/>
      <x:c r="H12" s="16"/>
      <x:c r="I12" s="16"/>
      <x:c r="J12" s="16"/>
    </x:row>
    <x:row r="13">
      <x:c r="A13" s="16"/>
      <x:c r="B13" s="16"/>
      <x:c r="C13" s="16"/>
      <x:c r="D13" s="16"/>
      <x:c r="E13" s="16"/>
      <x:c r="F13" s="16"/>
      <x:c r="G13" s="16"/>
      <x:c r="H13" s="16"/>
      <x:c r="I13" s="16"/>
      <x:c r="J13" s="16"/>
    </x:row>
    <x:row r="14">
      <x:c r="A14" s="203" t="str">
        <x:v>入力体系 v1.1</x:v>
      </x:c>
      <x:c r="B14" s="16" t="str"/>
      <x:c r="C14" s="16"/>
      <x:c r="D14" s="16"/>
      <x:c r="E14" s="16"/>
      <x:c r="F14" s="16"/>
      <x:c r="G14" s="16"/>
      <x:c r="H14" s="16"/>
      <x:c r="I14" s="16"/>
      <x:c r="J14" s="16"/>
    </x:row>
    <x:row r="15">
      <x:c r="A15" s="203" t="str">
        <x:v>① システム要求</x:v>
      </x:c>
      <x:c r="B15" s="16" t="str">
        <x:v>07_システム要求を入力</x:v>
      </x:c>
      <x:c r="C15" s="16"/>
      <x:c r="D15" s="16"/>
      <x:c r="E15" s="16"/>
      <x:c r="F15" s="16"/>
      <x:c r="G15" s="16"/>
      <x:c r="H15" s="16"/>
      <x:c r="I15" s="16"/>
      <x:c r="J15" s="16"/>
    </x:row>
    <x:row r="16">
      <x:c r="A16" s="205" t="str">
        <x:v>② シナリオ設計選択</x:v>
      </x:c>
      <x:c r="B16" s="12" t="str">
        <x:v>10_シナリオ入力の20項目だけ必要に応じ変更</x:v>
      </x:c>
    </x:row>
    <x:row r="17">
      <x:c r="A17" s="205" t="str">
        <x:v>③ 基準仕様</x:v>
      </x:c>
      <x:c r="B17" s="12" t="str">
        <x:v>09_基準仕様は材料/技術世代変更時のみ編集</x:v>
      </x:c>
    </x:row>
    <x:row r="18">
      <x:c r="A18" s="205" t="str">
        <x:v>④ 入力仕様</x:v>
      </x:c>
      <x:c r="B18" s="12" t="str">
        <x:v>01_入力仕様は3系統から自動集約。D列を直接編集しない</x:v>
      </x:c>
    </x:row>
    <x:row r="19">
      <x:c r="A19" s="205" t="str">
        <x:v>⑤ 分類一覧</x:v>
      </x:c>
      <x:c r="B19" s="12" t="str">
        <x:v>11_入力分類一覧で全項目の参照元を確認</x:v>
      </x:c>
    </x:row>
    <x:row r="20">
      <x:c r="A20" s="205" t="str">
        <x:v>狙い</x:v>
      </x:c>
      <x:c r="B20" s="12" t="str">
        <x:v>同一計算ルールで比較し、毎回の直接入力を最小化</x:v>
      </x:c>
    </x:row>
  </x:sheetData>
  <x:mergeCells>
    <x:mergeCell ref="A1:J2"/>
    <x:mergeCell ref="A12:J15"/>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30" hidden="0" customWidth="1"/>
    <x:col min="3" max="3" width="24" hidden="0" customWidth="1"/>
    <x:col min="4" max="4" width="16" hidden="0" customWidth="1"/>
    <x:col min="5" max="5" width="12" hidden="0" customWidth="1"/>
    <x:col min="6" max="6" width="28" hidden="0" customWidth="1"/>
    <x:col min="7" max="7" width="34" hidden="0" customWidth="1"/>
    <x:col min="8" max="8" width="14" hidden="0" customWidth="1"/>
    <x:col min="9" max="9" width="12" hidden="0" customWidth="1"/>
    <x:col min="10" max="10" width="18" hidden="0" customWidth="1"/>
    <x:col min="11" max="11" width="40" hidden="0" customWidth="1"/>
    <x:col min="12" max="12" width="16" hidden="0" customWidth="1"/>
    <x:col min="13" max="13" width="18" hidden="0" customWidth="1"/>
    <x:col min="14" max="14" width="24" hidden="0" customWidth="1"/>
    <x:col min="15" max="15" width="22" hidden="0" customWidth="1"/>
    <x:col min="16" max="16" width="32" hidden="0" customWidth="1"/>
    <x:col min="17" max="17" width="42" hidden="0" customWidth="1"/>
  </x:cols>
  <x:sheetData>
    <x:row r="1">
      <x:c r="A1" s="200" t="str">
        <x:v>01_入力仕様：固定要求・設計仕様・技術パラメータ</x:v>
      </x:c>
      <x:c r="B1" s="200"/>
      <x:c r="C1" s="200"/>
      <x:c r="D1" s="200"/>
      <x:c r="E1" s="200"/>
      <x:c r="F1" s="200"/>
      <x:c r="G1" s="200"/>
      <x:c r="H1" s="200"/>
      <x:c r="I1" s="200"/>
      <x:c r="J1" s="122" t="str">
        <x:v>システム推奨値</x:v>
      </x:c>
      <x:c r="K1" s="120" t="str">
        <x:v>自動計算/根拠</x:v>
      </x:c>
      <x:c r="L1" s="120" t="str">
        <x:v>適用区分</x:v>
      </x:c>
      <x:c r="M1" s="120" t="str">
        <x:v>手動上書き値</x:v>
      </x:c>
      <x:c r="N1" s="195" t="str">
        <x:v>新入力分類</x:v>
      </x:c>
      <x:c r="O1" s="195" t="str">
        <x:v>参照元</x:v>
      </x:c>
      <x:c r="P1" s="195" t="str">
        <x:v>ユーザー操作</x:v>
      </x:c>
      <x:c r="Q1" s="195" t="str">
        <x:v>入力自動化備考</x:v>
      </x:c>
    </x:row>
    <x:row r="2">
      <x:c r="A2" s="200"/>
      <x:c r="B2" s="200"/>
      <x:c r="C2" s="200"/>
      <x:c r="D2" s="200"/>
      <x:c r="E2" s="200"/>
      <x:c r="F2" s="200"/>
      <x:c r="G2" s="200"/>
      <x:c r="H2" s="200"/>
      <x:c r="I2" s="200"/>
      <x:c r="J2" s="48"/>
      <x:c r="K2" s="12"/>
      <x:c r="L2" s="12"/>
      <x:c r="M2" s="12"/>
      <x:c r="N2" s="12"/>
      <x:c r="O2" s="12"/>
      <x:c r="P2" s="12"/>
      <x:c r="Q2" s="12"/>
    </x:row>
    <x:row r="3">
      <x:c r="A3" s="12"/>
      <x:c r="B3" s="12"/>
      <x:c r="C3" s="12"/>
      <x:c r="D3" s="12"/>
      <x:c r="E3" s="12"/>
      <x:c r="F3" s="12"/>
      <x:c r="G3" s="12"/>
      <x:c r="H3" s="12"/>
      <x:c r="I3" s="12"/>
      <x:c r="J3" s="48"/>
      <x:c r="K3" s="12"/>
      <x:c r="L3" s="12"/>
      <x:c r="M3" s="12"/>
      <x:c r="N3" s="12"/>
      <x:c r="O3" s="12"/>
      <x:c r="P3" s="12"/>
      <x:c r="Q3" s="12"/>
    </x:row>
    <x:row r="4">
      <x:c r="A4" s="24" t="str">
        <x:v>分類</x:v>
      </x:c>
      <x:c r="B4" s="24" t="str">
        <x:v>仕様 / 技術パラメータ</x:v>
      </x:c>
      <x:c r="C4" s="24" t="str">
        <x:v>変数</x:v>
      </x:c>
      <x:c r="D4" s="24" t="str">
        <x:v>入力値</x:v>
      </x:c>
      <x:c r="E4" s="24" t="str">
        <x:v>単位</x:v>
      </x:c>
      <x:c r="F4" s="24" t="str">
        <x:v>主な影響先</x:v>
      </x:c>
      <x:c r="G4" s="24" t="str">
        <x:v>備考</x:v>
      </x:c>
      <x:c r="H4" s="24" t="str">
        <x:v>入力区分</x:v>
      </x:c>
      <x:c r="I4" s="24" t="str">
        <x:v>感度対象</x:v>
      </x:c>
      <x:c r="J4" s="48"/>
      <x:c r="K4" s="12"/>
      <x:c r="L4" s="12"/>
      <x:c r="M4" s="12"/>
      <x:c r="N4" s="12"/>
      <x:c r="O4" s="12"/>
      <x:c r="P4" s="12"/>
      <x:c r="Q4" s="12"/>
    </x:row>
    <x:row r="5">
      <x:c r="A5" s="40" t="str">
        <x:v>システム要求</x:v>
      </x:c>
      <x:c r="B5" s="40" t="str">
        <x:v>定格出力</x:v>
      </x:c>
      <x:c r="C5" s="40" t="str">
        <x:v>P_out</x:v>
      </x:c>
      <x:c r="D5" s="196" t="n">
        <x:f>'07_システム要求'!D9</x:f>
        <x:v>100</x:v>
      </x:c>
      <x:c r="E5" s="40" t="str">
        <x:v>kW</x:v>
      </x:c>
      <x:c r="F5" s="40" t="str">
        <x:v>電流・損失・容量</x:v>
      </x:c>
      <x:c r="G5" s="40" t="str">
        <x:v>上位アプリケーションで決定</x:v>
      </x:c>
      <x:c r="H5" s="40" t="str">
        <x:v>固定要求</x:v>
      </x:c>
      <x:c r="I5" s="40" t="str">
        <x:v>対象外</x:v>
      </x:c>
      <x:c r="J5" s="48" t="n">
        <x:f>'07_システム要求'!D9</x:f>
        <x:v>100</x:v>
      </x:c>
      <x:c r="K5" s="12" t="str">
        <x:v>上位システム定格出力</x:v>
      </x:c>
      <x:c r="L5" s="12" t="str">
        <x:v>自動</x:v>
      </x:c>
      <x:c r="M5" s="12" t="n">
        <x:v>100</x:v>
      </x:c>
      <x:c r="N5" s="12" t="str">
        <x:v>システム要求→自動計算</x:v>
      </x:c>
      <x:c r="O5" s="12" t="str">
        <x:v>07_システム要求</x:v>
      </x:c>
      <x:c r="P5" s="12" t="str">
        <x:v>システム要求のみ編集</x:v>
      </x:c>
      <x:c r="Q5" s="12" t="str">
        <x:v>D列は直接編集せず参照元を編集</x:v>
      </x:c>
    </x:row>
    <x:row r="6">
      <x:c r="A6" s="12" t="str">
        <x:v>製品仕様</x:v>
      </x:c>
      <x:c r="B6" s="12" t="str">
        <x:v>DCバス電圧</x:v>
      </x:c>
      <x:c r="C6" s="12" t="str">
        <x:v>V_dc</x:v>
      </x:c>
      <x:c r="D6" s="197" t="n">
        <x:f>'07_システム要求'!D13</x:f>
        <x:v>800</x:v>
      </x:c>
      <x:c r="E6" s="12" t="str">
        <x:v>V</x:v>
      </x:c>
      <x:c r="F6" s="12" t="str">
        <x:v>耐圧・Psw・Cdc・Idc・EMI</x:v>
      </x:c>
      <x:c r="G6" s="12" t="str">
        <x:v>変更余地あり</x:v>
      </x:c>
      <x:c r="H6" s="12" t="str">
        <x:v>設計変数</x:v>
      </x:c>
      <x:c r="I6" s="12" t="str">
        <x:v>対象</x:v>
      </x:c>
      <x:c r="J6" s="48" t="n">
        <x:f>'07_システム要求'!D13</x:f>
        <x:v>800</x:v>
      </x:c>
      <x:c r="K6" s="12" t="str">
        <x:v>DCバス公称電圧</x:v>
      </x:c>
      <x:c r="L6" s="12" t="str">
        <x:v>自動</x:v>
      </x:c>
      <x:c r="M6" s="12" t="n">
        <x:v>800</x:v>
      </x:c>
      <x:c r="N6" s="12" t="str">
        <x:v>システム要求→自動計算</x:v>
      </x:c>
      <x:c r="O6" s="12" t="str">
        <x:v>07_システム要求</x:v>
      </x:c>
      <x:c r="P6" s="12" t="str">
        <x:v>システム要求のみ編集</x:v>
      </x:c>
      <x:c r="Q6" s="12" t="str">
        <x:v>D列は直接編集せず参照元を編集</x:v>
      </x:c>
    </x:row>
    <x:row r="7">
      <x:c r="A7" s="12" t="str">
        <x:v>製品仕様</x:v>
      </x:c>
      <x:c r="B7" s="12" t="str">
        <x:v>モータ線間電圧RMS</x:v>
      </x:c>
      <x:c r="C7" s="12" t="str">
        <x:v>V_ll</x:v>
      </x:c>
      <x:c r="D7" s="197" t="n">
        <x:f>'07_システム要求'!D12</x:f>
        <x:v>400</x:v>
      </x:c>
      <x:c r="E7" s="12" t="str">
        <x:v>V</x:v>
      </x:c>
      <x:c r="F7" s="12" t="str">
        <x:v>相電流</x:v>
      </x:c>
      <x:c r="G7" s="12" t="str">
        <x:v>モータ巻線構成等で変更余地</x:v>
      </x:c>
      <x:c r="H7" s="12" t="str">
        <x:v>設計変数</x:v>
      </x:c>
      <x:c r="I7" s="12" t="str">
        <x:v>対象</x:v>
      </x:c>
      <x:c r="J7" s="48" t="n">
        <x:f>'07_システム要求'!D12</x:f>
        <x:v>400</x:v>
      </x:c>
      <x:c r="K7" s="12" t="str">
        <x:v>モータ最大線間電圧。モータ協調設計のため手動上書きを維持</x:v>
      </x:c>
      <x:c r="L7" s="12" t="str">
        <x:v>推奨のみ</x:v>
      </x:c>
      <x:c r="M7" s="12" t="n">
        <x:v>400</x:v>
      </x:c>
      <x:c r="N7" s="12" t="str">
        <x:v>システム要求→自動計算</x:v>
      </x:c>
      <x:c r="O7" s="12" t="str">
        <x:v>07_システム要求</x:v>
      </x:c>
      <x:c r="P7" s="12" t="str">
        <x:v>システム要求のみ編集</x:v>
      </x:c>
      <x:c r="Q7" s="12" t="str">
        <x:v>D列は直接編集せず参照元を編集</x:v>
      </x:c>
    </x:row>
    <x:row r="8">
      <x:c r="A8" s="12" t="str">
        <x:v>製品仕様</x:v>
      </x:c>
      <x:c r="B8" s="12" t="str">
        <x:v>力率</x:v>
      </x:c>
      <x:c r="C8" s="12" t="str">
        <x:v>PF</x:v>
      </x:c>
      <x:c r="D8" s="197" t="n">
        <x:f>'07_システム要求'!D14</x:f>
        <x:v>0.95</x:v>
      </x:c>
      <x:c r="E8" s="12" t="str">
        <x:v>-</x:v>
      </x:c>
      <x:c r="F8" s="12" t="str">
        <x:v>相電流</x:v>
      </x:c>
      <x:c r="G8" s="12" t="str">
        <x:v>モータ/制御で改善余地</x:v>
      </x:c>
      <x:c r="H8" s="12" t="str">
        <x:v>設計変数</x:v>
      </x:c>
      <x:c r="I8" s="12" t="str">
        <x:v>対象</x:v>
      </x:c>
      <x:c r="J8" s="48" t="n">
        <x:f>'07_システム要求'!D14</x:f>
        <x:v>0.95</x:v>
      </x:c>
      <x:c r="K8" s="12" t="str">
        <x:v>目標力率</x:v>
      </x:c>
      <x:c r="L8" s="12" t="str">
        <x:v>自動</x:v>
      </x:c>
      <x:c r="M8" s="12" t="n">
        <x:v>0.95</x:v>
      </x:c>
      <x:c r="N8" s="12" t="str">
        <x:v>システム要求→自動計算</x:v>
      </x:c>
      <x:c r="O8" s="12" t="str">
        <x:v>07_システム要求</x:v>
      </x:c>
      <x:c r="P8" s="12" t="str">
        <x:v>システム要求のみ編集</x:v>
      </x:c>
      <x:c r="Q8" s="12" t="str">
        <x:v>D列は直接編集せず参照元を編集</x:v>
      </x:c>
    </x:row>
    <x:row r="9">
      <x:c r="A9" s="12" t="str">
        <x:v>製品仕様</x:v>
      </x:c>
      <x:c r="B9" s="12" t="str">
        <x:v>インバータ効率</x:v>
      </x:c>
      <x:c r="C9" s="12" t="str">
        <x:v>eta</x:v>
      </x:c>
      <x:c r="D9" s="197" t="n">
        <x:f>'07_システム要求'!D15</x:f>
        <x:v>0.97</x:v>
      </x:c>
      <x:c r="E9" s="12" t="str">
        <x:v>-</x:v>
      </x:c>
      <x:c r="F9" s="12" t="str">
        <x:v>相/DC電流</x:v>
      </x:c>
      <x:c r="G9" s="12" t="str">
        <x:v>簡易扱い</x:v>
      </x:c>
      <x:c r="H9" s="12" t="str">
        <x:v>設計変数</x:v>
      </x:c>
      <x:c r="I9" s="12" t="str">
        <x:v>対象</x:v>
      </x:c>
      <x:c r="J9" s="48" t="n">
        <x:f>'07_システム要求'!D15</x:f>
        <x:v>0.97</x:v>
      </x:c>
      <x:c r="K9" s="12" t="str">
        <x:v>目標変換効率</x:v>
      </x:c>
      <x:c r="L9" s="12" t="str">
        <x:v>自動</x:v>
      </x:c>
      <x:c r="M9" s="12" t="n">
        <x:v>0.97</x:v>
      </x:c>
      <x:c r="N9" s="12" t="str">
        <x:v>システム要求→自動計算</x:v>
      </x:c>
      <x:c r="O9" s="12" t="str">
        <x:v>07_システム要求</x:v>
      </x:c>
      <x:c r="P9" s="12" t="str">
        <x:v>システム要求のみ編集</x:v>
      </x:c>
      <x:c r="Q9" s="12" t="str">
        <x:v>D列は直接編集せず参照元を編集</x:v>
      </x:c>
    </x:row>
    <x:row r="10">
      <x:c r="A10" s="12" t="str">
        <x:v>製品仕様</x:v>
      </x:c>
      <x:c r="B10" s="12" t="str">
        <x:v>スイッチング周波数</x:v>
      </x:c>
      <x:c r="C10" s="12" t="str">
        <x:v>f_sw</x:v>
      </x:c>
      <x:c r="D10" s="197" t="n">
        <x:f>'07_システム要求'!M10</x:f>
        <x:v>16000</x:v>
      </x:c>
      <x:c r="E10" s="12" t="str">
        <x:v>Hz</x:v>
      </x:c>
      <x:c r="F10" s="12" t="str">
        <x:v>SW損失・EMI</x:v>
      </x:c>
      <x:c r="G10" s="12" t="str">
        <x:v>主要トレードオフ</x:v>
      </x:c>
      <x:c r="H10" s="12" t="str">
        <x:v>設計変数</x:v>
      </x:c>
      <x:c r="I10" s="12" t="str">
        <x:v>対象</x:v>
      </x:c>
      <x:c r="J10" s="48" t="n">
        <x:f>'07_システム要求'!M10</x:f>
        <x:v>16000</x:v>
      </x:c>
      <x:c r="K10" s="12" t="str">
        <x:v>最高電気周波数×最低PWM回数。可聴域回避要求も考慮</x:v>
      </x:c>
      <x:c r="L10" s="12" t="str">
        <x:v>自動</x:v>
      </x:c>
      <x:c r="M10" s="12" t="n">
        <x:v>10000</x:v>
      </x:c>
      <x:c r="N10" s="12" t="str">
        <x:v>システム要求→自動計算</x:v>
      </x:c>
      <x:c r="O10" s="12" t="str">
        <x:v>07_システム要求</x:v>
      </x:c>
      <x:c r="P10" s="12" t="str">
        <x:v>システム要求のみ編集</x:v>
      </x:c>
      <x:c r="Q10" s="12" t="str">
        <x:v>D列は直接編集せず参照元を編集</x:v>
      </x:c>
    </x:row>
    <x:row r="11">
      <x:c r="A11" s="12" t="str">
        <x:v>製品仕様</x:v>
      </x:c>
      <x:c r="B11" s="12" t="str">
        <x:v>許容DC電圧リップル率</x:v>
      </x:c>
      <x:c r="C11" s="12" t="str">
        <x:v>r_vdc</x:v>
      </x:c>
      <x:c r="D11" s="197" t="n">
        <x:f>'09_基準仕様'!E9</x:f>
        <x:v>0.05</x:v>
      </x:c>
      <x:c r="E11" s="12" t="str">
        <x:v>-</x:v>
      </x:c>
      <x:c r="F11" s="12" t="str">
        <x:v>C_req</x:v>
      </x:c>
      <x:c r="G11" s="12" t="str"/>
      <x:c r="H11" s="12" t="str">
        <x:v>設計変数</x:v>
      </x:c>
      <x:c r="I11" s="12" t="str">
        <x:v>対象</x:v>
      </x:c>
      <x:c r="J11" s="48"/>
      <x:c r="K11" s="12"/>
      <x:c r="L11" s="12"/>
      <x:c r="M11" s="12"/>
      <x:c r="N11" s="12" t="str">
        <x:v>基準仕様（シナリオ間固定）</x:v>
      </x:c>
      <x:c r="O11" s="12" t="str">
        <x:v>09_基準仕様</x:v>
      </x:c>
      <x:c r="P11" s="12" t="str">
        <x:v>通常は編集しない</x:v>
      </x:c>
      <x:c r="Q11" s="12" t="str">
        <x:v>D列は直接編集せず参照元を編集</x:v>
      </x:c>
    </x:row>
    <x:row r="12">
      <x:c r="A12" s="12" t="str">
        <x:v>製品仕様</x:v>
      </x:c>
      <x:c r="B12" s="12" t="str">
        <x:v>DCリンクバッファ時間</x:v>
      </x:c>
      <x:c r="C12" s="12" t="str">
        <x:v>t_buf</x:v>
      </x:c>
      <x:c r="D12" s="197" t="n">
        <x:f>'09_基準仕様'!E10</x:f>
        <x:v>0.0005</x:v>
      </x:c>
      <x:c r="E12" s="12" t="str">
        <x:v>s</x:v>
      </x:c>
      <x:c r="F12" s="12" t="str">
        <x:v>C_req</x:v>
      </x:c>
      <x:c r="G12" s="12" t="str"/>
      <x:c r="H12" s="12" t="str">
        <x:v>設計変数</x:v>
      </x:c>
      <x:c r="I12" s="12" t="str">
        <x:v>対象</x:v>
      </x:c>
      <x:c r="J12" s="48"/>
      <x:c r="K12" s="12"/>
      <x:c r="L12" s="12"/>
      <x:c r="M12" s="12"/>
      <x:c r="N12" s="12" t="str">
        <x:v>基準仕様（シナリオ間固定）</x:v>
      </x:c>
      <x:c r="O12" s="12" t="str">
        <x:v>09_基準仕様</x:v>
      </x:c>
      <x:c r="P12" s="12" t="str">
        <x:v>通常は編集しない</x:v>
      </x:c>
      <x:c r="Q12" s="12" t="str">
        <x:v>D列は直接編集せず参照元を編集</x:v>
      </x:c>
    </x:row>
    <x:row r="13">
      <x:c r="A13" s="12" t="str">
        <x:v>半導体</x:v>
      </x:c>
      <x:c r="B13" s="12" t="str">
        <x:v>パワーモジュール個数</x:v>
      </x:c>
      <x:c r="C13" s="12" t="str">
        <x:v>N_mod</x:v>
      </x:c>
      <x:c r="D13" s="197" t="n">
        <x:f>'09_基準仕様'!E11</x:f>
        <x:v>6</x:v>
      </x:c>
      <x:c r="E13" s="12" t="str">
        <x:v>個</x:v>
      </x:c>
      <x:c r="F13" s="12" t="str">
        <x:v>M_semi</x:v>
      </x:c>
      <x:c r="G13" s="12" t="str"/>
      <x:c r="H13" s="12" t="str">
        <x:v>設計変数</x:v>
      </x:c>
      <x:c r="I13" s="12" t="str">
        <x:v>対象</x:v>
      </x:c>
      <x:c r="J13" s="48"/>
      <x:c r="K13" s="12"/>
      <x:c r="L13" s="12"/>
      <x:c r="M13" s="12"/>
      <x:c r="N13" s="12" t="str">
        <x:v>基準仕様（シナリオ間固定）</x:v>
      </x:c>
      <x:c r="O13" s="12" t="str">
        <x:v>09_基準仕様</x:v>
      </x:c>
      <x:c r="P13" s="12" t="str">
        <x:v>通常は編集しない</x:v>
      </x:c>
      <x:c r="Q13" s="12" t="str">
        <x:v>D列は直接編集せず参照元を編集</x:v>
      </x:c>
    </x:row>
    <x:row r="14">
      <x:c r="A14" s="12" t="str">
        <x:v>半導体</x:v>
      </x:c>
      <x:c r="B14" s="12" t="str">
        <x:v>DC電圧→必要耐圧係数</x:v>
      </x:c>
      <x:c r="C14" s="12" t="str">
        <x:v>K_vblk</x:v>
      </x:c>
      <x:c r="D14" s="197" t="n">
        <x:f>'09_基準仕様'!E12</x:f>
        <x:v>1.25</x:v>
      </x:c>
      <x:c r="E14" s="12" t="str">
        <x:v>-</x:v>
      </x:c>
      <x:c r="F14" s="12" t="str">
        <x:v>V_block_req</x:v>
      </x:c>
      <x:c r="G14" s="12" t="str">
        <x:v>サージ/マージン簡略化</x:v>
      </x:c>
      <x:c r="H14" s="12" t="str">
        <x:v>技術係数</x:v>
      </x:c>
      <x:c r="I14" s="12" t="str">
        <x:v>対象</x:v>
      </x:c>
      <x:c r="J14" s="48"/>
      <x:c r="K14" s="12"/>
      <x:c r="L14" s="12"/>
      <x:c r="M14" s="12"/>
      <x:c r="N14" s="12" t="str">
        <x:v>基準仕様（シナリオ間固定）</x:v>
      </x:c>
      <x:c r="O14" s="12" t="str">
        <x:v>09_基準仕様</x:v>
      </x:c>
      <x:c r="P14" s="12" t="str">
        <x:v>通常は編集しない</x:v>
      </x:c>
      <x:c r="Q14" s="12" t="str">
        <x:v>D列は直接編集せず参照元を編集</x:v>
      </x:c>
    </x:row>
    <x:row r="15">
      <x:c r="A15" s="12" t="str">
        <x:v>半導体</x:v>
      </x:c>
      <x:c r="B15" s="12" t="str">
        <x:v>ドリフト層電界利用率</x:v>
      </x:c>
      <x:c r="C15" s="12" t="str">
        <x:v>k_Euse</x:v>
      </x:c>
      <x:c r="D15" s="197" t="n">
        <x:f>'09_基準仕様'!E13</x:f>
        <x:v>0.72</x:v>
      </x:c>
      <x:c r="E15" s="12" t="str">
        <x:v>-</x:v>
      </x:c>
      <x:c r="F15" s="12" t="str">
        <x:v>E_allow</x:v>
      </x:c>
      <x:c r="G15" s="12" t="str"/>
      <x:c r="H15" s="12" t="str">
        <x:v>技術係数</x:v>
      </x:c>
      <x:c r="I15" s="12" t="str">
        <x:v>対象</x:v>
      </x:c>
      <x:c r="J15" s="48"/>
      <x:c r="K15" s="12"/>
      <x:c r="L15" s="12"/>
      <x:c r="M15" s="12"/>
      <x:c r="N15" s="12" t="str">
        <x:v>基準仕様（シナリオ間固定）</x:v>
      </x:c>
      <x:c r="O15" s="12" t="str">
        <x:v>09_基準仕様</x:v>
      </x:c>
      <x:c r="P15" s="12" t="str">
        <x:v>通常は編集しない</x:v>
      </x:c>
      <x:c r="Q15" s="12" t="str">
        <x:v>D列は直接編集せず参照元を編集</x:v>
      </x:c>
    </x:row>
    <x:row r="16">
      <x:c r="A16" s="12" t="str">
        <x:v>半導体</x:v>
      </x:c>
      <x:c r="B16" s="12" t="str">
        <x:v>材料臨界電界</x:v>
      </x:c>
      <x:c r="C16" s="12" t="str">
        <x:v>E_crit</x:v>
      </x:c>
      <x:c r="D16" s="197" t="n">
        <x:f>'09_基準仕様'!E14</x:f>
        <x:v>250000000</x:v>
      </x:c>
      <x:c r="E16" s="12" t="str">
        <x:v>V/m</x:v>
      </x:c>
      <x:c r="F16" s="12" t="str">
        <x:v>E_allow</x:v>
      </x:c>
      <x:c r="G16" s="12" t="str">
        <x:v>SiC簡易値</x:v>
      </x:c>
      <x:c r="H16" s="12" t="str">
        <x:v>材料</x:v>
      </x:c>
      <x:c r="I16" s="12" t="str">
        <x:v>対象</x:v>
      </x:c>
      <x:c r="J16" s="48"/>
      <x:c r="K16" s="12"/>
      <x:c r="L16" s="12"/>
      <x:c r="M16" s="12"/>
      <x:c r="N16" s="12" t="str">
        <x:v>基準仕様（シナリオ間固定）</x:v>
      </x:c>
      <x:c r="O16" s="12" t="str">
        <x:v>09_基準仕様</x:v>
      </x:c>
      <x:c r="P16" s="12" t="str">
        <x:v>通常は編集しない</x:v>
      </x:c>
      <x:c r="Q16" s="12" t="str">
        <x:v>D列は直接編集せず参照元を編集</x:v>
      </x:c>
    </x:row>
    <x:row r="17">
      <x:c r="A17" s="12" t="str">
        <x:v>半導体</x:v>
      </x:c>
      <x:c r="B17" s="12" t="str">
        <x:v>ドリフト層厚余裕係数</x:v>
      </x:c>
      <x:c r="C17" s="12" t="str">
        <x:v>K_tdrift</x:v>
      </x:c>
      <x:c r="D17" s="197" t="n">
        <x:f>'09_基準仕様'!E15</x:f>
        <x:v>1.15</x:v>
      </x:c>
      <x:c r="E17" s="12" t="str">
        <x:v>-</x:v>
      </x:c>
      <x:c r="F17" s="12" t="str">
        <x:v>t_drift</x:v>
      </x:c>
      <x:c r="G17" s="12" t="str"/>
      <x:c r="H17" s="12" t="str">
        <x:v>技術係数</x:v>
      </x:c>
      <x:c r="I17" s="12" t="str">
        <x:v>対象</x:v>
      </x:c>
      <x:c r="J17" s="48"/>
      <x:c r="K17" s="12"/>
      <x:c r="L17" s="12"/>
      <x:c r="M17" s="12"/>
      <x:c r="N17" s="12" t="str">
        <x:v>基準仕様（シナリオ間固定）</x:v>
      </x:c>
      <x:c r="O17" s="12" t="str">
        <x:v>09_基準仕様</x:v>
      </x:c>
      <x:c r="P17" s="12" t="str">
        <x:v>通常は編集しない</x:v>
      </x:c>
      <x:c r="Q17" s="12" t="str">
        <x:v>D列は直接編集せず参照元を編集</x:v>
      </x:c>
    </x:row>
    <x:row r="18">
      <x:c r="A18" s="12" t="str">
        <x:v>半導体</x:v>
      </x:c>
      <x:c r="B18" s="12" t="str">
        <x:v>基準ドーピング濃度</x:v>
      </x:c>
      <x:c r="C18" s="12" t="str">
        <x:v>N_d_ref</x:v>
      </x:c>
      <x:c r="D18" s="197" t="n">
        <x:f>'09_基準仕様'!E16</x:f>
        <x:v>8e+21</x:v>
      </x:c>
      <x:c r="E18" s="12" t="str">
        <x:v>1/m³</x:v>
      </x:c>
      <x:c r="F18" s="12" t="str">
        <x:v>N_drift</x:v>
      </x:c>
      <x:c r="G18" s="12" t="str">
        <x:v>説明用</x:v>
      </x:c>
      <x:c r="H18" s="12" t="str">
        <x:v>材料</x:v>
      </x:c>
      <x:c r="I18" s="12" t="str">
        <x:v>対象</x:v>
      </x:c>
      <x:c r="J18" s="48"/>
      <x:c r="K18" s="12"/>
      <x:c r="L18" s="12"/>
      <x:c r="M18" s="12"/>
      <x:c r="N18" s="12" t="str">
        <x:v>基準仕様（シナリオ間固定）</x:v>
      </x:c>
      <x:c r="O18" s="12" t="str">
        <x:v>09_基準仕様</x:v>
      </x:c>
      <x:c r="P18" s="12" t="str">
        <x:v>通常は編集しない</x:v>
      </x:c>
      <x:c r="Q18" s="12" t="str">
        <x:v>D列は直接編集せず参照元を編集</x:v>
      </x:c>
    </x:row>
    <x:row r="19">
      <x:c r="A19" s="12" t="str">
        <x:v>半導体</x:v>
      </x:c>
      <x:c r="B19" s="12" t="str">
        <x:v>耐圧基準</x:v>
      </x:c>
      <x:c r="C19" s="12" t="str">
        <x:v>V_ref_nd</x:v>
      </x:c>
      <x:c r="D19" s="197" t="n">
        <x:f>'09_基準仕様'!E17</x:f>
        <x:v>1200</x:v>
      </x:c>
      <x:c r="E19" s="12" t="str">
        <x:v>V</x:v>
      </x:c>
      <x:c r="F19" s="12" t="str">
        <x:v>N_drift</x:v>
      </x:c>
      <x:c r="G19" s="12" t="str"/>
      <x:c r="H19" s="12" t="str">
        <x:v>技術係数</x:v>
      </x:c>
      <x:c r="I19" s="12" t="str">
        <x:v>対象</x:v>
      </x:c>
      <x:c r="J19" s="48"/>
      <x:c r="K19" s="12"/>
      <x:c r="L19" s="12"/>
      <x:c r="M19" s="12"/>
      <x:c r="N19" s="12" t="str">
        <x:v>基準仕様（シナリオ間固定）</x:v>
      </x:c>
      <x:c r="O19" s="12" t="str">
        <x:v>09_基準仕様</x:v>
      </x:c>
      <x:c r="P19" s="12" t="str">
        <x:v>通常は編集しない</x:v>
      </x:c>
      <x:c r="Q19" s="12" t="str">
        <x:v>D列は直接編集せず参照元を編集</x:v>
      </x:c>
    </x:row>
    <x:row r="20">
      <x:c r="A20" s="12" t="str">
        <x:v>半導体</x:v>
      </x:c>
      <x:c r="B20" s="12" t="str">
        <x:v>ドーピング耐圧指数</x:v>
      </x:c>
      <x:c r="C20" s="12" t="str">
        <x:v>a_nd</x:v>
      </x:c>
      <x:c r="D20" s="197" t="n">
        <x:f>'09_基準仕様'!E18</x:f>
        <x:v>1.2</x:v>
      </x:c>
      <x:c r="E20" s="12" t="str">
        <x:v>-</x:v>
      </x:c>
      <x:c r="F20" s="12" t="str">
        <x:v>N_drift</x:v>
      </x:c>
      <x:c r="G20" s="12" t="str">
        <x:v>N∝V^-a</x:v>
      </x:c>
      <x:c r="H20" s="12" t="str">
        <x:v>技術係数</x:v>
      </x:c>
      <x:c r="I20" s="12" t="str">
        <x:v>対象</x:v>
      </x:c>
      <x:c r="J20" s="48"/>
      <x:c r="K20" s="12"/>
      <x:c r="L20" s="12"/>
      <x:c r="M20" s="12"/>
      <x:c r="N20" s="12" t="str">
        <x:v>基準仕様（シナリオ間固定）</x:v>
      </x:c>
      <x:c r="O20" s="12" t="str">
        <x:v>09_基準仕様</x:v>
      </x:c>
      <x:c r="P20" s="12" t="str">
        <x:v>通常は編集しない</x:v>
      </x:c>
      <x:c r="Q20" s="12" t="str">
        <x:v>D列は直接編集せず参照元を編集</x:v>
      </x:c>
    </x:row>
    <x:row r="21">
      <x:c r="A21" s="12" t="str">
        <x:v>半導体</x:v>
      </x:c>
      <x:c r="B21" s="12" t="str">
        <x:v>電子移動度</x:v>
      </x:c>
      <x:c r="C21" s="12" t="str">
        <x:v>mu_n</x:v>
      </x:c>
      <x:c r="D21" s="197" t="n">
        <x:f>'09_基準仕様'!E19</x:f>
        <x:v>0.08</x:v>
      </x:c>
      <x:c r="E21" s="12" t="str">
        <x:v>m²/(V·s)</x:v>
      </x:c>
      <x:c r="F21" s="12" t="str">
        <x:v>rho_drift</x:v>
      </x:c>
      <x:c r="G21" s="12" t="str">
        <x:v>説明用SiC</x:v>
      </x:c>
      <x:c r="H21" s="12" t="str">
        <x:v>材料</x:v>
      </x:c>
      <x:c r="I21" s="12" t="str">
        <x:v>対象</x:v>
      </x:c>
      <x:c r="J21" s="48"/>
      <x:c r="K21" s="12"/>
      <x:c r="L21" s="12"/>
      <x:c r="M21" s="12"/>
      <x:c r="N21" s="12" t="str">
        <x:v>基準仕様（シナリオ間固定）</x:v>
      </x:c>
      <x:c r="O21" s="12" t="str">
        <x:v>09_基準仕様</x:v>
      </x:c>
      <x:c r="P21" s="12" t="str">
        <x:v>通常は編集しない</x:v>
      </x:c>
      <x:c r="Q21" s="12" t="str">
        <x:v>D列は直接編集せず参照元を編集</x:v>
      </x:c>
    </x:row>
    <x:row r="22">
      <x:c r="A22" s="12" t="str">
        <x:v>半導体</x:v>
      </x:c>
      <x:c r="B22" s="12" t="str">
        <x:v>素電荷</x:v>
      </x:c>
      <x:c r="C22" s="12" t="str">
        <x:v>q_e</x:v>
      </x:c>
      <x:c r="D22" s="197" t="n">
        <x:f>'09_基準仕様'!E20</x:f>
        <x:v>1.602e-19</x:v>
      </x:c>
      <x:c r="E22" s="12" t="str">
        <x:v>C</x:v>
      </x:c>
      <x:c r="F22" s="12" t="str">
        <x:v>rho_drift</x:v>
      </x:c>
      <x:c r="G22" s="12" t="str">
        <x:v>物理定数</x:v>
      </x:c>
      <x:c r="H22" s="12" t="str">
        <x:v>固定定数</x:v>
      </x:c>
      <x:c r="I22" s="12" t="str">
        <x:v>対象外</x:v>
      </x:c>
      <x:c r="J22" s="48"/>
      <x:c r="K22" s="12"/>
      <x:c r="L22" s="12"/>
      <x:c r="M22" s="12"/>
      <x:c r="N22" s="12" t="str">
        <x:v>基準仕様（シナリオ間固定）</x:v>
      </x:c>
      <x:c r="O22" s="12" t="str">
        <x:v>09_基準仕様</x:v>
      </x:c>
      <x:c r="P22" s="12" t="str">
        <x:v>通常は編集しない</x:v>
      </x:c>
      <x:c r="Q22" s="12" t="str">
        <x:v>D列は直接編集せず参照元を編集</x:v>
      </x:c>
    </x:row>
    <x:row r="23">
      <x:c r="A23" s="12" t="str">
        <x:v>半導体</x:v>
      </x:c>
      <x:c r="B23" s="12" t="str">
        <x:v>比オン抵抗補正係数</x:v>
      </x:c>
      <x:c r="C23" s="12" t="str">
        <x:v>K_rsp</x:v>
      </x:c>
      <x:c r="D23" s="197" t="n">
        <x:f>'09_基準仕様'!E21</x:f>
        <x:v>1</x:v>
      </x:c>
      <x:c r="E23" s="12" t="str">
        <x:v>-</x:v>
      </x:c>
      <x:c r="F23" s="12" t="str">
        <x:v>Rsp_drift</x:v>
      </x:c>
      <x:c r="G23" s="12" t="str"/>
      <x:c r="H23" s="12" t="str">
        <x:v>技術係数</x:v>
      </x:c>
      <x:c r="I23" s="12" t="str">
        <x:v>対象</x:v>
      </x:c>
      <x:c r="J23" s="48"/>
      <x:c r="K23" s="12"/>
      <x:c r="L23" s="12"/>
      <x:c r="M23" s="12"/>
      <x:c r="N23" s="12" t="str">
        <x:v>基準仕様（シナリオ間固定）</x:v>
      </x:c>
      <x:c r="O23" s="12" t="str">
        <x:v>09_基準仕様</x:v>
      </x:c>
      <x:c r="P23" s="12" t="str">
        <x:v>通常は編集しない</x:v>
      </x:c>
      <x:c r="Q23" s="12" t="str">
        <x:v>D列は直接編集せず参照元を編集</x:v>
      </x:c>
    </x:row>
    <x:row r="24">
      <x:c r="A24" s="12" t="str">
        <x:v>半導体</x:v>
      </x:c>
      <x:c r="B24" s="12" t="str">
        <x:v>セル/コンタクト抵抗面積積</x:v>
      </x:c>
      <x:c r="C24" s="12" t="str">
        <x:v>Rsp_cell</x:v>
      </x:c>
      <x:c r="D24" s="197" t="n">
        <x:f>'09_基準仕様'!E22</x:f>
        <x:v>0.0015</x:v>
      </x:c>
      <x:c r="E24" s="12" t="str">
        <x:v>Ω·mm²</x:v>
      </x:c>
      <x:c r="F24" s="12" t="str">
        <x:v>Rsp_total</x:v>
      </x:c>
      <x:c r="G24" s="12" t="str">
        <x:v>説明用</x:v>
      </x:c>
      <x:c r="H24" s="12" t="str">
        <x:v>技術係数</x:v>
      </x:c>
      <x:c r="I24" s="12" t="str">
        <x:v>対象</x:v>
      </x:c>
      <x:c r="J24" s="48"/>
      <x:c r="K24" s="12"/>
      <x:c r="L24" s="12"/>
      <x:c r="M24" s="12"/>
      <x:c r="N24" s="12" t="str">
        <x:v>基準仕様（シナリオ間固定）</x:v>
      </x:c>
      <x:c r="O24" s="12" t="str">
        <x:v>09_基準仕様</x:v>
      </x:c>
      <x:c r="P24" s="12" t="str">
        <x:v>通常は編集しない</x:v>
      </x:c>
      <x:c r="Q24" s="12" t="str">
        <x:v>D列は直接編集せず参照元を編集</x:v>
      </x:c>
    </x:row>
    <x:row r="25">
      <x:c r="A25" s="12" t="str">
        <x:v>半導体</x:v>
      </x:c>
      <x:c r="B25" s="12" t="str">
        <x:v>チップ面積</x:v>
      </x:c>
      <x:c r="C25" s="12" t="str">
        <x:v>A_chip</x:v>
      </x:c>
      <x:c r="D25" s="197" t="n">
        <x:f>'09_基準仕様'!E23</x:f>
        <x:v>100</x:v>
      </x:c>
      <x:c r="E25" s="12" t="str">
        <x:v>mm²</x:v>
      </x:c>
      <x:c r="F25" s="12" t="str">
        <x:v>Ron,Coss,m_chip</x:v>
      </x:c>
      <x:c r="G25" s="12" t="str">
        <x:v>主要トレードオフ</x:v>
      </x:c>
      <x:c r="H25" s="12" t="str">
        <x:v>設計変数</x:v>
      </x:c>
      <x:c r="I25" s="12" t="str">
        <x:v>対象</x:v>
      </x:c>
      <x:c r="J25" s="48" t="n">
        <x:f>'07_システム要求'!M15</x:f>
        <x:v>100</x:v>
      </x:c>
      <x:c r="K25" s="12" t="str">
        <x:v>現製品基準のチップ面積スケーリング。探索変数なので固定しない</x:v>
      </x:c>
      <x:c r="L25" s="12" t="str">
        <x:v>推奨のみ</x:v>
      </x:c>
      <x:c r="M25" s="12" t="n">
        <x:v>100</x:v>
      </x:c>
      <x:c r="N25" s="12" t="str">
        <x:v>基準仕様（シナリオ間固定）</x:v>
      </x:c>
      <x:c r="O25" s="12" t="str">
        <x:v>09_基準仕様</x:v>
      </x:c>
      <x:c r="P25" s="12" t="str">
        <x:v>通常は編集しない</x:v>
      </x:c>
      <x:c r="Q25" s="12" t="str">
        <x:v>D列は直接編集せず参照元を編集</x:v>
      </x:c>
    </x:row>
    <x:row r="26">
      <x:c r="A26" s="12" t="str">
        <x:v>半導体</x:v>
      </x:c>
      <x:c r="B26" s="12" t="str">
        <x:v>チップ厚さ</x:v>
      </x:c>
      <x:c r="C26" s="12" t="str">
        <x:v>t_chip</x:v>
      </x:c>
      <x:c r="D26" s="197" t="n">
        <x:f>'09_基準仕様'!E24</x:f>
        <x:v>0.18</x:v>
      </x:c>
      <x:c r="E26" s="12" t="str">
        <x:v>mm</x:v>
      </x:c>
      <x:c r="F26" s="12" t="str">
        <x:v>m_chip</x:v>
      </x:c>
      <x:c r="G26" s="12" t="str"/>
      <x:c r="H26" s="12" t="str">
        <x:v>設計変数</x:v>
      </x:c>
      <x:c r="I26" s="12" t="str">
        <x:v>対象</x:v>
      </x:c>
      <x:c r="J26" s="48"/>
      <x:c r="K26" s="12"/>
      <x:c r="L26" s="12"/>
      <x:c r="M26" s="12"/>
      <x:c r="N26" s="12" t="str">
        <x:v>基準仕様（シナリオ間固定）</x:v>
      </x:c>
      <x:c r="O26" s="12" t="str">
        <x:v>09_基準仕様</x:v>
      </x:c>
      <x:c r="P26" s="12" t="str">
        <x:v>通常は編集しない</x:v>
      </x:c>
      <x:c r="Q26" s="12" t="str">
        <x:v>D列は直接編集せず参照元を編集</x:v>
      </x:c>
    </x:row>
    <x:row r="27">
      <x:c r="A27" s="12" t="str">
        <x:v>半導体</x:v>
      </x:c>
      <x:c r="B27" s="12" t="str">
        <x:v>チップ密度</x:v>
      </x:c>
      <x:c r="C27" s="12" t="str">
        <x:v>rho_chip</x:v>
      </x:c>
      <x:c r="D27" s="197" t="n">
        <x:f>'09_基準仕様'!E25</x:f>
        <x:v>3210</x:v>
      </x:c>
      <x:c r="E27" s="12" t="str">
        <x:v>kg/m³</x:v>
      </x:c>
      <x:c r="F27" s="12" t="str">
        <x:v>m_chip</x:v>
      </x:c>
      <x:c r="G27" s="12" t="str">
        <x:v>SiC</x:v>
      </x:c>
      <x:c r="H27" s="12" t="str">
        <x:v>材料</x:v>
      </x:c>
      <x:c r="I27" s="12" t="str">
        <x:v>対象</x:v>
      </x:c>
      <x:c r="J27" s="48"/>
      <x:c r="K27" s="12"/>
      <x:c r="L27" s="12"/>
      <x:c r="M27" s="12"/>
      <x:c r="N27" s="12" t="str">
        <x:v>基準仕様（シナリオ間固定）</x:v>
      </x:c>
      <x:c r="O27" s="12" t="str">
        <x:v>09_基準仕様</x:v>
      </x:c>
      <x:c r="P27" s="12" t="str">
        <x:v>通常は編集しない</x:v>
      </x:c>
      <x:c r="Q27" s="12" t="str">
        <x:v>D列は直接編集せず参照元を編集</x:v>
      </x:c>
    </x:row>
    <x:row r="28">
      <x:c r="A28" s="12" t="str">
        <x:v>半導体</x:v>
      </x:c>
      <x:c r="B28" s="12" t="str">
        <x:v>出力容量面積係数</x:v>
      </x:c>
      <x:c r="C28" s="12" t="str">
        <x:v>Coss_area_ref</x:v>
      </x:c>
      <x:c r="D28" s="197" t="n">
        <x:f>'09_基準仕様'!E26</x:f>
        <x:v>0.55</x:v>
      </x:c>
      <x:c r="E28" s="12" t="str">
        <x:v>nF/mm²</x:v>
      </x:c>
      <x:c r="F28" s="12" t="str">
        <x:v>Coss</x:v>
      </x:c>
      <x:c r="G28" s="12" t="str">
        <x:v>説明用</x:v>
      </x:c>
      <x:c r="H28" s="12" t="str">
        <x:v>技術係数</x:v>
      </x:c>
      <x:c r="I28" s="12" t="str">
        <x:v>対象</x:v>
      </x:c>
      <x:c r="J28" s="48"/>
      <x:c r="K28" s="12"/>
      <x:c r="L28" s="12"/>
      <x:c r="M28" s="12"/>
      <x:c r="N28" s="12" t="str">
        <x:v>基準仕様（シナリオ間固定）</x:v>
      </x:c>
      <x:c r="O28" s="12" t="str">
        <x:v>09_基準仕様</x:v>
      </x:c>
      <x:c r="P28" s="12" t="str">
        <x:v>通常は編集しない</x:v>
      </x:c>
      <x:c r="Q28" s="12" t="str">
        <x:v>D列は直接編集せず参照元を編集</x:v>
      </x:c>
    </x:row>
    <x:row r="29">
      <x:c r="A29" s="12" t="str">
        <x:v>半導体</x:v>
      </x:c>
      <x:c r="B29" s="12" t="str">
        <x:v>容量耐圧指数</x:v>
      </x:c>
      <x:c r="C29" s="12" t="str">
        <x:v>b_coss</x:v>
      </x:c>
      <x:c r="D29" s="197" t="n">
        <x:f>'09_基準仕様'!E27</x:f>
        <x:v>0.35</x:v>
      </x:c>
      <x:c r="E29" s="12" t="str">
        <x:v>-</x:v>
      </x:c>
      <x:c r="F29" s="12" t="str">
        <x:v>Coss</x:v>
      </x:c>
      <x:c r="G29" s="12" t="str">
        <x:v>Coss∝V^-b</x:v>
      </x:c>
      <x:c r="H29" s="12" t="str">
        <x:v>技術係数</x:v>
      </x:c>
      <x:c r="I29" s="12" t="str">
        <x:v>対象</x:v>
      </x:c>
      <x:c r="J29" s="48"/>
      <x:c r="K29" s="12"/>
      <x:c r="L29" s="12"/>
      <x:c r="M29" s="12"/>
      <x:c r="N29" s="12" t="str">
        <x:v>基準仕様（シナリオ間固定）</x:v>
      </x:c>
      <x:c r="O29" s="12" t="str">
        <x:v>09_基準仕様</x:v>
      </x:c>
      <x:c r="P29" s="12" t="str">
        <x:v>通常は編集しない</x:v>
      </x:c>
      <x:c r="Q29" s="12" t="str">
        <x:v>D列は直接編集せず参照元を編集</x:v>
      </x:c>
    </x:row>
    <x:row r="30">
      <x:c r="A30" s="12" t="str">
        <x:v>半導体</x:v>
      </x:c>
      <x:c r="B30" s="12" t="str">
        <x:v>容量耐圧基準</x:v>
      </x:c>
      <x:c r="C30" s="12" t="str">
        <x:v>V_ref_coss</x:v>
      </x:c>
      <x:c r="D30" s="197" t="n">
        <x:f>'09_基準仕様'!E28</x:f>
        <x:v>1200</x:v>
      </x:c>
      <x:c r="E30" s="12" t="str">
        <x:v>V</x:v>
      </x:c>
      <x:c r="F30" s="12" t="str">
        <x:v>Coss</x:v>
      </x:c>
      <x:c r="G30" s="12" t="str"/>
      <x:c r="H30" s="12" t="str">
        <x:v>技術係数</x:v>
      </x:c>
      <x:c r="I30" s="12" t="str">
        <x:v>対象</x:v>
      </x:c>
      <x:c r="J30" s="48"/>
      <x:c r="K30" s="12"/>
      <x:c r="L30" s="12"/>
      <x:c r="M30" s="12"/>
      <x:c r="N30" s="12" t="str">
        <x:v>基準仕様（シナリオ間固定）</x:v>
      </x:c>
      <x:c r="O30" s="12" t="str">
        <x:v>09_基準仕様</x:v>
      </x:c>
      <x:c r="P30" s="12" t="str">
        <x:v>通常は編集しない</x:v>
      </x:c>
      <x:c r="Q30" s="12" t="str">
        <x:v>D列は直接編集せず参照元を編集</x:v>
      </x:c>
    </x:row>
    <x:row r="31">
      <x:c r="A31" s="12" t="str">
        <x:v>半導体</x:v>
      </x:c>
      <x:c r="B31" s="12" t="str">
        <x:v>スイッチングエネルギー容量係数</x:v>
      </x:c>
      <x:c r="C31" s="12" t="str">
        <x:v>K_esw</x:v>
      </x:c>
      <x:c r="D31" s="197" t="n">
        <x:f>'09_基準仕様'!E29</x:f>
        <x:v>1</x:v>
      </x:c>
      <x:c r="E31" s="12" t="str">
        <x:v>-</x:v>
      </x:c>
      <x:c r="F31" s="12" t="str">
        <x:v>E_sw</x:v>
      </x:c>
      <x:c r="G31" s="12" t="str">
        <x:v>0.5CV²簡略化</x:v>
      </x:c>
      <x:c r="H31" s="12" t="str">
        <x:v>技術係数</x:v>
      </x:c>
      <x:c r="I31" s="12" t="str">
        <x:v>対象</x:v>
      </x:c>
      <x:c r="J31" s="48"/>
      <x:c r="K31" s="12"/>
      <x:c r="L31" s="12"/>
      <x:c r="M31" s="12"/>
      <x:c r="N31" s="12" t="str">
        <x:v>基準仕様（シナリオ間固定）</x:v>
      </x:c>
      <x:c r="O31" s="12" t="str">
        <x:v>09_基準仕様</x:v>
      </x:c>
      <x:c r="P31" s="12" t="str">
        <x:v>通常は編集しない</x:v>
      </x:c>
      <x:c r="Q31" s="12" t="str">
        <x:v>D列は直接編集せず参照元を編集</x:v>
      </x:c>
    </x:row>
    <x:row r="32">
      <x:c r="A32" s="12" t="str">
        <x:v>半導体</x:v>
      </x:c>
      <x:c r="B32" s="12" t="str">
        <x:v>チップ数係数</x:v>
      </x:c>
      <x:c r="C32" s="12" t="str">
        <x:v>k_chip</x:v>
      </x:c>
      <x:c r="D32" s="197" t="n">
        <x:f>'09_基準仕様'!E30</x:f>
        <x:v>1.25</x:v>
      </x:c>
      <x:c r="E32" s="12" t="str">
        <x:v>-</x:v>
      </x:c>
      <x:c r="F32" s="12" t="str">
        <x:v>N_chip_mod</x:v>
      </x:c>
      <x:c r="G32" s="12" t="str"/>
      <x:c r="H32" s="12" t="str">
        <x:v>技術係数</x:v>
      </x:c>
      <x:c r="I32" s="12" t="str">
        <x:v>対象</x:v>
      </x:c>
      <x:c r="J32" s="48"/>
      <x:c r="K32" s="12"/>
      <x:c r="L32" s="12"/>
      <x:c r="M32" s="12"/>
      <x:c r="N32" s="12" t="str">
        <x:v>基準仕様（シナリオ間固定）</x:v>
      </x:c>
      <x:c r="O32" s="12" t="str">
        <x:v>09_基準仕様</x:v>
      </x:c>
      <x:c r="P32" s="12" t="str">
        <x:v>通常は編集しない</x:v>
      </x:c>
      <x:c r="Q32" s="12" t="str">
        <x:v>D列は直接編集せず参照元を編集</x:v>
      </x:c>
    </x:row>
    <x:row r="33">
      <x:c r="A33" s="12" t="str">
        <x:v>半導体</x:v>
      </x:c>
      <x:c r="B33" s="12" t="str">
        <x:v>チップ許容電流密度</x:v>
      </x:c>
      <x:c r="C33" s="12" t="str">
        <x:v>J_chip</x:v>
      </x:c>
      <x:c r="D33" s="197" t="n">
        <x:f>'09_基準仕様'!E31</x:f>
        <x:v>1.15</x:v>
      </x:c>
      <x:c r="E33" s="12" t="str">
        <x:v>A/mm²</x:v>
      </x:c>
      <x:c r="F33" s="12" t="str">
        <x:v>I_chip</x:v>
      </x:c>
      <x:c r="G33" s="12" t="str"/>
      <x:c r="H33" s="12" t="str">
        <x:v>設計変数</x:v>
      </x:c>
      <x:c r="I33" s="12" t="str">
        <x:v>対象</x:v>
      </x:c>
      <x:c r="J33" s="48"/>
      <x:c r="K33" s="12"/>
      <x:c r="L33" s="12"/>
      <x:c r="M33" s="12"/>
      <x:c r="N33" s="12" t="str">
        <x:v>基準仕様（シナリオ間固定）</x:v>
      </x:c>
      <x:c r="O33" s="12" t="str">
        <x:v>09_基準仕様</x:v>
      </x:c>
      <x:c r="P33" s="12" t="str">
        <x:v>通常は編集しない</x:v>
      </x:c>
      <x:c r="Q33" s="12" t="str">
        <x:v>D列は直接編集せず参照元を編集</x:v>
      </x:c>
    </x:row>
    <x:row r="34">
      <x:c r="A34" s="12" t="str">
        <x:v>半導体</x:v>
      </x:c>
      <x:c r="B34" s="12" t="str">
        <x:v>チップ有効面積率</x:v>
      </x:c>
      <x:c r="C34" s="12" t="str">
        <x:v>k_active</x:v>
      </x:c>
      <x:c r="D34" s="197" t="n">
        <x:f>'09_基準仕様'!E32</x:f>
        <x:v>0.72</x:v>
      </x:c>
      <x:c r="E34" s="12" t="str">
        <x:v>-</x:v>
      </x:c>
      <x:c r="F34" s="12" t="str">
        <x:v>A_active</x:v>
      </x:c>
      <x:c r="G34" s="12" t="str"/>
      <x:c r="H34" s="12" t="str">
        <x:v>技術係数</x:v>
      </x:c>
      <x:c r="I34" s="12" t="str">
        <x:v>対象</x:v>
      </x:c>
      <x:c r="J34" s="48"/>
      <x:c r="K34" s="12"/>
      <x:c r="L34" s="12"/>
      <x:c r="M34" s="12"/>
      <x:c r="N34" s="12" t="str">
        <x:v>基準仕様（シナリオ間固定）</x:v>
      </x:c>
      <x:c r="O34" s="12" t="str">
        <x:v>09_基準仕様</x:v>
      </x:c>
      <x:c r="P34" s="12" t="str">
        <x:v>通常は編集しない</x:v>
      </x:c>
      <x:c r="Q34" s="12" t="str">
        <x:v>D列は直接編集せず参照元を編集</x:v>
      </x:c>
    </x:row>
    <x:row r="35">
      <x:c r="A35" s="12" t="str">
        <x:v>半導体</x:v>
      </x:c>
      <x:c r="B35" s="12" t="str">
        <x:v>DBC面積</x:v>
      </x:c>
      <x:c r="C35" s="12" t="str">
        <x:v>A_dbc</x:v>
      </x:c>
      <x:c r="D35" s="197" t="n">
        <x:f>'09_基準仕様'!E33</x:f>
        <x:v>4200</x:v>
      </x:c>
      <x:c r="E35" s="12" t="str">
        <x:v>mm²</x:v>
      </x:c>
      <x:c r="F35" s="12" t="str">
        <x:v>m_dbc</x:v>
      </x:c>
      <x:c r="G35" s="12" t="str"/>
      <x:c r="H35" s="12" t="str">
        <x:v>設計変数</x:v>
      </x:c>
      <x:c r="I35" s="12" t="str">
        <x:v>対象</x:v>
      </x:c>
      <x:c r="J35" s="48"/>
      <x:c r="K35" s="12"/>
      <x:c r="L35" s="12"/>
      <x:c r="M35" s="12"/>
      <x:c r="N35" s="12" t="str">
        <x:v>基準仕様（シナリオ間固定）</x:v>
      </x:c>
      <x:c r="O35" s="12" t="str">
        <x:v>09_基準仕様</x:v>
      </x:c>
      <x:c r="P35" s="12" t="str">
        <x:v>通常は編集しない</x:v>
      </x:c>
      <x:c r="Q35" s="12" t="str">
        <x:v>D列は直接編集せず参照元を編集</x:v>
      </x:c>
    </x:row>
    <x:row r="36">
      <x:c r="A36" s="12" t="str">
        <x:v>半導体</x:v>
      </x:c>
      <x:c r="B36" s="12" t="str">
        <x:v>DBC等価厚さ</x:v>
      </x:c>
      <x:c r="C36" s="12" t="str">
        <x:v>t_dbc</x:v>
      </x:c>
      <x:c r="D36" s="197" t="n">
        <x:f>'09_基準仕様'!E34</x:f>
        <x:v>0.92</x:v>
      </x:c>
      <x:c r="E36" s="12" t="str">
        <x:v>mm</x:v>
      </x:c>
      <x:c r="F36" s="12" t="str">
        <x:v>m_dbc</x:v>
      </x:c>
      <x:c r="G36" s="12" t="str"/>
      <x:c r="H36" s="12" t="str">
        <x:v>設計変数</x:v>
      </x:c>
      <x:c r="I36" s="12" t="str">
        <x:v>対象</x:v>
      </x:c>
      <x:c r="J36" s="48"/>
      <x:c r="K36" s="12"/>
      <x:c r="L36" s="12"/>
      <x:c r="M36" s="12"/>
      <x:c r="N36" s="12" t="str">
        <x:v>基準仕様（シナリオ間固定）</x:v>
      </x:c>
      <x:c r="O36" s="12" t="str">
        <x:v>09_基準仕様</x:v>
      </x:c>
      <x:c r="P36" s="12" t="str">
        <x:v>通常は編集しない</x:v>
      </x:c>
      <x:c r="Q36" s="12" t="str">
        <x:v>D列は直接編集せず参照元を編集</x:v>
      </x:c>
    </x:row>
    <x:row r="37">
      <x:c r="A37" s="12" t="str">
        <x:v>半導体</x:v>
      </x:c>
      <x:c r="B37" s="12" t="str">
        <x:v>DBC等価密度</x:v>
      </x:c>
      <x:c r="C37" s="12" t="str">
        <x:v>rho_dbc</x:v>
      </x:c>
      <x:c r="D37" s="197" t="n">
        <x:f>'09_基準仕様'!E35</x:f>
        <x:v>4000</x:v>
      </x:c>
      <x:c r="E37" s="12" t="str">
        <x:v>kg/m³</x:v>
      </x:c>
      <x:c r="F37" s="12" t="str">
        <x:v>m_dbc</x:v>
      </x:c>
      <x:c r="G37" s="12" t="str"/>
      <x:c r="H37" s="12" t="str">
        <x:v>材料</x:v>
      </x:c>
      <x:c r="I37" s="12" t="str">
        <x:v>対象</x:v>
      </x:c>
      <x:c r="J37" s="48"/>
      <x:c r="K37" s="12"/>
      <x:c r="L37" s="12"/>
      <x:c r="M37" s="12"/>
      <x:c r="N37" s="12" t="str">
        <x:v>基準仕様（シナリオ間固定）</x:v>
      </x:c>
      <x:c r="O37" s="12" t="str">
        <x:v>09_基準仕様</x:v>
      </x:c>
      <x:c r="P37" s="12" t="str">
        <x:v>通常は編集しない</x:v>
      </x:c>
      <x:c r="Q37" s="12" t="str">
        <x:v>D列は直接編集せず参照元を編集</x:v>
      </x:c>
    </x:row>
    <x:row r="38">
      <x:c r="A38" s="12" t="str">
        <x:v>半導体</x:v>
      </x:c>
      <x:c r="B38" s="12" t="str">
        <x:v>ベース面積</x:v>
      </x:c>
      <x:c r="C38" s="12" t="str">
        <x:v>A_base</x:v>
      </x:c>
      <x:c r="D38" s="197" t="n">
        <x:f>'09_基準仕様'!E36</x:f>
        <x:v>5000</x:v>
      </x:c>
      <x:c r="E38" s="12" t="str">
        <x:v>mm²</x:v>
      </x:c>
      <x:c r="F38" s="12" t="str">
        <x:v>m_base</x:v>
      </x:c>
      <x:c r="G38" s="12" t="str"/>
      <x:c r="H38" s="12" t="str">
        <x:v>設計変数</x:v>
      </x:c>
      <x:c r="I38" s="12" t="str">
        <x:v>対象</x:v>
      </x:c>
      <x:c r="J38" s="48"/>
      <x:c r="K38" s="12"/>
      <x:c r="L38" s="12"/>
      <x:c r="M38" s="12"/>
      <x:c r="N38" s="12" t="str">
        <x:v>基準仕様（シナリオ間固定）</x:v>
      </x:c>
      <x:c r="O38" s="12" t="str">
        <x:v>09_基準仕様</x:v>
      </x:c>
      <x:c r="P38" s="12" t="str">
        <x:v>通常は編集しない</x:v>
      </x:c>
      <x:c r="Q38" s="12" t="str">
        <x:v>D列は直接編集せず参照元を編集</x:v>
      </x:c>
    </x:row>
    <x:row r="39">
      <x:c r="A39" s="12" t="str">
        <x:v>半導体</x:v>
      </x:c>
      <x:c r="B39" s="12" t="str">
        <x:v>ベース厚さ</x:v>
      </x:c>
      <x:c r="C39" s="12" t="str">
        <x:v>t_base</x:v>
      </x:c>
      <x:c r="D39" s="197" t="n">
        <x:f>'09_基準仕様'!E37</x:f>
        <x:v>3</x:v>
      </x:c>
      <x:c r="E39" s="12" t="str">
        <x:v>mm</x:v>
      </x:c>
      <x:c r="F39" s="12" t="str">
        <x:v>m_base</x:v>
      </x:c>
      <x:c r="G39" s="12" t="str"/>
      <x:c r="H39" s="12" t="str">
        <x:v>設計変数</x:v>
      </x:c>
      <x:c r="I39" s="12" t="str">
        <x:v>対象</x:v>
      </x:c>
      <x:c r="J39" s="48"/>
      <x:c r="K39" s="12"/>
      <x:c r="L39" s="12"/>
      <x:c r="M39" s="12"/>
      <x:c r="N39" s="12" t="str">
        <x:v>基準仕様（シナリオ間固定）</x:v>
      </x:c>
      <x:c r="O39" s="12" t="str">
        <x:v>09_基準仕様</x:v>
      </x:c>
      <x:c r="P39" s="12" t="str">
        <x:v>通常は編集しない</x:v>
      </x:c>
      <x:c r="Q39" s="12" t="str">
        <x:v>D列は直接編集せず参照元を編集</x:v>
      </x:c>
    </x:row>
    <x:row r="40">
      <x:c r="A40" s="12" t="str">
        <x:v>半導体</x:v>
      </x:c>
      <x:c r="B40" s="12" t="str">
        <x:v>ベース密度</x:v>
      </x:c>
      <x:c r="C40" s="12" t="str">
        <x:v>rho_base</x:v>
      </x:c>
      <x:c r="D40" s="197" t="n">
        <x:f>'09_基準仕様'!E38</x:f>
        <x:v>2700</x:v>
      </x:c>
      <x:c r="E40" s="12" t="str">
        <x:v>kg/m³</x:v>
      </x:c>
      <x:c r="F40" s="12" t="str">
        <x:v>m_base</x:v>
      </x:c>
      <x:c r="G40" s="12" t="str">
        <x:v>Al</x:v>
      </x:c>
      <x:c r="H40" s="12" t="str">
        <x:v>材料</x:v>
      </x:c>
      <x:c r="I40" s="12" t="str">
        <x:v>対象</x:v>
      </x:c>
      <x:c r="J40" s="48"/>
      <x:c r="K40" s="12"/>
      <x:c r="L40" s="12"/>
      <x:c r="M40" s="12"/>
      <x:c r="N40" s="12" t="str">
        <x:v>基準仕様（シナリオ間固定）</x:v>
      </x:c>
      <x:c r="O40" s="12" t="str">
        <x:v>09_基準仕様</x:v>
      </x:c>
      <x:c r="P40" s="12" t="str">
        <x:v>通常は編集しない</x:v>
      </x:c>
      <x:c r="Q40" s="12" t="str">
        <x:v>D列は直接編集せず参照元を編集</x:v>
      </x:c>
    </x:row>
    <x:row r="41">
      <x:c r="A41" s="12" t="str">
        <x:v>半導体</x:v>
      </x:c>
      <x:c r="B41" s="12" t="str">
        <x:v>封止・端子重量/モジュール</x:v>
      </x:c>
      <x:c r="C41" s="12" t="str">
        <x:v>m_pkg</x:v>
      </x:c>
      <x:c r="D41" s="197" t="n">
        <x:f>'09_基準仕様'!E39</x:f>
        <x:v>0.075</x:v>
      </x:c>
      <x:c r="E41" s="12" t="str">
        <x:v>kg</x:v>
      </x:c>
      <x:c r="F41" s="12" t="str">
        <x:v>m_mod</x:v>
      </x:c>
      <x:c r="G41" s="12" t="str"/>
      <x:c r="H41" s="12" t="str">
        <x:v>設計変数</x:v>
      </x:c>
      <x:c r="I41" s="12" t="str">
        <x:v>対象</x:v>
      </x:c>
      <x:c r="J41" s="48"/>
      <x:c r="K41" s="12"/>
      <x:c r="L41" s="12"/>
      <x:c r="M41" s="12"/>
      <x:c r="N41" s="12" t="str">
        <x:v>基準仕様（シナリオ間固定）</x:v>
      </x:c>
      <x:c r="O41" s="12" t="str">
        <x:v>09_基準仕様</x:v>
      </x:c>
      <x:c r="P41" s="12" t="str">
        <x:v>通常は編集しない</x:v>
      </x:c>
      <x:c r="Q41" s="12" t="str">
        <x:v>D列は直接編集せず参照元を編集</x:v>
      </x:c>
    </x:row>
    <x:row r="42">
      <x:c r="A42" s="12" t="str">
        <x:v>冷却</x:v>
      </x:c>
      <x:c r="B42" s="12" t="str">
        <x:v>基準熱伝達率</x:v>
      </x:c>
      <x:c r="C42" s="12" t="str">
        <x:v>h_nom</x:v>
      </x:c>
      <x:c r="D42" s="197" t="n">
        <x:f>'09_基準仕様'!E40</x:f>
        <x:v>10000</x:v>
      </x:c>
      <x:c r="E42" s="12" t="str">
        <x:v>W/(m²K)</x:v>
      </x:c>
      <x:c r="F42" s="12" t="str">
        <x:v>h_eff</x:v>
      </x:c>
      <x:c r="G42" s="12" t="str"/>
      <x:c r="H42" s="12" t="str">
        <x:v>技術仕様</x:v>
      </x:c>
      <x:c r="I42" s="12" t="str">
        <x:v>対象</x:v>
      </x:c>
      <x:c r="J42" s="48"/>
      <x:c r="K42" s="12"/>
      <x:c r="L42" s="12"/>
      <x:c r="M42" s="12"/>
      <x:c r="N42" s="12" t="str">
        <x:v>基準仕様（シナリオ間固定）</x:v>
      </x:c>
      <x:c r="O42" s="12" t="str">
        <x:v>09_基準仕様</x:v>
      </x:c>
      <x:c r="P42" s="12" t="str">
        <x:v>通常は編集しない</x:v>
      </x:c>
      <x:c r="Q42" s="12" t="str">
        <x:v>D列は直接編集せず参照元を編集</x:v>
      </x:c>
    </x:row>
    <x:row r="43">
      <x:c r="A43" s="12" t="str">
        <x:v>冷却</x:v>
      </x:c>
      <x:c r="B43" s="12" t="str">
        <x:v>流路形状係数</x:v>
      </x:c>
      <x:c r="C43" s="12" t="str">
        <x:v>k_geom</x:v>
      </x:c>
      <x:c r="D43" s="197" t="n">
        <x:f>'09_基準仕様'!E41</x:f>
        <x:v>0.95</x:v>
      </x:c>
      <x:c r="E43" s="12" t="str">
        <x:v>-</x:v>
      </x:c>
      <x:c r="F43" s="12" t="str">
        <x:v>h_eff</x:v>
      </x:c>
      <x:c r="G43" s="12" t="str"/>
      <x:c r="H43" s="12" t="str">
        <x:v>技術係数</x:v>
      </x:c>
      <x:c r="I43" s="12" t="str">
        <x:v>対象</x:v>
      </x:c>
      <x:c r="J43" s="48"/>
      <x:c r="K43" s="12"/>
      <x:c r="L43" s="12"/>
      <x:c r="M43" s="12"/>
      <x:c r="N43" s="12" t="str">
        <x:v>基準仕様（シナリオ間固定）</x:v>
      </x:c>
      <x:c r="O43" s="12" t="str">
        <x:v>09_基準仕様</x:v>
      </x:c>
      <x:c r="P43" s="12" t="str">
        <x:v>通常は編集しない</x:v>
      </x:c>
      <x:c r="Q43" s="12" t="str">
        <x:v>D列は直接編集せず参照元を編集</x:v>
      </x:c>
    </x:row>
    <x:row r="44">
      <x:c r="A44" s="12" t="str">
        <x:v>冷却</x:v>
      </x:c>
      <x:c r="B44" s="12" t="str">
        <x:v>表面状態係数</x:v>
      </x:c>
      <x:c r="C44" s="12" t="str">
        <x:v>k_surface</x:v>
      </x:c>
      <x:c r="D44" s="197" t="n">
        <x:f>'09_基準仕様'!E42</x:f>
        <x:v>0.95</x:v>
      </x:c>
      <x:c r="E44" s="12" t="str">
        <x:v>-</x:v>
      </x:c>
      <x:c r="F44" s="12" t="str">
        <x:v>h_eff</x:v>
      </x:c>
      <x:c r="G44" s="12" t="str"/>
      <x:c r="H44" s="12" t="str">
        <x:v>技術係数</x:v>
      </x:c>
      <x:c r="I44" s="12" t="str">
        <x:v>対象</x:v>
      </x:c>
      <x:c r="J44" s="48"/>
      <x:c r="K44" s="12"/>
      <x:c r="L44" s="12"/>
      <x:c r="M44" s="12"/>
      <x:c r="N44" s="12" t="str">
        <x:v>基準仕様（シナリオ間固定）</x:v>
      </x:c>
      <x:c r="O44" s="12" t="str">
        <x:v>09_基準仕様</x:v>
      </x:c>
      <x:c r="P44" s="12" t="str">
        <x:v>通常は編集しない</x:v>
      </x:c>
      <x:c r="Q44" s="12" t="str">
        <x:v>D列は直接編集せず参照元を編集</x:v>
      </x:c>
    </x:row>
    <x:row r="45">
      <x:c r="A45" s="12" t="str">
        <x:v>冷却</x:v>
      </x:c>
      <x:c r="B45" s="12" t="str">
        <x:v>フィン効率</x:v>
      </x:c>
      <x:c r="C45" s="12" t="str">
        <x:v>k_fin</x:v>
      </x:c>
      <x:c r="D45" s="197" t="n">
        <x:f>'09_基準仕様'!E43</x:f>
        <x:v>0.75</x:v>
      </x:c>
      <x:c r="E45" s="12" t="str">
        <x:v>-</x:v>
      </x:c>
      <x:c r="F45" s="12" t="str">
        <x:v>h_eff</x:v>
      </x:c>
      <x:c r="G45" s="12" t="str"/>
      <x:c r="H45" s="12" t="str">
        <x:v>技術係数</x:v>
      </x:c>
      <x:c r="I45" s="12" t="str">
        <x:v>対象</x:v>
      </x:c>
      <x:c r="J45" s="48"/>
      <x:c r="K45" s="12"/>
      <x:c r="L45" s="12"/>
      <x:c r="M45" s="12"/>
      <x:c r="N45" s="12" t="str">
        <x:v>基準仕様（シナリオ間固定）</x:v>
      </x:c>
      <x:c r="O45" s="12" t="str">
        <x:v>09_基準仕様</x:v>
      </x:c>
      <x:c r="P45" s="12" t="str">
        <x:v>通常は編集しない</x:v>
      </x:c>
      <x:c r="Q45" s="12" t="str">
        <x:v>D列は直接編集せず参照元を編集</x:v>
      </x:c>
    </x:row>
    <x:row r="46">
      <x:c r="A46" s="12" t="str">
        <x:v>冷却</x:v>
      </x:c>
      <x:c r="B46" s="12" t="str">
        <x:v>冷媒流速</x:v>
      </x:c>
      <x:c r="C46" s="12" t="str">
        <x:v>v_cool</x:v>
      </x:c>
      <x:c r="D46" s="197" t="n">
        <x:f>'09_基準仕様'!E44</x:f>
        <x:v>1.5</x:v>
      </x:c>
      <x:c r="E46" s="12" t="str">
        <x:v>m/s</x:v>
      </x:c>
      <x:c r="F46" s="12" t="str">
        <x:v>h_eff</x:v>
      </x:c>
      <x:c r="G46" s="12" t="str"/>
      <x:c r="H46" s="12" t="str">
        <x:v>設計変数</x:v>
      </x:c>
      <x:c r="I46" s="12" t="str">
        <x:v>対象</x:v>
      </x:c>
      <x:c r="J46" s="48"/>
      <x:c r="K46" s="12"/>
      <x:c r="L46" s="12"/>
      <x:c r="M46" s="12"/>
      <x:c r="N46" s="12" t="str">
        <x:v>基準仕様（シナリオ間固定）</x:v>
      </x:c>
      <x:c r="O46" s="12" t="str">
        <x:v>09_基準仕様</x:v>
      </x:c>
      <x:c r="P46" s="12" t="str">
        <x:v>通常は編集しない</x:v>
      </x:c>
      <x:c r="Q46" s="12" t="str">
        <x:v>D列は直接編集せず参照元を編集</x:v>
      </x:c>
    </x:row>
    <x:row r="47">
      <x:c r="A47" s="12" t="str">
        <x:v>冷却</x:v>
      </x:c>
      <x:c r="B47" s="12" t="str">
        <x:v>基準流速</x:v>
      </x:c>
      <x:c r="C47" s="12" t="str">
        <x:v>v_ref</x:v>
      </x:c>
      <x:c r="D47" s="197" t="n">
        <x:f>'09_基準仕様'!E45</x:f>
        <x:v>1</x:v>
      </x:c>
      <x:c r="E47" s="12" t="str">
        <x:v>m/s</x:v>
      </x:c>
      <x:c r="F47" s="12" t="str">
        <x:v>h_eff</x:v>
      </x:c>
      <x:c r="G47" s="12" t="str"/>
      <x:c r="H47" s="12" t="str">
        <x:v>技術係数</x:v>
      </x:c>
      <x:c r="I47" s="12" t="str">
        <x:v>対象</x:v>
      </x:c>
      <x:c r="J47" s="48"/>
      <x:c r="K47" s="12"/>
      <x:c r="L47" s="12"/>
      <x:c r="M47" s="12"/>
      <x:c r="N47" s="12" t="str">
        <x:v>基準仕様（シナリオ間固定）</x:v>
      </x:c>
      <x:c r="O47" s="12" t="str">
        <x:v>09_基準仕様</x:v>
      </x:c>
      <x:c r="P47" s="12" t="str">
        <x:v>通常は編集しない</x:v>
      </x:c>
      <x:c r="Q47" s="12" t="str">
        <x:v>D列は直接編集せず参照元を編集</x:v>
      </x:c>
    </x:row>
    <x:row r="48">
      <x:c r="A48" s="12" t="str">
        <x:v>冷却</x:v>
      </x:c>
      <x:c r="B48" s="12" t="str">
        <x:v>許容冷媒温度上昇</x:v>
      </x:c>
      <x:c r="C48" s="12" t="str">
        <x:v>dT_cool</x:v>
      </x:c>
      <x:c r="D48" s="197" t="n">
        <x:f>'09_基準仕様'!E46</x:f>
        <x:v>20</x:v>
      </x:c>
      <x:c r="E48" s="12" t="str">
        <x:v>K</x:v>
      </x:c>
      <x:c r="F48" s="12" t="str">
        <x:v>q_cool</x:v>
      </x:c>
      <x:c r="G48" s="12" t="str"/>
      <x:c r="H48" s="12" t="str">
        <x:v>設計変数</x:v>
      </x:c>
      <x:c r="I48" s="12" t="str">
        <x:v>対象</x:v>
      </x:c>
      <x:c r="J48" s="48"/>
      <x:c r="K48" s="12"/>
      <x:c r="L48" s="12"/>
      <x:c r="M48" s="12"/>
      <x:c r="N48" s="12" t="str">
        <x:v>基準仕様（シナリオ間固定）</x:v>
      </x:c>
      <x:c r="O48" s="12" t="str">
        <x:v>09_基準仕様</x:v>
      </x:c>
      <x:c r="P48" s="12" t="str">
        <x:v>通常は編集しない</x:v>
      </x:c>
      <x:c r="Q48" s="12" t="str">
        <x:v>D列は直接編集せず参照元を編集</x:v>
      </x:c>
    </x:row>
    <x:row r="49">
      <x:c r="A49" s="12" t="str">
        <x:v>冷却</x:v>
      </x:c>
      <x:c r="B49" s="12" t="str">
        <x:v>熱交換器等価厚さ</x:v>
      </x:c>
      <x:c r="C49" s="12" t="str">
        <x:v>t_hx_eq</x:v>
      </x:c>
      <x:c r="D49" s="197" t="n">
        <x:f>'09_基準仕様'!E47</x:f>
        <x:v>0.006</x:v>
      </x:c>
      <x:c r="E49" s="12" t="str">
        <x:v>m</x:v>
      </x:c>
      <x:c r="F49" s="12" t="str">
        <x:v>sigma_hx</x:v>
      </x:c>
      <x:c r="G49" s="12" t="str"/>
      <x:c r="H49" s="12" t="str">
        <x:v>設計変数</x:v>
      </x:c>
      <x:c r="I49" s="12" t="str">
        <x:v>対象</x:v>
      </x:c>
      <x:c r="J49" s="48"/>
      <x:c r="K49" s="12"/>
      <x:c r="L49" s="12"/>
      <x:c r="M49" s="12"/>
      <x:c r="N49" s="12" t="str">
        <x:v>基準仕様（シナリオ間固定）</x:v>
      </x:c>
      <x:c r="O49" s="12" t="str">
        <x:v>09_基準仕様</x:v>
      </x:c>
      <x:c r="P49" s="12" t="str">
        <x:v>通常は編集しない</x:v>
      </x:c>
      <x:c r="Q49" s="12" t="str">
        <x:v>D列は直接編集せず参照元を編集</x:v>
      </x:c>
    </x:row>
    <x:row r="50">
      <x:c r="A50" s="12" t="str">
        <x:v>冷却</x:v>
      </x:c>
      <x:c r="B50" s="12" t="str">
        <x:v>熱交換器等価密度</x:v>
      </x:c>
      <x:c r="C50" s="12" t="str">
        <x:v>rho_hx</x:v>
      </x:c>
      <x:c r="D50" s="197" t="n">
        <x:f>'09_基準仕様'!E48</x:f>
        <x:v>850</x:v>
      </x:c>
      <x:c r="E50" s="12" t="str">
        <x:v>kg/m³</x:v>
      </x:c>
      <x:c r="F50" s="12" t="str">
        <x:v>sigma_hx</x:v>
      </x:c>
      <x:c r="G50" s="12" t="str"/>
      <x:c r="H50" s="12" t="str">
        <x:v>材料</x:v>
      </x:c>
      <x:c r="I50" s="12" t="str">
        <x:v>対象</x:v>
      </x:c>
      <x:c r="J50" s="48"/>
      <x:c r="K50" s="12"/>
      <x:c r="L50" s="12"/>
      <x:c r="M50" s="12"/>
      <x:c r="N50" s="12" t="str">
        <x:v>基準仕様（シナリオ間固定）</x:v>
      </x:c>
      <x:c r="O50" s="12" t="str">
        <x:v>09_基準仕様</x:v>
      </x:c>
      <x:c r="P50" s="12" t="str">
        <x:v>通常は編集しない</x:v>
      </x:c>
      <x:c r="Q50" s="12" t="str">
        <x:v>D列は直接編集せず参照元を編集</x:v>
      </x:c>
    </x:row>
    <x:row r="51">
      <x:c r="A51" s="12" t="str">
        <x:v>冷却</x:v>
      </x:c>
      <x:c r="B51" s="12" t="str">
        <x:v>熱設計マージン</x:v>
      </x:c>
      <x:c r="C51" s="12" t="str">
        <x:v>K_th</x:v>
      </x:c>
      <x:c r="D51" s="197" t="n">
        <x:f>'09_基準仕様'!E49</x:f>
        <x:v>1.2</x:v>
      </x:c>
      <x:c r="E51" s="12" t="str">
        <x:v>-</x:v>
      </x:c>
      <x:c r="F51" s="12" t="str">
        <x:v>Q_req</x:v>
      </x:c>
      <x:c r="G51" s="12" t="str"/>
      <x:c r="H51" s="12" t="str">
        <x:v>技術係数</x:v>
      </x:c>
      <x:c r="I51" s="12" t="str">
        <x:v>対象</x:v>
      </x:c>
      <x:c r="J51" s="48"/>
      <x:c r="K51" s="12"/>
      <x:c r="L51" s="12"/>
      <x:c r="M51" s="12"/>
      <x:c r="N51" s="12" t="str">
        <x:v>基準仕様（シナリオ間固定）</x:v>
      </x:c>
      <x:c r="O51" s="12" t="str">
        <x:v>09_基準仕様</x:v>
      </x:c>
      <x:c r="P51" s="12" t="str">
        <x:v>通常は編集しない</x:v>
      </x:c>
      <x:c r="Q51" s="12" t="str">
        <x:v>D列は直接編集せず参照元を編集</x:v>
      </x:c>
    </x:row>
    <x:row r="52">
      <x:c r="A52" s="12" t="str">
        <x:v>冷却</x:v>
      </x:c>
      <x:c r="B52" s="12" t="str">
        <x:v>冷却補機固定重量</x:v>
      </x:c>
      <x:c r="C52" s="12" t="str">
        <x:v>m_cool_fix</x:v>
      </x:c>
      <x:c r="D52" s="197" t="n">
        <x:f>'09_基準仕様'!E50</x:f>
        <x:v>0.35</x:v>
      </x:c>
      <x:c r="E52" s="12" t="str">
        <x:v>kg</x:v>
      </x:c>
      <x:c r="F52" s="12" t="str">
        <x:v>M_cool</x:v>
      </x:c>
      <x:c r="G52" s="12" t="str"/>
      <x:c r="H52" s="12" t="str">
        <x:v>設計変数</x:v>
      </x:c>
      <x:c r="I52" s="12" t="str">
        <x:v>対象</x:v>
      </x:c>
      <x:c r="J52" s="48"/>
      <x:c r="K52" s="12"/>
      <x:c r="L52" s="12"/>
      <x:c r="M52" s="12"/>
      <x:c r="N52" s="12" t="str">
        <x:v>基準仕様（シナリオ間固定）</x:v>
      </x:c>
      <x:c r="O52" s="12" t="str">
        <x:v>09_基準仕様</x:v>
      </x:c>
      <x:c r="P52" s="12" t="str">
        <x:v>通常は編集しない</x:v>
      </x:c>
      <x:c r="Q52" s="12" t="str">
        <x:v>D列は直接編集せず参照元を編集</x:v>
      </x:c>
    </x:row>
    <x:row r="53">
      <x:c r="A53" s="12" t="str">
        <x:v>DCリンクC</x:v>
      </x:c>
      <x:c r="B53" s="12" t="str">
        <x:v>コンデンサ定格電圧係数</x:v>
      </x:c>
      <x:c r="C53" s="12" t="str">
        <x:v>K_vcap</x:v>
      </x:c>
      <x:c r="D53" s="197" t="n">
        <x:f>'09_基準仕様'!E51</x:f>
        <x:v>1.25</x:v>
      </x:c>
      <x:c r="E53" s="12" t="str">
        <x:v>-</x:v>
      </x:c>
      <x:c r="F53" s="12" t="str">
        <x:v>V_cap</x:v>
      </x:c>
      <x:c r="G53" s="12" t="str"/>
      <x:c r="H53" s="12" t="str">
        <x:v>技術係数</x:v>
      </x:c>
      <x:c r="I53" s="12" t="str">
        <x:v>対象</x:v>
      </x:c>
      <x:c r="J53" s="48"/>
      <x:c r="K53" s="12"/>
      <x:c r="L53" s="12"/>
      <x:c r="M53" s="12"/>
      <x:c r="N53" s="12" t="str">
        <x:v>基準仕様（シナリオ間固定）</x:v>
      </x:c>
      <x:c r="O53" s="12" t="str">
        <x:v>09_基準仕様</x:v>
      </x:c>
      <x:c r="P53" s="12" t="str">
        <x:v>通常は編集しない</x:v>
      </x:c>
      <x:c r="Q53" s="12" t="str">
        <x:v>D列は直接編集せず参照元を編集</x:v>
      </x:c>
    </x:row>
    <x:row r="54">
      <x:c r="A54" s="12" t="str">
        <x:v>DCリンクC</x:v>
      </x:c>
      <x:c r="B54" s="12" t="str">
        <x:v>基準エネルギー密度</x:v>
      </x:c>
      <x:c r="C54" s="12" t="str">
        <x:v>e_cap_ref</x:v>
      </x:c>
      <x:c r="D54" s="197" t="n">
        <x:f>'09_基準仕様'!E52</x:f>
        <x:v>1800</x:v>
      </x:c>
      <x:c r="E54" s="12" t="str">
        <x:v>J/kg</x:v>
      </x:c>
      <x:c r="F54" s="12" t="str">
        <x:v>e_cap</x:v>
      </x:c>
      <x:c r="G54" s="12" t="str"/>
      <x:c r="H54" s="12" t="str">
        <x:v>技術仕様</x:v>
      </x:c>
      <x:c r="I54" s="12" t="str">
        <x:v>対象</x:v>
      </x:c>
      <x:c r="J54" s="48"/>
      <x:c r="K54" s="12"/>
      <x:c r="L54" s="12"/>
      <x:c r="M54" s="12"/>
      <x:c r="N54" s="12" t="str">
        <x:v>基準仕様（シナリオ間固定）</x:v>
      </x:c>
      <x:c r="O54" s="12" t="str">
        <x:v>09_基準仕様</x:v>
      </x:c>
      <x:c r="P54" s="12" t="str">
        <x:v>通常は編集しない</x:v>
      </x:c>
      <x:c r="Q54" s="12" t="str">
        <x:v>D列は直接編集せず参照元を編集</x:v>
      </x:c>
    </x:row>
    <x:row r="55">
      <x:c r="A55" s="12" t="str">
        <x:v>DCリンクC</x:v>
      </x:c>
      <x:c r="B55" s="12" t="str">
        <x:v>誘電体性能係数</x:v>
      </x:c>
      <x:c r="C55" s="12" t="str">
        <x:v>k_dielectric</x:v>
      </x:c>
      <x:c r="D55" s="197" t="n">
        <x:f>'09_基準仕様'!E53</x:f>
        <x:v>1</x:v>
      </x:c>
      <x:c r="E55" s="12" t="str">
        <x:v>-</x:v>
      </x:c>
      <x:c r="F55" s="12" t="str">
        <x:v>e_cap</x:v>
      </x:c>
      <x:c r="G55" s="12" t="str"/>
      <x:c r="H55" s="12" t="str">
        <x:v>技術係数</x:v>
      </x:c>
      <x:c r="I55" s="12" t="str">
        <x:v>対象</x:v>
      </x:c>
      <x:c r="J55" s="48"/>
      <x:c r="K55" s="12"/>
      <x:c r="L55" s="12"/>
      <x:c r="M55" s="12"/>
      <x:c r="N55" s="12" t="str">
        <x:v>基準仕様（シナリオ間固定）</x:v>
      </x:c>
      <x:c r="O55" s="12" t="str">
        <x:v>09_基準仕様</x:v>
      </x:c>
      <x:c r="P55" s="12" t="str">
        <x:v>通常は編集しない</x:v>
      </x:c>
      <x:c r="Q55" s="12" t="str">
        <x:v>D列は直接編集せず参照元を編集</x:v>
      </x:c>
    </x:row>
    <x:row r="56">
      <x:c r="A56" s="12" t="str">
        <x:v>DCリンクC</x:v>
      </x:c>
      <x:c r="B56" s="12" t="str">
        <x:v>パッケージ利用率</x:v>
      </x:c>
      <x:c r="C56" s="12" t="str">
        <x:v>k_pack_cap</x:v>
      </x:c>
      <x:c r="D56" s="197" t="n">
        <x:f>'09_基準仕様'!E54</x:f>
        <x:v>0.72</x:v>
      </x:c>
      <x:c r="E56" s="12" t="str">
        <x:v>-</x:v>
      </x:c>
      <x:c r="F56" s="12" t="str">
        <x:v>e_cap</x:v>
      </x:c>
      <x:c r="G56" s="12" t="str"/>
      <x:c r="H56" s="12" t="str">
        <x:v>技術係数</x:v>
      </x:c>
      <x:c r="I56" s="12" t="str">
        <x:v>対象</x:v>
      </x:c>
      <x:c r="J56" s="48"/>
      <x:c r="K56" s="12"/>
      <x:c r="L56" s="12"/>
      <x:c r="M56" s="12"/>
      <x:c r="N56" s="12" t="str">
        <x:v>基準仕様（シナリオ間固定）</x:v>
      </x:c>
      <x:c r="O56" s="12" t="str">
        <x:v>09_基準仕様</x:v>
      </x:c>
      <x:c r="P56" s="12" t="str">
        <x:v>通常は編集しない</x:v>
      </x:c>
      <x:c r="Q56" s="12" t="str">
        <x:v>D列は直接編集せず参照元を編集</x:v>
      </x:c>
    </x:row>
    <x:row r="57">
      <x:c r="A57" s="12" t="str">
        <x:v>DCリンクC</x:v>
      </x:c>
      <x:c r="B57" s="12" t="str">
        <x:v>固定重量</x:v>
      </x:c>
      <x:c r="C57" s="12" t="str">
        <x:v>mC_fix</x:v>
      </x:c>
      <x:c r="D57" s="197" t="n">
        <x:f>'09_基準仕様'!E55</x:f>
        <x:v>0.1</x:v>
      </x:c>
      <x:c r="E57" s="12" t="str">
        <x:v>kg</x:v>
      </x:c>
      <x:c r="F57" s="12" t="str">
        <x:v>M_cap</x:v>
      </x:c>
      <x:c r="G57" s="12" t="str"/>
      <x:c r="H57" s="12" t="str">
        <x:v>設計変数</x:v>
      </x:c>
      <x:c r="I57" s="12" t="str">
        <x:v>対象</x:v>
      </x:c>
      <x:c r="J57" s="48"/>
      <x:c r="K57" s="12"/>
      <x:c r="L57" s="12"/>
      <x:c r="M57" s="12"/>
      <x:c r="N57" s="12" t="str">
        <x:v>基準仕様（シナリオ間固定）</x:v>
      </x:c>
      <x:c r="O57" s="12" t="str">
        <x:v>09_基準仕様</x:v>
      </x:c>
      <x:c r="P57" s="12" t="str">
        <x:v>通常は編集しない</x:v>
      </x:c>
      <x:c r="Q57" s="12" t="str">
        <x:v>D列は直接編集せず参照元を編集</x:v>
      </x:c>
    </x:row>
    <x:row r="58">
      <x:c r="A58" s="12" t="str">
        <x:v>バスバー</x:v>
      </x:c>
      <x:c r="B58" s="12" t="str">
        <x:v>基準許容電流密度</x:v>
      </x:c>
      <x:c r="C58" s="12" t="str">
        <x:v>J_bus_ref</x:v>
      </x:c>
      <x:c r="D58" s="197" t="n">
        <x:f>'09_基準仕様'!E56</x:f>
        <x:v>4</x:v>
      </x:c>
      <x:c r="E58" s="12" t="str">
        <x:v>A/mm²</x:v>
      </x:c>
      <x:c r="F58" s="12" t="str">
        <x:v>J_bus</x:v>
      </x:c>
      <x:c r="G58" s="12" t="str"/>
      <x:c r="H58" s="12" t="str">
        <x:v>技術仕様</x:v>
      </x:c>
      <x:c r="I58" s="12" t="str">
        <x:v>対象</x:v>
      </x:c>
      <x:c r="J58" s="48"/>
      <x:c r="K58" s="12"/>
      <x:c r="L58" s="12"/>
      <x:c r="M58" s="12"/>
      <x:c r="N58" s="12" t="str">
        <x:v>基準仕様（シナリオ間固定）</x:v>
      </x:c>
      <x:c r="O58" s="12" t="str">
        <x:v>09_基準仕様</x:v>
      </x:c>
      <x:c r="P58" s="12" t="str">
        <x:v>通常は編集しない</x:v>
      </x:c>
      <x:c r="Q58" s="12" t="str">
        <x:v>D列は直接編集せず参照元を編集</x:v>
      </x:c>
    </x:row>
    <x:row r="59">
      <x:c r="A59" s="12" t="str">
        <x:v>バスバー</x:v>
      </x:c>
      <x:c r="B59" s="12" t="str">
        <x:v>許容導体温度</x:v>
      </x:c>
      <x:c r="C59" s="12" t="str">
        <x:v>T_bus_max</x:v>
      </x:c>
      <x:c r="D59" s="197" t="n">
        <x:f>'09_基準仕様'!E57</x:f>
        <x:v>105</x:v>
      </x:c>
      <x:c r="E59" s="12" t="str">
        <x:v>°C</x:v>
      </x:c>
      <x:c r="F59" s="12" t="str">
        <x:v>dT_bus</x:v>
      </x:c>
      <x:c r="G59" s="12" t="str"/>
      <x:c r="H59" s="12" t="str">
        <x:v>設計変数</x:v>
      </x:c>
      <x:c r="I59" s="12" t="str">
        <x:v>対象</x:v>
      </x:c>
      <x:c r="J59" s="48"/>
      <x:c r="K59" s="12"/>
      <x:c r="L59" s="12"/>
      <x:c r="M59" s="12"/>
      <x:c r="N59" s="12" t="str">
        <x:v>基準仕様（シナリオ間固定）</x:v>
      </x:c>
      <x:c r="O59" s="12" t="str">
        <x:v>09_基準仕様</x:v>
      </x:c>
      <x:c r="P59" s="12" t="str">
        <x:v>通常は編集しない</x:v>
      </x:c>
      <x:c r="Q59" s="12" t="str">
        <x:v>D列は直接編集せず参照元を編集</x:v>
      </x:c>
    </x:row>
    <x:row r="60">
      <x:c r="A60" s="12" t="str">
        <x:v>バスバー</x:v>
      </x:c>
      <x:c r="B60" s="12" t="str">
        <x:v>周囲温度</x:v>
      </x:c>
      <x:c r="C60" s="12" t="str">
        <x:v>T_amb</x:v>
      </x:c>
      <x:c r="D60" s="197" t="n">
        <x:f>'07_システム要求'!D18</x:f>
        <x:v>45</x:v>
      </x:c>
      <x:c r="E60" s="12" t="str">
        <x:v>°C</x:v>
      </x:c>
      <x:c r="F60" s="12" t="str">
        <x:v>dT_bus</x:v>
      </x:c>
      <x:c r="G60" s="12" t="str">
        <x:v>外部条件</x:v>
      </x:c>
      <x:c r="H60" s="12" t="str">
        <x:v>外部条件</x:v>
      </x:c>
      <x:c r="I60" s="12" t="str">
        <x:v>対象</x:v>
      </x:c>
      <x:c r="J60" s="48" t="n">
        <x:f>'07_システム要求'!D18</x:f>
        <x:v>45</x:v>
      </x:c>
      <x:c r="K60" s="12" t="str">
        <x:v>システム最大周囲温度</x:v>
      </x:c>
      <x:c r="L60" s="12" t="str">
        <x:v>自動</x:v>
      </x:c>
      <x:c r="M60" s="12" t="n">
        <x:v>45</x:v>
      </x:c>
      <x:c r="N60" s="12" t="str">
        <x:v>システム要求→自動計算</x:v>
      </x:c>
      <x:c r="O60" s="12" t="str">
        <x:v>07_システム要求</x:v>
      </x:c>
      <x:c r="P60" s="12" t="str">
        <x:v>システム要求のみ編集</x:v>
      </x:c>
      <x:c r="Q60" s="12" t="str">
        <x:v>D列は直接編集せず参照元を編集</x:v>
      </x:c>
    </x:row>
    <x:row r="61">
      <x:c r="A61" s="12" t="str">
        <x:v>バスバー</x:v>
      </x:c>
      <x:c r="B61" s="12" t="str">
        <x:v>基準温度上昇</x:v>
      </x:c>
      <x:c r="C61" s="12" t="str">
        <x:v>dT_bus_ref</x:v>
      </x:c>
      <x:c r="D61" s="197" t="n">
        <x:f>'09_基準仕様'!E58</x:f>
        <x:v>60</x:v>
      </x:c>
      <x:c r="E61" s="12" t="str">
        <x:v>K</x:v>
      </x:c>
      <x:c r="F61" s="12" t="str">
        <x:v>J_bus</x:v>
      </x:c>
      <x:c r="G61" s="12" t="str"/>
      <x:c r="H61" s="12" t="str">
        <x:v>技術係数</x:v>
      </x:c>
      <x:c r="I61" s="12" t="str">
        <x:v>対象</x:v>
      </x:c>
      <x:c r="J61" s="48"/>
      <x:c r="K61" s="12"/>
      <x:c r="L61" s="12"/>
      <x:c r="M61" s="12"/>
      <x:c r="N61" s="12" t="str">
        <x:v>基準仕様（シナリオ間固定）</x:v>
      </x:c>
      <x:c r="O61" s="12" t="str">
        <x:v>09_基準仕様</x:v>
      </x:c>
      <x:c r="P61" s="12" t="str">
        <x:v>通常は編集しない</x:v>
      </x:c>
      <x:c r="Q61" s="12" t="str">
        <x:v>D列は直接編集せず参照元を編集</x:v>
      </x:c>
    </x:row>
    <x:row r="62">
      <x:c r="A62" s="12" t="str">
        <x:v>バスバー</x:v>
      </x:c>
      <x:c r="B62" s="12" t="str">
        <x:v>放熱改善係数</x:v>
      </x:c>
      <x:c r="C62" s="12" t="str">
        <x:v>k_bus_cool</x:v>
      </x:c>
      <x:c r="D62" s="197" t="n">
        <x:f>'09_基準仕様'!E59</x:f>
        <x:v>1</x:v>
      </x:c>
      <x:c r="E62" s="12" t="str">
        <x:v>-</x:v>
      </x:c>
      <x:c r="F62" s="12" t="str">
        <x:v>J_bus</x:v>
      </x:c>
      <x:c r="G62" s="12" t="str"/>
      <x:c r="H62" s="12" t="str">
        <x:v>技術係数</x:v>
      </x:c>
      <x:c r="I62" s="12" t="str">
        <x:v>対象</x:v>
      </x:c>
      <x:c r="J62" s="48"/>
      <x:c r="K62" s="12"/>
      <x:c r="L62" s="12"/>
      <x:c r="M62" s="12"/>
      <x:c r="N62" s="12" t="str">
        <x:v>基準仕様（シナリオ間固定）</x:v>
      </x:c>
      <x:c r="O62" s="12" t="str">
        <x:v>09_基準仕様</x:v>
      </x:c>
      <x:c r="P62" s="12" t="str">
        <x:v>通常は編集しない</x:v>
      </x:c>
      <x:c r="Q62" s="12" t="str">
        <x:v>D列は直接編集せず参照元を編集</x:v>
      </x:c>
    </x:row>
    <x:row r="63">
      <x:c r="A63" s="12" t="str">
        <x:v>バスバー</x:v>
      </x:c>
      <x:c r="B63" s="12" t="str">
        <x:v>導体総長</x:v>
      </x:c>
      <x:c r="C63" s="12" t="str">
        <x:v>L_bus</x:v>
      </x:c>
      <x:c r="D63" s="197" t="n">
        <x:f>'09_基準仕様'!E60</x:f>
        <x:v>1.2</x:v>
      </x:c>
      <x:c r="E63" s="12" t="str">
        <x:v>m</x:v>
      </x:c>
      <x:c r="F63" s="12" t="str">
        <x:v>m_bus</x:v>
      </x:c>
      <x:c r="G63" s="12" t="str"/>
      <x:c r="H63" s="12" t="str">
        <x:v>設計変数</x:v>
      </x:c>
      <x:c r="I63" s="12" t="str">
        <x:v>対象</x:v>
      </x:c>
      <x:c r="J63" s="48"/>
      <x:c r="K63" s="12"/>
      <x:c r="L63" s="12"/>
      <x:c r="M63" s="12"/>
      <x:c r="N63" s="12" t="str">
        <x:v>基準仕様（シナリオ間固定）</x:v>
      </x:c>
      <x:c r="O63" s="12" t="str">
        <x:v>09_基準仕様</x:v>
      </x:c>
      <x:c r="P63" s="12" t="str">
        <x:v>通常は編集しない</x:v>
      </x:c>
      <x:c r="Q63" s="12" t="str">
        <x:v>D列は直接編集せず参照元を編集</x:v>
      </x:c>
    </x:row>
    <x:row r="64">
      <x:c r="A64" s="12" t="str">
        <x:v>バスバー</x:v>
      </x:c>
      <x:c r="B64" s="12" t="str">
        <x:v>導体本数係数</x:v>
      </x:c>
      <x:c r="C64" s="12" t="str">
        <x:v>N_bus</x:v>
      </x:c>
      <x:c r="D64" s="197" t="n">
        <x:f>'09_基準仕様'!E61</x:f>
        <x:v>2</x:v>
      </x:c>
      <x:c r="E64" s="12" t="str">
        <x:v>-</x:v>
      </x:c>
      <x:c r="F64" s="12" t="str">
        <x:v>m_bus</x:v>
      </x:c>
      <x:c r="G64" s="12" t="str"/>
      <x:c r="H64" s="12" t="str">
        <x:v>設計係数</x:v>
      </x:c>
      <x:c r="I64" s="12" t="str">
        <x:v>対象</x:v>
      </x:c>
      <x:c r="J64" s="48"/>
      <x:c r="K64" s="12"/>
      <x:c r="L64" s="12"/>
      <x:c r="M64" s="12"/>
      <x:c r="N64" s="12" t="str">
        <x:v>基準仕様（シナリオ間固定）</x:v>
      </x:c>
      <x:c r="O64" s="12" t="str">
        <x:v>09_基準仕様</x:v>
      </x:c>
      <x:c r="P64" s="12" t="str">
        <x:v>通常は編集しない</x:v>
      </x:c>
      <x:c r="Q64" s="12" t="str">
        <x:v>D列は直接編集せず参照元を編集</x:v>
      </x:c>
    </x:row>
    <x:row r="65">
      <x:c r="A65" s="12" t="str">
        <x:v>バスバー</x:v>
      </x:c>
      <x:c r="B65" s="12" t="str">
        <x:v>導体密度</x:v>
      </x:c>
      <x:c r="C65" s="12" t="str">
        <x:v>rho_bus</x:v>
      </x:c>
      <x:c r="D65" s="197" t="n">
        <x:f>'09_基準仕様'!E62</x:f>
        <x:v>8960</x:v>
      </x:c>
      <x:c r="E65" s="12" t="str">
        <x:v>kg/m³</x:v>
      </x:c>
      <x:c r="F65" s="12" t="str">
        <x:v>m_bus</x:v>
      </x:c>
      <x:c r="G65" s="12" t="str">
        <x:v>Cu</x:v>
      </x:c>
      <x:c r="H65" s="12" t="str">
        <x:v>材料</x:v>
      </x:c>
      <x:c r="I65" s="12" t="str">
        <x:v>対象</x:v>
      </x:c>
      <x:c r="J65" s="48"/>
      <x:c r="K65" s="12"/>
      <x:c r="L65" s="12"/>
      <x:c r="M65" s="12"/>
      <x:c r="N65" s="12" t="str">
        <x:v>基準仕様（シナリオ間固定）</x:v>
      </x:c>
      <x:c r="O65" s="12" t="str">
        <x:v>09_基準仕様</x:v>
      </x:c>
      <x:c r="P65" s="12" t="str">
        <x:v>通常は編集しない</x:v>
      </x:c>
      <x:c r="Q65" s="12" t="str">
        <x:v>D列は直接編集せず参照元を編集</x:v>
      </x:c>
    </x:row>
    <x:row r="66">
      <x:c r="A66" s="12" t="str">
        <x:v>バスバー</x:v>
      </x:c>
      <x:c r="B66" s="12" t="str">
        <x:v>絶縁・支持係数</x:v>
      </x:c>
      <x:c r="C66" s="12" t="str">
        <x:v>K_bus</x:v>
      </x:c>
      <x:c r="D66" s="197" t="n">
        <x:f>'09_基準仕様'!E63</x:f>
        <x:v>1.18</x:v>
      </x:c>
      <x:c r="E66" s="12" t="str">
        <x:v>-</x:v>
      </x:c>
      <x:c r="F66" s="12" t="str">
        <x:v>M_bus</x:v>
      </x:c>
      <x:c r="G66" s="12" t="str"/>
      <x:c r="H66" s="12" t="str">
        <x:v>技術係数</x:v>
      </x:c>
      <x:c r="I66" s="12" t="str">
        <x:v>対象</x:v>
      </x:c>
      <x:c r="J66" s="48"/>
      <x:c r="K66" s="12"/>
      <x:c r="L66" s="12"/>
      <x:c r="M66" s="12"/>
      <x:c r="N66" s="12" t="str">
        <x:v>基準仕様（シナリオ間固定）</x:v>
      </x:c>
      <x:c r="O66" s="12" t="str">
        <x:v>09_基準仕様</x:v>
      </x:c>
      <x:c r="P66" s="12" t="str">
        <x:v>通常は編集しない</x:v>
      </x:c>
      <x:c r="Q66" s="12" t="str">
        <x:v>D列は直接編集せず参照元を編集</x:v>
      </x:c>
    </x:row>
    <x:row r="67">
      <x:c r="A67" s="12" t="str">
        <x:v>筐体</x:v>
      </x:c>
      <x:c r="B67" s="12" t="str">
        <x:v>筐体長さ</x:v>
      </x:c>
      <x:c r="C67" s="12" t="str">
        <x:v>L_case</x:v>
      </x:c>
      <x:c r="D67" s="197" t="n">
        <x:f>'09_基準仕様'!E64</x:f>
        <x:v>0.45</x:v>
      </x:c>
      <x:c r="E67" s="12" t="str">
        <x:v>m</x:v>
      </x:c>
      <x:c r="F67" s="12" t="str">
        <x:v>A_case</x:v>
      </x:c>
      <x:c r="G67" s="12" t="str"/>
      <x:c r="H67" s="12" t="str">
        <x:v>設計変数</x:v>
      </x:c>
      <x:c r="I67" s="12" t="str">
        <x:v>対象</x:v>
      </x:c>
      <x:c r="J67" s="48"/>
      <x:c r="K67" s="12"/>
      <x:c r="L67" s="12"/>
      <x:c r="M67" s="12"/>
      <x:c r="N67" s="12" t="str">
        <x:v>基準仕様（シナリオ間固定）</x:v>
      </x:c>
      <x:c r="O67" s="12" t="str">
        <x:v>09_基準仕様</x:v>
      </x:c>
      <x:c r="P67" s="12" t="str">
        <x:v>通常は編集しない</x:v>
      </x:c>
      <x:c r="Q67" s="12" t="str">
        <x:v>D列は直接編集せず参照元を編集</x:v>
      </x:c>
    </x:row>
    <x:row r="68">
      <x:c r="A68" s="12" t="str">
        <x:v>筐体</x:v>
      </x:c>
      <x:c r="B68" s="12" t="str">
        <x:v>筐体幅</x:v>
      </x:c>
      <x:c r="C68" s="12" t="str">
        <x:v>W_case</x:v>
      </x:c>
      <x:c r="D68" s="197" t="n">
        <x:f>'09_基準仕様'!E65</x:f>
        <x:v>0.3</x:v>
      </x:c>
      <x:c r="E68" s="12" t="str">
        <x:v>m</x:v>
      </x:c>
      <x:c r="F68" s="12" t="str">
        <x:v>A_case</x:v>
      </x:c>
      <x:c r="G68" s="12" t="str"/>
      <x:c r="H68" s="12" t="str">
        <x:v>設計変数</x:v>
      </x:c>
      <x:c r="I68" s="12" t="str">
        <x:v>対象</x:v>
      </x:c>
      <x:c r="J68" s="48"/>
      <x:c r="K68" s="12"/>
      <x:c r="L68" s="12"/>
      <x:c r="M68" s="12"/>
      <x:c r="N68" s="12" t="str">
        <x:v>基準仕様（シナリオ間固定）</x:v>
      </x:c>
      <x:c r="O68" s="12" t="str">
        <x:v>09_基準仕様</x:v>
      </x:c>
      <x:c r="P68" s="12" t="str">
        <x:v>通常は編集しない</x:v>
      </x:c>
      <x:c r="Q68" s="12" t="str">
        <x:v>D列は直接編集せず参照元を編集</x:v>
      </x:c>
    </x:row>
    <x:row r="69">
      <x:c r="A69" s="12" t="str">
        <x:v>筐体</x:v>
      </x:c>
      <x:c r="B69" s="12" t="str">
        <x:v>筐体高さ</x:v>
      </x:c>
      <x:c r="C69" s="12" t="str">
        <x:v>H_case</x:v>
      </x:c>
      <x:c r="D69" s="197" t="n">
        <x:f>'09_基準仕様'!E66</x:f>
        <x:v>0.15</x:v>
      </x:c>
      <x:c r="E69" s="12" t="str">
        <x:v>m</x:v>
      </x:c>
      <x:c r="F69" s="12" t="str">
        <x:v>A_case</x:v>
      </x:c>
      <x:c r="G69" s="12" t="str"/>
      <x:c r="H69" s="12" t="str">
        <x:v>設計変数</x:v>
      </x:c>
      <x:c r="I69" s="12" t="str">
        <x:v>対象</x:v>
      </x:c>
      <x:c r="J69" s="48"/>
      <x:c r="K69" s="12"/>
      <x:c r="L69" s="12"/>
      <x:c r="M69" s="12"/>
      <x:c r="N69" s="12" t="str">
        <x:v>基準仕様（シナリオ間固定）</x:v>
      </x:c>
      <x:c r="O69" s="12" t="str">
        <x:v>09_基準仕様</x:v>
      </x:c>
      <x:c r="P69" s="12" t="str">
        <x:v>通常は編集しない</x:v>
      </x:c>
      <x:c r="Q69" s="12" t="str">
        <x:v>D列は直接編集せず参照元を編集</x:v>
      </x:c>
    </x:row>
    <x:row r="70">
      <x:c r="A70" s="12" t="str">
        <x:v>筐体</x:v>
      </x:c>
      <x:c r="B70" s="12" t="str">
        <x:v>平均板厚</x:v>
      </x:c>
      <x:c r="C70" s="12" t="str">
        <x:v>t_case</x:v>
      </x:c>
      <x:c r="D70" s="197" t="n">
        <x:f>'09_基準仕様'!E67</x:f>
        <x:v>0.0018</x:v>
      </x:c>
      <x:c r="E70" s="12" t="str">
        <x:v>m</x:v>
      </x:c>
      <x:c r="F70" s="12" t="str">
        <x:v>M_case</x:v>
      </x:c>
      <x:c r="G70" s="12" t="str"/>
      <x:c r="H70" s="12" t="str">
        <x:v>設計変数</x:v>
      </x:c>
      <x:c r="I70" s="12" t="str">
        <x:v>対象</x:v>
      </x:c>
      <x:c r="J70" s="48"/>
      <x:c r="K70" s="12"/>
      <x:c r="L70" s="12"/>
      <x:c r="M70" s="12"/>
      <x:c r="N70" s="12" t="str">
        <x:v>基準仕様（シナリオ間固定）</x:v>
      </x:c>
      <x:c r="O70" s="12" t="str">
        <x:v>09_基準仕様</x:v>
      </x:c>
      <x:c r="P70" s="12" t="str">
        <x:v>通常は編集しない</x:v>
      </x:c>
      <x:c r="Q70" s="12" t="str">
        <x:v>D列は直接編集せず参照元を編集</x:v>
      </x:c>
    </x:row>
    <x:row r="71">
      <x:c r="A71" s="12" t="str">
        <x:v>筐体</x:v>
      </x:c>
      <x:c r="B71" s="12" t="str">
        <x:v>材料密度</x:v>
      </x:c>
      <x:c r="C71" s="12" t="str">
        <x:v>rho_case</x:v>
      </x:c>
      <x:c r="D71" s="197" t="n">
        <x:f>'09_基準仕様'!E68</x:f>
        <x:v>2700</x:v>
      </x:c>
      <x:c r="E71" s="12" t="str">
        <x:v>kg/m³</x:v>
      </x:c>
      <x:c r="F71" s="12" t="str">
        <x:v>M_case</x:v>
      </x:c>
      <x:c r="G71" s="12" t="str">
        <x:v>Al</x:v>
      </x:c>
      <x:c r="H71" s="12" t="str">
        <x:v>材料</x:v>
      </x:c>
      <x:c r="I71" s="12" t="str">
        <x:v>対象</x:v>
      </x:c>
      <x:c r="J71" s="48"/>
      <x:c r="K71" s="12"/>
      <x:c r="L71" s="12"/>
      <x:c r="M71" s="12"/>
      <x:c r="N71" s="12" t="str">
        <x:v>基準仕様（シナリオ間固定）</x:v>
      </x:c>
      <x:c r="O71" s="12" t="str">
        <x:v>09_基準仕様</x:v>
      </x:c>
      <x:c r="P71" s="12" t="str">
        <x:v>通常は編集しない</x:v>
      </x:c>
      <x:c r="Q71" s="12" t="str">
        <x:v>D列は直接編集せず参照元を編集</x:v>
      </x:c>
    </x:row>
    <x:row r="72">
      <x:c r="A72" s="12" t="str">
        <x:v>筐体</x:v>
      </x:c>
      <x:c r="B72" s="12" t="str">
        <x:v>開口率</x:v>
      </x:c>
      <x:c r="C72" s="12" t="str">
        <x:v>r_open</x:v>
      </x:c>
      <x:c r="D72" s="197" t="n">
        <x:f>'09_基準仕様'!E69</x:f>
        <x:v>0.18</x:v>
      </x:c>
      <x:c r="E72" s="12" t="str">
        <x:v>-</x:v>
      </x:c>
      <x:c r="F72" s="12" t="str">
        <x:v>K_case</x:v>
      </x:c>
      <x:c r="G72" s="12" t="str"/>
      <x:c r="H72" s="12" t="str">
        <x:v>設計変数</x:v>
      </x:c>
      <x:c r="I72" s="12" t="str">
        <x:v>対象</x:v>
      </x:c>
      <x:c r="J72" s="48"/>
      <x:c r="K72" s="12"/>
      <x:c r="L72" s="12"/>
      <x:c r="M72" s="12"/>
      <x:c r="N72" s="12" t="str">
        <x:v>基準仕様（シナリオ間固定）</x:v>
      </x:c>
      <x:c r="O72" s="12" t="str">
        <x:v>09_基準仕様</x:v>
      </x:c>
      <x:c r="P72" s="12" t="str">
        <x:v>通常は編集しない</x:v>
      </x:c>
      <x:c r="Q72" s="12" t="str">
        <x:v>D列は直接編集せず参照元を編集</x:v>
      </x:c>
    </x:row>
    <x:row r="73">
      <x:c r="A73" s="12" t="str">
        <x:v>筐体</x:v>
      </x:c>
      <x:c r="B73" s="12" t="str">
        <x:v>リブ増加係数</x:v>
      </x:c>
      <x:c r="C73" s="12" t="str">
        <x:v>K_rib</x:v>
      </x:c>
      <x:c r="D73" s="197" t="n">
        <x:f>'09_基準仕様'!E70</x:f>
        <x:v>1.08</x:v>
      </x:c>
      <x:c r="E73" s="12" t="str">
        <x:v>-</x:v>
      </x:c>
      <x:c r="F73" s="12" t="str">
        <x:v>K_case</x:v>
      </x:c>
      <x:c r="G73" s="12" t="str"/>
      <x:c r="H73" s="12" t="str">
        <x:v>技術係数</x:v>
      </x:c>
      <x:c r="I73" s="12" t="str">
        <x:v>対象</x:v>
      </x:c>
      <x:c r="J73" s="48"/>
      <x:c r="K73" s="12"/>
      <x:c r="L73" s="12"/>
      <x:c r="M73" s="12"/>
      <x:c r="N73" s="12" t="str">
        <x:v>基準仕様（シナリオ間固定）</x:v>
      </x:c>
      <x:c r="O73" s="12" t="str">
        <x:v>09_基準仕様</x:v>
      </x:c>
      <x:c r="P73" s="12" t="str">
        <x:v>通常は編集しない</x:v>
      </x:c>
      <x:c r="Q73" s="12" t="str">
        <x:v>D列は直接編集せず参照元を編集</x:v>
      </x:c>
    </x:row>
    <x:row r="74">
      <x:c r="A74" s="12" t="str">
        <x:v>筐体</x:v>
      </x:c>
      <x:c r="B74" s="12" t="str">
        <x:v>製造余裕係数</x:v>
      </x:c>
      <x:c r="C74" s="12" t="str">
        <x:v>K_mfg</x:v>
      </x:c>
      <x:c r="D74" s="197" t="n">
        <x:f>'09_基準仕様'!E71</x:f>
        <x:v>1.02</x:v>
      </x:c>
      <x:c r="E74" s="12" t="str">
        <x:v>-</x:v>
      </x:c>
      <x:c r="F74" s="12" t="str">
        <x:v>K_case</x:v>
      </x:c>
      <x:c r="G74" s="12" t="str"/>
      <x:c r="H74" s="12" t="str">
        <x:v>技術係数</x:v>
      </x:c>
      <x:c r="I74" s="12" t="str">
        <x:v>対象</x:v>
      </x:c>
      <x:c r="J74" s="48"/>
      <x:c r="K74" s="12"/>
      <x:c r="L74" s="12"/>
      <x:c r="M74" s="12"/>
      <x:c r="N74" s="12" t="str">
        <x:v>基準仕様（シナリオ間固定）</x:v>
      </x:c>
      <x:c r="O74" s="12" t="str">
        <x:v>09_基準仕様</x:v>
      </x:c>
      <x:c r="P74" s="12" t="str">
        <x:v>通常は編集しない</x:v>
      </x:c>
      <x:c r="Q74" s="12" t="str">
        <x:v>D列は直接編集せず参照元を編集</x:v>
      </x:c>
    </x:row>
    <x:row r="75">
      <x:c r="A75" s="12" t="str">
        <x:v>EMI</x:v>
      </x:c>
      <x:c r="B75" s="12" t="str">
        <x:v>DMノイズ等価電圧</x:v>
      </x:c>
      <x:c r="C75" s="12" t="str">
        <x:v>V_noise</x:v>
      </x:c>
      <x:c r="D75" s="197" t="n">
        <x:f>'09_基準仕様'!E72</x:f>
        <x:v>60</x:v>
      </x:c>
      <x:c r="E75" s="12" t="str">
        <x:v>V</x:v>
      </x:c>
      <x:c r="F75" s="12" t="str">
        <x:v>L_dm</x:v>
      </x:c>
      <x:c r="G75" s="12" t="str"/>
      <x:c r="H75" s="12" t="str">
        <x:v>技術仕様</x:v>
      </x:c>
      <x:c r="I75" s="12" t="str">
        <x:v>対象</x:v>
      </x:c>
      <x:c r="J75" s="48"/>
      <x:c r="K75" s="12"/>
      <x:c r="L75" s="12"/>
      <x:c r="M75" s="12"/>
      <x:c r="N75" s="12" t="str">
        <x:v>基準仕様（シナリオ間固定）</x:v>
      </x:c>
      <x:c r="O75" s="12" t="str">
        <x:v>09_基準仕様</x:v>
      </x:c>
      <x:c r="P75" s="12" t="str">
        <x:v>通常は編集しない</x:v>
      </x:c>
      <x:c r="Q75" s="12" t="str">
        <x:v>D列は直接編集せず参照元を編集</x:v>
      </x:c>
    </x:row>
    <x:row r="76">
      <x:c r="A76" s="12" t="str">
        <x:v>EMI</x:v>
      </x:c>
      <x:c r="B76" s="12" t="str">
        <x:v>許容電流リップル率</x:v>
      </x:c>
      <x:c r="C76" s="12" t="str">
        <x:v>r_Iemi</x:v>
      </x:c>
      <x:c r="D76" s="197" t="n">
        <x:f>'09_基準仕様'!E73</x:f>
        <x:v>0.1</x:v>
      </x:c>
      <x:c r="E76" s="12" t="str">
        <x:v>-</x:v>
      </x:c>
      <x:c r="F76" s="12" t="str">
        <x:v>I_ripple</x:v>
      </x:c>
      <x:c r="G76" s="12" t="str"/>
      <x:c r="H76" s="12" t="str">
        <x:v>設計変数</x:v>
      </x:c>
      <x:c r="I76" s="12" t="str">
        <x:v>対象</x:v>
      </x:c>
      <x:c r="J76" s="48"/>
      <x:c r="K76" s="12"/>
      <x:c r="L76" s="12"/>
      <x:c r="M76" s="12"/>
      <x:c r="N76" s="12" t="str">
        <x:v>基準仕様（シナリオ間固定）</x:v>
      </x:c>
      <x:c r="O76" s="12" t="str">
        <x:v>09_基準仕様</x:v>
      </x:c>
      <x:c r="P76" s="12" t="str">
        <x:v>通常は編集しない</x:v>
      </x:c>
      <x:c r="Q76" s="12" t="str">
        <x:v>D列は直接編集せず参照元を編集</x:v>
      </x:c>
    </x:row>
    <x:row r="77">
      <x:c r="A77" s="12" t="str">
        <x:v>EMI</x:v>
      </x:c>
      <x:c r="B77" s="12" t="str">
        <x:v>フィルタ遮断周波数係数</x:v>
      </x:c>
      <x:c r="C77" s="12" t="str">
        <x:v>k_fc</x:v>
      </x:c>
      <x:c r="D77" s="197" t="n">
        <x:f>'09_基準仕様'!E74</x:f>
        <x:v>0.1</x:v>
      </x:c>
      <x:c r="E77" s="12" t="str">
        <x:v>-</x:v>
      </x:c>
      <x:c r="F77" s="12" t="str">
        <x:v>f_c</x:v>
      </x:c>
      <x:c r="G77" s="12" t="str">
        <x:v>主要トレードオフ</x:v>
      </x:c>
      <x:c r="H77" s="12" t="str">
        <x:v>設計変数</x:v>
      </x:c>
      <x:c r="I77" s="12" t="str">
        <x:v>対象</x:v>
      </x:c>
      <x:c r="J77" s="48"/>
      <x:c r="K77" s="12"/>
      <x:c r="L77" s="12"/>
      <x:c r="M77" s="12"/>
      <x:c r="N77" s="12" t="str">
        <x:v>基準仕様（シナリオ間固定）</x:v>
      </x:c>
      <x:c r="O77" s="12" t="str">
        <x:v>09_基準仕様</x:v>
      </x:c>
      <x:c r="P77" s="12" t="str">
        <x:v>通常は編集しない</x:v>
      </x:c>
      <x:c r="Q77" s="12" t="str">
        <x:v>D列は直接編集せず参照元を編集</x:v>
      </x:c>
    </x:row>
    <x:row r="78">
      <x:c r="A78" s="12" t="str">
        <x:v>EMI</x:v>
      </x:c>
      <x:c r="B78" s="12" t="str">
        <x:v>インダクタ重量係数</x:v>
      </x:c>
      <x:c r="C78" s="12" t="str">
        <x:v>k_mL</x:v>
      </x:c>
      <x:c r="D78" s="197" t="n">
        <x:f>'09_基準仕様'!E75</x:f>
        <x:v>40</x:v>
      </x:c>
      <x:c r="E78" s="12" t="str">
        <x:v>kg/(H·kA²)</x:v>
      </x:c>
      <x:c r="F78" s="12" t="str">
        <x:v>M_L</x:v>
      </x:c>
      <x:c r="G78" s="12" t="str">
        <x:v>簡易係数</x:v>
      </x:c>
      <x:c r="H78" s="12" t="str">
        <x:v>技術係数</x:v>
      </x:c>
      <x:c r="I78" s="12" t="str">
        <x:v>対象</x:v>
      </x:c>
      <x:c r="J78" s="48"/>
      <x:c r="K78" s="12"/>
      <x:c r="L78" s="12"/>
      <x:c r="M78" s="12"/>
      <x:c r="N78" s="12" t="str">
        <x:v>基準仕様（シナリオ間固定）</x:v>
      </x:c>
      <x:c r="O78" s="12" t="str">
        <x:v>09_基準仕様</x:v>
      </x:c>
      <x:c r="P78" s="12" t="str">
        <x:v>通常は編集しない</x:v>
      </x:c>
      <x:c r="Q78" s="12" t="str">
        <x:v>D列は直接編集せず参照元を編集</x:v>
      </x:c>
    </x:row>
    <x:row r="79">
      <x:c r="A79" s="12" t="str">
        <x:v>EMI</x:v>
      </x:c>
      <x:c r="B79" s="12" t="str">
        <x:v>ノイズ電流係数</x:v>
      </x:c>
      <x:c r="C79" s="12" t="str">
        <x:v>r_noise</x:v>
      </x:c>
      <x:c r="D79" s="197" t="n">
        <x:f>'09_基準仕様'!E76</x:f>
        <x:v>0.08</x:v>
      </x:c>
      <x:c r="E79" s="12" t="str">
        <x:v>-</x:v>
      </x:c>
      <x:c r="F79" s="12" t="str">
        <x:v>I_noise</x:v>
      </x:c>
      <x:c r="G79" s="12" t="str"/>
      <x:c r="H79" s="12" t="str">
        <x:v>技術係数</x:v>
      </x:c>
      <x:c r="I79" s="12" t="str">
        <x:v>対象</x:v>
      </x:c>
      <x:c r="J79" s="48"/>
      <x:c r="K79" s="12"/>
      <x:c r="L79" s="12"/>
      <x:c r="M79" s="12"/>
      <x:c r="N79" s="12" t="str">
        <x:v>基準仕様（シナリオ間固定）</x:v>
      </x:c>
      <x:c r="O79" s="12" t="str">
        <x:v>09_基準仕様</x:v>
      </x:c>
      <x:c r="P79" s="12" t="str">
        <x:v>通常は編集しない</x:v>
      </x:c>
      <x:c r="Q79" s="12" t="str">
        <x:v>D列は直接編集せず参照元を編集</x:v>
      </x:c>
    </x:row>
    <x:row r="80">
      <x:c r="A80" s="12" t="str">
        <x:v>EMI</x:v>
      </x:c>
      <x:c r="B80" s="12" t="str">
        <x:v>許容電圧リップル率</x:v>
      </x:c>
      <x:c r="C80" s="12" t="str">
        <x:v>r_Vemi</x:v>
      </x:c>
      <x:c r="D80" s="197" t="n">
        <x:f>'09_基準仕様'!E77</x:f>
        <x:v>0.02</x:v>
      </x:c>
      <x:c r="E80" s="12" t="str">
        <x:v>-</x:v>
      </x:c>
      <x:c r="F80" s="12" t="str">
        <x:v>V_ripple</x:v>
      </x:c>
      <x:c r="G80" s="12" t="str"/>
      <x:c r="H80" s="12" t="str">
        <x:v>設計変数</x:v>
      </x:c>
      <x:c r="I80" s="12" t="str">
        <x:v>対象</x:v>
      </x:c>
      <x:c r="J80" s="48"/>
      <x:c r="K80" s="12"/>
      <x:c r="L80" s="12"/>
      <x:c r="M80" s="12"/>
      <x:c r="N80" s="12" t="str">
        <x:v>基準仕様（シナリオ間固定）</x:v>
      </x:c>
      <x:c r="O80" s="12" t="str">
        <x:v>09_基準仕様</x:v>
      </x:c>
      <x:c r="P80" s="12" t="str">
        <x:v>通常は編集しない</x:v>
      </x:c>
      <x:c r="Q80" s="12" t="str">
        <x:v>D列は直接編集せず参照元を編集</x:v>
      </x:c>
    </x:row>
    <x:row r="81">
      <x:c r="A81" s="12" t="str">
        <x:v>EMI</x:v>
      </x:c>
      <x:c r="B81" s="12" t="str">
        <x:v>コンデンサ重量係数</x:v>
      </x:c>
      <x:c r="C81" s="12" t="str">
        <x:v>k_mC</x:v>
      </x:c>
      <x:c r="D81" s="197" t="n">
        <x:f>'09_基準仕様'!E78</x:f>
        <x:v>0.18</x:v>
      </x:c>
      <x:c r="E81" s="12" t="str">
        <x:v>kg/(F·kV²)</x:v>
      </x:c>
      <x:c r="F81" s="12" t="str">
        <x:v>M_C</x:v>
      </x:c>
      <x:c r="G81" s="12" t="str">
        <x:v>簡易係数</x:v>
      </x:c>
      <x:c r="H81" s="12" t="str">
        <x:v>技術係数</x:v>
      </x:c>
      <x:c r="I81" s="12" t="str">
        <x:v>対象</x:v>
      </x:c>
      <x:c r="J81" s="48"/>
      <x:c r="K81" s="12"/>
      <x:c r="L81" s="12"/>
      <x:c r="M81" s="12"/>
      <x:c r="N81" s="12" t="str">
        <x:v>基準仕様（シナリオ間固定）</x:v>
      </x:c>
      <x:c r="O81" s="12" t="str">
        <x:v>09_基準仕様</x:v>
      </x:c>
      <x:c r="P81" s="12" t="str">
        <x:v>通常は編集しない</x:v>
      </x:c>
      <x:c r="Q81" s="12" t="str">
        <x:v>D列は直接編集せず参照元を編集</x:v>
      </x:c>
    </x:row>
    <x:row r="82">
      <x:c r="A82" s="12" t="str">
        <x:v>固定重量</x:v>
      </x:c>
      <x:c r="B82" s="12" t="str">
        <x:v>制御・ゲート回路重量</x:v>
      </x:c>
      <x:c r="C82" s="12" t="str">
        <x:v>m_ctrl</x:v>
      </x:c>
      <x:c r="D82" s="197" t="n">
        <x:f>'09_基準仕様'!E79</x:f>
        <x:v>0.45</x:v>
      </x:c>
      <x:c r="E82" s="12" t="str">
        <x:v>kg</x:v>
      </x:c>
      <x:c r="F82" s="12" t="str">
        <x:v>M_inv</x:v>
      </x:c>
      <x:c r="G82" s="12" t="str"/>
      <x:c r="H82" s="12" t="str">
        <x:v>参考値</x:v>
      </x:c>
      <x:c r="I82" s="12" t="str">
        <x:v>対象外</x:v>
      </x:c>
      <x:c r="J82" s="48"/>
      <x:c r="K82" s="12"/>
      <x:c r="L82" s="12"/>
      <x:c r="M82" s="12"/>
      <x:c r="N82" s="12" t="str">
        <x:v>基準仕様（シナリオ間固定）</x:v>
      </x:c>
      <x:c r="O82" s="12" t="str">
        <x:v>09_基準仕様</x:v>
      </x:c>
      <x:c r="P82" s="12" t="str">
        <x:v>通常は編集しない</x:v>
      </x:c>
      <x:c r="Q82" s="12" t="str">
        <x:v>D列は直接編集せず参照元を編集</x:v>
      </x:c>
    </x:row>
    <x:row r="83">
      <x:c r="A83" s="12" t="str">
        <x:v>固定重量</x:v>
      </x:c>
      <x:c r="B83" s="12" t="str">
        <x:v>センサ重量</x:v>
      </x:c>
      <x:c r="C83" s="12" t="str">
        <x:v>m_sensor</x:v>
      </x:c>
      <x:c r="D83" s="197" t="n">
        <x:f>'09_基準仕様'!E80</x:f>
        <x:v>0.28</x:v>
      </x:c>
      <x:c r="E83" s="12" t="str">
        <x:v>kg</x:v>
      </x:c>
      <x:c r="F83" s="12" t="str">
        <x:v>M_inv</x:v>
      </x:c>
      <x:c r="G83" s="12" t="str"/>
      <x:c r="H83" s="12" t="str">
        <x:v>参考値</x:v>
      </x:c>
      <x:c r="I83" s="12" t="str">
        <x:v>対象外</x:v>
      </x:c>
      <x:c r="J83" s="48"/>
      <x:c r="K83" s="12"/>
      <x:c r="L83" s="12"/>
      <x:c r="M83" s="12"/>
      <x:c r="N83" s="12" t="str">
        <x:v>基準仕様（シナリオ間固定）</x:v>
      </x:c>
      <x:c r="O83" s="12" t="str">
        <x:v>09_基準仕様</x:v>
      </x:c>
      <x:c r="P83" s="12" t="str">
        <x:v>通常は編集しない</x:v>
      </x:c>
      <x:c r="Q83" s="12" t="str">
        <x:v>D列は直接編集せず参照元を編集</x:v>
      </x:c>
    </x:row>
    <x:row r="84">
      <x:c r="A84" s="12" t="str">
        <x:v>固定重量</x:v>
      </x:c>
      <x:c r="B84" s="12" t="str">
        <x:v>端子・コネクタ重量</x:v>
      </x:c>
      <x:c r="C84" s="12" t="str">
        <x:v>m_conn</x:v>
      </x:c>
      <x:c r="D84" s="197" t="n">
        <x:f>'09_基準仕様'!E81</x:f>
        <x:v>0.42</x:v>
      </x:c>
      <x:c r="E84" s="12" t="str">
        <x:v>kg</x:v>
      </x:c>
      <x:c r="F84" s="12" t="str">
        <x:v>M_inv</x:v>
      </x:c>
      <x:c r="G84" s="12" t="str"/>
      <x:c r="H84" s="12" t="str">
        <x:v>参考値</x:v>
      </x:c>
      <x:c r="I84" s="12" t="str">
        <x:v>対象外</x:v>
      </x:c>
      <x:c r="J84" s="48"/>
      <x:c r="K84" s="12"/>
      <x:c r="L84" s="12"/>
      <x:c r="M84" s="12"/>
      <x:c r="N84" s="12" t="str">
        <x:v>基準仕様（シナリオ間固定）</x:v>
      </x:c>
      <x:c r="O84" s="12" t="str">
        <x:v>09_基準仕様</x:v>
      </x:c>
      <x:c r="P84" s="12" t="str">
        <x:v>通常は編集しない</x:v>
      </x:c>
      <x:c r="Q84" s="12" t="str">
        <x:v>D列は直接編集せず参照元を編集</x:v>
      </x:c>
    </x:row>
    <x:row r="85">
      <x:c r="A85" s="12" t="str">
        <x:v>固定重量</x:v>
      </x:c>
      <x:c r="B85" s="12" t="str">
        <x:v>その他固定重量</x:v>
      </x:c>
      <x:c r="C85" s="12" t="str">
        <x:v>m_other</x:v>
      </x:c>
      <x:c r="D85" s="197" t="n">
        <x:f>'09_基準仕様'!E82</x:f>
        <x:v>0.5</x:v>
      </x:c>
      <x:c r="E85" s="12" t="str">
        <x:v>kg</x:v>
      </x:c>
      <x:c r="F85" s="12" t="str">
        <x:v>M_inv</x:v>
      </x:c>
      <x:c r="G85" s="12" t="str"/>
      <x:c r="H85" s="12" t="str">
        <x:v>参考値</x:v>
      </x:c>
      <x:c r="I85" s="12" t="str">
        <x:v>対象外</x:v>
      </x:c>
      <x:c r="J85" s="48"/>
      <x:c r="K85" s="12"/>
      <x:c r="L85" s="12"/>
      <x:c r="M85" s="12"/>
      <x:c r="N85" s="12" t="str">
        <x:v>基準仕様（シナリオ間固定）</x:v>
      </x:c>
      <x:c r="O85" s="12" t="str">
        <x:v>09_基準仕様</x:v>
      </x:c>
      <x:c r="P85" s="12" t="str">
        <x:v>通常は編集しない</x:v>
      </x:c>
      <x:c r="Q85" s="12" t="str">
        <x:v>D列は直接編集せず参照元を編集</x:v>
      </x:c>
    </x:row>
    <x:row r="86">
      <x:c r="A86" s="12" t="str">
        <x:v>半導体</x:v>
      </x:c>
      <x:c r="B86" s="12" t="str">
        <x:v>並列数</x:v>
      </x:c>
      <x:c r="C86" s="12" t="str">
        <x:v>N_parallel</x:v>
      </x:c>
      <x:c r="D86" s="197" t="n">
        <x:f>'07_システム要求'!M16</x:f>
        <x:v>3</x:v>
      </x:c>
      <x:c r="E86" s="12" t="str">
        <x:v>-</x:v>
      </x:c>
      <x:c r="F86" s="12" t="str">
        <x:v>R_on低下・半導体重量増</x:v>
      </x:c>
      <x:c r="G86" s="12" t="str">
        <x:v>1=現状、2=2並列</x:v>
      </x:c>
      <x:c r="H86" s="12" t="str">
        <x:v>設計変数</x:v>
      </x:c>
      <x:c r="I86" s="12" t="str">
        <x:v>対象</x:v>
      </x:c>
      <x:c r="J86" s="48" t="n">
        <x:f>'07_システム要求'!M16</x:f>
        <x:v>3</x:v>
      </x:c>
      <x:c r="K86" s="12" t="str">
        <x:v>過負荷電流からの初期推奨。離散探索変数なので固定しない</x:v>
      </x:c>
      <x:c r="L86" s="12" t="str">
        <x:v>推奨のみ</x:v>
      </x:c>
      <x:c r="M86" s="12" t="n">
        <x:v>1</x:v>
      </x:c>
      <x:c r="N86" s="12" t="str">
        <x:v>システム要求→自動計算</x:v>
      </x:c>
      <x:c r="O86" s="12" t="str">
        <x:v>07_システム要求</x:v>
      </x:c>
      <x:c r="P86" s="12" t="str">
        <x:v>通常は直接編集しない</x:v>
      </x:c>
      <x:c r="Q86" s="12" t="str">
        <x:v>過負荷電流から並列数を自動推奨・適用</x:v>
      </x:c>
    </x:row>
    <x:row r="87">
      <x:c r="A87" s="12" t="str">
        <x:v>半導体</x:v>
      </x:c>
      <x:c r="B87" s="12" t="str">
        <x:v>並列1系統あたり追加重量</x:v>
      </x:c>
      <x:c r="C87" s="12" t="str">
        <x:v>m_parallel_unit</x:v>
      </x:c>
      <x:c r="D87" s="197" t="n">
        <x:f>'09_基準仕様'!E83</x:f>
        <x:v>0.035</x:v>
      </x:c>
      <x:c r="E87" s="12" t="str">
        <x:v>kg/系統</x:v>
      </x:c>
      <x:c r="F87" s="12" t="str">
        <x:v>M_parallel</x:v>
      </x:c>
      <x:c r="G87" s="12" t="str">
        <x:v>ゲート/端子/チップ等の等価重量</x:v>
      </x:c>
      <x:c r="H87" s="12" t="str">
        <x:v>技術係数</x:v>
      </x:c>
      <x:c r="I87" s="12" t="str">
        <x:v>対象</x:v>
      </x:c>
      <x:c r="J87" s="48"/>
      <x:c r="K87" s="12"/>
      <x:c r="L87" s="12"/>
      <x:c r="M87" s="12"/>
      <x:c r="N87" s="12" t="str">
        <x:v>基準仕様（シナリオ間固定）</x:v>
      </x:c>
      <x:c r="O87" s="12" t="str">
        <x:v>09_基準仕様</x:v>
      </x:c>
      <x:c r="P87" s="12" t="str">
        <x:v>通常は編集しない</x:v>
      </x:c>
      <x:c r="Q87" s="12" t="str">
        <x:v>D列は直接編集せず参照元を編集</x:v>
      </x:c>
    </x:row>
    <x:row r="88">
      <x:c r="A88" s="12" t="str">
        <x:v>ソフトスイッチング</x:v>
      </x:c>
      <x:c r="B88" s="12" t="str">
        <x:v>ソフトスイッチング有効</x:v>
      </x:c>
      <x:c r="C88" s="12" t="str">
        <x:v>Enable_SS</x:v>
      </x:c>
      <x:c r="D88" s="197" t="n">
        <x:f>'10_シナリオ入力'!E9</x:f>
        <x:v>0</x:v>
      </x:c>
      <x:c r="E88" s="12" t="str">
        <x:v>0/1</x:v>
      </x:c>
      <x:c r="F88" s="12" t="str">
        <x:v>P_sw低減・追加回路重量増</x:v>
      </x:c>
      <x:c r="G88" s="12" t="str">
        <x:v>0=無効, 1=有効</x:v>
      </x:c>
      <x:c r="H88" s="12" t="str">
        <x:v>技術選択</x:v>
      </x:c>
      <x:c r="I88" s="12" t="str">
        <x:v>対象</x:v>
      </x:c>
      <x:c r="J88" s="48"/>
      <x:c r="K88" s="12"/>
      <x:c r="L88" s="12"/>
      <x:c r="M88" s="12"/>
      <x:c r="N88" s="12" t="str">
        <x:v>シナリオ固有手入力</x:v>
      </x:c>
      <x:c r="O88" s="12" t="str">
        <x:v>10_シナリオ入力</x:v>
      </x:c>
      <x:c r="P88" s="12" t="str">
        <x:v>必要に応じて編集</x:v>
      </x:c>
      <x:c r="Q88" s="12" t="str">
        <x:v>シナリオ表を参照</x:v>
      </x:c>
    </x:row>
    <x:row r="89">
      <x:c r="A89" s="12" t="str">
        <x:v>ソフトスイッチング</x:v>
      </x:c>
      <x:c r="B89" s="12" t="str">
        <x:v>有効時SW損失残存率</x:v>
      </x:c>
      <x:c r="C89" s="12" t="str">
        <x:v>k_ss_residual</x:v>
      </x:c>
      <x:c r="D89" s="197" t="n">
        <x:f>'09_基準仕様'!E84</x:f>
        <x:v>0.25</x:v>
      </x:c>
      <x:c r="E89" s="12" t="str">
        <x:v>-</x:v>
      </x:c>
      <x:c r="F89" s="12" t="str">
        <x:v>k_ss_eff</x:v>
      </x:c>
      <x:c r="G89" s="12" t="str">
        <x:v>有効時25%残存の簡易例</x:v>
      </x:c>
      <x:c r="H89" s="12" t="str">
        <x:v>技術係数</x:v>
      </x:c>
      <x:c r="I89" s="12" t="str">
        <x:v>対象</x:v>
      </x:c>
      <x:c r="J89" s="48"/>
      <x:c r="K89" s="12"/>
      <x:c r="L89" s="12"/>
      <x:c r="M89" s="12"/>
      <x:c r="N89" s="12" t="str">
        <x:v>基準仕様（シナリオ間固定）</x:v>
      </x:c>
      <x:c r="O89" s="12" t="str">
        <x:v>09_基準仕様</x:v>
      </x:c>
      <x:c r="P89" s="12" t="str">
        <x:v>通常は編集しない</x:v>
      </x:c>
      <x:c r="Q89" s="12" t="str">
        <x:v>D列は直接編集せず参照元を編集</x:v>
      </x:c>
    </x:row>
    <x:row r="90">
      <x:c r="A90" s="12" t="str">
        <x:v>ソフトスイッチング</x:v>
      </x:c>
      <x:c r="B90" s="12" t="str">
        <x:v>補助スイッチ数</x:v>
      </x:c>
      <x:c r="C90" s="12" t="str">
        <x:v>N_aux_ss</x:v>
      </x:c>
      <x:c r="D90" s="197" t="n">
        <x:f>'09_基準仕様'!E85</x:f>
        <x:v>2</x:v>
      </x:c>
      <x:c r="E90" s="12" t="str">
        <x:v>個</x:v>
      </x:c>
      <x:c r="F90" s="12" t="str">
        <x:v>M_aux_ss</x:v>
      </x:c>
      <x:c r="G90" s="12" t="str"/>
      <x:c r="H90" s="12" t="str">
        <x:v>技術仕様</x:v>
      </x:c>
      <x:c r="I90" s="12" t="str">
        <x:v>対象</x:v>
      </x:c>
      <x:c r="J90" s="48"/>
      <x:c r="K90" s="12"/>
      <x:c r="L90" s="12"/>
      <x:c r="M90" s="12"/>
      <x:c r="N90" s="12" t="str">
        <x:v>基準仕様（シナリオ間固定）</x:v>
      </x:c>
      <x:c r="O90" s="12" t="str">
        <x:v>09_基準仕様</x:v>
      </x:c>
      <x:c r="P90" s="12" t="str">
        <x:v>通常は編集しない</x:v>
      </x:c>
      <x:c r="Q90" s="12" t="str">
        <x:v>D列は直接編集せず参照元を編集</x:v>
      </x:c>
    </x:row>
    <x:row r="91">
      <x:c r="A91" s="12" t="str">
        <x:v>ソフトスイッチング</x:v>
      </x:c>
      <x:c r="B91" s="12" t="str">
        <x:v>補助スイッチ単体重量</x:v>
      </x:c>
      <x:c r="C91" s="12" t="str">
        <x:v>m_aux_ss</x:v>
      </x:c>
      <x:c r="D91" s="197" t="n">
        <x:f>'09_基準仕様'!E86</x:f>
        <x:v>0.045</x:v>
      </x:c>
      <x:c r="E91" s="12" t="str">
        <x:v>kg/個</x:v>
      </x:c>
      <x:c r="F91" s="12" t="str">
        <x:v>M_aux_ss</x:v>
      </x:c>
      <x:c r="G91" s="12" t="str"/>
      <x:c r="H91" s="12" t="str">
        <x:v>技術仕様</x:v>
      </x:c>
      <x:c r="I91" s="12" t="str">
        <x:v>対象</x:v>
      </x:c>
      <x:c r="J91" s="48"/>
      <x:c r="K91" s="12"/>
      <x:c r="L91" s="12"/>
      <x:c r="M91" s="12"/>
      <x:c r="N91" s="12" t="str">
        <x:v>基準仕様（シナリオ間固定）</x:v>
      </x:c>
      <x:c r="O91" s="12" t="str">
        <x:v>09_基準仕様</x:v>
      </x:c>
      <x:c r="P91" s="12" t="str">
        <x:v>通常は編集しない</x:v>
      </x:c>
      <x:c r="Q91" s="12" t="str">
        <x:v>D列は直接編集せず参照元を編集</x:v>
      </x:c>
    </x:row>
    <x:row r="92">
      <x:c r="A92" s="12" t="str">
        <x:v>ソフトスイッチング</x:v>
      </x:c>
      <x:c r="B92" s="12" t="str">
        <x:v>共振L設計係数</x:v>
      </x:c>
      <x:c r="C92" s="12" t="str">
        <x:v>k_Lr</x:v>
      </x:c>
      <x:c r="D92" s="197" t="n">
        <x:f>'09_基準仕様'!E87</x:f>
        <x:v>0.18</x:v>
      </x:c>
      <x:c r="E92" s="12" t="str">
        <x:v>-</x:v>
      </x:c>
      <x:c r="F92" s="12" t="str">
        <x:v>L_r</x:v>
      </x:c>
      <x:c r="G92" s="12" t="str"/>
      <x:c r="H92" s="12" t="str">
        <x:v>技術係数</x:v>
      </x:c>
      <x:c r="I92" s="12" t="str">
        <x:v>対象</x:v>
      </x:c>
      <x:c r="J92" s="48"/>
      <x:c r="K92" s="12"/>
      <x:c r="L92" s="12"/>
      <x:c r="M92" s="12"/>
      <x:c r="N92" s="12" t="str">
        <x:v>基準仕様（シナリオ間固定）</x:v>
      </x:c>
      <x:c r="O92" s="12" t="str">
        <x:v>09_基準仕様</x:v>
      </x:c>
      <x:c r="P92" s="12" t="str">
        <x:v>通常は編集しない</x:v>
      </x:c>
      <x:c r="Q92" s="12" t="str">
        <x:v>D列は直接編集せず参照元を編集</x:v>
      </x:c>
    </x:row>
    <x:row r="93">
      <x:c r="A93" s="12" t="str">
        <x:v>ソフトスイッチング</x:v>
      </x:c>
      <x:c r="B93" s="12" t="str">
        <x:v>共振C設計係数</x:v>
      </x:c>
      <x:c r="C93" s="12" t="str">
        <x:v>k_Cr</x:v>
      </x:c>
      <x:c r="D93" s="197" t="n">
        <x:f>'09_基準仕様'!E88</x:f>
        <x:v>0.18</x:v>
      </x:c>
      <x:c r="E93" s="12" t="str">
        <x:v>-</x:v>
      </x:c>
      <x:c r="F93" s="12" t="str">
        <x:v>C_r</x:v>
      </x:c>
      <x:c r="G93" s="12" t="str"/>
      <x:c r="H93" s="12" t="str">
        <x:v>技術係数</x:v>
      </x:c>
      <x:c r="I93" s="12" t="str">
        <x:v>対象</x:v>
      </x:c>
      <x:c r="J93" s="48"/>
      <x:c r="K93" s="12"/>
      <x:c r="L93" s="12"/>
      <x:c r="M93" s="12"/>
      <x:c r="N93" s="12" t="str">
        <x:v>基準仕様（シナリオ間固定）</x:v>
      </x:c>
      <x:c r="O93" s="12" t="str">
        <x:v>09_基準仕様</x:v>
      </x:c>
      <x:c r="P93" s="12" t="str">
        <x:v>通常は編集しない</x:v>
      </x:c>
      <x:c r="Q93" s="12" t="str">
        <x:v>D列は直接編集せず参照元を編集</x:v>
      </x:c>
    </x:row>
    <x:row r="94">
      <x:c r="A94" s="12" t="str">
        <x:v>ソフトスイッチング</x:v>
      </x:c>
      <x:c r="B94" s="12" t="str">
        <x:v>共振L重量係数</x:v>
      </x:c>
      <x:c r="C94" s="12" t="str">
        <x:v>k_mLr</x:v>
      </x:c>
      <x:c r="D94" s="197" t="n">
        <x:f>'09_基準仕様'!E89</x:f>
        <x:v>18</x:v>
      </x:c>
      <x:c r="E94" s="12" t="str">
        <x:v>kg/(H·kA²)</x:v>
      </x:c>
      <x:c r="F94" s="12" t="str">
        <x:v>m_Lr</x:v>
      </x:c>
      <x:c r="G94" s="12" t="str">
        <x:v>簡易係数</x:v>
      </x:c>
      <x:c r="H94" s="12" t="str">
        <x:v>技術係数</x:v>
      </x:c>
      <x:c r="I94" s="12" t="str">
        <x:v>対象</x:v>
      </x:c>
      <x:c r="J94" s="48"/>
      <x:c r="K94" s="12"/>
      <x:c r="L94" s="12"/>
      <x:c r="M94" s="12"/>
      <x:c r="N94" s="12" t="str">
        <x:v>基準仕様（シナリオ間固定）</x:v>
      </x:c>
      <x:c r="O94" s="12" t="str">
        <x:v>09_基準仕様</x:v>
      </x:c>
      <x:c r="P94" s="12" t="str">
        <x:v>通常は編集しない</x:v>
      </x:c>
      <x:c r="Q94" s="12" t="str">
        <x:v>D列は直接編集せず参照元を編集</x:v>
      </x:c>
    </x:row>
    <x:row r="95">
      <x:c r="A95" s="12" t="str">
        <x:v>ソフトスイッチング</x:v>
      </x:c>
      <x:c r="B95" s="12" t="str">
        <x:v>共振C重量係数</x:v>
      </x:c>
      <x:c r="C95" s="12" t="str">
        <x:v>k_mCr</x:v>
      </x:c>
      <x:c r="D95" s="197" t="n">
        <x:f>'09_基準仕様'!E90</x:f>
        <x:v>0.22</x:v>
      </x:c>
      <x:c r="E95" s="12" t="str">
        <x:v>kg/(F·kV²)</x:v>
      </x:c>
      <x:c r="F95" s="12" t="str">
        <x:v>m_Cr</x:v>
      </x:c>
      <x:c r="G95" s="12" t="str">
        <x:v>簡易係数</x:v>
      </x:c>
      <x:c r="H95" s="12" t="str">
        <x:v>技術係数</x:v>
      </x:c>
      <x:c r="I95" s="12" t="str">
        <x:v>対象</x:v>
      </x:c>
      <x:c r="J95" s="48"/>
      <x:c r="K95" s="12"/>
      <x:c r="L95" s="12"/>
      <x:c r="M95" s="12"/>
      <x:c r="N95" s="12" t="str">
        <x:v>基準仕様（シナリオ間固定）</x:v>
      </x:c>
      <x:c r="O95" s="12" t="str">
        <x:v>09_基準仕様</x:v>
      </x:c>
      <x:c r="P95" s="12" t="str">
        <x:v>通常は編集しない</x:v>
      </x:c>
      <x:c r="Q95" s="12" t="str">
        <x:v>D列は直接編集せず参照元を編集</x:v>
      </x:c>
    </x:row>
    <x:row r="96">
      <x:c r="A96" s="12" t="str">
        <x:v>ソフトスイッチング</x:v>
      </x:c>
      <x:c r="B96" s="12" t="str">
        <x:v>追加制御回路重量</x:v>
      </x:c>
      <x:c r="C96" s="12" t="str">
        <x:v>m_ctrl_ss</x:v>
      </x:c>
      <x:c r="D96" s="197" t="n">
        <x:f>'09_基準仕様'!E91</x:f>
        <x:v>0.08</x:v>
      </x:c>
      <x:c r="E96" s="12" t="str">
        <x:v>kg</x:v>
      </x:c>
      <x:c r="F96" s="12" t="str">
        <x:v>M_ss</x:v>
      </x:c>
      <x:c r="G96" s="12" t="str"/>
      <x:c r="H96" s="12" t="str">
        <x:v>技術仕様</x:v>
      </x:c>
      <x:c r="I96" s="12" t="str">
        <x:v>対象</x:v>
      </x:c>
      <x:c r="J96" s="48"/>
      <x:c r="K96" s="12"/>
      <x:c r="L96" s="12"/>
      <x:c r="M96" s="12"/>
      <x:c r="N96" s="12" t="str">
        <x:v>基準仕様（シナリオ間固定）</x:v>
      </x:c>
      <x:c r="O96" s="12" t="str">
        <x:v>09_基準仕様</x:v>
      </x:c>
      <x:c r="P96" s="12" t="str">
        <x:v>通常は編集しない</x:v>
      </x:c>
      <x:c r="Q96" s="12" t="str">
        <x:v>D列は直接編集せず参照元を編集</x:v>
      </x:c>
    </x:row>
    <x:row r="97">
      <x:c r="A97" s="12" t="str">
        <x:v>DBC</x:v>
      </x:c>
      <x:c r="B97" s="12" t="str">
        <x:v>DBC長さ</x:v>
      </x:c>
      <x:c r="C97" s="12" t="str">
        <x:v>L_dbc</x:v>
      </x:c>
      <x:c r="D97" s="197" t="n">
        <x:f>'09_基準仕様'!E92</x:f>
        <x:v>0.07</x:v>
      </x:c>
      <x:c r="E97" s="12" t="str">
        <x:v>m</x:v>
      </x:c>
      <x:c r="F97" s="12" t="str">
        <x:v>A_dbc</x:v>
      </x:c>
      <x:c r="G97" s="12" t="str"/>
      <x:c r="H97" s="12" t="str">
        <x:v>設計変数</x:v>
      </x:c>
      <x:c r="I97" s="12" t="str">
        <x:v>対象</x:v>
      </x:c>
      <x:c r="J97" s="48"/>
      <x:c r="K97" s="12"/>
      <x:c r="L97" s="12"/>
      <x:c r="M97" s="12"/>
      <x:c r="N97" s="12" t="str">
        <x:v>基準仕様（シナリオ間固定）</x:v>
      </x:c>
      <x:c r="O97" s="12" t="str">
        <x:v>09_基準仕様</x:v>
      </x:c>
      <x:c r="P97" s="12" t="str">
        <x:v>通常は編集しない</x:v>
      </x:c>
      <x:c r="Q97" s="12" t="str">
        <x:v>D列は直接編集せず参照元を編集</x:v>
      </x:c>
    </x:row>
    <x:row r="98">
      <x:c r="A98" s="12" t="str">
        <x:v>DBC</x:v>
      </x:c>
      <x:c r="B98" s="12" t="str">
        <x:v>DBC幅</x:v>
      </x:c>
      <x:c r="C98" s="12" t="str">
        <x:v>W_dbc</x:v>
      </x:c>
      <x:c r="D98" s="197" t="n">
        <x:f>'09_基準仕様'!E93</x:f>
        <x:v>0.06</x:v>
      </x:c>
      <x:c r="E98" s="12" t="str">
        <x:v>m</x:v>
      </x:c>
      <x:c r="F98" s="12" t="str">
        <x:v>A_dbc</x:v>
      </x:c>
      <x:c r="G98" s="12" t="str"/>
      <x:c r="H98" s="12" t="str">
        <x:v>設計変数</x:v>
      </x:c>
      <x:c r="I98" s="12" t="str">
        <x:v>対象</x:v>
      </x:c>
      <x:c r="J98" s="48"/>
      <x:c r="K98" s="12"/>
      <x:c r="L98" s="12"/>
      <x:c r="M98" s="12"/>
      <x:c r="N98" s="12" t="str">
        <x:v>基準仕様（シナリオ間固定）</x:v>
      </x:c>
      <x:c r="O98" s="12" t="str">
        <x:v>09_基準仕様</x:v>
      </x:c>
      <x:c r="P98" s="12" t="str">
        <x:v>通常は編集しない</x:v>
      </x:c>
      <x:c r="Q98" s="12" t="str">
        <x:v>D列は直接編集せず参照元を編集</x:v>
      </x:c>
    </x:row>
    <x:row r="99">
      <x:c r="A99" s="12" t="str">
        <x:v>DBC</x:v>
      </x:c>
      <x:c r="B99" s="12" t="str">
        <x:v>上銅厚</x:v>
      </x:c>
      <x:c r="C99" s="12" t="str">
        <x:v>t_cu_top</x:v>
      </x:c>
      <x:c r="D99" s="197" t="n">
        <x:f>'09_基準仕様'!E94</x:f>
        <x:v>0.3</x:v>
      </x:c>
      <x:c r="E99" s="12" t="str">
        <x:v>mm</x:v>
      </x:c>
      <x:c r="F99" s="12" t="str">
        <x:v>t_dbc/rho_dbc</x:v>
      </x:c>
      <x:c r="G99" s="12" t="str"/>
      <x:c r="H99" s="12" t="str">
        <x:v>設計変数</x:v>
      </x:c>
      <x:c r="I99" s="12" t="str">
        <x:v>対象</x:v>
      </x:c>
      <x:c r="J99" s="48"/>
      <x:c r="K99" s="12"/>
      <x:c r="L99" s="12"/>
      <x:c r="M99" s="12"/>
      <x:c r="N99" s="12" t="str">
        <x:v>基準仕様（シナリオ間固定）</x:v>
      </x:c>
      <x:c r="O99" s="12" t="str">
        <x:v>09_基準仕様</x:v>
      </x:c>
      <x:c r="P99" s="12" t="str">
        <x:v>通常は編集しない</x:v>
      </x:c>
      <x:c r="Q99" s="12" t="str">
        <x:v>D列は直接編集せず参照元を編集</x:v>
      </x:c>
    </x:row>
    <x:row r="100">
      <x:c r="A100" s="12" t="str">
        <x:v>DBC</x:v>
      </x:c>
      <x:c r="B100" s="12" t="str">
        <x:v>セラミック厚</x:v>
      </x:c>
      <x:c r="C100" s="12" t="str">
        <x:v>t_cer</x:v>
      </x:c>
      <x:c r="D100" s="197" t="n">
        <x:f>'09_基準仕様'!E95</x:f>
        <x:v>0.32</x:v>
      </x:c>
      <x:c r="E100" s="12" t="str">
        <x:v>mm</x:v>
      </x:c>
      <x:c r="F100" s="12" t="str">
        <x:v>t_dbc/rho_dbc</x:v>
      </x:c>
      <x:c r="G100" s="12" t="str"/>
      <x:c r="H100" s="12" t="str">
        <x:v>設計変数</x:v>
      </x:c>
      <x:c r="I100" s="12" t="str">
        <x:v>対象</x:v>
      </x:c>
      <x:c r="J100" s="48"/>
      <x:c r="K100" s="12"/>
      <x:c r="L100" s="12"/>
      <x:c r="M100" s="12"/>
      <x:c r="N100" s="12" t="str">
        <x:v>基準仕様（シナリオ間固定）</x:v>
      </x:c>
      <x:c r="O100" s="12" t="str">
        <x:v>09_基準仕様</x:v>
      </x:c>
      <x:c r="P100" s="12" t="str">
        <x:v>通常は編集しない</x:v>
      </x:c>
      <x:c r="Q100" s="12" t="str">
        <x:v>D列は直接編集せず参照元を編集</x:v>
      </x:c>
    </x:row>
    <x:row r="101">
      <x:c r="A101" s="12" t="str">
        <x:v>DBC</x:v>
      </x:c>
      <x:c r="B101" s="12" t="str">
        <x:v>下銅厚</x:v>
      </x:c>
      <x:c r="C101" s="12" t="str">
        <x:v>t_cu_bot</x:v>
      </x:c>
      <x:c r="D101" s="197" t="n">
        <x:f>'09_基準仕様'!E96</x:f>
        <x:v>0.3</x:v>
      </x:c>
      <x:c r="E101" s="12" t="str">
        <x:v>mm</x:v>
      </x:c>
      <x:c r="F101" s="12" t="str">
        <x:v>t_dbc/rho_dbc</x:v>
      </x:c>
      <x:c r="G101" s="12" t="str"/>
      <x:c r="H101" s="12" t="str">
        <x:v>設計変数</x:v>
      </x:c>
      <x:c r="I101" s="12" t="str">
        <x:v>対象</x:v>
      </x:c>
      <x:c r="J101" s="48"/>
      <x:c r="K101" s="12"/>
      <x:c r="L101" s="12"/>
      <x:c r="M101" s="12"/>
      <x:c r="N101" s="12" t="str">
        <x:v>基準仕様（シナリオ間固定）</x:v>
      </x:c>
      <x:c r="O101" s="12" t="str">
        <x:v>09_基準仕様</x:v>
      </x:c>
      <x:c r="P101" s="12" t="str">
        <x:v>通常は編集しない</x:v>
      </x:c>
      <x:c r="Q101" s="12" t="str">
        <x:v>D列は直接編集せず参照元を編集</x:v>
      </x:c>
    </x:row>
    <x:row r="102">
      <x:c r="A102" s="12" t="str">
        <x:v>DBC</x:v>
      </x:c>
      <x:c r="B102" s="12" t="str">
        <x:v>銅密度</x:v>
      </x:c>
      <x:c r="C102" s="12" t="str">
        <x:v>rho_cu</x:v>
      </x:c>
      <x:c r="D102" s="197" t="n">
        <x:f>'09_基準仕様'!E97</x:f>
        <x:v>8960</x:v>
      </x:c>
      <x:c r="E102" s="12" t="str">
        <x:v>kg/m³</x:v>
      </x:c>
      <x:c r="F102" s="12" t="str">
        <x:v>rho_dbc</x:v>
      </x:c>
      <x:c r="G102" s="12" t="str"/>
      <x:c r="H102" s="12" t="str">
        <x:v>材料</x:v>
      </x:c>
      <x:c r="I102" s="12" t="str">
        <x:v>対象</x:v>
      </x:c>
      <x:c r="J102" s="48"/>
      <x:c r="K102" s="12"/>
      <x:c r="L102" s="12"/>
      <x:c r="M102" s="12"/>
      <x:c r="N102" s="12" t="str">
        <x:v>基準仕様（シナリオ間固定）</x:v>
      </x:c>
      <x:c r="O102" s="12" t="str">
        <x:v>09_基準仕様</x:v>
      </x:c>
      <x:c r="P102" s="12" t="str">
        <x:v>通常は編集しない</x:v>
      </x:c>
      <x:c r="Q102" s="12" t="str">
        <x:v>D列は直接編集せず参照元を編集</x:v>
      </x:c>
    </x:row>
    <x:row r="103">
      <x:c r="A103" s="12" t="str">
        <x:v>DBC</x:v>
      </x:c>
      <x:c r="B103" s="12" t="str">
        <x:v>セラミック密度</x:v>
      </x:c>
      <x:c r="C103" s="12" t="str">
        <x:v>rho_cer</x:v>
      </x:c>
      <x:c r="D103" s="197" t="n">
        <x:f>'09_基準仕様'!E98</x:f>
        <x:v>3260</x:v>
      </x:c>
      <x:c r="E103" s="12" t="str">
        <x:v>kg/m³</x:v>
      </x:c>
      <x:c r="F103" s="12" t="str">
        <x:v>rho_dbc</x:v>
      </x:c>
      <x:c r="G103" s="12" t="str">
        <x:v>AlN/Al2O3等価例</x:v>
      </x:c>
      <x:c r="H103" s="12" t="str">
        <x:v>材料</x:v>
      </x:c>
      <x:c r="I103" s="12" t="str">
        <x:v>対象</x:v>
      </x:c>
      <x:c r="J103" s="48"/>
      <x:c r="K103" s="12"/>
      <x:c r="L103" s="12"/>
      <x:c r="M103" s="12"/>
      <x:c r="N103" s="12" t="str">
        <x:v>基準仕様（シナリオ間固定）</x:v>
      </x:c>
      <x:c r="O103" s="12" t="str">
        <x:v>09_基準仕様</x:v>
      </x:c>
      <x:c r="P103" s="12" t="str">
        <x:v>通常は編集しない</x:v>
      </x:c>
      <x:c r="Q103" s="12" t="str">
        <x:v>D列は直接編集せず参照元を編集</x:v>
      </x:c>
    </x:row>
    <x:row r="104">
      <x:c r="A104" s="12" t="str">
        <x:v>ベース</x:v>
      </x:c>
      <x:c r="B104" s="12" t="str">
        <x:v>ベース長さ</x:v>
      </x:c>
      <x:c r="C104" s="12" t="str">
        <x:v>L_base</x:v>
      </x:c>
      <x:c r="D104" s="197" t="n">
        <x:f>'09_基準仕様'!E99</x:f>
        <x:v>0.08</x:v>
      </x:c>
      <x:c r="E104" s="12" t="str">
        <x:v>m</x:v>
      </x:c>
      <x:c r="F104" s="12" t="str">
        <x:v>A_base/t_base</x:v>
      </x:c>
      <x:c r="G104" s="12" t="str"/>
      <x:c r="H104" s="12" t="str">
        <x:v>設計変数</x:v>
      </x:c>
      <x:c r="I104" s="12" t="str">
        <x:v>対象</x:v>
      </x:c>
      <x:c r="J104" s="48"/>
      <x:c r="K104" s="12"/>
      <x:c r="L104" s="12"/>
      <x:c r="M104" s="12"/>
      <x:c r="N104" s="12" t="str">
        <x:v>基準仕様（シナリオ間固定）</x:v>
      </x:c>
      <x:c r="O104" s="12" t="str">
        <x:v>09_基準仕様</x:v>
      </x:c>
      <x:c r="P104" s="12" t="str">
        <x:v>通常は編集しない</x:v>
      </x:c>
      <x:c r="Q104" s="12" t="str">
        <x:v>D列は直接編集せず参照元を編集</x:v>
      </x:c>
    </x:row>
    <x:row r="105">
      <x:c r="A105" s="12" t="str">
        <x:v>ベース</x:v>
      </x:c>
      <x:c r="B105" s="12" t="str">
        <x:v>ベース幅</x:v>
      </x:c>
      <x:c r="C105" s="12" t="str">
        <x:v>W_base</x:v>
      </x:c>
      <x:c r="D105" s="197" t="n">
        <x:f>'09_基準仕様'!E100</x:f>
        <x:v>0.065</x:v>
      </x:c>
      <x:c r="E105" s="12" t="str">
        <x:v>m</x:v>
      </x:c>
      <x:c r="F105" s="12" t="str">
        <x:v>A_base</x:v>
      </x:c>
      <x:c r="G105" s="12" t="str"/>
      <x:c r="H105" s="12" t="str">
        <x:v>設計変数</x:v>
      </x:c>
      <x:c r="I105" s="12" t="str">
        <x:v>対象</x:v>
      </x:c>
      <x:c r="J105" s="48"/>
      <x:c r="K105" s="12"/>
      <x:c r="L105" s="12"/>
      <x:c r="M105" s="12"/>
      <x:c r="N105" s="12" t="str">
        <x:v>基準仕様（シナリオ間固定）</x:v>
      </x:c>
      <x:c r="O105" s="12" t="str">
        <x:v>09_基準仕様</x:v>
      </x:c>
      <x:c r="P105" s="12" t="str">
        <x:v>通常は編集しない</x:v>
      </x:c>
      <x:c r="Q105" s="12" t="str">
        <x:v>D列は直接編集せず参照元を編集</x:v>
      </x:c>
    </x:row>
    <x:row r="106">
      <x:c r="A106" s="12" t="str">
        <x:v>ベース</x:v>
      </x:c>
      <x:c r="B106" s="12" t="str">
        <x:v>機械荷重係数</x:v>
      </x:c>
      <x:c r="C106" s="12" t="str">
        <x:v>p_base</x:v>
      </x:c>
      <x:c r="D106" s="197" t="n">
        <x:f>'09_基準仕様'!E101</x:f>
        <x:v>1</x:v>
      </x:c>
      <x:c r="E106" s="12" t="str">
        <x:v>-</x:v>
      </x:c>
      <x:c r="F106" s="12" t="str">
        <x:v>t_base_min</x:v>
      </x:c>
      <x:c r="G106" s="12" t="str">
        <x:v>簡易無次元荷重</x:v>
      </x:c>
      <x:c r="H106" s="12" t="str">
        <x:v>技術係数</x:v>
      </x:c>
      <x:c r="I106" s="12" t="str">
        <x:v>対象</x:v>
      </x:c>
      <x:c r="J106" s="48"/>
      <x:c r="K106" s="12"/>
      <x:c r="L106" s="12"/>
      <x:c r="M106" s="12"/>
      <x:c r="N106" s="12" t="str">
        <x:v>基準仕様（シナリオ間固定）</x:v>
      </x:c>
      <x:c r="O106" s="12" t="str">
        <x:v>09_基準仕様</x:v>
      </x:c>
      <x:c r="P106" s="12" t="str">
        <x:v>通常は編集しない</x:v>
      </x:c>
      <x:c r="Q106" s="12" t="str">
        <x:v>D列は直接編集せず参照元を編集</x:v>
      </x:c>
    </x:row>
    <x:row r="107">
      <x:c r="A107" s="12" t="str">
        <x:v>ベース</x:v>
      </x:c>
      <x:c r="B107" s="12" t="str">
        <x:v>許容応力係数</x:v>
      </x:c>
      <x:c r="C107" s="12" t="str">
        <x:v>sigma_base</x:v>
      </x:c>
      <x:c r="D107" s="197" t="n">
        <x:f>'09_基準仕様'!E102</x:f>
        <x:v>1</x:v>
      </x:c>
      <x:c r="E107" s="12" t="str">
        <x:v>-</x:v>
      </x:c>
      <x:c r="F107" s="12" t="str">
        <x:v>t_base_min</x:v>
      </x:c>
      <x:c r="G107" s="12" t="str">
        <x:v>簡易無次元強度</x:v>
      </x:c>
      <x:c r="H107" s="12" t="str">
        <x:v>材料</x:v>
      </x:c>
      <x:c r="I107" s="12" t="str">
        <x:v>対象</x:v>
      </x:c>
      <x:c r="J107" s="48"/>
      <x:c r="K107" s="12"/>
      <x:c r="L107" s="12"/>
      <x:c r="M107" s="12"/>
      <x:c r="N107" s="12" t="str">
        <x:v>基準仕様（シナリオ間固定）</x:v>
      </x:c>
      <x:c r="O107" s="12" t="str">
        <x:v>09_基準仕様</x:v>
      </x:c>
      <x:c r="P107" s="12" t="str">
        <x:v>通常は編集しない</x:v>
      </x:c>
      <x:c r="Q107" s="12" t="str">
        <x:v>D列は直接編集せず参照元を編集</x:v>
      </x:c>
    </x:row>
    <x:row r="108">
      <x:c r="A108" s="12" t="str">
        <x:v>ベース</x:v>
      </x:c>
      <x:c r="B108" s="12" t="str">
        <x:v>厚さ安全係数</x:v>
      </x:c>
      <x:c r="C108" s="12" t="str">
        <x:v>K_base_sf</x:v>
      </x:c>
      <x:c r="D108" s="197" t="n">
        <x:f>'09_基準仕様'!E103</x:f>
        <x:v>1.2</x:v>
      </x:c>
      <x:c r="E108" s="12" t="str">
        <x:v>-</x:v>
      </x:c>
      <x:c r="F108" s="12" t="str">
        <x:v>t_base</x:v>
      </x:c>
      <x:c r="G108" s="12" t="str"/>
      <x:c r="H108" s="12" t="str">
        <x:v>技術係数</x:v>
      </x:c>
      <x:c r="I108" s="12" t="str">
        <x:v>対象</x:v>
      </x:c>
      <x:c r="J108" s="48"/>
      <x:c r="K108" s="12"/>
      <x:c r="L108" s="12"/>
      <x:c r="M108" s="12"/>
      <x:c r="N108" s="12" t="str">
        <x:v>基準仕様（シナリオ間固定）</x:v>
      </x:c>
      <x:c r="O108" s="12" t="str">
        <x:v>09_基準仕様</x:v>
      </x:c>
      <x:c r="P108" s="12" t="str">
        <x:v>通常は編集しない</x:v>
      </x:c>
      <x:c r="Q108" s="12" t="str">
        <x:v>D列は直接編集せず参照元を編集</x:v>
      </x:c>
    </x:row>
    <x:row r="109">
      <x:c r="A109" s="12" t="str">
        <x:v>コンデンサ物性</x:v>
      </x:c>
      <x:c r="B109" s="12" t="str">
        <x:v>真空誘電率</x:v>
      </x:c>
      <x:c r="C109" s="12" t="str">
        <x:v>eps0</x:v>
      </x:c>
      <x:c r="D109" s="197" t="n">
        <x:f>'09_基準仕様'!E104</x:f>
        <x:v>8.854e-12</x:v>
      </x:c>
      <x:c r="E109" s="12" t="str">
        <x:v>F/m</x:v>
      </x:c>
      <x:c r="F109" s="12" t="str">
        <x:v>e_cap_phys</x:v>
      </x:c>
      <x:c r="G109" s="12" t="str">
        <x:v>物理定数</x:v>
      </x:c>
      <x:c r="H109" s="12" t="str">
        <x:v>固定定数</x:v>
      </x:c>
      <x:c r="I109" s="12" t="str">
        <x:v>対象外</x:v>
      </x:c>
      <x:c r="J109" s="48"/>
      <x:c r="K109" s="12"/>
      <x:c r="L109" s="12"/>
      <x:c r="M109" s="12"/>
      <x:c r="N109" s="12" t="str">
        <x:v>基準仕様（シナリオ間固定）</x:v>
      </x:c>
      <x:c r="O109" s="12" t="str">
        <x:v>09_基準仕様</x:v>
      </x:c>
      <x:c r="P109" s="12" t="str">
        <x:v>通常は編集しない</x:v>
      </x:c>
      <x:c r="Q109" s="12" t="str">
        <x:v>D列は直接編集せず参照元を編集</x:v>
      </x:c>
    </x:row>
    <x:row r="110">
      <x:c r="A110" s="12" t="str">
        <x:v>コンデンサ物性</x:v>
      </x:c>
      <x:c r="B110" s="12" t="str">
        <x:v>比誘電率</x:v>
      </x:c>
      <x:c r="C110" s="12" t="str">
        <x:v>eps_r</x:v>
      </x:c>
      <x:c r="D110" s="197" t="n">
        <x:f>'09_基準仕様'!E105</x:f>
        <x:v>2.2</x:v>
      </x:c>
      <x:c r="E110" s="12" t="str">
        <x:v>-</x:v>
      </x:c>
      <x:c r="F110" s="12" t="str">
        <x:v>e_cap_phys</x:v>
      </x:c>
      <x:c r="G110" s="12" t="str"/>
      <x:c r="H110" s="12" t="str">
        <x:v>材料</x:v>
      </x:c>
      <x:c r="I110" s="12" t="str">
        <x:v>対象</x:v>
      </x:c>
      <x:c r="J110" s="48"/>
      <x:c r="K110" s="12"/>
      <x:c r="L110" s="12"/>
      <x:c r="M110" s="12"/>
      <x:c r="N110" s="12" t="str">
        <x:v>基準仕様（シナリオ間固定）</x:v>
      </x:c>
      <x:c r="O110" s="12" t="str">
        <x:v>09_基準仕様</x:v>
      </x:c>
      <x:c r="P110" s="12" t="str">
        <x:v>通常は編集しない</x:v>
      </x:c>
      <x:c r="Q110" s="12" t="str">
        <x:v>D列は直接編集せず参照元を編集</x:v>
      </x:c>
    </x:row>
    <x:row r="111">
      <x:c r="A111" s="12" t="str">
        <x:v>コンデンサ物性</x:v>
      </x:c>
      <x:c r="B111" s="12" t="str">
        <x:v>誘電体破壊電界</x:v>
      </x:c>
      <x:c r="C111" s="12" t="str">
        <x:v>E_break_cap</x:v>
      </x:c>
      <x:c r="D111" s="197" t="n">
        <x:f>'09_基準仕様'!E106</x:f>
        <x:v>550000000</x:v>
      </x:c>
      <x:c r="E111" s="12" t="str">
        <x:v>V/m</x:v>
      </x:c>
      <x:c r="F111" s="12" t="str">
        <x:v>E_work_cap</x:v>
      </x:c>
      <x:c r="G111" s="12" t="str">
        <x:v>説明用</x:v>
      </x:c>
      <x:c r="H111" s="12" t="str">
        <x:v>材料</x:v>
      </x:c>
      <x:c r="I111" s="12" t="str">
        <x:v>対象</x:v>
      </x:c>
      <x:c r="J111" s="48"/>
      <x:c r="K111" s="12"/>
      <x:c r="L111" s="12"/>
      <x:c r="M111" s="12"/>
      <x:c r="N111" s="12" t="str">
        <x:v>基準仕様（シナリオ間固定）</x:v>
      </x:c>
      <x:c r="O111" s="12" t="str">
        <x:v>09_基準仕様</x:v>
      </x:c>
      <x:c r="P111" s="12" t="str">
        <x:v>通常は編集しない</x:v>
      </x:c>
      <x:c r="Q111" s="12" t="str">
        <x:v>D列は直接編集せず参照元を編集</x:v>
      </x:c>
    </x:row>
    <x:row r="112">
      <x:c r="A112" s="12" t="str">
        <x:v>コンデンサ物性</x:v>
      </x:c>
      <x:c r="B112" s="12" t="str">
        <x:v>電界利用率</x:v>
      </x:c>
      <x:c r="C112" s="12" t="str">
        <x:v>k_Ecap</x:v>
      </x:c>
      <x:c r="D112" s="197" t="n">
        <x:f>'09_基準仕様'!E107</x:f>
        <x:v>0.45</x:v>
      </x:c>
      <x:c r="E112" s="12" t="str">
        <x:v>-</x:v>
      </x:c>
      <x:c r="F112" s="12" t="str">
        <x:v>E_work_cap</x:v>
      </x:c>
      <x:c r="G112" s="12" t="str"/>
      <x:c r="H112" s="12" t="str">
        <x:v>技術係数</x:v>
      </x:c>
      <x:c r="I112" s="12" t="str">
        <x:v>対象</x:v>
      </x:c>
      <x:c r="J112" s="48"/>
      <x:c r="K112" s="12"/>
      <x:c r="L112" s="12"/>
      <x:c r="M112" s="12"/>
      <x:c r="N112" s="12" t="str">
        <x:v>基準仕様（シナリオ間固定）</x:v>
      </x:c>
      <x:c r="O112" s="12" t="str">
        <x:v>09_基準仕様</x:v>
      </x:c>
      <x:c r="P112" s="12" t="str">
        <x:v>通常は編集しない</x:v>
      </x:c>
      <x:c r="Q112" s="12" t="str">
        <x:v>D列は直接編集せず参照元を編集</x:v>
      </x:c>
    </x:row>
    <x:row r="113">
      <x:c r="A113" s="12" t="str">
        <x:v>コンデンサ物性</x:v>
      </x:c>
      <x:c r="B113" s="12" t="str">
        <x:v>誘電体密度</x:v>
      </x:c>
      <x:c r="C113" s="12" t="str">
        <x:v>rho_die</x:v>
      </x:c>
      <x:c r="D113" s="197" t="n">
        <x:f>'09_基準仕様'!E108</x:f>
        <x:v>1400</x:v>
      </x:c>
      <x:c r="E113" s="12" t="str">
        <x:v>kg/m³</x:v>
      </x:c>
      <x:c r="F113" s="12" t="str">
        <x:v>e_cap_phys</x:v>
      </x:c>
      <x:c r="G113" s="12" t="str"/>
      <x:c r="H113" s="12" t="str">
        <x:v>材料</x:v>
      </x:c>
      <x:c r="I113" s="12" t="str">
        <x:v>対象</x:v>
      </x:c>
      <x:c r="J113" s="48"/>
      <x:c r="K113" s="12"/>
      <x:c r="L113" s="12"/>
      <x:c r="M113" s="12"/>
      <x:c r="N113" s="12" t="str">
        <x:v>基準仕様（シナリオ間固定）</x:v>
      </x:c>
      <x:c r="O113" s="12" t="str">
        <x:v>09_基準仕様</x:v>
      </x:c>
      <x:c r="P113" s="12" t="str">
        <x:v>通常は編集しない</x:v>
      </x:c>
      <x:c r="Q113" s="12" t="str">
        <x:v>D列は直接編集せず参照元を編集</x:v>
      </x:c>
    </x:row>
    <x:row r="114">
      <x:c r="A114" s="12" t="str">
        <x:v>コンデンサ物性</x:v>
      </x:c>
      <x:c r="B114" s="12" t="str">
        <x:v>体積利用率</x:v>
      </x:c>
      <x:c r="C114" s="12" t="str">
        <x:v>k_vol_cap</x:v>
      </x:c>
      <x:c r="D114" s="197" t="n">
        <x:f>'09_基準仕様'!E109</x:f>
        <x:v>0.55</x:v>
      </x:c>
      <x:c r="E114" s="12" t="str">
        <x:v>-</x:v>
      </x:c>
      <x:c r="F114" s="12" t="str">
        <x:v>e_cap_phys</x:v>
      </x:c>
      <x:c r="G114" s="12" t="str"/>
      <x:c r="H114" s="12" t="str">
        <x:v>技術係数</x:v>
      </x:c>
      <x:c r="I114" s="12" t="str">
        <x:v>対象</x:v>
      </x:c>
      <x:c r="J114" s="48"/>
      <x:c r="K114" s="12"/>
      <x:c r="L114" s="12"/>
      <x:c r="M114" s="12"/>
      <x:c r="N114" s="12" t="str">
        <x:v>基準仕様（シナリオ間固定）</x:v>
      </x:c>
      <x:c r="O114" s="12" t="str">
        <x:v>09_基準仕様</x:v>
      </x:c>
      <x:c r="P114" s="12" t="str">
        <x:v>通常は編集しない</x:v>
      </x:c>
      <x:c r="Q114" s="12" t="str">
        <x:v>D列は直接編集せず参照元を編集</x:v>
      </x:c>
    </x:row>
    <x:row r="115">
      <x:c r="A115" s="12" t="str">
        <x:v>筐体力学</x:v>
      </x:c>
      <x:c r="B115" s="12" t="str">
        <x:v>筐体等価圧力係数</x:v>
      </x:c>
      <x:c r="C115" s="12" t="str">
        <x:v>p_case</x:v>
      </x:c>
      <x:c r="D115" s="197" t="n">
        <x:f>'09_基準仕様'!E110</x:f>
        <x:v>1</x:v>
      </x:c>
      <x:c r="E115" s="12" t="str">
        <x:v>-</x:v>
      </x:c>
      <x:c r="F115" s="12" t="str">
        <x:v>t_case_req</x:v>
      </x:c>
      <x:c r="G115" s="12" t="str">
        <x:v>簡易荷重係数</x:v>
      </x:c>
      <x:c r="H115" s="12" t="str">
        <x:v>技術係数</x:v>
      </x:c>
      <x:c r="I115" s="12" t="str">
        <x:v>対象</x:v>
      </x:c>
      <x:c r="J115" s="48"/>
      <x:c r="K115" s="12"/>
      <x:c r="L115" s="12"/>
      <x:c r="M115" s="12"/>
      <x:c r="N115" s="12" t="str">
        <x:v>基準仕様（シナリオ間固定）</x:v>
      </x:c>
      <x:c r="O115" s="12" t="str">
        <x:v>09_基準仕様</x:v>
      </x:c>
      <x:c r="P115" s="12" t="str">
        <x:v>通常は編集しない</x:v>
      </x:c>
      <x:c r="Q115" s="12" t="str">
        <x:v>D列は直接編集せず参照元を編集</x:v>
      </x:c>
    </x:row>
    <x:row r="116">
      <x:c r="A116" s="12" t="str">
        <x:v>筐体力学</x:v>
      </x:c>
      <x:c r="B116" s="12" t="str">
        <x:v>材料基準強度</x:v>
      </x:c>
      <x:c r="C116" s="12" t="str">
        <x:v>sigma_y_ref</x:v>
      </x:c>
      <x:c r="D116" s="197" t="n">
        <x:f>'09_基準仕様'!E111</x:f>
        <x:v>1</x:v>
      </x:c>
      <x:c r="E116" s="12" t="str">
        <x:v>-</x:v>
      </x:c>
      <x:c r="F116" s="12" t="str">
        <x:v>sigma_y_eff</x:v>
      </x:c>
      <x:c r="G116" s="12" t="str">
        <x:v>無次元簡易値</x:v>
      </x:c>
      <x:c r="H116" s="12" t="str">
        <x:v>材料</x:v>
      </x:c>
      <x:c r="I116" s="12" t="str">
        <x:v>対象</x:v>
      </x:c>
      <x:c r="J116" s="48"/>
      <x:c r="K116" s="12"/>
      <x:c r="L116" s="12"/>
      <x:c r="M116" s="12"/>
      <x:c r="N116" s="12" t="str">
        <x:v>基準仕様（シナリオ間固定）</x:v>
      </x:c>
      <x:c r="O116" s="12" t="str">
        <x:v>09_基準仕様</x:v>
      </x:c>
      <x:c r="P116" s="12" t="str">
        <x:v>通常は編集しない</x:v>
      </x:c>
      <x:c r="Q116" s="12" t="str">
        <x:v>D列は直接編集せず参照元を編集</x:v>
      </x:c>
    </x:row>
    <x:row r="117">
      <x:c r="A117" s="12" t="str">
        <x:v>筐体力学</x:v>
      </x:c>
      <x:c r="B117" s="12" t="str">
        <x:v>温度強度低下係数</x:v>
      </x:c>
      <x:c r="C117" s="12" t="str">
        <x:v>k_temp_case</x:v>
      </x:c>
      <x:c r="D117" s="197" t="n">
        <x:f>'09_基準仕様'!E112</x:f>
        <x:v>0.9</x:v>
      </x:c>
      <x:c r="E117" s="12" t="str">
        <x:v>-</x:v>
      </x:c>
      <x:c r="F117" s="12" t="str">
        <x:v>sigma_y_eff</x:v>
      </x:c>
      <x:c r="G117" s="12" t="str"/>
      <x:c r="H117" s="12" t="str">
        <x:v>技術係数</x:v>
      </x:c>
      <x:c r="I117" s="12" t="str">
        <x:v>対象</x:v>
      </x:c>
      <x:c r="J117" s="48"/>
      <x:c r="K117" s="12"/>
      <x:c r="L117" s="12"/>
      <x:c r="M117" s="12"/>
      <x:c r="N117" s="12" t="str">
        <x:v>基準仕様（シナリオ間固定）</x:v>
      </x:c>
      <x:c r="O117" s="12" t="str">
        <x:v>09_基準仕様</x:v>
      </x:c>
      <x:c r="P117" s="12" t="str">
        <x:v>通常は編集しない</x:v>
      </x:c>
      <x:c r="Q117" s="12" t="str">
        <x:v>D列は直接編集せず参照元を編集</x:v>
      </x:c>
    </x:row>
    <x:row r="118">
      <x:c r="A118" s="12" t="str">
        <x:v>筐体力学</x:v>
      </x:c>
      <x:c r="B118" s="12" t="str">
        <x:v>加工強度係数</x:v>
      </x:c>
      <x:c r="C118" s="12" t="str">
        <x:v>k_proc_case</x:v>
      </x:c>
      <x:c r="D118" s="197" t="n">
        <x:f>'09_基準仕様'!E113</x:f>
        <x:v>0.95</x:v>
      </x:c>
      <x:c r="E118" s="12" t="str">
        <x:v>-</x:v>
      </x:c>
      <x:c r="F118" s="12" t="str">
        <x:v>sigma_y_eff</x:v>
      </x:c>
      <x:c r="G118" s="12" t="str"/>
      <x:c r="H118" s="12" t="str">
        <x:v>技術係数</x:v>
      </x:c>
      <x:c r="I118" s="12" t="str">
        <x:v>対象</x:v>
      </x:c>
      <x:c r="J118" s="48"/>
      <x:c r="K118" s="12"/>
      <x:c r="L118" s="12"/>
      <x:c r="M118" s="12"/>
      <x:c r="N118" s="12" t="str">
        <x:v>基準仕様（シナリオ間固定）</x:v>
      </x:c>
      <x:c r="O118" s="12" t="str">
        <x:v>09_基準仕様</x:v>
      </x:c>
      <x:c r="P118" s="12" t="str">
        <x:v>通常は編集しない</x:v>
      </x:c>
      <x:c r="Q118" s="12" t="str">
        <x:v>D列は直接編集せず参照元を編集</x:v>
      </x:c>
    </x:row>
    <x:row r="119">
      <x:c r="A119" s="12" t="str">
        <x:v>筐体力学</x:v>
      </x:c>
      <x:c r="B119" s="12" t="str">
        <x:v>板厚安全係数</x:v>
      </x:c>
      <x:c r="C119" s="12" t="str">
        <x:v>K_tcase_sf</x:v>
      </x:c>
      <x:c r="D119" s="197" t="n">
        <x:f>'09_基準仕様'!E114</x:f>
        <x:v>1.15</x:v>
      </x:c>
      <x:c r="E119" s="12" t="str">
        <x:v>-</x:v>
      </x:c>
      <x:c r="F119" s="12" t="str">
        <x:v>t_case_req</x:v>
      </x:c>
      <x:c r="G119" s="12" t="str"/>
      <x:c r="H119" s="12" t="str">
        <x:v>技術係数</x:v>
      </x:c>
      <x:c r="I119" s="12" t="str">
        <x:v>対象</x:v>
      </x:c>
      <x:c r="J119" s="48"/>
      <x:c r="K119" s="12"/>
      <x:c r="L119" s="12"/>
      <x:c r="M119" s="12"/>
      <x:c r="N119" s="12" t="str">
        <x:v>基準仕様（シナリオ間固定）</x:v>
      </x:c>
      <x:c r="O119" s="12" t="str">
        <x:v>09_基準仕様</x:v>
      </x:c>
      <x:c r="P119" s="12" t="str">
        <x:v>通常は編集しない</x:v>
      </x:c>
      <x:c r="Q119" s="12" t="str">
        <x:v>D列は直接編集せず参照元を編集</x:v>
      </x:c>
    </x:row>
    <x:row r="120">
      <x:c r="A120" s="12" t="str">
        <x:v>バスバー熱</x:v>
      </x:c>
      <x:c r="B120" s="12" t="str">
        <x:v>基準熱伝達係数</x:v>
      </x:c>
      <x:c r="C120" s="12" t="str">
        <x:v>h_bus</x:v>
      </x:c>
      <x:c r="D120" s="197" t="n">
        <x:f>'09_基準仕様'!E115</x:f>
        <x:v>20</x:v>
      </x:c>
      <x:c r="E120" s="12" t="str">
        <x:v>W/(m²K)</x:v>
      </x:c>
      <x:c r="F120" s="12" t="str">
        <x:v>J_bus_phys</x:v>
      </x:c>
      <x:c r="G120" s="12" t="str">
        <x:v>自然/強制空冷等価</x:v>
      </x:c>
      <x:c r="H120" s="12" t="str">
        <x:v>技術仕様</x:v>
      </x:c>
      <x:c r="I120" s="12" t="str">
        <x:v>対象</x:v>
      </x:c>
      <x:c r="J120" s="48"/>
      <x:c r="K120" s="12"/>
      <x:c r="L120" s="12"/>
      <x:c r="M120" s="12"/>
      <x:c r="N120" s="12" t="str">
        <x:v>基準仕様（シナリオ間固定）</x:v>
      </x:c>
      <x:c r="O120" s="12" t="str">
        <x:v>09_基準仕様</x:v>
      </x:c>
      <x:c r="P120" s="12" t="str">
        <x:v>通常は編集しない</x:v>
      </x:c>
      <x:c r="Q120" s="12" t="str">
        <x:v>D列は直接編集せず参照元を編集</x:v>
      </x:c>
    </x:row>
    <x:row r="121">
      <x:c r="A121" s="12" t="str">
        <x:v>バスバー熱</x:v>
      </x:c>
      <x:c r="B121" s="12" t="str">
        <x:v>銅抵抗率</x:v>
      </x:c>
      <x:c r="C121" s="12" t="str">
        <x:v>rho_e_bus</x:v>
      </x:c>
      <x:c r="D121" s="197" t="n">
        <x:f>'09_基準仕様'!E116</x:f>
        <x:v>1.72e-8</x:v>
      </x:c>
      <x:c r="E121" s="12" t="str">
        <x:v>Ωm</x:v>
      </x:c>
      <x:c r="F121" s="12" t="str">
        <x:v>J_bus_phys</x:v>
      </x:c>
      <x:c r="G121" s="12" t="str"/>
      <x:c r="H121" s="12" t="str">
        <x:v>材料</x:v>
      </x:c>
      <x:c r="I121" s="12" t="str">
        <x:v>対象</x:v>
      </x:c>
      <x:c r="J121" s="48"/>
      <x:c r="K121" s="12"/>
      <x:c r="L121" s="12"/>
      <x:c r="M121" s="12"/>
      <x:c r="N121" s="12" t="str">
        <x:v>基準仕様（シナリオ間固定）</x:v>
      </x:c>
      <x:c r="O121" s="12" t="str">
        <x:v>09_基準仕様</x:v>
      </x:c>
      <x:c r="P121" s="12" t="str">
        <x:v>通常は編集しない</x:v>
      </x:c>
      <x:c r="Q121" s="12" t="str">
        <x:v>D列は直接編集せず参照元を編集</x:v>
      </x:c>
    </x:row>
    <x:row r="122">
      <x:c r="A122" s="12" t="str">
        <x:v>バスバー熱</x:v>
      </x:c>
      <x:c r="B122" s="12" t="str">
        <x:v>表面積/体積係数</x:v>
      </x:c>
      <x:c r="C122" s="12" t="str">
        <x:v>k_sav_bus</x:v>
      </x:c>
      <x:c r="D122" s="197" t="n">
        <x:f>'09_基準仕様'!E117</x:f>
        <x:v>500</x:v>
      </x:c>
      <x:c r="E122" s="12" t="str">
        <x:v>1/m</x:v>
      </x:c>
      <x:c r="F122" s="12" t="str">
        <x:v>J_bus_phys</x:v>
      </x:c>
      <x:c r="G122" s="12" t="str">
        <x:v>断面形状等価</x:v>
      </x:c>
      <x:c r="H122" s="12" t="str">
        <x:v>技術係数</x:v>
      </x:c>
      <x:c r="I122" s="12" t="str">
        <x:v>対象</x:v>
      </x:c>
      <x:c r="J122" s="48"/>
      <x:c r="K122" s="12"/>
      <x:c r="L122" s="12"/>
      <x:c r="M122" s="12"/>
      <x:c r="N122" s="12" t="str">
        <x:v>基準仕様（シナリオ間固定）</x:v>
      </x:c>
      <x:c r="O122" s="12" t="str">
        <x:v>09_基準仕様</x:v>
      </x:c>
      <x:c r="P122" s="12" t="str">
        <x:v>通常は編集しない</x:v>
      </x:c>
      <x:c r="Q122" s="12" t="str">
        <x:v>D列は直接編集せず参照元を編集</x:v>
      </x:c>
    </x:row>
    <x:row r="123">
      <x:c r="A123" s="12" t="str">
        <x:v>EMI磁性</x:v>
      </x:c>
      <x:c r="B123" s="12" t="str">
        <x:v>コア許容磁束密度</x:v>
      </x:c>
      <x:c r="C123" s="12" t="str">
        <x:v>B_max</x:v>
      </x:c>
      <x:c r="D123" s="197" t="n">
        <x:f>'09_基準仕様'!E118</x:f>
        <x:v>0.25</x:v>
      </x:c>
      <x:c r="E123" s="12" t="str">
        <x:v>T</x:v>
      </x:c>
      <x:c r="F123" s="12" t="str">
        <x:v>u_core</x:v>
      </x:c>
      <x:c r="G123" s="12" t="str"/>
      <x:c r="H123" s="12" t="str">
        <x:v>材料</x:v>
      </x:c>
      <x:c r="I123" s="12" t="str">
        <x:v>対象</x:v>
      </x:c>
      <x:c r="J123" s="48"/>
      <x:c r="K123" s="12"/>
      <x:c r="L123" s="12"/>
      <x:c r="M123" s="12"/>
      <x:c r="N123" s="12" t="str">
        <x:v>基準仕様（シナリオ間固定）</x:v>
      </x:c>
      <x:c r="O123" s="12" t="str">
        <x:v>09_基準仕様</x:v>
      </x:c>
      <x:c r="P123" s="12" t="str">
        <x:v>通常は編集しない</x:v>
      </x:c>
      <x:c r="Q123" s="12" t="str">
        <x:v>D列は直接編集せず参照元を編集</x:v>
      </x:c>
    </x:row>
    <x:row r="124">
      <x:c r="A124" s="12" t="str">
        <x:v>EMI磁性</x:v>
      </x:c>
      <x:c r="B124" s="12" t="str">
        <x:v>コア透磁率係数</x:v>
      </x:c>
      <x:c r="C124" s="12" t="str">
        <x:v>k_mu_core</x:v>
      </x:c>
      <x:c r="D124" s="197" t="n">
        <x:f>'09_基準仕様'!E119</x:f>
        <x:v>1</x:v>
      </x:c>
      <x:c r="E124" s="12" t="str">
        <x:v>-</x:v>
      </x:c>
      <x:c r="F124" s="12" t="str">
        <x:v>u_core</x:v>
      </x:c>
      <x:c r="G124" s="12" t="str">
        <x:v>簡易係数</x:v>
      </x:c>
      <x:c r="H124" s="12" t="str">
        <x:v>材料</x:v>
      </x:c>
      <x:c r="I124" s="12" t="str">
        <x:v>対象</x:v>
      </x:c>
      <x:c r="J124" s="48"/>
      <x:c r="K124" s="12"/>
      <x:c r="L124" s="12"/>
      <x:c r="M124" s="12"/>
      <x:c r="N124" s="12" t="str">
        <x:v>基準仕様（シナリオ間固定）</x:v>
      </x:c>
      <x:c r="O124" s="12" t="str">
        <x:v>09_基準仕様</x:v>
      </x:c>
      <x:c r="P124" s="12" t="str">
        <x:v>通常は編集しない</x:v>
      </x:c>
      <x:c r="Q124" s="12" t="str">
        <x:v>D列は直接編集せず参照元を編集</x:v>
      </x:c>
    </x:row>
    <x:row r="125">
      <x:c r="A125" s="12" t="str">
        <x:v>EMI磁性</x:v>
      </x:c>
      <x:c r="B125" s="12" t="str">
        <x:v>巻線充填率</x:v>
      </x:c>
      <x:c r="C125" s="12" t="str">
        <x:v>k_fill_L</x:v>
      </x:c>
      <x:c r="D125" s="197" t="n">
        <x:f>'09_基準仕様'!E120</x:f>
        <x:v>0.4</x:v>
      </x:c>
      <x:c r="E125" s="12" t="str">
        <x:v>-</x:v>
      </x:c>
      <x:c r="F125" s="12" t="str">
        <x:v>k_mL_phys</x:v>
      </x:c>
      <x:c r="G125" s="12" t="str"/>
      <x:c r="H125" s="12" t="str">
        <x:v>技術係数</x:v>
      </x:c>
      <x:c r="I125" s="12" t="str">
        <x:v>対象</x:v>
      </x:c>
      <x:c r="J125" s="48"/>
      <x:c r="K125" s="12"/>
      <x:c r="L125" s="12"/>
      <x:c r="M125" s="12"/>
      <x:c r="N125" s="12" t="str">
        <x:v>基準仕様（シナリオ間固定）</x:v>
      </x:c>
      <x:c r="O125" s="12" t="str">
        <x:v>09_基準仕様</x:v>
      </x:c>
      <x:c r="P125" s="12" t="str">
        <x:v>通常は編集しない</x:v>
      </x:c>
      <x:c r="Q125" s="12" t="str">
        <x:v>D列は直接編集せず参照元を編集</x:v>
      </x:c>
    </x:row>
    <x:row r="126">
      <x:c r="A126" s="12" t="str">
        <x:v>EMI磁性</x:v>
      </x:c>
      <x:c r="B126" s="12" t="str">
        <x:v>コア/銅等価密度</x:v>
      </x:c>
      <x:c r="C126" s="12" t="str">
        <x:v>rho_L_eq</x:v>
      </x:c>
      <x:c r="D126" s="197" t="n">
        <x:f>'09_基準仕様'!E121</x:f>
        <x:v>5000</x:v>
      </x:c>
      <x:c r="E126" s="12" t="str">
        <x:v>kg/m³</x:v>
      </x:c>
      <x:c r="F126" s="12" t="str">
        <x:v>k_mL_phys</x:v>
      </x:c>
      <x:c r="G126" s="12" t="str"/>
      <x:c r="H126" s="12" t="str">
        <x:v>材料</x:v>
      </x:c>
      <x:c r="I126" s="12" t="str">
        <x:v>対象</x:v>
      </x:c>
      <x:c r="J126" s="48"/>
      <x:c r="K126" s="12"/>
      <x:c r="L126" s="12"/>
      <x:c r="M126" s="12"/>
      <x:c r="N126" s="12" t="str">
        <x:v>基準仕様（シナリオ間固定）</x:v>
      </x:c>
      <x:c r="O126" s="12" t="str">
        <x:v>09_基準仕様</x:v>
      </x:c>
      <x:c r="P126" s="12" t="str">
        <x:v>通常は編集しない</x:v>
      </x:c>
      <x:c r="Q126" s="12" t="str">
        <x:v>D列は直接編集せず参照元を編集</x:v>
      </x:c>
    </x:row>
    <x:row r="127">
      <x:c r="A127" s="12" t="str">
        <x:v>制御回路</x:v>
      </x:c>
      <x:c r="B127" s="12" t="str">
        <x:v>制御PCB面積</x:v>
      </x:c>
      <x:c r="C127" s="12" t="str">
        <x:v>A_ctrl_pcb</x:v>
      </x:c>
      <x:c r="D127" s="197" t="n">
        <x:f>'09_基準仕様'!E122</x:f>
        <x:v>0.03</x:v>
      </x:c>
      <x:c r="E127" s="12" t="str">
        <x:v>m²</x:v>
      </x:c>
      <x:c r="F127" s="12" t="str">
        <x:v>m_ctrl_pcb</x:v>
      </x:c>
      <x:c r="G127" s="12" t="str"/>
      <x:c r="H127" s="12" t="str">
        <x:v>設計変数</x:v>
      </x:c>
      <x:c r="I127" s="12" t="str">
        <x:v>対象</x:v>
      </x:c>
      <x:c r="J127" s="48"/>
      <x:c r="K127" s="12"/>
      <x:c r="L127" s="12"/>
      <x:c r="M127" s="12"/>
      <x:c r="N127" s="12" t="str">
        <x:v>基準仕様（シナリオ間固定）</x:v>
      </x:c>
      <x:c r="O127" s="12" t="str">
        <x:v>09_基準仕様</x:v>
      </x:c>
      <x:c r="P127" s="12" t="str">
        <x:v>通常は編集しない</x:v>
      </x:c>
      <x:c r="Q127" s="12" t="str">
        <x:v>D列は直接編集せず参照元を編集</x:v>
      </x:c>
    </x:row>
    <x:row r="128">
      <x:c r="A128" s="12" t="str">
        <x:v>制御回路</x:v>
      </x:c>
      <x:c r="B128" s="12" t="str">
        <x:v>制御PCB厚さ</x:v>
      </x:c>
      <x:c r="C128" s="12" t="str">
        <x:v>t_ctrl_pcb</x:v>
      </x:c>
      <x:c r="D128" s="197" t="n">
        <x:f>'09_基準仕様'!E123</x:f>
        <x:v>0.0016</x:v>
      </x:c>
      <x:c r="E128" s="12" t="str">
        <x:v>m</x:v>
      </x:c>
      <x:c r="F128" s="12" t="str">
        <x:v>m_ctrl_pcb</x:v>
      </x:c>
      <x:c r="G128" s="12" t="str"/>
      <x:c r="H128" s="12" t="str">
        <x:v>設計変数</x:v>
      </x:c>
      <x:c r="I128" s="12" t="str">
        <x:v>対象</x:v>
      </x:c>
      <x:c r="J128" s="48"/>
      <x:c r="K128" s="12"/>
      <x:c r="L128" s="12"/>
      <x:c r="M128" s="12"/>
      <x:c r="N128" s="12" t="str">
        <x:v>基準仕様（シナリオ間固定）</x:v>
      </x:c>
      <x:c r="O128" s="12" t="str">
        <x:v>09_基準仕様</x:v>
      </x:c>
      <x:c r="P128" s="12" t="str">
        <x:v>通常は編集しない</x:v>
      </x:c>
      <x:c r="Q128" s="12" t="str">
        <x:v>D列は直接編集せず参照元を編集</x:v>
      </x:c>
    </x:row>
    <x:row r="129">
      <x:c r="A129" s="12" t="str">
        <x:v>制御回路</x:v>
      </x:c>
      <x:c r="B129" s="12" t="str">
        <x:v>PCB等価密度</x:v>
      </x:c>
      <x:c r="C129" s="12" t="str">
        <x:v>rho_ctrl_pcb</x:v>
      </x:c>
      <x:c r="D129" s="197" t="n">
        <x:f>'09_基準仕様'!E124</x:f>
        <x:v>1900</x:v>
      </x:c>
      <x:c r="E129" s="12" t="str">
        <x:v>kg/m³</x:v>
      </x:c>
      <x:c r="F129" s="12" t="str">
        <x:v>m_ctrl_pcb</x:v>
      </x:c>
      <x:c r="G129" s="12" t="str"/>
      <x:c r="H129" s="12" t="str">
        <x:v>材料</x:v>
      </x:c>
      <x:c r="I129" s="12" t="str">
        <x:v>対象</x:v>
      </x:c>
      <x:c r="J129" s="48"/>
      <x:c r="K129" s="12"/>
      <x:c r="L129" s="12"/>
      <x:c r="M129" s="12"/>
      <x:c r="N129" s="12" t="str">
        <x:v>基準仕様（シナリオ間固定）</x:v>
      </x:c>
      <x:c r="O129" s="12" t="str">
        <x:v>09_基準仕様</x:v>
      </x:c>
      <x:c r="P129" s="12" t="str">
        <x:v>通常は編集しない</x:v>
      </x:c>
      <x:c r="Q129" s="12" t="str">
        <x:v>D列は直接編集せず参照元を編集</x:v>
      </x:c>
    </x:row>
    <x:row r="130">
      <x:c r="A130" s="12" t="str">
        <x:v>制御回路</x:v>
      </x:c>
      <x:c r="B130" s="12" t="str">
        <x:v>PCB搭載部品重量</x:v>
      </x:c>
      <x:c r="C130" s="12" t="str">
        <x:v>m_ctrl_comp</x:v>
      </x:c>
      <x:c r="D130" s="197" t="n">
        <x:f>'09_基準仕様'!E125</x:f>
        <x:v>0.1</x:v>
      </x:c>
      <x:c r="E130" s="12" t="str">
        <x:v>kg</x:v>
      </x:c>
      <x:c r="F130" s="12" t="str">
        <x:v>m_ctrl_pcb</x:v>
      </x:c>
      <x:c r="G130" s="12" t="str"/>
      <x:c r="H130" s="12" t="str">
        <x:v>設計変数</x:v>
      </x:c>
      <x:c r="I130" s="12" t="str">
        <x:v>対象</x:v>
      </x:c>
      <x:c r="J130" s="48"/>
      <x:c r="K130" s="12"/>
      <x:c r="L130" s="12"/>
      <x:c r="M130" s="12"/>
      <x:c r="N130" s="12" t="str">
        <x:v>基準仕様（シナリオ間固定）</x:v>
      </x:c>
      <x:c r="O130" s="12" t="str">
        <x:v>09_基準仕様</x:v>
      </x:c>
      <x:c r="P130" s="12" t="str">
        <x:v>通常は編集しない</x:v>
      </x:c>
      <x:c r="Q130" s="12" t="str">
        <x:v>D列は直接編集せず参照元を編集</x:v>
      </x:c>
    </x:row>
    <x:row r="131">
      <x:c r="A131" s="12" t="str">
        <x:v>ゲート回路</x:v>
      </x:c>
      <x:c r="B131" s="12" t="str">
        <x:v>ゲートドライバ数</x:v>
      </x:c>
      <x:c r="C131" s="12" t="str">
        <x:v>N_gate</x:v>
      </x:c>
      <x:c r="D131" s="197" t="n">
        <x:f>'07_システム要求'!M18</x:f>
        <x:v>6</x:v>
      </x:c>
      <x:c r="E131" s="12" t="str">
        <x:v>個</x:v>
      </x:c>
      <x:c r="F131" s="12" t="str">
        <x:v>m_gate</x:v>
      </x:c>
      <x:c r="G131" s="12" t="str"/>
      <x:c r="H131" s="12" t="str">
        <x:v>設計変数</x:v>
      </x:c>
      <x:c r="I131" s="12" t="str">
        <x:v>対象</x:v>
      </x:c>
      <x:c r="J131" s="48" t="n">
        <x:f>'07_システム要求'!M18</x:f>
        <x:v>6</x:v>
      </x:c>
      <x:c r="K131" s="12" t="str">
        <x:v>固定トポロジーからゲート数を決定</x:v>
      </x:c>
      <x:c r="L131" s="12" t="str">
        <x:v>自動</x:v>
      </x:c>
      <x:c r="M131" s="12" t="n">
        <x:v>6</x:v>
      </x:c>
      <x:c r="N131" s="12" t="str">
        <x:v>システム要求→自動計算</x:v>
      </x:c>
      <x:c r="O131" s="12" t="str">
        <x:v>07_システム要求</x:v>
      </x:c>
      <x:c r="P131" s="12" t="str">
        <x:v>システム要求のみ編集</x:v>
      </x:c>
      <x:c r="Q131" s="12" t="str">
        <x:v>D列は直接編集せず参照元を編集</x:v>
      </x:c>
    </x:row>
    <x:row r="132">
      <x:c r="A132" s="12" t="str">
        <x:v>ゲート回路</x:v>
      </x:c>
      <x:c r="B132" s="12" t="str">
        <x:v>ドライバ単体重量</x:v>
      </x:c>
      <x:c r="C132" s="12" t="str">
        <x:v>m_gate_unit</x:v>
      </x:c>
      <x:c r="D132" s="197" t="n">
        <x:f>'09_基準仕様'!E126</x:f>
        <x:v>0.018</x:v>
      </x:c>
      <x:c r="E132" s="12" t="str">
        <x:v>kg/個</x:v>
      </x:c>
      <x:c r="F132" s="12" t="str">
        <x:v>m_gate</x:v>
      </x:c>
      <x:c r="G132" s="12" t="str"/>
      <x:c r="H132" s="12" t="str">
        <x:v>設計変数</x:v>
      </x:c>
      <x:c r="I132" s="12" t="str">
        <x:v>対象</x:v>
      </x:c>
      <x:c r="J132" s="48"/>
      <x:c r="K132" s="12"/>
      <x:c r="L132" s="12"/>
      <x:c r="M132" s="12"/>
      <x:c r="N132" s="12" t="str">
        <x:v>基準仕様（シナリオ間固定）</x:v>
      </x:c>
      <x:c r="O132" s="12" t="str">
        <x:v>09_基準仕様</x:v>
      </x:c>
      <x:c r="P132" s="12" t="str">
        <x:v>通常は編集しない</x:v>
      </x:c>
      <x:c r="Q132" s="12" t="str">
        <x:v>D列は直接編集せず参照元を編集</x:v>
      </x:c>
    </x:row>
    <x:row r="133">
      <x:c r="A133" s="12" t="str">
        <x:v>制御回路</x:v>
      </x:c>
      <x:c r="B133" s="12" t="str">
        <x:v>補助電源重量</x:v>
      </x:c>
      <x:c r="C133" s="12" t="str">
        <x:v>m_aux_supply</x:v>
      </x:c>
      <x:c r="D133" s="197" t="n">
        <x:f>'09_基準仕様'!E127</x:f>
        <x:v>0.12</x:v>
      </x:c>
      <x:c r="E133" s="12" t="str">
        <x:v>kg</x:v>
      </x:c>
      <x:c r="F133" s="12" t="str">
        <x:v>M_ctrl</x:v>
      </x:c>
      <x:c r="G133" s="12" t="str"/>
      <x:c r="H133" s="12" t="str">
        <x:v>設計変数</x:v>
      </x:c>
      <x:c r="I133" s="12" t="str">
        <x:v>対象</x:v>
      </x:c>
      <x:c r="J133" s="48"/>
      <x:c r="K133" s="12"/>
      <x:c r="L133" s="12"/>
      <x:c r="M133" s="12"/>
      <x:c r="N133" s="12" t="str">
        <x:v>基準仕様（シナリオ間固定）</x:v>
      </x:c>
      <x:c r="O133" s="12" t="str">
        <x:v>09_基準仕様</x:v>
      </x:c>
      <x:c r="P133" s="12" t="str">
        <x:v>通常は編集しない</x:v>
      </x:c>
      <x:c r="Q133" s="12" t="str">
        <x:v>D列は直接編集せず参照元を編集</x:v>
      </x:c>
    </x:row>
    <x:row r="134">
      <x:c r="A134" s="12" t="str">
        <x:v>センサ</x:v>
      </x:c>
      <x:c r="B134" s="12" t="str">
        <x:v>電流センサ数</x:v>
      </x:c>
      <x:c r="C134" s="12" t="str">
        <x:v>N_isens</x:v>
      </x:c>
      <x:c r="D134" s="197" t="n">
        <x:f>'09_基準仕様'!E128</x:f>
        <x:v>3</x:v>
      </x:c>
      <x:c r="E134" s="12" t="str">
        <x:v>個</x:v>
      </x:c>
      <x:c r="F134" s="12" t="str">
        <x:v>m_isens</x:v>
      </x:c>
      <x:c r="G134" s="12" t="str"/>
      <x:c r="H134" s="12" t="str">
        <x:v>設計変数</x:v>
      </x:c>
      <x:c r="I134" s="12" t="str">
        <x:v>対象</x:v>
      </x:c>
      <x:c r="J134" s="48"/>
      <x:c r="K134" s="12"/>
      <x:c r="L134" s="12"/>
      <x:c r="M134" s="12"/>
      <x:c r="N134" s="12" t="str">
        <x:v>基準仕様（シナリオ間固定）</x:v>
      </x:c>
      <x:c r="O134" s="12" t="str">
        <x:v>09_基準仕様</x:v>
      </x:c>
      <x:c r="P134" s="12" t="str">
        <x:v>通常は編集しない</x:v>
      </x:c>
      <x:c r="Q134" s="12" t="str">
        <x:v>D列は直接編集せず参照元を編集</x:v>
      </x:c>
    </x:row>
    <x:row r="135">
      <x:c r="A135" s="12" t="str">
        <x:v>センサ</x:v>
      </x:c>
      <x:c r="B135" s="12" t="str">
        <x:v>電流センサ単体重量</x:v>
      </x:c>
      <x:c r="C135" s="12" t="str">
        <x:v>m_isens_unit</x:v>
      </x:c>
      <x:c r="D135" s="197" t="n">
        <x:f>'09_基準仕様'!E129</x:f>
        <x:v>0.045</x:v>
      </x:c>
      <x:c r="E135" s="12" t="str">
        <x:v>kg/個</x:v>
      </x:c>
      <x:c r="F135" s="12" t="str">
        <x:v>m_isens</x:v>
      </x:c>
      <x:c r="G135" s="12" t="str"/>
      <x:c r="H135" s="12" t="str">
        <x:v>設計変数</x:v>
      </x:c>
      <x:c r="I135" s="12" t="str">
        <x:v>対象</x:v>
      </x:c>
      <x:c r="J135" s="48"/>
      <x:c r="K135" s="12"/>
      <x:c r="L135" s="12"/>
      <x:c r="M135" s="12"/>
      <x:c r="N135" s="12" t="str">
        <x:v>基準仕様（シナリオ間固定）</x:v>
      </x:c>
      <x:c r="O135" s="12" t="str">
        <x:v>09_基準仕様</x:v>
      </x:c>
      <x:c r="P135" s="12" t="str">
        <x:v>通常は編集しない</x:v>
      </x:c>
      <x:c r="Q135" s="12" t="str">
        <x:v>D列は直接編集せず参照元を編集</x:v>
      </x:c>
    </x:row>
    <x:row r="136">
      <x:c r="A136" s="12" t="str">
        <x:v>センサ</x:v>
      </x:c>
      <x:c r="B136" s="12" t="str">
        <x:v>電圧センサ数</x:v>
      </x:c>
      <x:c r="C136" s="12" t="str">
        <x:v>N_vsens</x:v>
      </x:c>
      <x:c r="D136" s="197" t="n">
        <x:f>'09_基準仕様'!E130</x:f>
        <x:v>2</x:v>
      </x:c>
      <x:c r="E136" s="12" t="str">
        <x:v>個</x:v>
      </x:c>
      <x:c r="F136" s="12" t="str">
        <x:v>m_vsens</x:v>
      </x:c>
      <x:c r="G136" s="12" t="str"/>
      <x:c r="H136" s="12" t="str">
        <x:v>設計変数</x:v>
      </x:c>
      <x:c r="I136" s="12" t="str">
        <x:v>対象</x:v>
      </x:c>
      <x:c r="J136" s="48"/>
      <x:c r="K136" s="12"/>
      <x:c r="L136" s="12"/>
      <x:c r="M136" s="12"/>
      <x:c r="N136" s="12" t="str">
        <x:v>基準仕様（シナリオ間固定）</x:v>
      </x:c>
      <x:c r="O136" s="12" t="str">
        <x:v>09_基準仕様</x:v>
      </x:c>
      <x:c r="P136" s="12" t="str">
        <x:v>通常は編集しない</x:v>
      </x:c>
      <x:c r="Q136" s="12" t="str">
        <x:v>D列は直接編集せず参照元を編集</x:v>
      </x:c>
    </x:row>
    <x:row r="137">
      <x:c r="A137" s="12" t="str">
        <x:v>センサ</x:v>
      </x:c>
      <x:c r="B137" s="12" t="str">
        <x:v>電圧センサ単体重量</x:v>
      </x:c>
      <x:c r="C137" s="12" t="str">
        <x:v>m_vsens_unit</x:v>
      </x:c>
      <x:c r="D137" s="197" t="n">
        <x:f>'09_基準仕様'!E131</x:f>
        <x:v>0.025</x:v>
      </x:c>
      <x:c r="E137" s="12" t="str">
        <x:v>kg/個</x:v>
      </x:c>
      <x:c r="F137" s="12" t="str">
        <x:v>m_vsens</x:v>
      </x:c>
      <x:c r="G137" s="12" t="str"/>
      <x:c r="H137" s="12" t="str">
        <x:v>設計変数</x:v>
      </x:c>
      <x:c r="I137" s="12" t="str">
        <x:v>対象</x:v>
      </x:c>
      <x:c r="J137" s="48"/>
      <x:c r="K137" s="12"/>
      <x:c r="L137" s="12"/>
      <x:c r="M137" s="12"/>
      <x:c r="N137" s="12" t="str">
        <x:v>基準仕様（シナリオ間固定）</x:v>
      </x:c>
      <x:c r="O137" s="12" t="str">
        <x:v>09_基準仕様</x:v>
      </x:c>
      <x:c r="P137" s="12" t="str">
        <x:v>通常は編集しない</x:v>
      </x:c>
      <x:c r="Q137" s="12" t="str">
        <x:v>D列は直接編集せず参照元を編集</x:v>
      </x:c>
    </x:row>
    <x:row r="138">
      <x:c r="A138" s="12" t="str">
        <x:v>センサ</x:v>
      </x:c>
      <x:c r="B138" s="12" t="str">
        <x:v>温度センサ数</x:v>
      </x:c>
      <x:c r="C138" s="12" t="str">
        <x:v>N_tsens</x:v>
      </x:c>
      <x:c r="D138" s="197" t="n">
        <x:f>'09_基準仕様'!E132</x:f>
        <x:v>4</x:v>
      </x:c>
      <x:c r="E138" s="12" t="str">
        <x:v>個</x:v>
      </x:c>
      <x:c r="F138" s="12" t="str">
        <x:v>m_tsens</x:v>
      </x:c>
      <x:c r="G138" s="12" t="str"/>
      <x:c r="H138" s="12" t="str">
        <x:v>設計変数</x:v>
      </x:c>
      <x:c r="I138" s="12" t="str">
        <x:v>対象</x:v>
      </x:c>
      <x:c r="J138" s="48"/>
      <x:c r="K138" s="12"/>
      <x:c r="L138" s="12"/>
      <x:c r="M138" s="12"/>
      <x:c r="N138" s="12" t="str">
        <x:v>基準仕様（シナリオ間固定）</x:v>
      </x:c>
      <x:c r="O138" s="12" t="str">
        <x:v>09_基準仕様</x:v>
      </x:c>
      <x:c r="P138" s="12" t="str">
        <x:v>通常は編集しない</x:v>
      </x:c>
      <x:c r="Q138" s="12" t="str">
        <x:v>D列は直接編集せず参照元を編集</x:v>
      </x:c>
    </x:row>
    <x:row r="139">
      <x:c r="A139" s="12" t="str">
        <x:v>センサ</x:v>
      </x:c>
      <x:c r="B139" s="12" t="str">
        <x:v>温度センサ単体重量</x:v>
      </x:c>
      <x:c r="C139" s="12" t="str">
        <x:v>m_tsens_unit</x:v>
      </x:c>
      <x:c r="D139" s="197" t="n">
        <x:f>'09_基準仕様'!E133</x:f>
        <x:v>0.01</x:v>
      </x:c>
      <x:c r="E139" s="12" t="str">
        <x:v>kg/個</x:v>
      </x:c>
      <x:c r="F139" s="12" t="str">
        <x:v>m_tsens</x:v>
      </x:c>
      <x:c r="G139" s="12" t="str"/>
      <x:c r="H139" s="12" t="str">
        <x:v>設計変数</x:v>
      </x:c>
      <x:c r="I139" s="12" t="str">
        <x:v>対象</x:v>
      </x:c>
      <x:c r="J139" s="48"/>
      <x:c r="K139" s="12"/>
      <x:c r="L139" s="12"/>
      <x:c r="M139" s="12"/>
      <x:c r="N139" s="12" t="str">
        <x:v>基準仕様（シナリオ間固定）</x:v>
      </x:c>
      <x:c r="O139" s="12" t="str">
        <x:v>09_基準仕様</x:v>
      </x:c>
      <x:c r="P139" s="12" t="str">
        <x:v>通常は編集しない</x:v>
      </x:c>
      <x:c r="Q139" s="12" t="str">
        <x:v>D列は直接編集せず参照元を編集</x:v>
      </x:c>
    </x:row>
    <x:row r="140">
      <x:c r="A140" s="12" t="str">
        <x:v>センサ</x:v>
      </x:c>
      <x:c r="B140" s="12" t="str">
        <x:v>センサ配線重量</x:v>
      </x:c>
      <x:c r="C140" s="12" t="str">
        <x:v>m_sensor_harness</x:v>
      </x:c>
      <x:c r="D140" s="197" t="n">
        <x:f>'09_基準仕様'!E134</x:f>
        <x:v>0.055</x:v>
      </x:c>
      <x:c r="E140" s="12" t="str">
        <x:v>kg</x:v>
      </x:c>
      <x:c r="F140" s="12" t="str">
        <x:v>M_sensor</x:v>
      </x:c>
      <x:c r="G140" s="12" t="str"/>
      <x:c r="H140" s="12" t="str">
        <x:v>設計変数</x:v>
      </x:c>
      <x:c r="I140" s="12" t="str">
        <x:v>対象</x:v>
      </x:c>
      <x:c r="J140" s="48"/>
      <x:c r="K140" s="12"/>
      <x:c r="L140" s="12"/>
      <x:c r="M140" s="12"/>
      <x:c r="N140" s="12" t="str">
        <x:v>基準仕様（シナリオ間固定）</x:v>
      </x:c>
      <x:c r="O140" s="12" t="str">
        <x:v>09_基準仕様</x:v>
      </x:c>
      <x:c r="P140" s="12" t="str">
        <x:v>通常は編集しない</x:v>
      </x:c>
      <x:c r="Q140" s="12" t="str">
        <x:v>D列は直接編集せず参照元を編集</x:v>
      </x:c>
    </x:row>
    <x:row r="141">
      <x:c r="A141" s="12" t="str">
        <x:v>コネクタ</x:v>
      </x:c>
      <x:c r="B141" s="12" t="str">
        <x:v>DC端子数</x:v>
      </x:c>
      <x:c r="C141" s="12" t="str">
        <x:v>N_conn_dc</x:v>
      </x:c>
      <x:c r="D141" s="197" t="n">
        <x:f>'09_基準仕様'!E135</x:f>
        <x:v>2</x:v>
      </x:c>
      <x:c r="E141" s="12" t="str">
        <x:v>個</x:v>
      </x:c>
      <x:c r="F141" s="12" t="str">
        <x:v>m_conn_dc</x:v>
      </x:c>
      <x:c r="G141" s="12" t="str"/>
      <x:c r="H141" s="12" t="str">
        <x:v>設計変数</x:v>
      </x:c>
      <x:c r="I141" s="12" t="str">
        <x:v>対象</x:v>
      </x:c>
      <x:c r="J141" s="48"/>
      <x:c r="K141" s="12"/>
      <x:c r="L141" s="12"/>
      <x:c r="M141" s="12"/>
      <x:c r="N141" s="12" t="str">
        <x:v>基準仕様（シナリオ間固定）</x:v>
      </x:c>
      <x:c r="O141" s="12" t="str">
        <x:v>09_基準仕様</x:v>
      </x:c>
      <x:c r="P141" s="12" t="str">
        <x:v>通常は編集しない</x:v>
      </x:c>
      <x:c r="Q141" s="12" t="str">
        <x:v>D列は直接編集せず参照元を編集</x:v>
      </x:c>
    </x:row>
    <x:row r="142">
      <x:c r="A142" s="12" t="str">
        <x:v>コネクタ</x:v>
      </x:c>
      <x:c r="B142" s="12" t="str">
        <x:v>DC端子単体重量</x:v>
      </x:c>
      <x:c r="C142" s="12" t="str">
        <x:v>m_conn_dc_unit</x:v>
      </x:c>
      <x:c r="D142" s="197" t="n">
        <x:f>'09_基準仕様'!E136</x:f>
        <x:v>0.055</x:v>
      </x:c>
      <x:c r="E142" s="12" t="str">
        <x:v>kg/個</x:v>
      </x:c>
      <x:c r="F142" s="12" t="str">
        <x:v>m_conn_dc</x:v>
      </x:c>
      <x:c r="G142" s="12" t="str"/>
      <x:c r="H142" s="12" t="str">
        <x:v>設計変数</x:v>
      </x:c>
      <x:c r="I142" s="12" t="str">
        <x:v>対象</x:v>
      </x:c>
      <x:c r="J142" s="48"/>
      <x:c r="K142" s="12"/>
      <x:c r="L142" s="12"/>
      <x:c r="M142" s="12"/>
      <x:c r="N142" s="12" t="str">
        <x:v>基準仕様（シナリオ間固定）</x:v>
      </x:c>
      <x:c r="O142" s="12" t="str">
        <x:v>09_基準仕様</x:v>
      </x:c>
      <x:c r="P142" s="12" t="str">
        <x:v>通常は編集しない</x:v>
      </x:c>
      <x:c r="Q142" s="12" t="str">
        <x:v>D列は直接編集せず参照元を編集</x:v>
      </x:c>
    </x:row>
    <x:row r="143">
      <x:c r="A143" s="12" t="str">
        <x:v>コネクタ</x:v>
      </x:c>
      <x:c r="B143" s="12" t="str">
        <x:v>AC端子数</x:v>
      </x:c>
      <x:c r="C143" s="12" t="str">
        <x:v>N_conn_ac</x:v>
      </x:c>
      <x:c r="D143" s="197" t="n">
        <x:f>'09_基準仕様'!E137</x:f>
        <x:v>3</x:v>
      </x:c>
      <x:c r="E143" s="12" t="str">
        <x:v>個</x:v>
      </x:c>
      <x:c r="F143" s="12" t="str">
        <x:v>m_conn_ac</x:v>
      </x:c>
      <x:c r="G143" s="12" t="str"/>
      <x:c r="H143" s="12" t="str">
        <x:v>設計変数</x:v>
      </x:c>
      <x:c r="I143" s="12" t="str">
        <x:v>対象</x:v>
      </x:c>
      <x:c r="J143" s="48"/>
      <x:c r="K143" s="12"/>
      <x:c r="L143" s="12"/>
      <x:c r="M143" s="12"/>
      <x:c r="N143" s="12" t="str">
        <x:v>基準仕様（シナリオ間固定）</x:v>
      </x:c>
      <x:c r="O143" s="12" t="str">
        <x:v>09_基準仕様</x:v>
      </x:c>
      <x:c r="P143" s="12" t="str">
        <x:v>通常は編集しない</x:v>
      </x:c>
      <x:c r="Q143" s="12" t="str">
        <x:v>D列は直接編集せず参照元を編集</x:v>
      </x:c>
    </x:row>
    <x:row r="144">
      <x:c r="A144" s="12" t="str">
        <x:v>コネクタ</x:v>
      </x:c>
      <x:c r="B144" s="12" t="str">
        <x:v>AC端子単体重量</x:v>
      </x:c>
      <x:c r="C144" s="12" t="str">
        <x:v>m_conn_ac_unit</x:v>
      </x:c>
      <x:c r="D144" s="197" t="n">
        <x:f>'09_基準仕様'!E138</x:f>
        <x:v>0.055</x:v>
      </x:c>
      <x:c r="E144" s="12" t="str">
        <x:v>kg/個</x:v>
      </x:c>
      <x:c r="F144" s="12" t="str">
        <x:v>m_conn_ac</x:v>
      </x:c>
      <x:c r="G144" s="12" t="str"/>
      <x:c r="H144" s="12" t="str">
        <x:v>設計変数</x:v>
      </x:c>
      <x:c r="I144" s="12" t="str">
        <x:v>対象</x:v>
      </x:c>
      <x:c r="J144" s="48"/>
      <x:c r="K144" s="12"/>
      <x:c r="L144" s="12"/>
      <x:c r="M144" s="12"/>
      <x:c r="N144" s="12" t="str">
        <x:v>基準仕様（シナリオ間固定）</x:v>
      </x:c>
      <x:c r="O144" s="12" t="str">
        <x:v>09_基準仕様</x:v>
      </x:c>
      <x:c r="P144" s="12" t="str">
        <x:v>通常は編集しない</x:v>
      </x:c>
      <x:c r="Q144" s="12" t="str">
        <x:v>D列は直接編集せず参照元を編集</x:v>
      </x:c>
    </x:row>
    <x:row r="145">
      <x:c r="A145" s="12" t="str">
        <x:v>コネクタ</x:v>
      </x:c>
      <x:c r="B145" s="12" t="str">
        <x:v>信号コネクタ重量</x:v>
      </x:c>
      <x:c r="C145" s="12" t="str">
        <x:v>m_conn_sig</x:v>
      </x:c>
      <x:c r="D145" s="197" t="n">
        <x:f>'09_基準仕様'!E139</x:f>
        <x:v>0.075</x:v>
      </x:c>
      <x:c r="E145" s="12" t="str">
        <x:v>kg</x:v>
      </x:c>
      <x:c r="F145" s="12" t="str">
        <x:v>M_conn</x:v>
      </x:c>
      <x:c r="G145" s="12" t="str"/>
      <x:c r="H145" s="12" t="str">
        <x:v>設計変数</x:v>
      </x:c>
      <x:c r="I145" s="12" t="str">
        <x:v>対象</x:v>
      </x:c>
      <x:c r="J145" s="48"/>
      <x:c r="K145" s="12"/>
      <x:c r="L145" s="12"/>
      <x:c r="M145" s="12"/>
      <x:c r="N145" s="12" t="str">
        <x:v>基準仕様（シナリオ間固定）</x:v>
      </x:c>
      <x:c r="O145" s="12" t="str">
        <x:v>09_基準仕様</x:v>
      </x:c>
      <x:c r="P145" s="12" t="str">
        <x:v>通常は編集しない</x:v>
      </x:c>
      <x:c r="Q145" s="12" t="str">
        <x:v>D列は直接編集せず参照元を編集</x:v>
      </x:c>
    </x:row>
    <x:row r="146">
      <x:c r="A146" s="12" t="str">
        <x:v>コネクタ</x:v>
      </x:c>
      <x:c r="B146" s="12" t="str">
        <x:v>端子支持部重量</x:v>
      </x:c>
      <x:c r="C146" s="12" t="str">
        <x:v>m_conn_support</x:v>
      </x:c>
      <x:c r="D146" s="197" t="n">
        <x:f>'09_基準仕様'!E140</x:f>
        <x:v>0.07</x:v>
      </x:c>
      <x:c r="E146" s="12" t="str">
        <x:v>kg</x:v>
      </x:c>
      <x:c r="F146" s="12" t="str">
        <x:v>M_conn</x:v>
      </x:c>
      <x:c r="G146" s="12" t="str"/>
      <x:c r="H146" s="12" t="str">
        <x:v>設計変数</x:v>
      </x:c>
      <x:c r="I146" s="12" t="str">
        <x:v>対象</x:v>
      </x:c>
      <x:c r="J146" s="48"/>
      <x:c r="K146" s="12"/>
      <x:c r="L146" s="12"/>
      <x:c r="M146" s="12"/>
      <x:c r="N146" s="12" t="str">
        <x:v>基準仕様（シナリオ間固定）</x:v>
      </x:c>
      <x:c r="O146" s="12" t="str">
        <x:v>09_基準仕様</x:v>
      </x:c>
      <x:c r="P146" s="12" t="str">
        <x:v>通常は編集しない</x:v>
      </x:c>
      <x:c r="Q146" s="12" t="str">
        <x:v>D列は直接編集せず参照元を編集</x:v>
      </x:c>
    </x:row>
    <x:row r="147">
      <x:c r="A147" s="12" t="str">
        <x:v>その他</x:v>
      </x:c>
      <x:c r="B147" s="12" t="str">
        <x:v>締結部品重量</x:v>
      </x:c>
      <x:c r="C147" s="12" t="str">
        <x:v>m_fastener</x:v>
      </x:c>
      <x:c r="D147" s="197" t="n">
        <x:f>'09_基準仕様'!E141</x:f>
        <x:v>0.15</x:v>
      </x:c>
      <x:c r="E147" s="12" t="str">
        <x:v>kg</x:v>
      </x:c>
      <x:c r="F147" s="12" t="str">
        <x:v>M_other</x:v>
      </x:c>
      <x:c r="G147" s="12" t="str"/>
      <x:c r="H147" s="12" t="str">
        <x:v>設計変数</x:v>
      </x:c>
      <x:c r="I147" s="12" t="str">
        <x:v>対象</x:v>
      </x:c>
      <x:c r="J147" s="48"/>
      <x:c r="K147" s="12"/>
      <x:c r="L147" s="12"/>
      <x:c r="M147" s="12"/>
      <x:c r="N147" s="12" t="str">
        <x:v>基準仕様（シナリオ間固定）</x:v>
      </x:c>
      <x:c r="O147" s="12" t="str">
        <x:v>09_基準仕様</x:v>
      </x:c>
      <x:c r="P147" s="12" t="str">
        <x:v>通常は編集しない</x:v>
      </x:c>
      <x:c r="Q147" s="12" t="str">
        <x:v>D列は直接編集せず参照元を編集</x:v>
      </x:c>
    </x:row>
    <x:row r="148">
      <x:c r="A148" s="12" t="str">
        <x:v>その他</x:v>
      </x:c>
      <x:c r="B148" s="12" t="str">
        <x:v>絶縁材重量</x:v>
      </x:c>
      <x:c r="C148" s="12" t="str">
        <x:v>m_insulation</x:v>
      </x:c>
      <x:c r="D148" s="197" t="n">
        <x:f>'09_基準仕様'!E142</x:f>
        <x:v>0.15</x:v>
      </x:c>
      <x:c r="E148" s="12" t="str">
        <x:v>kg</x:v>
      </x:c>
      <x:c r="F148" s="12" t="str">
        <x:v>M_other</x:v>
      </x:c>
      <x:c r="G148" s="12" t="str"/>
      <x:c r="H148" s="12" t="str">
        <x:v>設計変数</x:v>
      </x:c>
      <x:c r="I148" s="12" t="str">
        <x:v>対象</x:v>
      </x:c>
      <x:c r="J148" s="48"/>
      <x:c r="K148" s="12"/>
      <x:c r="L148" s="12"/>
      <x:c r="M148" s="12"/>
      <x:c r="N148" s="12" t="str">
        <x:v>基準仕様（シナリオ間固定）</x:v>
      </x:c>
      <x:c r="O148" s="12" t="str">
        <x:v>09_基準仕様</x:v>
      </x:c>
      <x:c r="P148" s="12" t="str">
        <x:v>通常は編集しない</x:v>
      </x:c>
      <x:c r="Q148" s="12" t="str">
        <x:v>D列は直接編集せず参照元を編集</x:v>
      </x:c>
    </x:row>
    <x:row r="149">
      <x:c r="A149" s="12" t="str">
        <x:v>その他</x:v>
      </x:c>
      <x:c r="B149" s="12" t="str">
        <x:v>内部ハーネス重量</x:v>
      </x:c>
      <x:c r="C149" s="12" t="str">
        <x:v>m_harness</x:v>
      </x:c>
      <x:c r="D149" s="197" t="n">
        <x:f>'09_基準仕様'!E143</x:f>
        <x:v>0.2</x:v>
      </x:c>
      <x:c r="E149" s="12" t="str">
        <x:v>kg</x:v>
      </x:c>
      <x:c r="F149" s="12" t="str">
        <x:v>M_other</x:v>
      </x:c>
      <x:c r="G149" s="12" t="str"/>
      <x:c r="H149" s="12" t="str">
        <x:v>設計変数</x:v>
      </x:c>
      <x:c r="I149" s="12" t="str">
        <x:v>対象</x:v>
      </x:c>
      <x:c r="J149" s="48"/>
      <x:c r="K149" s="12"/>
      <x:c r="L149" s="12"/>
      <x:c r="M149" s="12"/>
      <x:c r="N149" s="12" t="str">
        <x:v>基準仕様（シナリオ間固定）</x:v>
      </x:c>
      <x:c r="O149" s="12" t="str">
        <x:v>09_基準仕様</x:v>
      </x:c>
      <x:c r="P149" s="12" t="str">
        <x:v>通常は編集しない</x:v>
      </x:c>
      <x:c r="Q149" s="12" t="str">
        <x:v>D列は直接編集せず参照元を編集</x:v>
      </x:c>
    </x:row>
    <x:row r="150">
      <x:c r="A150" s="12" t="str">
        <x:v>ゲート駆動</x:v>
      </x:c>
      <x:c r="B150" s="12" t="str">
        <x:v>ターンオンゲート抵抗</x:v>
      </x:c>
      <x:c r="C150" s="12" t="str">
        <x:v>R_g_on</x:v>
      </x:c>
      <x:c r="D150" s="197" t="n">
        <x:f>'10_シナリオ入力'!E23</x:f>
        <x:v>4</x:v>
      </x:c>
      <x:c r="E150" s="12" t="str">
        <x:v>Ω</x:v>
      </x:c>
      <x:c r="F150" s="12" t="str">
        <x:v>t_on,dvdt,P_sw</x:v>
      </x:c>
      <x:c r="G150" s="12" t="str">
        <x:v>小さいほど高速</x:v>
      </x:c>
      <x:c r="H150" s="12" t="str">
        <x:v>設計変数</x:v>
      </x:c>
      <x:c r="I150" s="12" t="str">
        <x:v>対象</x:v>
      </x:c>
      <x:c r="J150" s="48"/>
      <x:c r="K150" s="12"/>
      <x:c r="L150" s="12"/>
      <x:c r="M150" s="12"/>
      <x:c r="N150" s="12" t="str">
        <x:v>シナリオ固有手入力</x:v>
      </x:c>
      <x:c r="O150" s="12" t="str">
        <x:v>10_シナリオ入力</x:v>
      </x:c>
      <x:c r="P150" s="12" t="str">
        <x:v>必要に応じて編集</x:v>
      </x:c>
      <x:c r="Q150" s="12" t="str">
        <x:v>シナリオ表を参照</x:v>
      </x:c>
    </x:row>
    <x:row r="151">
      <x:c r="A151" s="12" t="str">
        <x:v>ゲート駆動</x:v>
      </x:c>
      <x:c r="B151" s="12" t="str">
        <x:v>ターンオフゲート抵抗</x:v>
      </x:c>
      <x:c r="C151" s="12" t="str">
        <x:v>R_g_off</x:v>
      </x:c>
      <x:c r="D151" s="197" t="n">
        <x:f>'10_シナリオ入力'!E24</x:f>
        <x:v>4</x:v>
      </x:c>
      <x:c r="E151" s="12" t="str">
        <x:v>Ω</x:v>
      </x:c>
      <x:c r="F151" s="12" t="str">
        <x:v>t_off,di_dt,P_sw</x:v>
      </x:c>
      <x:c r="G151" s="12" t="str">
        <x:v>小さいほど高速</x:v>
      </x:c>
      <x:c r="H151" s="12" t="str">
        <x:v>設計変数</x:v>
      </x:c>
      <x:c r="I151" s="12" t="str">
        <x:v>対象</x:v>
      </x:c>
      <x:c r="J151" s="48"/>
      <x:c r="K151" s="12"/>
      <x:c r="L151" s="12"/>
      <x:c r="M151" s="12"/>
      <x:c r="N151" s="12" t="str">
        <x:v>シナリオ固有手入力</x:v>
      </x:c>
      <x:c r="O151" s="12" t="str">
        <x:v>10_シナリオ入力</x:v>
      </x:c>
      <x:c r="P151" s="12" t="str">
        <x:v>必要に応じて編集</x:v>
      </x:c>
      <x:c r="Q151" s="12" t="str">
        <x:v>シナリオ表を参照</x:v>
      </x:c>
    </x:row>
    <x:row r="152">
      <x:c r="A152" s="12" t="str">
        <x:v>ゲート駆動</x:v>
      </x:c>
      <x:c r="B152" s="12" t="str">
        <x:v>ゲート抵抗基準</x:v>
      </x:c>
      <x:c r="C152" s="12" t="str">
        <x:v>R_g_ref</x:v>
      </x:c>
      <x:c r="D152" s="197" t="n">
        <x:f>'09_基準仕様'!E144</x:f>
        <x:v>4</x:v>
      </x:c>
      <x:c r="E152" s="12" t="str">
        <x:v>Ω</x:v>
      </x:c>
      <x:c r="F152" s="12" t="str">
        <x:v>t_on,t_off</x:v>
      </x:c>
      <x:c r="G152" s="12" t="str"/>
      <x:c r="H152" s="12" t="str">
        <x:v>技術係数</x:v>
      </x:c>
      <x:c r="I152" s="12" t="str">
        <x:v>対象</x:v>
      </x:c>
      <x:c r="J152" s="48"/>
      <x:c r="K152" s="12"/>
      <x:c r="L152" s="12"/>
      <x:c r="M152" s="12"/>
      <x:c r="N152" s="12" t="str">
        <x:v>基準仕様（シナリオ間固定）</x:v>
      </x:c>
      <x:c r="O152" s="12" t="str">
        <x:v>09_基準仕様</x:v>
      </x:c>
      <x:c r="P152" s="12" t="str">
        <x:v>通常は編集しない</x:v>
      </x:c>
      <x:c r="Q152" s="12" t="str">
        <x:v>D列は直接編集せず参照元を編集</x:v>
      </x:c>
    </x:row>
    <x:row r="153">
      <x:c r="A153" s="12" t="str">
        <x:v>ゲート駆動</x:v>
      </x:c>
      <x:c r="B153" s="12" t="str">
        <x:v>基準ターンオン時間</x:v>
      </x:c>
      <x:c r="C153" s="12" t="str">
        <x:v>t_on_ref</x:v>
      </x:c>
      <x:c r="D153" s="197" t="n">
        <x:f>'09_基準仕様'!E145</x:f>
        <x:v>5e-8</x:v>
      </x:c>
      <x:c r="E153" s="12" t="str">
        <x:v>s</x:v>
      </x:c>
      <x:c r="F153" s="12" t="str">
        <x:v>t_on</x:v>
      </x:c>
      <x:c r="G153" s="12" t="str"/>
      <x:c r="H153" s="12" t="str">
        <x:v>技術係数</x:v>
      </x:c>
      <x:c r="I153" s="12" t="str">
        <x:v>対象</x:v>
      </x:c>
      <x:c r="J153" s="48"/>
      <x:c r="K153" s="12"/>
      <x:c r="L153" s="12"/>
      <x:c r="M153" s="12"/>
      <x:c r="N153" s="12" t="str">
        <x:v>基準仕様（シナリオ間固定）</x:v>
      </x:c>
      <x:c r="O153" s="12" t="str">
        <x:v>09_基準仕様</x:v>
      </x:c>
      <x:c r="P153" s="12" t="str">
        <x:v>通常は編集しない</x:v>
      </x:c>
      <x:c r="Q153" s="12" t="str">
        <x:v>D列は直接編集せず参照元を編集</x:v>
      </x:c>
    </x:row>
    <x:row r="154">
      <x:c r="A154" s="12" t="str">
        <x:v>ゲート駆動</x:v>
      </x:c>
      <x:c r="B154" s="12" t="str">
        <x:v>基準ターンオフ時間</x:v>
      </x:c>
      <x:c r="C154" s="12" t="str">
        <x:v>t_off_ref</x:v>
      </x:c>
      <x:c r="D154" s="197" t="n">
        <x:f>'09_基準仕様'!E146</x:f>
        <x:v>5e-8</x:v>
      </x:c>
      <x:c r="E154" s="12" t="str">
        <x:v>s</x:v>
      </x:c>
      <x:c r="F154" s="12" t="str">
        <x:v>t_off</x:v>
      </x:c>
      <x:c r="G154" s="12" t="str"/>
      <x:c r="H154" s="12" t="str">
        <x:v>技術係数</x:v>
      </x:c>
      <x:c r="I154" s="12" t="str">
        <x:v>対象</x:v>
      </x:c>
      <x:c r="J154" s="48"/>
      <x:c r="K154" s="12"/>
      <x:c r="L154" s="12"/>
      <x:c r="M154" s="12"/>
      <x:c r="N154" s="12" t="str">
        <x:v>基準仕様（シナリオ間固定）</x:v>
      </x:c>
      <x:c r="O154" s="12" t="str">
        <x:v>09_基準仕様</x:v>
      </x:c>
      <x:c r="P154" s="12" t="str">
        <x:v>通常は編集しない</x:v>
      </x:c>
      <x:c r="Q154" s="12" t="str">
        <x:v>D列は直接編集せず参照元を編集</x:v>
      </x:c>
    </x:row>
    <x:row r="155">
      <x:c r="A155" s="12" t="str">
        <x:v>ゲート駆動</x:v>
      </x:c>
      <x:c r="B155" s="12" t="str">
        <x:v>分離Rg有効</x:v>
      </x:c>
      <x:c r="C155" s="12" t="str">
        <x:v>Enable_split_Rg</x:v>
      </x:c>
      <x:c r="D155" s="197" t="n">
        <x:f>'09_基準仕様'!E147</x:f>
        <x:v>0</x:v>
      </x:c>
      <x:c r="E155" s="12" t="str">
        <x:v>0/1</x:v>
      </x:c>
      <x:c r="F155" s="12" t="str">
        <x:v>P_sw,追加部品重量</x:v>
      </x:c>
      <x:c r="G155" s="12" t="str">
        <x:v>0=無効,1=有効</x:v>
      </x:c>
      <x:c r="H155" s="12" t="str">
        <x:v>技術選択</x:v>
      </x:c>
      <x:c r="I155" s="12" t="str">
        <x:v>対象</x:v>
      </x:c>
      <x:c r="J155" s="48"/>
      <x:c r="K155" s="12"/>
      <x:c r="L155" s="12"/>
      <x:c r="M155" s="12"/>
      <x:c r="N155" s="12" t="str">
        <x:v>基準仕様（シナリオ間固定）</x:v>
      </x:c>
      <x:c r="O155" s="12" t="str">
        <x:v>09_基準仕様</x:v>
      </x:c>
      <x:c r="P155" s="12" t="str">
        <x:v>通常は編集しない</x:v>
      </x:c>
      <x:c r="Q155" s="12" t="str">
        <x:v>D列は直接編集せず参照元を編集</x:v>
      </x:c>
    </x:row>
    <x:row r="156">
      <x:c r="A156" s="12" t="str">
        <x:v>ゲート駆動</x:v>
      </x:c>
      <x:c r="B156" s="12" t="str">
        <x:v>分離Rg時SW時間係数</x:v>
      </x:c>
      <x:c r="C156" s="12" t="str">
        <x:v>k_split_sw</x:v>
      </x:c>
      <x:c r="D156" s="197" t="n">
        <x:f>'09_基準仕様'!E148</x:f>
        <x:v>0.9</x:v>
      </x:c>
      <x:c r="E156" s="12" t="str">
        <x:v>-</x:v>
      </x:c>
      <x:c r="F156" s="12" t="str">
        <x:v>t_sw_eff</x:v>
      </x:c>
      <x:c r="G156" s="12" t="str">
        <x:v>有効時10%改善の簡易値</x:v>
      </x:c>
      <x:c r="H156" s="12" t="str">
        <x:v>技術係数</x:v>
      </x:c>
      <x:c r="I156" s="12" t="str">
        <x:v>対象</x:v>
      </x:c>
      <x:c r="J156" s="48"/>
      <x:c r="K156" s="12"/>
      <x:c r="L156" s="12"/>
      <x:c r="M156" s="12"/>
      <x:c r="N156" s="12" t="str">
        <x:v>基準仕様（シナリオ間固定）</x:v>
      </x:c>
      <x:c r="O156" s="12" t="str">
        <x:v>09_基準仕様</x:v>
      </x:c>
      <x:c r="P156" s="12" t="str">
        <x:v>通常は編集しない</x:v>
      </x:c>
      <x:c r="Q156" s="12" t="str">
        <x:v>D列は直接編集せず参照元を編集</x:v>
      </x:c>
    </x:row>
    <x:row r="157">
      <x:c r="A157" s="12" t="str">
        <x:v>ゲート駆動</x:v>
      </x:c>
      <x:c r="B157" s="12" t="str">
        <x:v>分離Rg追加重量</x:v>
      </x:c>
      <x:c r="C157" s="12" t="str">
        <x:v>m_split_Rg</x:v>
      </x:c>
      <x:c r="D157" s="197" t="n">
        <x:f>'09_基準仕様'!E149</x:f>
        <x:v>0.003</x:v>
      </x:c>
      <x:c r="E157" s="12" t="str">
        <x:v>kg</x:v>
      </x:c>
      <x:c r="F157" s="12" t="str">
        <x:v>M_gate_option</x:v>
      </x:c>
      <x:c r="G157" s="12" t="str"/>
      <x:c r="H157" s="12" t="str">
        <x:v>技術係数</x:v>
      </x:c>
      <x:c r="I157" s="12" t="str">
        <x:v>対象</x:v>
      </x:c>
      <x:c r="J157" s="48"/>
      <x:c r="K157" s="12"/>
      <x:c r="L157" s="12"/>
      <x:c r="M157" s="12"/>
      <x:c r="N157" s="12" t="str">
        <x:v>基準仕様（シナリオ間固定）</x:v>
      </x:c>
      <x:c r="O157" s="12" t="str">
        <x:v>09_基準仕様</x:v>
      </x:c>
      <x:c r="P157" s="12" t="str">
        <x:v>通常は編集しない</x:v>
      </x:c>
      <x:c r="Q157" s="12" t="str">
        <x:v>D列は直接編集せず参照元を編集</x:v>
      </x:c>
    </x:row>
    <x:row r="158">
      <x:c r="A158" s="12" t="str">
        <x:v>ゲート駆動</x:v>
      </x:c>
      <x:c r="B158" s="12" t="str">
        <x:v>スルーレートEMI基準重量</x:v>
      </x:c>
      <x:c r="C158" s="12" t="str">
        <x:v>m_slew_emi_ref</x:v>
      </x:c>
      <x:c r="D158" s="197" t="n">
        <x:f>'09_基準仕様'!E150</x:f>
        <x:v>0.08</x:v>
      </x:c>
      <x:c r="E158" s="12" t="str">
        <x:v>kg</x:v>
      </x:c>
      <x:c r="F158" s="12" t="str">
        <x:v>M_slew_emi</x:v>
      </x:c>
      <x:c r="G158" s="12" t="str"/>
      <x:c r="H158" s="12" t="str">
        <x:v>技術係数</x:v>
      </x:c>
      <x:c r="I158" s="12" t="str">
        <x:v>対象</x:v>
      </x:c>
      <x:c r="J158" s="48"/>
      <x:c r="K158" s="12"/>
      <x:c r="L158" s="12"/>
      <x:c r="M158" s="12"/>
      <x:c r="N158" s="12" t="str">
        <x:v>基準仕様（シナリオ間固定）</x:v>
      </x:c>
      <x:c r="O158" s="12" t="str">
        <x:v>09_基準仕様</x:v>
      </x:c>
      <x:c r="P158" s="12" t="str">
        <x:v>通常は編集しない</x:v>
      </x:c>
      <x:c r="Q158" s="12" t="str">
        <x:v>D列は直接編集せず参照元を編集</x:v>
      </x:c>
    </x:row>
    <x:row r="159">
      <x:c r="A159" s="12" t="str">
        <x:v>ゲート駆動</x:v>
      </x:c>
      <x:c r="B159" s="12" t="str">
        <x:v>スルーレート重量指数</x:v>
      </x:c>
      <x:c r="C159" s="12" t="str">
        <x:v>a_slew_emi</x:v>
      </x:c>
      <x:c r="D159" s="197" t="n">
        <x:f>'09_基準仕様'!E151</x:f>
        <x:v>0.7</x:v>
      </x:c>
      <x:c r="E159" s="12" t="str">
        <x:v>-</x:v>
      </x:c>
      <x:c r="F159" s="12" t="str">
        <x:v>M_slew_emi</x:v>
      </x:c>
      <x:c r="G159" s="12" t="str"/>
      <x:c r="H159" s="12" t="str">
        <x:v>技術係数</x:v>
      </x:c>
      <x:c r="I159" s="12" t="str">
        <x:v>対象</x:v>
      </x:c>
      <x:c r="J159" s="48"/>
      <x:c r="K159" s="12"/>
      <x:c r="L159" s="12"/>
      <x:c r="M159" s="12"/>
      <x:c r="N159" s="12" t="str">
        <x:v>基準仕様（シナリオ間固定）</x:v>
      </x:c>
      <x:c r="O159" s="12" t="str">
        <x:v>09_基準仕様</x:v>
      </x:c>
      <x:c r="P159" s="12" t="str">
        <x:v>通常は編集しない</x:v>
      </x:c>
      <x:c r="Q159" s="12" t="str">
        <x:v>D列は直接編集せず参照元を編集</x:v>
      </x:c>
    </x:row>
    <x:row r="160">
      <x:c r="A160" s="12" t="str">
        <x:v>デッドタイム</x:v>
      </x:c>
      <x:c r="B160" s="12" t="str">
        <x:v>デッドタイム</x:v>
      </x:c>
      <x:c r="C160" s="12" t="str">
        <x:v>t_dead</x:v>
      </x:c>
      <x:c r="D160" s="197" t="n">
        <x:f>'09_基準仕様'!E152</x:f>
        <x:v>3e-7</x:v>
      </x:c>
      <x:c r="E160" s="12" t="str">
        <x:v>s</x:v>
      </x:c>
      <x:c r="F160" s="12" t="str">
        <x:v>P_dead</x:v>
      </x:c>
      <x:c r="G160" s="12" t="str"/>
      <x:c r="H160" s="12" t="str">
        <x:v>設計変数</x:v>
      </x:c>
      <x:c r="I160" s="12" t="str">
        <x:v>対象</x:v>
      </x:c>
      <x:c r="J160" s="48" t="n">
        <x:f>'07_システム要求'!M17</x:f>
        <x:v>7.5e-8</x:v>
      </x:c>
      <x:c r="K160" s="12" t="str">
        <x:v>スイッチング時間からの初期推奨。shoot-through/損失で調整</x:v>
      </x:c>
      <x:c r="L160" s="12" t="str">
        <x:v>推奨のみ</x:v>
      </x:c>
      <x:c r="M160" s="12" t="n">
        <x:v>3e-7</x:v>
      </x:c>
      <x:c r="N160" s="12" t="str">
        <x:v>基準仕様（シナリオ間固定）</x:v>
      </x:c>
      <x:c r="O160" s="12" t="str">
        <x:v>09_基準仕様</x:v>
      </x:c>
      <x:c r="P160" s="12" t="str">
        <x:v>通常は編集しない</x:v>
      </x:c>
      <x:c r="Q160" s="12" t="str">
        <x:v>D列は直接編集せず参照元を編集</x:v>
      </x:c>
    </x:row>
    <x:row r="161">
      <x:c r="A161" s="12" t="str">
        <x:v>デッドタイム</x:v>
      </x:c>
      <x:c r="B161" s="12" t="str">
        <x:v>第3象限等価電圧</x:v>
      </x:c>
      <x:c r="C161" s="12" t="str">
        <x:v>V_dead_drop</x:v>
      </x:c>
      <x:c r="D161" s="197" t="n">
        <x:f>'09_基準仕様'!E153</x:f>
        <x:v>2.5</x:v>
      </x:c>
      <x:c r="E161" s="12" t="str">
        <x:v>V</x:v>
      </x:c>
      <x:c r="F161" s="12" t="str">
        <x:v>P_dead</x:v>
      </x:c>
      <x:c r="G161" s="12" t="str">
        <x:v>簡易値</x:v>
      </x:c>
      <x:c r="H161" s="12" t="str">
        <x:v>技術係数</x:v>
      </x:c>
      <x:c r="I161" s="12" t="str">
        <x:v>対象</x:v>
      </x:c>
      <x:c r="J161" s="48"/>
      <x:c r="K161" s="12"/>
      <x:c r="L161" s="12"/>
      <x:c r="M161" s="12"/>
      <x:c r="N161" s="12" t="str">
        <x:v>基準仕様（シナリオ間固定）</x:v>
      </x:c>
      <x:c r="O161" s="12" t="str">
        <x:v>09_基準仕様</x:v>
      </x:c>
      <x:c r="P161" s="12" t="str">
        <x:v>通常は編集しない</x:v>
      </x:c>
      <x:c r="Q161" s="12" t="str">
        <x:v>D列は直接編集せず参照元を編集</x:v>
      </x:c>
    </x:row>
    <x:row r="162">
      <x:c r="A162" s="12" t="str">
        <x:v>デッドタイム</x:v>
      </x:c>
      <x:c r="B162" s="12" t="str">
        <x:v>適応デッドタイム有効</x:v>
      </x:c>
      <x:c r="C162" s="12" t="str">
        <x:v>Enable_adaptive_DT</x:v>
      </x:c>
      <x:c r="D162" s="197" t="n">
        <x:f>'09_基準仕様'!E154</x:f>
        <x:v>0</x:v>
      </x:c>
      <x:c r="E162" s="12" t="str">
        <x:v>0/1</x:v>
      </x:c>
      <x:c r="F162" s="12" t="str">
        <x:v>P_dead,制御重量</x:v>
      </x:c>
      <x:c r="G162" s="12" t="str"/>
      <x:c r="H162" s="12" t="str">
        <x:v>技術選択</x:v>
      </x:c>
      <x:c r="I162" s="12" t="str">
        <x:v>対象</x:v>
      </x:c>
      <x:c r="J162" s="48"/>
      <x:c r="K162" s="12"/>
      <x:c r="L162" s="12"/>
      <x:c r="M162" s="12"/>
      <x:c r="N162" s="12" t="str">
        <x:v>基準仕様（シナリオ間固定）</x:v>
      </x:c>
      <x:c r="O162" s="12" t="str">
        <x:v>09_基準仕様</x:v>
      </x:c>
      <x:c r="P162" s="12" t="str">
        <x:v>通常は編集しない</x:v>
      </x:c>
      <x:c r="Q162" s="12" t="str">
        <x:v>D列は直接編集せず参照元を編集</x:v>
      </x:c>
    </x:row>
    <x:row r="163">
      <x:c r="A163" s="12" t="str">
        <x:v>デッドタイム</x:v>
      </x:c>
      <x:c r="B163" s="12" t="str">
        <x:v>適応時デッドタイム残存率</x:v>
      </x:c>
      <x:c r="C163" s="12" t="str">
        <x:v>k_adapt_dead</x:v>
      </x:c>
      <x:c r="D163" s="197" t="n">
        <x:f>'09_基準仕様'!E155</x:f>
        <x:v>0.45</x:v>
      </x:c>
      <x:c r="E163" s="12" t="str">
        <x:v>-</x:v>
      </x:c>
      <x:c r="F163" s="12" t="str">
        <x:v>t_dead_eff</x:v>
      </x:c>
      <x:c r="G163" s="12" t="str"/>
      <x:c r="H163" s="12" t="str">
        <x:v>技術係数</x:v>
      </x:c>
      <x:c r="I163" s="12" t="str">
        <x:v>対象</x:v>
      </x:c>
      <x:c r="J163" s="48"/>
      <x:c r="K163" s="12"/>
      <x:c r="L163" s="12"/>
      <x:c r="M163" s="12"/>
      <x:c r="N163" s="12" t="str">
        <x:v>基準仕様（シナリオ間固定）</x:v>
      </x:c>
      <x:c r="O163" s="12" t="str">
        <x:v>09_基準仕様</x:v>
      </x:c>
      <x:c r="P163" s="12" t="str">
        <x:v>通常は編集しない</x:v>
      </x:c>
      <x:c r="Q163" s="12" t="str">
        <x:v>D列は直接編集せず参照元を編集</x:v>
      </x:c>
    </x:row>
    <x:row r="164">
      <x:c r="A164" s="12" t="str">
        <x:v>デッドタイム</x:v>
      </x:c>
      <x:c r="B164" s="12" t="str">
        <x:v>適応DT追加制御重量</x:v>
      </x:c>
      <x:c r="C164" s="12" t="str">
        <x:v>m_adapt_DT</x:v>
      </x:c>
      <x:c r="D164" s="197" t="n">
        <x:f>'09_基準仕様'!E156</x:f>
        <x:v>0.015</x:v>
      </x:c>
      <x:c r="E164" s="12" t="str">
        <x:v>kg</x:v>
      </x:c>
      <x:c r="F164" s="12" t="str">
        <x:v>M_gate_option</x:v>
      </x:c>
      <x:c r="G164" s="12" t="str"/>
      <x:c r="H164" s="12" t="str">
        <x:v>技術係数</x:v>
      </x:c>
      <x:c r="I164" s="12" t="str">
        <x:v>対象</x:v>
      </x:c>
      <x:c r="J164" s="48"/>
      <x:c r="K164" s="12"/>
      <x:c r="L164" s="12"/>
      <x:c r="M164" s="12"/>
      <x:c r="N164" s="12" t="str">
        <x:v>基準仕様（シナリオ間固定）</x:v>
      </x:c>
      <x:c r="O164" s="12" t="str">
        <x:v>09_基準仕様</x:v>
      </x:c>
      <x:c r="P164" s="12" t="str">
        <x:v>通常は編集しない</x:v>
      </x:c>
      <x:c r="Q164" s="12" t="str">
        <x:v>D列は直接編集せず参照元を編集</x:v>
      </x:c>
    </x:row>
    <x:row r="165">
      <x:c r="A165" s="12" t="str">
        <x:v>ゲート電圧</x:v>
      </x:c>
      <x:c r="B165" s="12" t="str">
        <x:v>ターンオンゲート電圧</x:v>
      </x:c>
      <x:c r="C165" s="12" t="str">
        <x:v>Vgs_on</x:v>
      </x:c>
      <x:c r="D165" s="197" t="n">
        <x:f>'09_基準仕様'!E157</x:f>
        <x:v>18</x:v>
      </x:c>
      <x:c r="E165" s="12" t="str">
        <x:v>V</x:v>
      </x:c>
      <x:c r="F165" s="12" t="str">
        <x:v>R_on,P_gate</x:v>
      </x:c>
      <x:c r="G165" s="12" t="str"/>
      <x:c r="H165" s="12" t="str">
        <x:v>設計変数</x:v>
      </x:c>
      <x:c r="I165" s="12" t="str">
        <x:v>対象</x:v>
      </x:c>
      <x:c r="J165" s="48"/>
      <x:c r="K165" s="12"/>
      <x:c r="L165" s="12"/>
      <x:c r="M165" s="12"/>
      <x:c r="N165" s="12" t="str">
        <x:v>基準仕様（シナリオ間固定）</x:v>
      </x:c>
      <x:c r="O165" s="12" t="str">
        <x:v>09_基準仕様</x:v>
      </x:c>
      <x:c r="P165" s="12" t="str">
        <x:v>通常は編集しない</x:v>
      </x:c>
      <x:c r="Q165" s="12" t="str">
        <x:v>D列は直接編集せず参照元を編集</x:v>
      </x:c>
    </x:row>
    <x:row r="166">
      <x:c r="A166" s="12" t="str">
        <x:v>ゲート電圧</x:v>
      </x:c>
      <x:c r="B166" s="12" t="str">
        <x:v>ターンオフゲート電圧</x:v>
      </x:c>
      <x:c r="C166" s="12" t="str">
        <x:v>Vgs_off</x:v>
      </x:c>
      <x:c r="D166" s="197" t="n">
        <x:f>'09_基準仕様'!E158</x:f>
        <x:v>-3</x:v>
      </x:c>
      <x:c r="E166" s="12" t="str">
        <x:v>V</x:v>
      </x:c>
      <x:c r="F166" s="12" t="str">
        <x:v>P_gate,バイアス重量</x:v>
      </x:c>
      <x:c r="G166" s="12" t="str"/>
      <x:c r="H166" s="12" t="str">
        <x:v>設計変数</x:v>
      </x:c>
      <x:c r="I166" s="12" t="str">
        <x:v>対象</x:v>
      </x:c>
      <x:c r="J166" s="48"/>
      <x:c r="K166" s="12"/>
      <x:c r="L166" s="12"/>
      <x:c r="M166" s="12"/>
      <x:c r="N166" s="12" t="str">
        <x:v>基準仕様（シナリオ間固定）</x:v>
      </x:c>
      <x:c r="O166" s="12" t="str">
        <x:v>09_基準仕様</x:v>
      </x:c>
      <x:c r="P166" s="12" t="str">
        <x:v>通常は編集しない</x:v>
      </x:c>
      <x:c r="Q166" s="12" t="str">
        <x:v>D列は直接編集せず参照元を編集</x:v>
      </x:c>
    </x:row>
    <x:row r="167">
      <x:c r="A167" s="12" t="str">
        <x:v>ゲート電圧</x:v>
      </x:c>
      <x:c r="B167" s="12" t="str">
        <x:v>R_on基準ゲート電圧</x:v>
      </x:c>
      <x:c r="C167" s="12" t="str">
        <x:v>Vgs_ref</x:v>
      </x:c>
      <x:c r="D167" s="197" t="n">
        <x:f>'09_基準仕様'!E159</x:f>
        <x:v>18</x:v>
      </x:c>
      <x:c r="E167" s="12" t="str">
        <x:v>V</x:v>
      </x:c>
      <x:c r="F167" s="12" t="str">
        <x:v>k_vgs_ron</x:v>
      </x:c>
      <x:c r="G167" s="12" t="str"/>
      <x:c r="H167" s="12" t="str">
        <x:v>技術係数</x:v>
      </x:c>
      <x:c r="I167" s="12" t="str">
        <x:v>対象</x:v>
      </x:c>
      <x:c r="J167" s="48"/>
      <x:c r="K167" s="12"/>
      <x:c r="L167" s="12"/>
      <x:c r="M167" s="12"/>
      <x:c r="N167" s="12" t="str">
        <x:v>基準仕様（シナリオ間固定）</x:v>
      </x:c>
      <x:c r="O167" s="12" t="str">
        <x:v>09_基準仕様</x:v>
      </x:c>
      <x:c r="P167" s="12" t="str">
        <x:v>通常は編集しない</x:v>
      </x:c>
      <x:c r="Q167" s="12" t="str">
        <x:v>D列は直接編集せず参照元を編集</x:v>
      </x:c>
    </x:row>
    <x:row r="168">
      <x:c r="A168" s="12" t="str">
        <x:v>ゲート電圧</x:v>
      </x:c>
      <x:c r="B168" s="12" t="str">
        <x:v>Vgs-Ron指数</x:v>
      </x:c>
      <x:c r="C168" s="12" t="str">
        <x:v>a_vgs_ron</x:v>
      </x:c>
      <x:c r="D168" s="197" t="n">
        <x:f>'09_基準仕様'!E160</x:f>
        <x:v>0.7</x:v>
      </x:c>
      <x:c r="E168" s="12" t="str">
        <x:v>-</x:v>
      </x:c>
      <x:c r="F168" s="12" t="str">
        <x:v>k_vgs_ron</x:v>
      </x:c>
      <x:c r="G168" s="12" t="str"/>
      <x:c r="H168" s="12" t="str">
        <x:v>技術係数</x:v>
      </x:c>
      <x:c r="I168" s="12" t="str">
        <x:v>対象</x:v>
      </x:c>
      <x:c r="J168" s="48"/>
      <x:c r="K168" s="12"/>
      <x:c r="L168" s="12"/>
      <x:c r="M168" s="12"/>
      <x:c r="N168" s="12" t="str">
        <x:v>基準仕様（シナリオ間固定）</x:v>
      </x:c>
      <x:c r="O168" s="12" t="str">
        <x:v>09_基準仕様</x:v>
      </x:c>
      <x:c r="P168" s="12" t="str">
        <x:v>通常は編集しない</x:v>
      </x:c>
      <x:c r="Q168" s="12" t="str">
        <x:v>D列は直接編集せず参照元を編集</x:v>
      </x:c>
    </x:row>
    <x:row r="169">
      <x:c r="A169" s="12" t="str">
        <x:v>ゲート電圧</x:v>
      </x:c>
      <x:c r="B169" s="12" t="str">
        <x:v>ゲート電荷</x:v>
      </x:c>
      <x:c r="C169" s="12" t="str">
        <x:v>Q_g</x:v>
      </x:c>
      <x:c r="D169" s="197" t="n">
        <x:f>'09_基準仕様'!E161</x:f>
        <x:v>1.2e-7</x:v>
      </x:c>
      <x:c r="E169" s="12" t="str">
        <x:v>C</x:v>
      </x:c>
      <x:c r="F169" s="12" t="str">
        <x:v>P_gate</x:v>
      </x:c>
      <x:c r="G169" s="12" t="str">
        <x:v>簡易値</x:v>
      </x:c>
      <x:c r="H169" s="12" t="str">
        <x:v>技術係数</x:v>
      </x:c>
      <x:c r="I169" s="12" t="str">
        <x:v>対象</x:v>
      </x:c>
      <x:c r="J169" s="48"/>
      <x:c r="K169" s="12"/>
      <x:c r="L169" s="12"/>
      <x:c r="M169" s="12"/>
      <x:c r="N169" s="12" t="str">
        <x:v>基準仕様（シナリオ間固定）</x:v>
      </x:c>
      <x:c r="O169" s="12" t="str">
        <x:v>09_基準仕様</x:v>
      </x:c>
      <x:c r="P169" s="12" t="str">
        <x:v>通常は編集しない</x:v>
      </x:c>
      <x:c r="Q169" s="12" t="str">
        <x:v>D列は直接編集せず参照元を編集</x:v>
      </x:c>
    </x:row>
    <x:row r="170">
      <x:c r="A170" s="12" t="str">
        <x:v>ゲート電圧</x:v>
      </x:c>
      <x:c r="B170" s="12" t="str">
        <x:v>ゲート電源重量係数</x:v>
      </x:c>
      <x:c r="C170" s="12" t="str">
        <x:v>k_mgate</x:v>
      </x:c>
      <x:c r="D170" s="197" t="n">
        <x:f>'09_基準仕様'!E162</x:f>
        <x:v>0.03</x:v>
      </x:c>
      <x:c r="E170" s="12" t="str">
        <x:v>kg/W</x:v>
      </x:c>
      <x:c r="F170" s="12" t="str">
        <x:v>M_gate_supply</x:v>
      </x:c>
      <x:c r="G170" s="12" t="str"/>
      <x:c r="H170" s="12" t="str">
        <x:v>技術係数</x:v>
      </x:c>
      <x:c r="I170" s="12" t="str">
        <x:v>対象</x:v>
      </x:c>
      <x:c r="J170" s="48"/>
      <x:c r="K170" s="12"/>
      <x:c r="L170" s="12"/>
      <x:c r="M170" s="12"/>
      <x:c r="N170" s="12" t="str">
        <x:v>基準仕様（シナリオ間固定）</x:v>
      </x:c>
      <x:c r="O170" s="12" t="str">
        <x:v>09_基準仕様</x:v>
      </x:c>
      <x:c r="P170" s="12" t="str">
        <x:v>通常は編集しない</x:v>
      </x:c>
      <x:c r="Q170" s="12" t="str">
        <x:v>D列は直接編集せず参照元を編集</x:v>
      </x:c>
    </x:row>
    <x:row r="171">
      <x:c r="A171" s="12" t="str">
        <x:v>ゲート電圧</x:v>
      </x:c>
      <x:c r="B171" s="12" t="str">
        <x:v>負バイアス追加重量係数</x:v>
      </x:c>
      <x:c r="C171" s="12" t="str">
        <x:v>k_mneg</x:v>
      </x:c>
      <x:c r="D171" s="197" t="n">
        <x:f>'09_基準仕様'!E163</x:f>
        <x:v>0.004</x:v>
      </x:c>
      <x:c r="E171" s="12" t="str">
        <x:v>kg/V</x:v>
      </x:c>
      <x:c r="F171" s="12" t="str">
        <x:v>M_gate_supply</x:v>
      </x:c>
      <x:c r="G171" s="12" t="str"/>
      <x:c r="H171" s="12" t="str">
        <x:v>技術係数</x:v>
      </x:c>
      <x:c r="I171" s="12" t="str">
        <x:v>対象</x:v>
      </x:c>
      <x:c r="J171" s="48"/>
      <x:c r="K171" s="12"/>
      <x:c r="L171" s="12"/>
      <x:c r="M171" s="12"/>
      <x:c r="N171" s="12" t="str">
        <x:v>基準仕様（シナリオ間固定）</x:v>
      </x:c>
      <x:c r="O171" s="12" t="str">
        <x:v>09_基準仕様</x:v>
      </x:c>
      <x:c r="P171" s="12" t="str">
        <x:v>通常は編集しない</x:v>
      </x:c>
      <x:c r="Q171" s="12" t="str">
        <x:v>D列は直接編集せず参照元を編集</x:v>
      </x:c>
    </x:row>
    <x:row r="172">
      <x:c r="A172" s="12" t="str">
        <x:v>寄生/レイアウト</x:v>
      </x:c>
      <x:c r="B172" s="12" t="str">
        <x:v>パワーループ寄生インダクタンス</x:v>
      </x:c>
      <x:c r="C172" s="12" t="str">
        <x:v>L_stray</x:v>
      </x:c>
      <x:c r="D172" s="197" t="n">
        <x:f>'09_基準仕様'!E164</x:f>
        <x:v>1.5e-8</x:v>
      </x:c>
      <x:c r="E172" s="12" t="str">
        <x:v>H</x:v>
      </x:c>
      <x:c r="F172" s="12" t="str">
        <x:v>V_overshoot</x:v>
      </x:c>
      <x:c r="G172" s="12" t="str">
        <x:v>低いほど良いが構造重量増</x:v>
      </x:c>
      <x:c r="H172" s="12" t="str">
        <x:v>設計変数</x:v>
      </x:c>
      <x:c r="I172" s="12" t="str">
        <x:v>対象</x:v>
      </x:c>
      <x:c r="J172" s="48"/>
      <x:c r="K172" s="12"/>
      <x:c r="L172" s="12"/>
      <x:c r="M172" s="12"/>
      <x:c r="N172" s="12" t="str">
        <x:v>基準仕様（シナリオ間固定）</x:v>
      </x:c>
      <x:c r="O172" s="12" t="str">
        <x:v>09_基準仕様</x:v>
      </x:c>
      <x:c r="P172" s="12" t="str">
        <x:v>通常は編集しない</x:v>
      </x:c>
      <x:c r="Q172" s="12" t="str">
        <x:v>D列は直接編集せず参照元を編集</x:v>
      </x:c>
    </x:row>
    <x:row r="173">
      <x:c r="A173" s="12" t="str">
        <x:v>寄生/レイアウト</x:v>
      </x:c>
      <x:c r="B173" s="12" t="str">
        <x:v>低寄生化基準インダクタンス</x:v>
      </x:c>
      <x:c r="C173" s="12" t="str">
        <x:v>L_stray_ref</x:v>
      </x:c>
      <x:c r="D173" s="197" t="n">
        <x:f>'09_基準仕様'!E165</x:f>
        <x:v>1.5e-8</x:v>
      </x:c>
      <x:c r="E173" s="12" t="str">
        <x:v>H</x:v>
      </x:c>
      <x:c r="F173" s="12" t="str">
        <x:v>M_lowL_layout</x:v>
      </x:c>
      <x:c r="G173" s="12" t="str"/>
      <x:c r="H173" s="12" t="str">
        <x:v>技術係数</x:v>
      </x:c>
      <x:c r="I173" s="12" t="str">
        <x:v>対象</x:v>
      </x:c>
      <x:c r="J173" s="48"/>
      <x:c r="K173" s="12"/>
      <x:c r="L173" s="12"/>
      <x:c r="M173" s="12"/>
      <x:c r="N173" s="12" t="str">
        <x:v>基準仕様（シナリオ間固定）</x:v>
      </x:c>
      <x:c r="O173" s="12" t="str">
        <x:v>09_基準仕様</x:v>
      </x:c>
      <x:c r="P173" s="12" t="str">
        <x:v>通常は編集しない</x:v>
      </x:c>
      <x:c r="Q173" s="12" t="str">
        <x:v>D列は直接編集せず参照元を編集</x:v>
      </x:c>
    </x:row>
    <x:row r="174">
      <x:c r="A174" s="12" t="str">
        <x:v>寄生/レイアウト</x:v>
      </x:c>
      <x:c r="B174" s="12" t="str">
        <x:v>低寄生化構造重量係数</x:v>
      </x:c>
      <x:c r="C174" s="12" t="str">
        <x:v>m_lowL_ref</x:v>
      </x:c>
      <x:c r="D174" s="197" t="n">
        <x:f>'09_基準仕様'!E166</x:f>
        <x:v>0.05</x:v>
      </x:c>
      <x:c r="E174" s="12" t="str">
        <x:v>kg</x:v>
      </x:c>
      <x:c r="F174" s="12" t="str">
        <x:v>M_lowL_layout</x:v>
      </x:c>
      <x:c r="G174" s="12" t="str"/>
      <x:c r="H174" s="12" t="str">
        <x:v>技術係数</x:v>
      </x:c>
      <x:c r="I174" s="12" t="str">
        <x:v>対象</x:v>
      </x:c>
      <x:c r="J174" s="48"/>
      <x:c r="K174" s="12"/>
      <x:c r="L174" s="12"/>
      <x:c r="M174" s="12"/>
      <x:c r="N174" s="12" t="str">
        <x:v>基準仕様（シナリオ間固定）</x:v>
      </x:c>
      <x:c r="O174" s="12" t="str">
        <x:v>09_基準仕様</x:v>
      </x:c>
      <x:c r="P174" s="12" t="str">
        <x:v>通常は編集しない</x:v>
      </x:c>
      <x:c r="Q174" s="12" t="str">
        <x:v>D列は直接編集せず参照元を編集</x:v>
      </x:c>
    </x:row>
    <x:row r="175">
      <x:c r="A175" s="12" t="str">
        <x:v>スナバ</x:v>
      </x:c>
      <x:c r="B175" s="12" t="str">
        <x:v>スナバ有効</x:v>
      </x:c>
      <x:c r="C175" s="12" t="str">
        <x:v>Enable_snubber</x:v>
      </x:c>
      <x:c r="D175" s="197" t="n">
        <x:f>'10_シナリオ入力'!E10</x:f>
        <x:v>0</x:v>
      </x:c>
      <x:c r="E175" s="12" t="str">
        <x:v>0/1</x:v>
      </x:c>
      <x:c r="F175" s="12" t="str">
        <x:v>V_overshoot,P_snub,M_snub</x:v>
      </x:c>
      <x:c r="G175" s="12" t="str"/>
      <x:c r="H175" s="12" t="str">
        <x:v>技術選択</x:v>
      </x:c>
      <x:c r="I175" s="12" t="str">
        <x:v>対象</x:v>
      </x:c>
      <x:c r="J175" s="48"/>
      <x:c r="K175" s="12"/>
      <x:c r="L175" s="12"/>
      <x:c r="M175" s="12"/>
      <x:c r="N175" s="12" t="str">
        <x:v>シナリオ固有手入力</x:v>
      </x:c>
      <x:c r="O175" s="12" t="str">
        <x:v>10_シナリオ入力</x:v>
      </x:c>
      <x:c r="P175" s="12" t="str">
        <x:v>必要に応じて編集</x:v>
      </x:c>
      <x:c r="Q175" s="12" t="str">
        <x:v>シナリオ表を参照</x:v>
      </x:c>
    </x:row>
    <x:row r="176">
      <x:c r="A176" s="12" t="str">
        <x:v>スナバ</x:v>
      </x:c>
      <x:c r="B176" s="12" t="str">
        <x:v>オーバーシュート低減率</x:v>
      </x:c>
      <x:c r="C176" s="12" t="str">
        <x:v>k_snub_reduce</x:v>
      </x:c>
      <x:c r="D176" s="197" t="n">
        <x:f>'09_基準仕様'!E167</x:f>
        <x:v>0.65</x:v>
      </x:c>
      <x:c r="E176" s="12" t="str">
        <x:v>-</x:v>
      </x:c>
      <x:c r="F176" s="12" t="str">
        <x:v>V_overshoot_eff</x:v>
      </x:c>
      <x:c r="G176" s="12" t="str"/>
      <x:c r="H176" s="12" t="str">
        <x:v>技術係数</x:v>
      </x:c>
      <x:c r="I176" s="12" t="str">
        <x:v>対象</x:v>
      </x:c>
      <x:c r="J176" s="48"/>
      <x:c r="K176" s="12"/>
      <x:c r="L176" s="12"/>
      <x:c r="M176" s="12"/>
      <x:c r="N176" s="12" t="str">
        <x:v>基準仕様（シナリオ間固定）</x:v>
      </x:c>
      <x:c r="O176" s="12" t="str">
        <x:v>09_基準仕様</x:v>
      </x:c>
      <x:c r="P176" s="12" t="str">
        <x:v>通常は編集しない</x:v>
      </x:c>
      <x:c r="Q176" s="12" t="str">
        <x:v>D列は直接編集せず参照元を編集</x:v>
      </x:c>
    </x:row>
    <x:row r="177">
      <x:c r="A177" s="12" t="str">
        <x:v>スナバ</x:v>
      </x:c>
      <x:c r="B177" s="12" t="str">
        <x:v>スナバ容量</x:v>
      </x:c>
      <x:c r="C177" s="12" t="str">
        <x:v>C_snub</x:v>
      </x:c>
      <x:c r="D177" s="197" t="n">
        <x:f>'09_基準仕様'!E168</x:f>
        <x:v>5e-9</x:v>
      </x:c>
      <x:c r="E177" s="12" t="str">
        <x:v>F</x:v>
      </x:c>
      <x:c r="F177" s="12" t="str">
        <x:v>P_snub</x:v>
      </x:c>
      <x:c r="G177" s="12" t="str"/>
      <x:c r="H177" s="12" t="str">
        <x:v>設計変数</x:v>
      </x:c>
      <x:c r="I177" s="12" t="str">
        <x:v>対象</x:v>
      </x:c>
      <x:c r="J177" s="48"/>
      <x:c r="K177" s="12"/>
      <x:c r="L177" s="12"/>
      <x:c r="M177" s="12"/>
      <x:c r="N177" s="12" t="str">
        <x:v>基準仕様（シナリオ間固定）</x:v>
      </x:c>
      <x:c r="O177" s="12" t="str">
        <x:v>09_基準仕様</x:v>
      </x:c>
      <x:c r="P177" s="12" t="str">
        <x:v>通常は編集しない</x:v>
      </x:c>
      <x:c r="Q177" s="12" t="str">
        <x:v>D列は直接編集せず参照元を編集</x:v>
      </x:c>
    </x:row>
    <x:row r="178">
      <x:c r="A178" s="12" t="str">
        <x:v>スナバ</x:v>
      </x:c>
      <x:c r="B178" s="12" t="str">
        <x:v>スナバ追加重量</x:v>
      </x:c>
      <x:c r="C178" s="12" t="str">
        <x:v>m_snub</x:v>
      </x:c>
      <x:c r="D178" s="197" t="n">
        <x:f>'09_基準仕様'!E169</x:f>
        <x:v>0.03</x:v>
      </x:c>
      <x:c r="E178" s="12" t="str">
        <x:v>kg</x:v>
      </x:c>
      <x:c r="F178" s="12" t="str">
        <x:v>M_snub</x:v>
      </x:c>
      <x:c r="G178" s="12" t="str"/>
      <x:c r="H178" s="12" t="str">
        <x:v>技術係数</x:v>
      </x:c>
      <x:c r="I178" s="12" t="str">
        <x:v>対象</x:v>
      </x:c>
      <x:c r="J178" s="48"/>
      <x:c r="K178" s="12"/>
      <x:c r="L178" s="12"/>
      <x:c r="M178" s="12"/>
      <x:c r="N178" s="12" t="str">
        <x:v>基準仕様（シナリオ間固定）</x:v>
      </x:c>
      <x:c r="O178" s="12" t="str">
        <x:v>09_基準仕様</x:v>
      </x:c>
      <x:c r="P178" s="12" t="str">
        <x:v>通常は編集しない</x:v>
      </x:c>
      <x:c r="Q178" s="12" t="str">
        <x:v>D列は直接編集せず参照元を編集</x:v>
      </x:c>
    </x:row>
    <x:row r="179">
      <x:c r="A179" s="12" t="str">
        <x:v>PWM</x:v>
      </x:c>
      <x:c r="B179" s="12" t="str">
        <x:v>DPWM有効</x:v>
      </x:c>
      <x:c r="C179" s="12" t="str">
        <x:v>Enable_DPWM</x:v>
      </x:c>
      <x:c r="D179" s="197" t="n">
        <x:f>'10_シナリオ入力'!E11</x:f>
        <x:v>0</x:v>
      </x:c>
      <x:c r="E179" s="12" t="str">
        <x:v>0/1</x:v>
      </x:c>
      <x:c r="F179" s="12" t="str">
        <x:v>P_sw,M_DPWM_penalty</x:v>
      </x:c>
      <x:c r="G179" s="12" t="str"/>
      <x:c r="H179" s="12" t="str">
        <x:v>技術選択</x:v>
      </x:c>
      <x:c r="I179" s="12" t="str">
        <x:v>対象</x:v>
      </x:c>
      <x:c r="J179" s="48"/>
      <x:c r="K179" s="12"/>
      <x:c r="L179" s="12"/>
      <x:c r="M179" s="12"/>
      <x:c r="N179" s="12" t="str">
        <x:v>シナリオ固有手入力</x:v>
      </x:c>
      <x:c r="O179" s="12" t="str">
        <x:v>10_シナリオ入力</x:v>
      </x:c>
      <x:c r="P179" s="12" t="str">
        <x:v>必要に応じて編集</x:v>
      </x:c>
      <x:c r="Q179" s="12" t="str">
        <x:v>シナリオ表を参照</x:v>
      </x:c>
    </x:row>
    <x:row r="180">
      <x:c r="A180" s="12" t="str">
        <x:v>PWM</x:v>
      </x:c>
      <x:c r="B180" s="12" t="str">
        <x:v>DPWM時SWイベント残存率</x:v>
      </x:c>
      <x:c r="C180" s="12" t="str">
        <x:v>k_dpwm_sw</x:v>
      </x:c>
      <x:c r="D180" s="197" t="n">
        <x:f>'09_基準仕様'!E170</x:f>
        <x:v>0.67</x:v>
      </x:c>
      <x:c r="E180" s="12" t="str">
        <x:v>-</x:v>
      </x:c>
      <x:c r="F180" s="12" t="str">
        <x:v>k_pwm_sw</x:v>
      </x:c>
      <x:c r="G180" s="12" t="str"/>
      <x:c r="H180" s="12" t="str">
        <x:v>技術係数</x:v>
      </x:c>
      <x:c r="I180" s="12" t="str">
        <x:v>対象</x:v>
      </x:c>
      <x:c r="J180" s="48"/>
      <x:c r="K180" s="12"/>
      <x:c r="L180" s="12"/>
      <x:c r="M180" s="12"/>
      <x:c r="N180" s="12" t="str">
        <x:v>基準仕様（シナリオ間固定）</x:v>
      </x:c>
      <x:c r="O180" s="12" t="str">
        <x:v>09_基準仕様</x:v>
      </x:c>
      <x:c r="P180" s="12" t="str">
        <x:v>通常は編集しない</x:v>
      </x:c>
      <x:c r="Q180" s="12" t="str">
        <x:v>D列は直接編集せず参照元を編集</x:v>
      </x:c>
    </x:row>
    <x:row r="181">
      <x:c r="A181" s="12" t="str">
        <x:v>PWM</x:v>
      </x:c>
      <x:c r="B181" s="12" t="str">
        <x:v>DPWM高調波/EMI追加重量</x:v>
      </x:c>
      <x:c r="C181" s="12" t="str">
        <x:v>m_dpwm_penalty</x:v>
      </x:c>
      <x:c r="D181" s="197" t="n">
        <x:f>'09_基準仕様'!E171</x:f>
        <x:v>0.025</x:v>
      </x:c>
      <x:c r="E181" s="12" t="str">
        <x:v>kg</x:v>
      </x:c>
      <x:c r="F181" s="12" t="str">
        <x:v>M_DPWM_penalty</x:v>
      </x:c>
      <x:c r="G181" s="12" t="str"/>
      <x:c r="H181" s="12" t="str">
        <x:v>技術係数</x:v>
      </x:c>
      <x:c r="I181" s="12" t="str">
        <x:v>対象</x:v>
      </x:c>
      <x:c r="J181" s="48"/>
      <x:c r="K181" s="12"/>
      <x:c r="L181" s="12"/>
      <x:c r="M181" s="12"/>
      <x:c r="N181" s="12" t="str">
        <x:v>基準仕様（シナリオ間固定）</x:v>
      </x:c>
      <x:c r="O181" s="12" t="str">
        <x:v>09_基準仕様</x:v>
      </x:c>
      <x:c r="P181" s="12" t="str">
        <x:v>通常は編集しない</x:v>
      </x:c>
      <x:c r="Q181" s="12" t="str">
        <x:v>D列は直接編集せず参照元を編集</x:v>
      </x:c>
    </x:row>
    <x:row r="182">
      <x:c r="A182" s="12" t="str">
        <x:v>PWM</x:v>
      </x:c>
      <x:c r="B182" s="12" t="str">
        <x:v>CM低減PWM有効</x:v>
      </x:c>
      <x:c r="C182" s="12" t="str">
        <x:v>Enable_CM_PWM</x:v>
      </x:c>
      <x:c r="D182" s="197" t="n">
        <x:f>'10_シナリオ入力'!E12</x:f>
        <x:v>0</x:v>
      </x:c>
      <x:c r="E182" s="12" t="str">
        <x:v>0/1</x:v>
      </x:c>
      <x:c r="F182" s="12" t="str">
        <x:v>P_sw,M_CM_filter</x:v>
      </x:c>
      <x:c r="G182" s="12" t="str"/>
      <x:c r="H182" s="12" t="str">
        <x:v>技術選択</x:v>
      </x:c>
      <x:c r="I182" s="12" t="str">
        <x:v>対象</x:v>
      </x:c>
      <x:c r="J182" s="48"/>
      <x:c r="K182" s="12"/>
      <x:c r="L182" s="12"/>
      <x:c r="M182" s="12"/>
      <x:c r="N182" s="12" t="str">
        <x:v>シナリオ固有手入力</x:v>
      </x:c>
      <x:c r="O182" s="12" t="str">
        <x:v>10_シナリオ入力</x:v>
      </x:c>
      <x:c r="P182" s="12" t="str">
        <x:v>必要に応じて編集</x:v>
      </x:c>
      <x:c r="Q182" s="12" t="str">
        <x:v>シナリオ表を参照</x:v>
      </x:c>
    </x:row>
    <x:row r="183">
      <x:c r="A183" s="12" t="str">
        <x:v>PWM</x:v>
      </x:c>
      <x:c r="B183" s="12" t="str">
        <x:v>CM低減PWMのSW損失係数</x:v>
      </x:c>
      <x:c r="C183" s="12" t="str">
        <x:v>k_cmpwm_sw</x:v>
      </x:c>
      <x:c r="D183" s="197" t="n">
        <x:f>'09_基準仕様'!E172</x:f>
        <x:v>1.08</x:v>
      </x:c>
      <x:c r="E183" s="12" t="str">
        <x:v>-</x:v>
      </x:c>
      <x:c r="F183" s="12" t="str">
        <x:v>k_pwm_sw</x:v>
      </x:c>
      <x:c r="G183" s="12" t="str"/>
      <x:c r="H183" s="12" t="str">
        <x:v>技術係数</x:v>
      </x:c>
      <x:c r="I183" s="12" t="str">
        <x:v>対象</x:v>
      </x:c>
      <x:c r="J183" s="48"/>
      <x:c r="K183" s="12"/>
      <x:c r="L183" s="12"/>
      <x:c r="M183" s="12"/>
      <x:c r="N183" s="12" t="str">
        <x:v>基準仕様（シナリオ間固定）</x:v>
      </x:c>
      <x:c r="O183" s="12" t="str">
        <x:v>09_基準仕様</x:v>
      </x:c>
      <x:c r="P183" s="12" t="str">
        <x:v>通常は編集しない</x:v>
      </x:c>
      <x:c r="Q183" s="12" t="str">
        <x:v>D列は直接編集せず参照元を編集</x:v>
      </x:c>
    </x:row>
    <x:row r="184">
      <x:c r="A184" s="12" t="str">
        <x:v>PWM</x:v>
      </x:c>
      <x:c r="B184" s="12" t="str">
        <x:v>基準CMフィルタ重量</x:v>
      </x:c>
      <x:c r="C184" s="12" t="str">
        <x:v>m_CM_filter_base</x:v>
      </x:c>
      <x:c r="D184" s="197" t="n">
        <x:f>'09_基準仕様'!E173</x:f>
        <x:v>0.2</x:v>
      </x:c>
      <x:c r="E184" s="12" t="str">
        <x:v>kg</x:v>
      </x:c>
      <x:c r="F184" s="12" t="str">
        <x:v>M_CM_filter</x:v>
      </x:c>
      <x:c r="G184" s="12" t="str"/>
      <x:c r="H184" s="12" t="str">
        <x:v>技術係数</x:v>
      </x:c>
      <x:c r="I184" s="12" t="str">
        <x:v>対象</x:v>
      </x:c>
      <x:c r="J184" s="48"/>
      <x:c r="K184" s="12"/>
      <x:c r="L184" s="12"/>
      <x:c r="M184" s="12"/>
      <x:c r="N184" s="12" t="str">
        <x:v>基準仕様（シナリオ間固定）</x:v>
      </x:c>
      <x:c r="O184" s="12" t="str">
        <x:v>09_基準仕様</x:v>
      </x:c>
      <x:c r="P184" s="12" t="str">
        <x:v>通常は編集しない</x:v>
      </x:c>
      <x:c r="Q184" s="12" t="str">
        <x:v>D列は直接編集せず参照元を編集</x:v>
      </x:c>
    </x:row>
    <x:row r="185">
      <x:c r="A185" s="12" t="str">
        <x:v>PWM</x:v>
      </x:c>
      <x:c r="B185" s="12" t="str">
        <x:v>CMフィルタ低減率</x:v>
      </x:c>
      <x:c r="C185" s="12" t="str">
        <x:v>k_cm_filter_reduce</x:v>
      </x:c>
      <x:c r="D185" s="197" t="n">
        <x:f>'09_基準仕様'!E174</x:f>
        <x:v>0.6</x:v>
      </x:c>
      <x:c r="E185" s="12" t="str">
        <x:v>-</x:v>
      </x:c>
      <x:c r="F185" s="12" t="str">
        <x:v>M_CM_filter</x:v>
      </x:c>
      <x:c r="G185" s="12" t="str"/>
      <x:c r="H185" s="12" t="str">
        <x:v>技術係数</x:v>
      </x:c>
      <x:c r="I185" s="12" t="str">
        <x:v>対象</x:v>
      </x:c>
      <x:c r="J185" s="48"/>
      <x:c r="K185" s="12"/>
      <x:c r="L185" s="12"/>
      <x:c r="M185" s="12"/>
      <x:c r="N185" s="12" t="str">
        <x:v>基準仕様（シナリオ間固定）</x:v>
      </x:c>
      <x:c r="O185" s="12" t="str">
        <x:v>09_基準仕様</x:v>
      </x:c>
      <x:c r="P185" s="12" t="str">
        <x:v>通常は編集しない</x:v>
      </x:c>
      <x:c r="Q185" s="12" t="str">
        <x:v>D列は直接編集せず参照元を編集</x:v>
      </x:c>
    </x:row>
    <x:row r="186">
      <x:c r="A186" s="12" t="str">
        <x:v>PWM</x:v>
      </x:c>
      <x:c r="B186" s="12" t="str">
        <x:v>CM低減PWM追加制御重量</x:v>
      </x:c>
      <x:c r="C186" s="12" t="str">
        <x:v>m_cmpwm_ctrl</x:v>
      </x:c>
      <x:c r="D186" s="197" t="n">
        <x:f>'09_基準仕様'!E175</x:f>
        <x:v>0.005</x:v>
      </x:c>
      <x:c r="E186" s="12" t="str">
        <x:v>kg</x:v>
      </x:c>
      <x:c r="F186" s="12" t="str">
        <x:v>M_PWM_option</x:v>
      </x:c>
      <x:c r="G186" s="12" t="str"/>
      <x:c r="H186" s="12" t="str">
        <x:v>技術係数</x:v>
      </x:c>
      <x:c r="I186" s="12" t="str">
        <x:v>対象</x:v>
      </x:c>
      <x:c r="J186" s="48"/>
      <x:c r="K186" s="12"/>
      <x:c r="L186" s="12"/>
      <x:c r="M186" s="12"/>
      <x:c r="N186" s="12" t="str">
        <x:v>基準仕様（シナリオ間固定）</x:v>
      </x:c>
      <x:c r="O186" s="12" t="str">
        <x:v>09_基準仕様</x:v>
      </x:c>
      <x:c r="P186" s="12" t="str">
        <x:v>通常は編集しない</x:v>
      </x:c>
      <x:c r="Q186" s="12" t="str">
        <x:v>D列は直接編集せず参照元を編集</x:v>
      </x:c>
    </x:row>
    <x:row r="187">
      <x:c r="A187" s="12" t="str">
        <x:v>DCリンクC</x:v>
      </x:c>
      <x:c r="B187" s="12" t="str">
        <x:v>DCリンクCリップル電流係数</x:v>
      </x:c>
      <x:c r="C187" s="12" t="str">
        <x:v>k_Icap_ripple</x:v>
      </x:c>
      <x:c r="D187" s="197" t="n">
        <x:f>'09_基準仕様'!E176</x:f>
        <x:v>0.55</x:v>
      </x:c>
      <x:c r="E187" s="12" t="str">
        <x:v>-</x:v>
      </x:c>
      <x:c r="F187" s="12" t="str">
        <x:v>I_C_rms</x:v>
      </x:c>
      <x:c r="G187" s="12" t="str">
        <x:v>I_C_rms=k×I_phase</x:v>
      </x:c>
      <x:c r="H187" s="12" t="str">
        <x:v>技術係数</x:v>
      </x:c>
      <x:c r="I187" s="12" t="str">
        <x:v>対象</x:v>
      </x:c>
      <x:c r="J187" s="48"/>
      <x:c r="K187" s="12"/>
      <x:c r="L187" s="12"/>
      <x:c r="M187" s="12"/>
      <x:c r="N187" s="12" t="str">
        <x:v>基準仕様（シナリオ間固定）</x:v>
      </x:c>
      <x:c r="O187" s="12" t="str">
        <x:v>09_基準仕様</x:v>
      </x:c>
      <x:c r="P187" s="12" t="str">
        <x:v>通常は編集しない</x:v>
      </x:c>
      <x:c r="Q187" s="12" t="str">
        <x:v>D列は直接編集せず参照元を編集</x:v>
      </x:c>
    </x:row>
    <x:row r="188">
      <x:c r="A188" s="12" t="str">
        <x:v>DCリンクC</x:v>
      </x:c>
      <x:c r="B188" s="12" t="str">
        <x:v>C単体リップル電流定格</x:v>
      </x:c>
      <x:c r="C188" s="12" t="str">
        <x:v>I_cap_unit_rating</x:v>
      </x:c>
      <x:c r="D188" s="197" t="n">
        <x:f>'09_基準仕様'!E177</x:f>
        <x:v>25</x:v>
      </x:c>
      <x:c r="E188" s="12" t="str">
        <x:v>A</x:v>
      </x:c>
      <x:c r="F188" s="12" t="str">
        <x:v>N_cap_ripple</x:v>
      </x:c>
      <x:c r="G188" s="12" t="str"/>
      <x:c r="H188" s="12" t="str">
        <x:v>設計変数</x:v>
      </x:c>
      <x:c r="I188" s="12" t="str">
        <x:v>対象</x:v>
      </x:c>
      <x:c r="J188" s="48"/>
      <x:c r="K188" s="12"/>
      <x:c r="L188" s="12"/>
      <x:c r="M188" s="12"/>
      <x:c r="N188" s="12" t="str">
        <x:v>基準仕様（シナリオ間固定）</x:v>
      </x:c>
      <x:c r="O188" s="12" t="str">
        <x:v>09_基準仕様</x:v>
      </x:c>
      <x:c r="P188" s="12" t="str">
        <x:v>通常は編集しない</x:v>
      </x:c>
      <x:c r="Q188" s="12" t="str">
        <x:v>D列は直接編集せず参照元を編集</x:v>
      </x:c>
    </x:row>
    <x:row r="189">
      <x:c r="A189" s="12" t="str">
        <x:v>DCリンクC</x:v>
      </x:c>
      <x:c r="B189" s="12" t="str">
        <x:v>C単体重量</x:v>
      </x:c>
      <x:c r="C189" s="12" t="str">
        <x:v>m_cap_unit</x:v>
      </x:c>
      <x:c r="D189" s="197" t="n">
        <x:f>'09_基準仕様'!E178</x:f>
        <x:v>0.35</x:v>
      </x:c>
      <x:c r="E189" s="12" t="str">
        <x:v>kg/個</x:v>
      </x:c>
      <x:c r="F189" s="12" t="str">
        <x:v>M_cap_margin</x:v>
      </x:c>
      <x:c r="G189" s="12" t="str"/>
      <x:c r="H189" s="12" t="str">
        <x:v>技術係数</x:v>
      </x:c>
      <x:c r="I189" s="12" t="str">
        <x:v>対象</x:v>
      </x:c>
      <x:c r="J189" s="48"/>
      <x:c r="K189" s="12"/>
      <x:c r="L189" s="12"/>
      <x:c r="M189" s="12"/>
      <x:c r="N189" s="12" t="str">
        <x:v>基準仕様（シナリオ間固定）</x:v>
      </x:c>
      <x:c r="O189" s="12" t="str">
        <x:v>09_基準仕様</x:v>
      </x:c>
      <x:c r="P189" s="12" t="str">
        <x:v>通常は編集しない</x:v>
      </x:c>
      <x:c r="Q189" s="12" t="str">
        <x:v>D列は直接編集せず参照元を編集</x:v>
      </x:c>
    </x:row>
    <x:row r="190">
      <x:c r="A190" s="12" t="str">
        <x:v>DCリンクC</x:v>
      </x:c>
      <x:c r="B190" s="12" t="str">
        <x:v>C単体ESR</x:v>
      </x:c>
      <x:c r="C190" s="12" t="str">
        <x:v>ESR_cap</x:v>
      </x:c>
      <x:c r="D190" s="197" t="n">
        <x:f>'09_基準仕様'!E179</x:f>
        <x:v>0.003</x:v>
      </x:c>
      <x:c r="E190" s="12" t="str">
        <x:v>Ω</x:v>
      </x:c>
      <x:c r="F190" s="12" t="str">
        <x:v>T_cap_hot</x:v>
      </x:c>
      <x:c r="G190" s="12" t="str"/>
      <x:c r="H190" s="12" t="str">
        <x:v>設計変数</x:v>
      </x:c>
      <x:c r="I190" s="12" t="str">
        <x:v>対象</x:v>
      </x:c>
      <x:c r="J190" s="48"/>
      <x:c r="K190" s="12"/>
      <x:c r="L190" s="12"/>
      <x:c r="M190" s="12"/>
      <x:c r="N190" s="12" t="str">
        <x:v>基準仕様（シナリオ間固定）</x:v>
      </x:c>
      <x:c r="O190" s="12" t="str">
        <x:v>09_基準仕様</x:v>
      </x:c>
      <x:c r="P190" s="12" t="str">
        <x:v>通常は編集しない</x:v>
      </x:c>
      <x:c r="Q190" s="12" t="str">
        <x:v>D列は直接編集せず参照元を編集</x:v>
      </x:c>
    </x:row>
    <x:row r="191">
      <x:c r="A191" s="12" t="str">
        <x:v>DCリンクC</x:v>
      </x:c>
      <x:c r="B191" s="12" t="str">
        <x:v>C熱抵抗</x:v>
      </x:c>
      <x:c r="C191" s="12" t="str">
        <x:v>Rth_cap</x:v>
      </x:c>
      <x:c r="D191" s="197" t="n">
        <x:f>'09_基準仕様'!E180</x:f>
        <x:v>2</x:v>
      </x:c>
      <x:c r="E191" s="12" t="str">
        <x:v>K/W</x:v>
      </x:c>
      <x:c r="F191" s="12" t="str">
        <x:v>T_cap_hot</x:v>
      </x:c>
      <x:c r="G191" s="12" t="str"/>
      <x:c r="H191" s="12" t="str">
        <x:v>技術係数</x:v>
      </x:c>
      <x:c r="I191" s="12" t="str">
        <x:v>対象</x:v>
      </x:c>
      <x:c r="J191" s="48"/>
      <x:c r="K191" s="12"/>
      <x:c r="L191" s="12"/>
      <x:c r="M191" s="12"/>
      <x:c r="N191" s="12" t="str">
        <x:v>基準仕様（シナリオ間固定）</x:v>
      </x:c>
      <x:c r="O191" s="12" t="str">
        <x:v>09_基準仕様</x:v>
      </x:c>
      <x:c r="P191" s="12" t="str">
        <x:v>通常は編集しない</x:v>
      </x:c>
      <x:c r="Q191" s="12" t="str">
        <x:v>D列は直接編集せず参照元を編集</x:v>
      </x:c>
    </x:row>
    <x:row r="192">
      <x:c r="A192" s="12" t="str">
        <x:v>DCリンクC</x:v>
      </x:c>
      <x:c r="B192" s="12" t="str">
        <x:v>寿命基準温度</x:v>
      </x:c>
      <x:c r="C192" s="12" t="str">
        <x:v>T_cap_life_ref</x:v>
      </x:c>
      <x:c r="D192" s="197" t="n">
        <x:f>'09_基準仕様'!E181</x:f>
        <x:v>85</x:v>
      </x:c>
      <x:c r="E192" s="12" t="str">
        <x:v>°C</x:v>
      </x:c>
      <x:c r="F192" s="12" t="str">
        <x:v>life_cap</x:v>
      </x:c>
      <x:c r="G192" s="12" t="str"/>
      <x:c r="H192" s="12" t="str">
        <x:v>技術係数</x:v>
      </x:c>
      <x:c r="I192" s="12" t="str">
        <x:v>対象</x:v>
      </x:c>
      <x:c r="J192" s="48"/>
      <x:c r="K192" s="12"/>
      <x:c r="L192" s="12"/>
      <x:c r="M192" s="12"/>
      <x:c r="N192" s="12" t="str">
        <x:v>基準仕様（シナリオ間固定）</x:v>
      </x:c>
      <x:c r="O192" s="12" t="str">
        <x:v>09_基準仕様</x:v>
      </x:c>
      <x:c r="P192" s="12" t="str">
        <x:v>通常は編集しない</x:v>
      </x:c>
      <x:c r="Q192" s="12" t="str">
        <x:v>D列は直接編集せず参照元を編集</x:v>
      </x:c>
    </x:row>
    <x:row r="193">
      <x:c r="A193" s="12" t="str">
        <x:v>DCリンクC</x:v>
      </x:c>
      <x:c r="B193" s="12" t="str">
        <x:v>基準寿命</x:v>
      </x:c>
      <x:c r="C193" s="12" t="str">
        <x:v>life_cap_ref</x:v>
      </x:c>
      <x:c r="D193" s="197" t="n">
        <x:f>'09_基準仕様'!E182</x:f>
        <x:v>10000</x:v>
      </x:c>
      <x:c r="E193" s="12" t="str">
        <x:v>h</x:v>
      </x:c>
      <x:c r="F193" s="12" t="str">
        <x:v>life_cap</x:v>
      </x:c>
      <x:c r="G193" s="12" t="str"/>
      <x:c r="H193" s="12" t="str">
        <x:v>技術係数</x:v>
      </x:c>
      <x:c r="I193" s="12" t="str">
        <x:v>対象</x:v>
      </x:c>
      <x:c r="J193" s="48"/>
      <x:c r="K193" s="12"/>
      <x:c r="L193" s="12"/>
      <x:c r="M193" s="12"/>
      <x:c r="N193" s="12" t="str">
        <x:v>基準仕様（シナリオ間固定）</x:v>
      </x:c>
      <x:c r="O193" s="12" t="str">
        <x:v>09_基準仕様</x:v>
      </x:c>
      <x:c r="P193" s="12" t="str">
        <x:v>通常は編集しない</x:v>
      </x:c>
      <x:c r="Q193" s="12" t="str">
        <x:v>D列は直接編集せず参照元を編集</x:v>
      </x:c>
    </x:row>
    <x:row r="194">
      <x:c r="A194" s="12" t="str">
        <x:v>DCリンクC</x:v>
      </x:c>
      <x:c r="B194" s="12" t="str">
        <x:v>要求寿命</x:v>
      </x:c>
      <x:c r="C194" s="12" t="str">
        <x:v>life_cap_req</x:v>
      </x:c>
      <x:c r="D194" s="197" t="n">
        <x:f>'07_システム要求'!D21</x:f>
        <x:v>150000</x:v>
      </x:c>
      <x:c r="E194" s="12" t="str">
        <x:v>h</x:v>
      </x:c>
      <x:c r="F194" s="12" t="str">
        <x:v>k_life_cap</x:v>
      </x:c>
      <x:c r="G194" s="12" t="str"/>
      <x:c r="H194" s="12" t="str">
        <x:v>要求仕様</x:v>
      </x:c>
      <x:c r="I194" s="12" t="str">
        <x:v>対象</x:v>
      </x:c>
      <x:c r="J194" s="48" t="n">
        <x:f>'07_システム要求'!D21</x:f>
        <x:v>150000</x:v>
      </x:c>
      <x:c r="K194" s="12" t="str">
        <x:v>要求寿命</x:v>
      </x:c>
      <x:c r="L194" s="12" t="str">
        <x:v>自動</x:v>
      </x:c>
      <x:c r="M194" s="12" t="n">
        <x:v>150000</x:v>
      </x:c>
      <x:c r="N194" s="12" t="str">
        <x:v>システム要求→自動計算</x:v>
      </x:c>
      <x:c r="O194" s="12" t="str">
        <x:v>07_システム要求</x:v>
      </x:c>
      <x:c r="P194" s="12" t="str">
        <x:v>システム要求のみ編集</x:v>
      </x:c>
      <x:c r="Q194" s="12" t="str">
        <x:v>D列は直接編集せず参照元を編集</x:v>
      </x:c>
    </x:row>
    <x:row r="195">
      <x:c r="A195" s="12" t="str">
        <x:v>ゲート駆動</x:v>
      </x:c>
      <x:c r="B195" s="12" t="str">
        <x:v>スルーレート基準DC電圧</x:v>
      </x:c>
      <x:c r="C195" s="12" t="str">
        <x:v>V_slew_ref</x:v>
      </x:c>
      <x:c r="D195" s="201" t="n">
        <x:f>'09_基準仕様'!E183</x:f>
        <x:v>800</x:v>
      </x:c>
      <x:c r="E195" s="12" t="str">
        <x:v>V</x:v>
      </x:c>
      <x:c r="F195" s="12" t="str">
        <x:v>M_slew_emi</x:v>
      </x:c>
      <x:c r="G195" s="12" t="str"/>
      <x:c r="H195" s="12" t="str">
        <x:v>技術係数</x:v>
      </x:c>
      <x:c r="I195" s="12" t="str">
        <x:v>対象</x:v>
      </x:c>
      <x:c r="J195" s="48"/>
      <x:c r="K195" s="12"/>
      <x:c r="L195" s="12"/>
      <x:c r="M195" s="12"/>
      <x:c r="N195" s="12" t="str">
        <x:v>基準仕様（シナリオ間固定）</x:v>
      </x:c>
      <x:c r="O195" s="12" t="str">
        <x:v>09_基準仕様</x:v>
      </x:c>
      <x:c r="P195" s="12" t="str">
        <x:v>通常は編集しない</x:v>
      </x:c>
      <x:c r="Q195" s="12" t="str">
        <x:v>D列は直接編集せず参照元を編集</x:v>
      </x:c>
    </x:row>
    <x:row r="196">
      <x:c r="A196" s="12" t="str">
        <x:v>DCリンクESL</x:v>
      </x:c>
      <x:c r="B196" s="12" t="str">
        <x:v>DCリンク実効ESL</x:v>
      </x:c>
      <x:c r="C196" s="12" t="str">
        <x:v>ESL_dc</x:v>
      </x:c>
      <x:c r="D196" s="197" t="n">
        <x:f>'09_基準仕様'!E184</x:f>
        <x:v>1.2e-8</x:v>
      </x:c>
      <x:c r="E196" s="12" t="str">
        <x:v>H</x:v>
      </x:c>
      <x:c r="F196" s="12" t="str">
        <x:v>V_overshoot_eff</x:v>
      </x:c>
      <x:c r="G196" s="12" t="str"/>
      <x:c r="H196" s="12" t="str">
        <x:v>設計変数</x:v>
      </x:c>
      <x:c r="I196" s="12" t="str">
        <x:v>対象</x:v>
      </x:c>
      <x:c r="J196" s="48"/>
      <x:c r="K196" s="12"/>
      <x:c r="L196" s="12"/>
      <x:c r="M196" s="12"/>
      <x:c r="N196" s="12" t="str">
        <x:v>基準仕様（シナリオ間固定）</x:v>
      </x:c>
      <x:c r="O196" s="12" t="str">
        <x:v>09_基準仕様</x:v>
      </x:c>
      <x:c r="P196" s="12" t="str">
        <x:v>通常は編集しない</x:v>
      </x:c>
      <x:c r="Q196" s="12" t="str">
        <x:v>D列は直接編集せず参照元を編集</x:v>
      </x:c>
    </x:row>
    <x:row r="197">
      <x:c r="A197" s="12" t="str">
        <x:v>DCリンクESL</x:v>
      </x:c>
      <x:c r="B197" s="12" t="str">
        <x:v>HFローカルデカップリング有効</x:v>
      </x:c>
      <x:c r="C197" s="12" t="str">
        <x:v>Enable_hf_decouple</x:v>
      </x:c>
      <x:c r="D197" s="197" t="n">
        <x:f>'10_シナリオ入力'!E13</x:f>
        <x:v>0</x:v>
      </x:c>
      <x:c r="E197" s="12" t="str">
        <x:v>0/1</x:v>
      </x:c>
      <x:c r="F197" s="12" t="str">
        <x:v>V_overshoot,M_hfcap</x:v>
      </x:c>
      <x:c r="G197" s="12" t="str"/>
      <x:c r="H197" s="12" t="str">
        <x:v>技術選択</x:v>
      </x:c>
      <x:c r="I197" s="12" t="str">
        <x:v>対象</x:v>
      </x:c>
      <x:c r="J197" s="48"/>
      <x:c r="K197" s="12"/>
      <x:c r="L197" s="12"/>
      <x:c r="M197" s="12"/>
      <x:c r="N197" s="12" t="str">
        <x:v>シナリオ固有手入力</x:v>
      </x:c>
      <x:c r="O197" s="12" t="str">
        <x:v>10_シナリオ入力</x:v>
      </x:c>
      <x:c r="P197" s="12" t="str">
        <x:v>必要に応じて編集</x:v>
      </x:c>
      <x:c r="Q197" s="12" t="str">
        <x:v>シナリオ表を参照</x:v>
      </x:c>
    </x:row>
    <x:row r="198">
      <x:c r="A198" s="12" t="str">
        <x:v>DCリンクESL</x:v>
      </x:c>
      <x:c r="B198" s="12" t="str">
        <x:v>HFデカップリングL低減率</x:v>
      </x:c>
      <x:c r="C198" s="12" t="str">
        <x:v>k_hf_L_reduce</x:v>
      </x:c>
      <x:c r="D198" s="197" t="n">
        <x:f>'09_基準仕様'!E185</x:f>
        <x:v>0.45</x:v>
      </x:c>
      <x:c r="E198" s="12" t="str">
        <x:v>-</x:v>
      </x:c>
      <x:c r="F198" s="12" t="str">
        <x:v>V_overshoot</x:v>
      </x:c>
      <x:c r="G198" s="12" t="str"/>
      <x:c r="H198" s="12" t="str">
        <x:v>技術係数</x:v>
      </x:c>
      <x:c r="I198" s="12" t="str">
        <x:v>対象</x:v>
      </x:c>
      <x:c r="J198" s="48"/>
      <x:c r="K198" s="12"/>
      <x:c r="L198" s="12"/>
      <x:c r="M198" s="12"/>
      <x:c r="N198" s="12" t="str">
        <x:v>基準仕様（シナリオ間固定）</x:v>
      </x:c>
      <x:c r="O198" s="12" t="str">
        <x:v>09_基準仕様</x:v>
      </x:c>
      <x:c r="P198" s="12" t="str">
        <x:v>通常は編集しない</x:v>
      </x:c>
      <x:c r="Q198" s="12" t="str">
        <x:v>D列は直接編集せず参照元を編集</x:v>
      </x:c>
    </x:row>
    <x:row r="199">
      <x:c r="A199" s="12" t="str">
        <x:v>DCリンクESL</x:v>
      </x:c>
      <x:c r="B199" s="12" t="str">
        <x:v>HFデカップリング追加重量</x:v>
      </x:c>
      <x:c r="C199" s="12" t="str">
        <x:v>m_hfcap</x:v>
      </x:c>
      <x:c r="D199" s="197" t="n">
        <x:f>'09_基準仕様'!E186</x:f>
        <x:v>0.035</x:v>
      </x:c>
      <x:c r="E199" s="12" t="str">
        <x:v>kg</x:v>
      </x:c>
      <x:c r="F199" s="12" t="str">
        <x:v>M_inv</x:v>
      </x:c>
      <x:c r="G199" s="12" t="str"/>
      <x:c r="H199" s="12" t="str">
        <x:v>技術係数</x:v>
      </x:c>
      <x:c r="I199" s="12" t="str">
        <x:v>対象</x:v>
      </x:c>
      <x:c r="J199" s="48"/>
      <x:c r="K199" s="12"/>
      <x:c r="L199" s="12"/>
      <x:c r="M199" s="12"/>
      <x:c r="N199" s="12" t="str">
        <x:v>基準仕様（シナリオ間固定）</x:v>
      </x:c>
      <x:c r="O199" s="12" t="str">
        <x:v>09_基準仕様</x:v>
      </x:c>
      <x:c r="P199" s="12" t="str">
        <x:v>通常は編集しない</x:v>
      </x:c>
      <x:c r="Q199" s="12" t="str">
        <x:v>D列は直接編集せず参照元を編集</x:v>
      </x:c>
    </x:row>
    <x:row r="200">
      <x:c r="A200" s="12" t="str">
        <x:v>冷却</x:v>
      </x:c>
      <x:c r="B200" s="12" t="str">
        <x:v>冷媒流量</x:v>
      </x:c>
      <x:c r="C200" s="12" t="str">
        <x:v>Q_flow</x:v>
      </x:c>
      <x:c r="D200" s="197" t="n">
        <x:f>'09_基準仕様'!E187</x:f>
        <x:v>0.00015</x:v>
      </x:c>
      <x:c r="E200" s="12" t="str">
        <x:v>m3/s</x:v>
      </x:c>
      <x:c r="F200" s="12" t="str">
        <x:v>P_pump</x:v>
      </x:c>
      <x:c r="G200" s="12" t="str"/>
      <x:c r="H200" s="12" t="str">
        <x:v>設計変数</x:v>
      </x:c>
      <x:c r="I200" s="12" t="str">
        <x:v>対象</x:v>
      </x:c>
      <x:c r="J200" s="48"/>
      <x:c r="K200" s="12"/>
      <x:c r="L200" s="12"/>
      <x:c r="M200" s="12"/>
      <x:c r="N200" s="12" t="str">
        <x:v>基準仕様（シナリオ間固定）</x:v>
      </x:c>
      <x:c r="O200" s="12" t="str">
        <x:v>09_基準仕様</x:v>
      </x:c>
      <x:c r="P200" s="12" t="str">
        <x:v>通常は編集しない</x:v>
      </x:c>
      <x:c r="Q200" s="12" t="str">
        <x:v>D列は直接編集せず参照元を編集</x:v>
      </x:c>
    </x:row>
    <x:row r="201">
      <x:c r="A201" s="12" t="str">
        <x:v>冷却</x:v>
      </x:c>
      <x:c r="B201" s="12" t="str">
        <x:v>基準流量</x:v>
      </x:c>
      <x:c r="C201" s="12" t="str">
        <x:v>Q_flow_ref</x:v>
      </x:c>
      <x:c r="D201" s="197" t="n">
        <x:f>'09_基準仕様'!E188</x:f>
        <x:v>0.00015</x:v>
      </x:c>
      <x:c r="E201" s="12" t="str">
        <x:v>m3/s</x:v>
      </x:c>
      <x:c r="F201" s="12" t="str">
        <x:v>DeltaP</x:v>
      </x:c>
      <x:c r="G201" s="12" t="str"/>
      <x:c r="H201" s="12" t="str">
        <x:v>技術係数</x:v>
      </x:c>
      <x:c r="I201" s="12" t="str">
        <x:v>対象</x:v>
      </x:c>
      <x:c r="J201" s="48"/>
      <x:c r="K201" s="12"/>
      <x:c r="L201" s="12"/>
      <x:c r="M201" s="12"/>
      <x:c r="N201" s="12" t="str">
        <x:v>基準仕様（シナリオ間固定）</x:v>
      </x:c>
      <x:c r="O201" s="12" t="str">
        <x:v>09_基準仕様</x:v>
      </x:c>
      <x:c r="P201" s="12" t="str">
        <x:v>通常は編集しない</x:v>
      </x:c>
      <x:c r="Q201" s="12" t="str">
        <x:v>D列は直接編集せず参照元を編集</x:v>
      </x:c>
    </x:row>
    <x:row r="202">
      <x:c r="A202" s="12" t="str">
        <x:v>冷却</x:v>
      </x:c>
      <x:c r="B202" s="12" t="str">
        <x:v>基準圧力損失</x:v>
      </x:c>
      <x:c r="C202" s="12" t="str">
        <x:v>DeltaP_ref</x:v>
      </x:c>
      <x:c r="D202" s="197" t="n">
        <x:f>'09_基準仕様'!E189</x:f>
        <x:v>45000</x:v>
      </x:c>
      <x:c r="E202" s="12" t="str">
        <x:v>Pa</x:v>
      </x:c>
      <x:c r="F202" s="12" t="str">
        <x:v>DeltaP</x:v>
      </x:c>
      <x:c r="G202" s="12" t="str"/>
      <x:c r="H202" s="12" t="str">
        <x:v>技術係数</x:v>
      </x:c>
      <x:c r="I202" s="12" t="str">
        <x:v>対象</x:v>
      </x:c>
      <x:c r="J202" s="48"/>
      <x:c r="K202" s="12"/>
      <x:c r="L202" s="12"/>
      <x:c r="M202" s="12"/>
      <x:c r="N202" s="12" t="str">
        <x:v>基準仕様（シナリオ間固定）</x:v>
      </x:c>
      <x:c r="O202" s="12" t="str">
        <x:v>09_基準仕様</x:v>
      </x:c>
      <x:c r="P202" s="12" t="str">
        <x:v>通常は編集しない</x:v>
      </x:c>
      <x:c r="Q202" s="12" t="str">
        <x:v>D列は直接編集せず参照元を編集</x:v>
      </x:c>
    </x:row>
    <x:row r="203">
      <x:c r="A203" s="12" t="str">
        <x:v>冷却</x:v>
      </x:c>
      <x:c r="B203" s="12" t="str">
        <x:v>圧損流量指数</x:v>
      </x:c>
      <x:c r="C203" s="12" t="str">
        <x:v>a_dp_flow</x:v>
      </x:c>
      <x:c r="D203" s="197" t="n">
        <x:f>'09_基準仕様'!E190</x:f>
        <x:v>1.8</x:v>
      </x:c>
      <x:c r="E203" s="12" t="str">
        <x:v>-</x:v>
      </x:c>
      <x:c r="F203" s="12" t="str">
        <x:v>DeltaP</x:v>
      </x:c>
      <x:c r="G203" s="12" t="str"/>
      <x:c r="H203" s="12" t="str">
        <x:v>技術係数</x:v>
      </x:c>
      <x:c r="I203" s="12" t="str">
        <x:v>対象</x:v>
      </x:c>
      <x:c r="J203" s="48"/>
      <x:c r="K203" s="12"/>
      <x:c r="L203" s="12"/>
      <x:c r="M203" s="12"/>
      <x:c r="N203" s="12" t="str">
        <x:v>基準仕様（シナリオ間固定）</x:v>
      </x:c>
      <x:c r="O203" s="12" t="str">
        <x:v>09_基準仕様</x:v>
      </x:c>
      <x:c r="P203" s="12" t="str">
        <x:v>通常は編集しない</x:v>
      </x:c>
      <x:c r="Q203" s="12" t="str">
        <x:v>D列は直接編集せず参照元を編集</x:v>
      </x:c>
    </x:row>
    <x:row r="204">
      <x:c r="A204" s="12" t="str">
        <x:v>冷却</x:v>
      </x:c>
      <x:c r="B204" s="12" t="str">
        <x:v>ポンプ効率</x:v>
      </x:c>
      <x:c r="C204" s="12" t="str">
        <x:v>eta_pump</x:v>
      </x:c>
      <x:c r="D204" s="197" t="n">
        <x:f>'09_基準仕様'!E191</x:f>
        <x:v>0.45</x:v>
      </x:c>
      <x:c r="E204" s="12" t="str">
        <x:v>-</x:v>
      </x:c>
      <x:c r="F204" s="12" t="str">
        <x:v>P_pump</x:v>
      </x:c>
      <x:c r="G204" s="12" t="str"/>
      <x:c r="H204" s="12" t="str">
        <x:v>設計変数</x:v>
      </x:c>
      <x:c r="I204" s="12" t="str">
        <x:v>対象</x:v>
      </x:c>
      <x:c r="J204" s="48"/>
      <x:c r="K204" s="12"/>
      <x:c r="L204" s="12"/>
      <x:c r="M204" s="12"/>
      <x:c r="N204" s="12" t="str">
        <x:v>基準仕様（シナリオ間固定）</x:v>
      </x:c>
      <x:c r="O204" s="12" t="str">
        <x:v>09_基準仕様</x:v>
      </x:c>
      <x:c r="P204" s="12" t="str">
        <x:v>通常は編集しない</x:v>
      </x:c>
      <x:c r="Q204" s="12" t="str">
        <x:v>D列は直接編集せず参照元を編集</x:v>
      </x:c>
    </x:row>
    <x:row r="205">
      <x:c r="A205" s="12" t="str">
        <x:v>冷却</x:v>
      </x:c>
      <x:c r="B205" s="12" t="str">
        <x:v>ポンプ比重量</x:v>
      </x:c>
      <x:c r="C205" s="12" t="str">
        <x:v>k_m_pump</x:v>
      </x:c>
      <x:c r="D205" s="197" t="n">
        <x:f>'09_基準仕様'!E192</x:f>
        <x:v>0.01</x:v>
      </x:c>
      <x:c r="E205" s="12" t="str">
        <x:v>kg/W</x:v>
      </x:c>
      <x:c r="F205" s="12" t="str">
        <x:v>m_pump</x:v>
      </x:c>
      <x:c r="G205" s="12" t="str"/>
      <x:c r="H205" s="12" t="str">
        <x:v>技術係数</x:v>
      </x:c>
      <x:c r="I205" s="12" t="str">
        <x:v>対象</x:v>
      </x:c>
      <x:c r="J205" s="48"/>
      <x:c r="K205" s="12"/>
      <x:c r="L205" s="12"/>
      <x:c r="M205" s="12"/>
      <x:c r="N205" s="12" t="str">
        <x:v>基準仕様（シナリオ間固定）</x:v>
      </x:c>
      <x:c r="O205" s="12" t="str">
        <x:v>09_基準仕様</x:v>
      </x:c>
      <x:c r="P205" s="12" t="str">
        <x:v>通常は編集しない</x:v>
      </x:c>
      <x:c r="Q205" s="12" t="str">
        <x:v>D列は直接編集せず参照元を編集</x:v>
      </x:c>
    </x:row>
    <x:row r="206">
      <x:c r="A206" s="12" t="str">
        <x:v>冷却</x:v>
      </x:c>
      <x:c r="B206" s="12" t="str">
        <x:v>フィン/流路密度係数</x:v>
      </x:c>
      <x:c r="C206" s="12" t="str">
        <x:v>fin_density</x:v>
      </x:c>
      <x:c r="D206" s="197" t="n">
        <x:f>'09_基準仕様'!E246</x:f>
        <x:v>1</x:v>
      </x:c>
      <x:c r="E206" s="12" t="str">
        <x:v>-</x:v>
      </x:c>
      <x:c r="F206" s="12" t="str">
        <x:v>h_eff,DeltaP</x:v>
      </x:c>
      <x:c r="G206" s="12" t="str"/>
      <x:c r="H206" s="12" t="str">
        <x:v>設計変数</x:v>
      </x:c>
      <x:c r="I206" s="12" t="str">
        <x:v>対象</x:v>
      </x:c>
      <x:c r="J206" s="48"/>
      <x:c r="K206" s="12"/>
      <x:c r="L206" s="12"/>
      <x:c r="M206" s="12"/>
      <x:c r="N206" s="12" t="str">
        <x:v>基準仕様（シナリオ間固定）</x:v>
      </x:c>
      <x:c r="O206" s="12" t="str">
        <x:v>09_基準仕様</x:v>
      </x:c>
      <x:c r="P206" s="12" t="str">
        <x:v>通常は編集しない</x:v>
      </x:c>
      <x:c r="Q206" s="12" t="str">
        <x:v>同一冷却技術では固定</x:v>
      </x:c>
    </x:row>
    <x:row r="207">
      <x:c r="A207" s="12" t="str">
        <x:v>冷却</x:v>
      </x:c>
      <x:c r="B207" s="12" t="str">
        <x:v>熱伝達密度指数</x:v>
      </x:c>
      <x:c r="C207" s="12" t="str">
        <x:v>a_h_fin</x:v>
      </x:c>
      <x:c r="D207" s="197" t="n">
        <x:f>'09_基準仕様'!E193</x:f>
        <x:v>0.65</x:v>
      </x:c>
      <x:c r="E207" s="12" t="str">
        <x:v>-</x:v>
      </x:c>
      <x:c r="F207" s="12" t="str">
        <x:v>h_eff</x:v>
      </x:c>
      <x:c r="G207" s="12" t="str"/>
      <x:c r="H207" s="12" t="str">
        <x:v>技術係数</x:v>
      </x:c>
      <x:c r="I207" s="12" t="str">
        <x:v>対象</x:v>
      </x:c>
      <x:c r="J207" s="48"/>
      <x:c r="K207" s="12"/>
      <x:c r="L207" s="12"/>
      <x:c r="M207" s="12"/>
      <x:c r="N207" s="12" t="str">
        <x:v>基準仕様（シナリオ間固定）</x:v>
      </x:c>
      <x:c r="O207" s="12" t="str">
        <x:v>09_基準仕様</x:v>
      </x:c>
      <x:c r="P207" s="12" t="str">
        <x:v>通常は編集しない</x:v>
      </x:c>
      <x:c r="Q207" s="12" t="str">
        <x:v>D列は直接編集せず参照元を編集</x:v>
      </x:c>
    </x:row>
    <x:row r="208">
      <x:c r="A208" s="12" t="str">
        <x:v>冷却</x:v>
      </x:c>
      <x:c r="B208" s="12" t="str">
        <x:v>圧損密度指数</x:v>
      </x:c>
      <x:c r="C208" s="12" t="str">
        <x:v>a_dp_fin</x:v>
      </x:c>
      <x:c r="D208" s="197" t="n">
        <x:f>'09_基準仕様'!E194</x:f>
        <x:v>1.7</x:v>
      </x:c>
      <x:c r="E208" s="12" t="str">
        <x:v>-</x:v>
      </x:c>
      <x:c r="F208" s="12" t="str">
        <x:v>DeltaP</x:v>
      </x:c>
      <x:c r="G208" s="12" t="str"/>
      <x:c r="H208" s="12" t="str">
        <x:v>技術係数</x:v>
      </x:c>
      <x:c r="I208" s="12" t="str">
        <x:v>対象</x:v>
      </x:c>
      <x:c r="J208" s="48"/>
      <x:c r="K208" s="12"/>
      <x:c r="L208" s="12"/>
      <x:c r="M208" s="12"/>
      <x:c r="N208" s="12" t="str">
        <x:v>基準仕様（シナリオ間固定）</x:v>
      </x:c>
      <x:c r="O208" s="12" t="str">
        <x:v>09_基準仕様</x:v>
      </x:c>
      <x:c r="P208" s="12" t="str">
        <x:v>通常は編集しない</x:v>
      </x:c>
      <x:c r="Q208" s="12" t="str">
        <x:v>D列は直接編集せず参照元を編集</x:v>
      </x:c>
    </x:row>
    <x:row r="209">
      <x:c r="A209" s="12" t="str">
        <x:v>TIM</x:v>
      </x:c>
      <x:c r="B209" s="12" t="str">
        <x:v>TIM厚さ</x:v>
      </x:c>
      <x:c r="C209" s="12" t="str">
        <x:v>t_TIM</x:v>
      </x:c>
      <x:c r="D209" s="197" t="n">
        <x:f>'09_基準仕様'!E195</x:f>
        <x:v>0.00015</x:v>
      </x:c>
      <x:c r="E209" s="12" t="str">
        <x:v>m</x:v>
      </x:c>
      <x:c r="F209" s="12" t="str">
        <x:v>Rth_TIM</x:v>
      </x:c>
      <x:c r="G209" s="12" t="str"/>
      <x:c r="H209" s="12" t="str">
        <x:v>設計変数</x:v>
      </x:c>
      <x:c r="I209" s="12" t="str">
        <x:v>対象</x:v>
      </x:c>
      <x:c r="J209" s="48"/>
      <x:c r="K209" s="12"/>
      <x:c r="L209" s="12"/>
      <x:c r="M209" s="12"/>
      <x:c r="N209" s="12" t="str">
        <x:v>基準仕様（シナリオ間固定）</x:v>
      </x:c>
      <x:c r="O209" s="12" t="str">
        <x:v>09_基準仕様</x:v>
      </x:c>
      <x:c r="P209" s="12" t="str">
        <x:v>通常は編集しない</x:v>
      </x:c>
      <x:c r="Q209" s="12" t="str">
        <x:v>D列は直接編集せず参照元を編集</x:v>
      </x:c>
    </x:row>
    <x:row r="210">
      <x:c r="A210" s="12" t="str">
        <x:v>TIM</x:v>
      </x:c>
      <x:c r="B210" s="12" t="str">
        <x:v>TIM熱伝導率</x:v>
      </x:c>
      <x:c r="C210" s="12" t="str">
        <x:v>k_TIM</x:v>
      </x:c>
      <x:c r="D210" s="197" t="n">
        <x:f>'09_基準仕様'!E196</x:f>
        <x:v>5</x:v>
      </x:c>
      <x:c r="E210" s="12" t="str">
        <x:v>W/(mK)</x:v>
      </x:c>
      <x:c r="F210" s="12" t="str">
        <x:v>Rth_TIM</x:v>
      </x:c>
      <x:c r="G210" s="12" t="str"/>
      <x:c r="H210" s="12" t="str">
        <x:v>設計変数</x:v>
      </x:c>
      <x:c r="I210" s="12" t="str">
        <x:v>対象</x:v>
      </x:c>
      <x:c r="J210" s="48"/>
      <x:c r="K210" s="12"/>
      <x:c r="L210" s="12"/>
      <x:c r="M210" s="12"/>
      <x:c r="N210" s="12" t="str">
        <x:v>基準仕様（シナリオ間固定）</x:v>
      </x:c>
      <x:c r="O210" s="12" t="str">
        <x:v>09_基準仕様</x:v>
      </x:c>
      <x:c r="P210" s="12" t="str">
        <x:v>通常は編集しない</x:v>
      </x:c>
      <x:c r="Q210" s="12" t="str">
        <x:v>D列は直接編集せず参照元を編集</x:v>
      </x:c>
    </x:row>
    <x:row r="211">
      <x:c r="A211" s="12" t="str">
        <x:v>TIM</x:v>
      </x:c>
      <x:c r="B211" s="12" t="str">
        <x:v>TIM面積</x:v>
      </x:c>
      <x:c r="C211" s="12" t="str">
        <x:v>A_TIM</x:v>
      </x:c>
      <x:c r="D211" s="197" t="n">
        <x:f>'09_基準仕様'!E197</x:f>
        <x:v>0.025</x:v>
      </x:c>
      <x:c r="E211" s="12" t="str">
        <x:v>m2</x:v>
      </x:c>
      <x:c r="F211" s="12" t="str">
        <x:v>Rth_TIM</x:v>
      </x:c>
      <x:c r="G211" s="12" t="str"/>
      <x:c r="H211" s="12" t="str">
        <x:v>設計変数</x:v>
      </x:c>
      <x:c r="I211" s="12" t="str">
        <x:v>対象</x:v>
      </x:c>
      <x:c r="J211" s="48"/>
      <x:c r="K211" s="12"/>
      <x:c r="L211" s="12"/>
      <x:c r="M211" s="12"/>
      <x:c r="N211" s="12" t="str">
        <x:v>基準仕様（シナリオ間固定）</x:v>
      </x:c>
      <x:c r="O211" s="12" t="str">
        <x:v>09_基準仕様</x:v>
      </x:c>
      <x:c r="P211" s="12" t="str">
        <x:v>通常は編集しない</x:v>
      </x:c>
      <x:c r="Q211" s="12" t="str">
        <x:v>D列は直接編集せず参照元を編集</x:v>
      </x:c>
    </x:row>
    <x:row r="212">
      <x:c r="A212" s="12" t="str">
        <x:v>TIM</x:v>
      </x:c>
      <x:c r="B212" s="12" t="str">
        <x:v>基準TIM熱抵抗</x:v>
      </x:c>
      <x:c r="C212" s="12" t="str">
        <x:v>Rth_TIM_ref</x:v>
      </x:c>
      <x:c r="D212" s="197" t="n">
        <x:f>'09_基準仕様'!E198</x:f>
        <x:v>0.0012</x:v>
      </x:c>
      <x:c r="E212" s="12" t="str">
        <x:v>K/W</x:v>
      </x:c>
      <x:c r="F212" s="12" t="str">
        <x:v>M_hx</x:v>
      </x:c>
      <x:c r="G212" s="12" t="str"/>
      <x:c r="H212" s="12" t="str">
        <x:v>技術係数</x:v>
      </x:c>
      <x:c r="I212" s="12" t="str">
        <x:v>対象</x:v>
      </x:c>
      <x:c r="J212" s="48"/>
      <x:c r="K212" s="12"/>
      <x:c r="L212" s="12"/>
      <x:c r="M212" s="12"/>
      <x:c r="N212" s="12" t="str">
        <x:v>基準仕様（シナリオ間固定）</x:v>
      </x:c>
      <x:c r="O212" s="12" t="str">
        <x:v>09_基準仕様</x:v>
      </x:c>
      <x:c r="P212" s="12" t="str">
        <x:v>通常は編集しない</x:v>
      </x:c>
      <x:c r="Q212" s="12" t="str">
        <x:v>D列は直接編集せず参照元を編集</x:v>
      </x:c>
    </x:row>
    <x:row r="213">
      <x:c r="A213" s="12" t="str">
        <x:v>TIM</x:v>
      </x:c>
      <x:c r="B213" s="12" t="str">
        <x:v>締結圧係数</x:v>
      </x:c>
      <x:c r="C213" s="12" t="str">
        <x:v>p_mount</x:v>
      </x:c>
      <x:c r="D213" s="197" t="n">
        <x:f>'09_基準仕様'!E245</x:f>
        <x:v>1</x:v>
      </x:c>
      <x:c r="E213" s="12" t="str">
        <x:v>-</x:v>
      </x:c>
      <x:c r="F213" s="12" t="str">
        <x:v>Rth_TIM,m_clamp</x:v>
      </x:c>
      <x:c r="G213" s="12" t="str"/>
      <x:c r="H213" s="12" t="str">
        <x:v>設計変数</x:v>
      </x:c>
      <x:c r="I213" s="12" t="str">
        <x:v>対象</x:v>
      </x:c>
      <x:c r="J213" s="48"/>
      <x:c r="K213" s="12"/>
      <x:c r="L213" s="12"/>
      <x:c r="M213" s="12"/>
      <x:c r="N213" s="12" t="str">
        <x:v>基準仕様（シナリオ間固定）</x:v>
      </x:c>
      <x:c r="O213" s="12" t="str">
        <x:v>09_基準仕様</x:v>
      </x:c>
      <x:c r="P213" s="12" t="str">
        <x:v>通常は編集しない</x:v>
      </x:c>
      <x:c r="Q213" s="12" t="str">
        <x:v>同一冷却技術では固定</x:v>
      </x:c>
    </x:row>
    <x:row r="214">
      <x:c r="A214" s="12" t="str">
        <x:v>TIM</x:v>
      </x:c>
      <x:c r="B214" s="12" t="str">
        <x:v>締結圧指数</x:v>
      </x:c>
      <x:c r="C214" s="12" t="str">
        <x:v>a_press_TIM</x:v>
      </x:c>
      <x:c r="D214" s="197" t="n">
        <x:f>'09_基準仕様'!E199</x:f>
        <x:v>0.25</x:v>
      </x:c>
      <x:c r="E214" s="12" t="str">
        <x:v>-</x:v>
      </x:c>
      <x:c r="F214" s="12" t="str">
        <x:v>Rth_TIM</x:v>
      </x:c>
      <x:c r="G214" s="12" t="str"/>
      <x:c r="H214" s="12" t="str">
        <x:v>技術係数</x:v>
      </x:c>
      <x:c r="I214" s="12" t="str">
        <x:v>対象</x:v>
      </x:c>
      <x:c r="J214" s="48"/>
      <x:c r="K214" s="12"/>
      <x:c r="L214" s="12"/>
      <x:c r="M214" s="12"/>
      <x:c r="N214" s="12" t="str">
        <x:v>基準仕様（シナリオ間固定）</x:v>
      </x:c>
      <x:c r="O214" s="12" t="str">
        <x:v>09_基準仕様</x:v>
      </x:c>
      <x:c r="P214" s="12" t="str">
        <x:v>通常は編集しない</x:v>
      </x:c>
      <x:c r="Q214" s="12" t="str">
        <x:v>D列は直接編集せず参照元を編集</x:v>
      </x:c>
    </x:row>
    <x:row r="215">
      <x:c r="A215" s="12" t="str">
        <x:v>TIM</x:v>
      </x:c>
      <x:c r="B215" s="12" t="str">
        <x:v>基準締結重量</x:v>
      </x:c>
      <x:c r="C215" s="12" t="str">
        <x:v>m_clamp_ref</x:v>
      </x:c>
      <x:c r="D215" s="197" t="n">
        <x:f>'09_基準仕様'!E200</x:f>
        <x:v>0.05</x:v>
      </x:c>
      <x:c r="E215" s="12" t="str">
        <x:v>kg</x:v>
      </x:c>
      <x:c r="F215" s="12" t="str">
        <x:v>m_clamp</x:v>
      </x:c>
      <x:c r="G215" s="12" t="str"/>
      <x:c r="H215" s="12" t="str">
        <x:v>技術係数</x:v>
      </x:c>
      <x:c r="I215" s="12" t="str">
        <x:v>対象</x:v>
      </x:c>
      <x:c r="J215" s="48"/>
      <x:c r="K215" s="12"/>
      <x:c r="L215" s="12"/>
      <x:c r="M215" s="12"/>
      <x:c r="N215" s="12" t="str">
        <x:v>基準仕様（シナリオ間固定）</x:v>
      </x:c>
      <x:c r="O215" s="12" t="str">
        <x:v>09_基準仕様</x:v>
      </x:c>
      <x:c r="P215" s="12" t="str">
        <x:v>通常は編集しない</x:v>
      </x:c>
      <x:c r="Q215" s="12" t="str">
        <x:v>D列は直接編集せず参照元を編集</x:v>
      </x:c>
    </x:row>
    <x:row r="216">
      <x:c r="A216" s="12" t="str">
        <x:v>熱設計</x:v>
      </x:c>
      <x:c r="B216" s="12" t="str">
        <x:v>目標接合温度</x:v>
      </x:c>
      <x:c r="C216" s="12" t="str">
        <x:v>Tj_target</x:v>
      </x:c>
      <x:c r="D216" s="197" t="n">
        <x:f>'07_システム要求'!D20</x:f>
        <x:v>150</x:v>
      </x:c>
      <x:c r="E216" s="12" t="str">
        <x:v>degC</x:v>
      </x:c>
      <x:c r="F216" s="12" t="str">
        <x:v>M_hx,R_on</x:v>
      </x:c>
      <x:c r="G216" s="12" t="str"/>
      <x:c r="H216" s="12" t="str">
        <x:v>設計変数</x:v>
      </x:c>
      <x:c r="I216" s="12" t="str">
        <x:v>対象</x:v>
      </x:c>
      <x:c r="J216" s="48" t="n">
        <x:f>'07_システム要求'!D20</x:f>
        <x:v>150</x:v>
      </x:c>
      <x:c r="K216" s="12" t="str">
        <x:v>目標接合温度</x:v>
      </x:c>
      <x:c r="L216" s="12" t="str">
        <x:v>自動</x:v>
      </x:c>
      <x:c r="M216" s="12" t="n">
        <x:v>150</x:v>
      </x:c>
      <x:c r="N216" s="12" t="str">
        <x:v>システム要求→自動計算</x:v>
      </x:c>
      <x:c r="O216" s="12" t="str">
        <x:v>07_システム要求</x:v>
      </x:c>
      <x:c r="P216" s="12" t="str">
        <x:v>システム要求のみ編集</x:v>
      </x:c>
      <x:c r="Q216" s="12" t="str">
        <x:v>D列は直接編集せず参照元を編集</x:v>
      </x:c>
    </x:row>
    <x:row r="217">
      <x:c r="A217" s="12" t="str">
        <x:v>熱設計</x:v>
      </x:c>
      <x:c r="B217" s="12" t="str">
        <x:v>基準接合温度</x:v>
      </x:c>
      <x:c r="C217" s="12" t="str">
        <x:v>Tj_ref</x:v>
      </x:c>
      <x:c r="D217" s="197" t="n">
        <x:f>'09_基準仕様'!E201</x:f>
        <x:v>125</x:v>
      </x:c>
      <x:c r="E217" s="12" t="str">
        <x:v>degC</x:v>
      </x:c>
      <x:c r="F217" s="12" t="str">
        <x:v>M_hx,R_on</x:v>
      </x:c>
      <x:c r="G217" s="12" t="str"/>
      <x:c r="H217" s="12" t="str">
        <x:v>技術係数</x:v>
      </x:c>
      <x:c r="I217" s="12" t="str">
        <x:v>対象</x:v>
      </x:c>
      <x:c r="J217" s="48"/>
      <x:c r="K217" s="12"/>
      <x:c r="L217" s="12"/>
      <x:c r="M217" s="12"/>
      <x:c r="N217" s="12" t="str">
        <x:v>基準仕様（シナリオ間固定）</x:v>
      </x:c>
      <x:c r="O217" s="12" t="str">
        <x:v>09_基準仕様</x:v>
      </x:c>
      <x:c r="P217" s="12" t="str">
        <x:v>通常は編集しない</x:v>
      </x:c>
      <x:c r="Q217" s="12" t="str">
        <x:v>D列は直接編集せず参照元を編集</x:v>
      </x:c>
    </x:row>
    <x:row r="218">
      <x:c r="A218" s="12" t="str">
        <x:v>熱設計</x:v>
      </x:c>
      <x:c r="B218" s="12" t="str">
        <x:v>冷媒基準温度</x:v>
      </x:c>
      <x:c r="C218" s="12" t="str">
        <x:v>T_cool_ref</x:v>
      </x:c>
      <x:c r="D218" s="197" t="n">
        <x:f>'07_システム要求'!D19</x:f>
        <x:v>65</x:v>
      </x:c>
      <x:c r="E218" s="12" t="str">
        <x:v>degC</x:v>
      </x:c>
      <x:c r="F218" s="12" t="str">
        <x:v>M_hx</x:v>
      </x:c>
      <x:c r="G218" s="12" t="str"/>
      <x:c r="H218" s="12" t="str">
        <x:v>外部条件</x:v>
      </x:c>
      <x:c r="I218" s="12" t="str">
        <x:v>対象</x:v>
      </x:c>
      <x:c r="J218" s="48"/>
      <x:c r="K218" s="12"/>
      <x:c r="L218" s="12"/>
      <x:c r="M218" s="12"/>
      <x:c r="N218" s="12" t="str">
        <x:v>システム要求→自動計算</x:v>
      </x:c>
      <x:c r="O218" s="12" t="str">
        <x:v>07_システム要求</x:v>
      </x:c>
      <x:c r="P218" s="12" t="str">
        <x:v>システム要求のみ編集</x:v>
      </x:c>
      <x:c r="Q218" s="12" t="str">
        <x:v>D列は直接編集せず参照元を編集</x:v>
      </x:c>
    </x:row>
    <x:row r="219">
      <x:c r="A219" s="12" t="str">
        <x:v>熱設計</x:v>
      </x:c>
      <x:c r="B219" s="12" t="str">
        <x:v>Ron温度係数</x:v>
      </x:c>
      <x:c r="C219" s="12" t="str">
        <x:v>alpha_Ron_T</x:v>
      </x:c>
      <x:c r="D219" s="197" t="n">
        <x:f>'09_基準仕様'!E202</x:f>
        <x:v>0.0035</x:v>
      </x:c>
      <x:c r="E219" s="12" t="str">
        <x:v>1/K</x:v>
      </x:c>
      <x:c r="F219" s="12" t="str">
        <x:v>R_on</x:v>
      </x:c>
      <x:c r="G219" s="12" t="str"/>
      <x:c r="H219" s="12" t="str">
        <x:v>技術係数</x:v>
      </x:c>
      <x:c r="I219" s="12" t="str">
        <x:v>対象</x:v>
      </x:c>
      <x:c r="J219" s="48"/>
      <x:c r="K219" s="12"/>
      <x:c r="L219" s="12"/>
      <x:c r="M219" s="12"/>
      <x:c r="N219" s="12" t="str">
        <x:v>基準仕様（シナリオ間固定）</x:v>
      </x:c>
      <x:c r="O219" s="12" t="str">
        <x:v>09_基準仕様</x:v>
      </x:c>
      <x:c r="P219" s="12" t="str">
        <x:v>通常は編集しない</x:v>
      </x:c>
      <x:c r="Q219" s="12" t="str">
        <x:v>D列は直接編集せず参照元を編集</x:v>
      </x:c>
    </x:row>
    <x:row r="220">
      <x:c r="A220" s="12" t="str">
        <x:v>バスバー</x:v>
      </x:c>
      <x:c r="B220" s="12" t="str">
        <x:v>極間ギャップ</x:v>
      </x:c>
      <x:c r="C220" s="12" t="str">
        <x:v>gap_bus</x:v>
      </x:c>
      <x:c r="D220" s="197" t="n">
        <x:f>'09_基準仕様'!E203</x:f>
        <x:v>0.001</x:v>
      </x:c>
      <x:c r="E220" s="12" t="str">
        <x:v>m</x:v>
      </x:c>
      <x:c r="F220" s="12" t="str">
        <x:v>V_overshoot,M_bus</x:v>
      </x:c>
      <x:c r="G220" s="12" t="str"/>
      <x:c r="H220" s="12" t="str">
        <x:v>設計変数</x:v>
      </x:c>
      <x:c r="I220" s="12" t="str">
        <x:v>対象</x:v>
      </x:c>
      <x:c r="J220" s="48"/>
      <x:c r="K220" s="12"/>
      <x:c r="L220" s="12"/>
      <x:c r="M220" s="12"/>
      <x:c r="N220" s="12" t="str">
        <x:v>基準仕様（シナリオ間固定）</x:v>
      </x:c>
      <x:c r="O220" s="12" t="str">
        <x:v>09_基準仕様</x:v>
      </x:c>
      <x:c r="P220" s="12" t="str">
        <x:v>通常は編集しない</x:v>
      </x:c>
      <x:c r="Q220" s="12" t="str">
        <x:v>D列は直接編集せず参照元を編集</x:v>
      </x:c>
    </x:row>
    <x:row r="221">
      <x:c r="A221" s="12" t="str">
        <x:v>バスバー</x:v>
      </x:c>
      <x:c r="B221" s="12" t="str">
        <x:v>基準ギャップ</x:v>
      </x:c>
      <x:c r="C221" s="12" t="str">
        <x:v>gap_bus_ref</x:v>
      </x:c>
      <x:c r="D221" s="197" t="n">
        <x:f>'09_基準仕様'!E204</x:f>
        <x:v>0.001</x:v>
      </x:c>
      <x:c r="E221" s="12" t="str">
        <x:v>m</x:v>
      </x:c>
      <x:c r="F221" s="12" t="str">
        <x:v>V_overshoot</x:v>
      </x:c>
      <x:c r="G221" s="12" t="str"/>
      <x:c r="H221" s="12" t="str">
        <x:v>技術係数</x:v>
      </x:c>
      <x:c r="I221" s="12" t="str">
        <x:v>対象</x:v>
      </x:c>
      <x:c r="J221" s="48"/>
      <x:c r="K221" s="12"/>
      <x:c r="L221" s="12"/>
      <x:c r="M221" s="12"/>
      <x:c r="N221" s="12" t="str">
        <x:v>基準仕様（シナリオ間固定）</x:v>
      </x:c>
      <x:c r="O221" s="12" t="str">
        <x:v>09_基準仕様</x:v>
      </x:c>
      <x:c r="P221" s="12" t="str">
        <x:v>通常は編集しない</x:v>
      </x:c>
      <x:c r="Q221" s="12" t="str">
        <x:v>D列は直接編集せず参照元を編集</x:v>
      </x:c>
    </x:row>
    <x:row r="222">
      <x:c r="A222" s="12" t="str">
        <x:v>バスバー</x:v>
      </x:c>
      <x:c r="B222" s="12" t="str">
        <x:v>重なり係数</x:v>
      </x:c>
      <x:c r="C222" s="12" t="str">
        <x:v>overlap_bus</x:v>
      </x:c>
      <x:c r="D222" s="197" t="n">
        <x:f>'09_基準仕様'!E205</x:f>
        <x:v>1</x:v>
      </x:c>
      <x:c r="E222" s="12" t="str">
        <x:v>-</x:v>
      </x:c>
      <x:c r="F222" s="12" t="str">
        <x:v>V_overshoot,CM</x:v>
      </x:c>
      <x:c r="G222" s="12" t="str"/>
      <x:c r="H222" s="12" t="str">
        <x:v>設計変数</x:v>
      </x:c>
      <x:c r="I222" s="12" t="str">
        <x:v>対象</x:v>
      </x:c>
      <x:c r="J222" s="48"/>
      <x:c r="K222" s="12"/>
      <x:c r="L222" s="12"/>
      <x:c r="M222" s="12"/>
      <x:c r="N222" s="12" t="str">
        <x:v>基準仕様（シナリオ間固定）</x:v>
      </x:c>
      <x:c r="O222" s="12" t="str">
        <x:v>09_基準仕様</x:v>
      </x:c>
      <x:c r="P222" s="12" t="str">
        <x:v>通常は編集しない</x:v>
      </x:c>
      <x:c r="Q222" s="12" t="str">
        <x:v>D列は直接編集せず参照元を編集</x:v>
      </x:c>
    </x:row>
    <x:row r="223">
      <x:c r="A223" s="12" t="str">
        <x:v>バスバー</x:v>
      </x:c>
      <x:c r="B223" s="12" t="str">
        <x:v>積層構造重量係数</x:v>
      </x:c>
      <x:c r="C223" s="12" t="str">
        <x:v>m_bus_stack_ref</x:v>
      </x:c>
      <x:c r="D223" s="197" t="n">
        <x:f>'09_基準仕様'!E206</x:f>
        <x:v>0.08</x:v>
      </x:c>
      <x:c r="E223" s="12" t="str">
        <x:v>kg</x:v>
      </x:c>
      <x:c r="F223" s="12" t="str">
        <x:v>M_inv</x:v>
      </x:c>
      <x:c r="G223" s="12" t="str"/>
      <x:c r="H223" s="12" t="str">
        <x:v>技術係数</x:v>
      </x:c>
      <x:c r="I223" s="12" t="str">
        <x:v>対象</x:v>
      </x:c>
      <x:c r="J223" s="48"/>
      <x:c r="K223" s="12"/>
      <x:c r="L223" s="12"/>
      <x:c r="M223" s="12"/>
      <x:c r="N223" s="12" t="str">
        <x:v>基準仕様（シナリオ間固定）</x:v>
      </x:c>
      <x:c r="O223" s="12" t="str">
        <x:v>09_基準仕様</x:v>
      </x:c>
      <x:c r="P223" s="12" t="str">
        <x:v>通常は編集しない</x:v>
      </x:c>
      <x:c r="Q223" s="12" t="str">
        <x:v>D列は直接編集せず参照元を編集</x:v>
      </x:c>
    </x:row>
    <x:row r="224">
      <x:c r="A224" s="12" t="str">
        <x:v>バスバー</x:v>
      </x:c>
      <x:c r="B224" s="12" t="str">
        <x:v>Al導体選択</x:v>
      </x:c>
      <x:c r="C224" s="12" t="str">
        <x:v>Enable_Al_bus</x:v>
      </x:c>
      <x:c r="D224" s="197" t="n">
        <x:f>'10_シナリオ入力'!E21</x:f>
        <x:v>0</x:v>
      </x:c>
      <x:c r="E224" s="12" t="str">
        <x:v>0/1</x:v>
      </x:c>
      <x:c r="F224" s="12" t="str">
        <x:v>rho_bus,rho_e_bus</x:v>
      </x:c>
      <x:c r="G224" s="12" t="str"/>
      <x:c r="H224" s="12" t="str">
        <x:v>技術選択</x:v>
      </x:c>
      <x:c r="I224" s="12" t="str">
        <x:v>対象</x:v>
      </x:c>
      <x:c r="J224" s="48"/>
      <x:c r="K224" s="12"/>
      <x:c r="L224" s="12"/>
      <x:c r="M224" s="12"/>
      <x:c r="N224" s="12" t="str">
        <x:v>シナリオ固有手入力</x:v>
      </x:c>
      <x:c r="O224" s="12" t="str">
        <x:v>10_シナリオ入力</x:v>
      </x:c>
      <x:c r="P224" s="12" t="str">
        <x:v>必要に応じて編集</x:v>
      </x:c>
      <x:c r="Q224" s="12" t="str">
        <x:v>シナリオ表を参照</x:v>
      </x:c>
    </x:row>
    <x:row r="225">
      <x:c r="A225" s="12" t="str">
        <x:v>バスバー</x:v>
      </x:c>
      <x:c r="B225" s="12" t="str">
        <x:v>Al密度比</x:v>
      </x:c>
      <x:c r="C225" s="12" t="str">
        <x:v>k_rho_Al</x:v>
      </x:c>
      <x:c r="D225" s="197" t="n">
        <x:f>'09_基準仕様'!E207</x:f>
        <x:v>0.301</x:v>
      </x:c>
      <x:c r="E225" s="12" t="str">
        <x:v>-</x:v>
      </x:c>
      <x:c r="F225" s="12" t="str">
        <x:v>M_bus</x:v>
      </x:c>
      <x:c r="G225" s="12" t="str"/>
      <x:c r="H225" s="12" t="str">
        <x:v>技術係数</x:v>
      </x:c>
      <x:c r="I225" s="12" t="str">
        <x:v>対象</x:v>
      </x:c>
      <x:c r="J225" s="48"/>
      <x:c r="K225" s="12"/>
      <x:c r="L225" s="12"/>
      <x:c r="M225" s="12"/>
      <x:c r="N225" s="12" t="str">
        <x:v>基準仕様（シナリオ間固定）</x:v>
      </x:c>
      <x:c r="O225" s="12" t="str">
        <x:v>09_基準仕様</x:v>
      </x:c>
      <x:c r="P225" s="12" t="str">
        <x:v>通常は編集しない</x:v>
      </x:c>
      <x:c r="Q225" s="12" t="str">
        <x:v>D列は直接編集せず参照元を編集</x:v>
      </x:c>
    </x:row>
    <x:row r="226">
      <x:c r="A226" s="12" t="str">
        <x:v>バスバー</x:v>
      </x:c>
      <x:c r="B226" s="12" t="str">
        <x:v>Al抵抗率比</x:v>
      </x:c>
      <x:c r="C226" s="12" t="str">
        <x:v>k_res_Al</x:v>
      </x:c>
      <x:c r="D226" s="197" t="n">
        <x:f>'09_基準仕様'!E208</x:f>
        <x:v>1.64</x:v>
      </x:c>
      <x:c r="E226" s="12" t="str">
        <x:v>-</x:v>
      </x:c>
      <x:c r="F226" s="12" t="str">
        <x:v>J_bus,P_bus</x:v>
      </x:c>
      <x:c r="G226" s="12" t="str"/>
      <x:c r="H226" s="12" t="str">
        <x:v>技術係数</x:v>
      </x:c>
      <x:c r="I226" s="12" t="str">
        <x:v>対象</x:v>
      </x:c>
      <x:c r="J226" s="48"/>
      <x:c r="K226" s="12"/>
      <x:c r="L226" s="12"/>
      <x:c r="M226" s="12"/>
      <x:c r="N226" s="12" t="str">
        <x:v>基準仕様（シナリオ間固定）</x:v>
      </x:c>
      <x:c r="O226" s="12" t="str">
        <x:v>09_基準仕様</x:v>
      </x:c>
      <x:c r="P226" s="12" t="str">
        <x:v>通常は編集しない</x:v>
      </x:c>
      <x:c r="Q226" s="12" t="str">
        <x:v>D列は直接編集せず参照元を編集</x:v>
      </x:c>
    </x:row>
    <x:row r="227">
      <x:c r="A227" s="12" t="str">
        <x:v>バスバー</x:v>
      </x:c>
      <x:c r="B227" s="12" t="str">
        <x:v>導体厚さ</x:v>
      </x:c>
      <x:c r="C227" s="12" t="str">
        <x:v>t_bus_cond</x:v>
      </x:c>
      <x:c r="D227" s="197" t="n">
        <x:f>'09_基準仕様'!E209</x:f>
        <x:v>0.0015</x:v>
      </x:c>
      <x:c r="E227" s="12" t="str">
        <x:v>m</x:v>
      </x:c>
      <x:c r="F227" s="12" t="str">
        <x:v>k_ac_bus</x:v>
      </x:c>
      <x:c r="G227" s="12" t="str"/>
      <x:c r="H227" s="12" t="str">
        <x:v>設計変数</x:v>
      </x:c>
      <x:c r="I227" s="12" t="str">
        <x:v>対象</x:v>
      </x:c>
      <x:c r="J227" s="48"/>
      <x:c r="K227" s="12"/>
      <x:c r="L227" s="12"/>
      <x:c r="M227" s="12"/>
      <x:c r="N227" s="12" t="str">
        <x:v>基準仕様（シナリオ間固定）</x:v>
      </x:c>
      <x:c r="O227" s="12" t="str">
        <x:v>09_基準仕様</x:v>
      </x:c>
      <x:c r="P227" s="12" t="str">
        <x:v>通常は編集しない</x:v>
      </x:c>
      <x:c r="Q227" s="12" t="str">
        <x:v>D列は直接編集せず参照元を編集</x:v>
      </x:c>
    </x:row>
    <x:row r="228">
      <x:c r="A228" s="12" t="str">
        <x:v>バスバー</x:v>
      </x:c>
      <x:c r="B228" s="12" t="str">
        <x:v>基準表皮深さ</x:v>
      </x:c>
      <x:c r="C228" s="12" t="str">
        <x:v>delta_skin_ref</x:v>
      </x:c>
      <x:c r="D228" s="197" t="n">
        <x:f>'09_基準仕様'!E210</x:f>
        <x:v>0.00066</x:v>
      </x:c>
      <x:c r="E228" s="12" t="str">
        <x:v>m</x:v>
      </x:c>
      <x:c r="F228" s="12" t="str">
        <x:v>k_ac_bus</x:v>
      </x:c>
      <x:c r="G228" s="12" t="str"/>
      <x:c r="H228" s="12" t="str">
        <x:v>技術係数</x:v>
      </x:c>
      <x:c r="I228" s="12" t="str">
        <x:v>対象</x:v>
      </x:c>
      <x:c r="J228" s="48"/>
      <x:c r="K228" s="12"/>
      <x:c r="L228" s="12"/>
      <x:c r="M228" s="12"/>
      <x:c r="N228" s="12" t="str">
        <x:v>基準仕様（シナリオ間固定）</x:v>
      </x:c>
      <x:c r="O228" s="12" t="str">
        <x:v>09_基準仕様</x:v>
      </x:c>
      <x:c r="P228" s="12" t="str">
        <x:v>通常は編集しない</x:v>
      </x:c>
      <x:c r="Q228" s="12" t="str">
        <x:v>D列は直接編集せず参照元を編集</x:v>
      </x:c>
    </x:row>
    <x:row r="229">
      <x:c r="A229" s="12" t="str">
        <x:v>バスバー</x:v>
      </x:c>
      <x:c r="B229" s="12" t="str">
        <x:v>積層数</x:v>
      </x:c>
      <x:c r="C229" s="12" t="str">
        <x:v>N_laminate</x:v>
      </x:c>
      <x:c r="D229" s="197" t="n">
        <x:f>'10_シナリオ入力'!E22</x:f>
        <x:v>1</x:v>
      </x:c>
      <x:c r="E229" s="12" t="str">
        <x:v>-</x:v>
      </x:c>
      <x:c r="F229" s="12" t="str">
        <x:v>k_ac_bus,M_laminate</x:v>
      </x:c>
      <x:c r="G229" s="12" t="str"/>
      <x:c r="H229" s="12" t="str">
        <x:v>設計変数</x:v>
      </x:c>
      <x:c r="I229" s="12" t="str">
        <x:v>対象</x:v>
      </x:c>
      <x:c r="J229" s="48"/>
      <x:c r="K229" s="12"/>
      <x:c r="L229" s="12"/>
      <x:c r="M229" s="12"/>
      <x:c r="N229" s="12" t="str">
        <x:v>シナリオ固有手入力</x:v>
      </x:c>
      <x:c r="O229" s="12" t="str">
        <x:v>10_シナリオ入力</x:v>
      </x:c>
      <x:c r="P229" s="12" t="str">
        <x:v>必要に応じて編集</x:v>
      </x:c>
      <x:c r="Q229" s="12" t="str">
        <x:v>シナリオ表を参照</x:v>
      </x:c>
    </x:row>
    <x:row r="230">
      <x:c r="A230" s="12" t="str">
        <x:v>バスバー</x:v>
      </x:c>
      <x:c r="B230" s="12" t="str">
        <x:v>積層追加重量</x:v>
      </x:c>
      <x:c r="C230" s="12" t="str">
        <x:v>m_laminate_unit</x:v>
      </x:c>
      <x:c r="D230" s="197" t="n">
        <x:f>'09_基準仕様'!E211</x:f>
        <x:v>0.035</x:v>
      </x:c>
      <x:c r="E230" s="12" t="str">
        <x:v>kg/層</x:v>
      </x:c>
      <x:c r="F230" s="12" t="str">
        <x:v>M_laminate</x:v>
      </x:c>
      <x:c r="G230" s="12" t="str"/>
      <x:c r="H230" s="12" t="str">
        <x:v>技術係数</x:v>
      </x:c>
      <x:c r="I230" s="12" t="str">
        <x:v>対象</x:v>
      </x:c>
      <x:c r="J230" s="48"/>
      <x:c r="K230" s="12"/>
      <x:c r="L230" s="12"/>
      <x:c r="M230" s="12"/>
      <x:c r="N230" s="12" t="str">
        <x:v>基準仕様（シナリオ間固定）</x:v>
      </x:c>
      <x:c r="O230" s="12" t="str">
        <x:v>09_基準仕様</x:v>
      </x:c>
      <x:c r="P230" s="12" t="str">
        <x:v>通常は編集しない</x:v>
      </x:c>
      <x:c r="Q230" s="12" t="str">
        <x:v>D列は直接編集せず参照元を編集</x:v>
      </x:c>
    </x:row>
    <x:row r="231">
      <x:c r="A231" s="12" t="str">
        <x:v>dvdtフィルタ</x:v>
      </x:c>
      <x:c r="B231" s="12" t="str">
        <x:v>dv/dtフィルタ有効</x:v>
      </x:c>
      <x:c r="C231" s="12" t="str">
        <x:v>Enable_dvdt_filter</x:v>
      </x:c>
      <x:c r="D231" s="197" t="n">
        <x:f>'10_シナリオ入力'!E14</x:f>
        <x:v>0</x:v>
      </x:c>
      <x:c r="E231" s="12" t="str">
        <x:v>0/1</x:v>
      </x:c>
      <x:c r="F231" s="12" t="str">
        <x:v>EMI,M_filter</x:v>
      </x:c>
      <x:c r="G231" s="12" t="str"/>
      <x:c r="H231" s="12" t="str">
        <x:v>技術選択</x:v>
      </x:c>
      <x:c r="I231" s="12" t="str">
        <x:v>対象</x:v>
      </x:c>
      <x:c r="J231" s="48"/>
      <x:c r="K231" s="12"/>
      <x:c r="L231" s="12"/>
      <x:c r="M231" s="12"/>
      <x:c r="N231" s="12" t="str">
        <x:v>シナリオ固有手入力</x:v>
      </x:c>
      <x:c r="O231" s="12" t="str">
        <x:v>10_シナリオ入力</x:v>
      </x:c>
      <x:c r="P231" s="12" t="str">
        <x:v>必要に応じて編集</x:v>
      </x:c>
      <x:c r="Q231" s="12" t="str">
        <x:v>シナリオ表を参照</x:v>
      </x:c>
    </x:row>
    <x:row r="232">
      <x:c r="A232" s="12" t="str">
        <x:v>dvdtフィルタ</x:v>
      </x:c>
      <x:c r="B232" s="12" t="str">
        <x:v>dv/dtフィルタ追加重量</x:v>
      </x:c>
      <x:c r="C232" s="12" t="str">
        <x:v>m_dvdt_filter</x:v>
      </x:c>
      <x:c r="D232" s="197" t="n">
        <x:f>'09_基準仕様'!E212</x:f>
        <x:v>0.18</x:v>
      </x:c>
      <x:c r="E232" s="12" t="str">
        <x:v>kg</x:v>
      </x:c>
      <x:c r="F232" s="12" t="str">
        <x:v>M_inv</x:v>
      </x:c>
      <x:c r="G232" s="12" t="str"/>
      <x:c r="H232" s="12" t="str">
        <x:v>技術係数</x:v>
      </x:c>
      <x:c r="I232" s="12" t="str">
        <x:v>対象</x:v>
      </x:c>
      <x:c r="J232" s="48"/>
      <x:c r="K232" s="12"/>
      <x:c r="L232" s="12"/>
      <x:c r="M232" s="12"/>
      <x:c r="N232" s="12" t="str">
        <x:v>基準仕様（シナリオ間固定）</x:v>
      </x:c>
      <x:c r="O232" s="12" t="str">
        <x:v>09_基準仕様</x:v>
      </x:c>
      <x:c r="P232" s="12" t="str">
        <x:v>通常は編集しない</x:v>
      </x:c>
      <x:c r="Q232" s="12" t="str">
        <x:v>D列は直接編集せず参照元を編集</x:v>
      </x:c>
    </x:row>
    <x:row r="233">
      <x:c r="A233" s="12" t="str">
        <x:v>dvdtフィルタ</x:v>
      </x:c>
      <x:c r="B233" s="12" t="str">
        <x:v>EMI低減率</x:v>
      </x:c>
      <x:c r="C233" s="12" t="str">
        <x:v>k_dvdt_reduce</x:v>
      </x:c>
      <x:c r="D233" s="197" t="n">
        <x:f>'09_基準仕様'!E213</x:f>
        <x:v>0.75</x:v>
      </x:c>
      <x:c r="E233" s="12" t="str">
        <x:v>-</x:v>
      </x:c>
      <x:c r="F233" s="12" t="str">
        <x:v>M_slew_emi</x:v>
      </x:c>
      <x:c r="G233" s="12" t="str"/>
      <x:c r="H233" s="12" t="str">
        <x:v>技術係数</x:v>
      </x:c>
      <x:c r="I233" s="12" t="str">
        <x:v>対象</x:v>
      </x:c>
      <x:c r="J233" s="48"/>
      <x:c r="K233" s="12"/>
      <x:c r="L233" s="12"/>
      <x:c r="M233" s="12"/>
      <x:c r="N233" s="12" t="str">
        <x:v>基準仕様（シナリオ間固定）</x:v>
      </x:c>
      <x:c r="O233" s="12" t="str">
        <x:v>09_基準仕様</x:v>
      </x:c>
      <x:c r="P233" s="12" t="str">
        <x:v>通常は編集しない</x:v>
      </x:c>
      <x:c r="Q233" s="12" t="str">
        <x:v>D列は直接編集せず参照元を編集</x:v>
      </x:c>
    </x:row>
    <x:row r="234">
      <x:c r="A234" s="12" t="str">
        <x:v>dvdtフィルタ</x:v>
      </x:c>
      <x:c r="B234" s="12" t="str">
        <x:v>出力フィルタ損失</x:v>
      </x:c>
      <x:c r="C234" s="12" t="str">
        <x:v>P_dvdt_filter_on</x:v>
      </x:c>
      <x:c r="D234" s="197" t="n">
        <x:f>'09_基準仕様'!E214</x:f>
        <x:v>120</x:v>
      </x:c>
      <x:c r="E234" s="12" t="str">
        <x:v>W</x:v>
      </x:c>
      <x:c r="F234" s="12" t="str">
        <x:v>Q_req</x:v>
      </x:c>
      <x:c r="G234" s="12" t="str"/>
      <x:c r="H234" s="12" t="str">
        <x:v>技術係数</x:v>
      </x:c>
      <x:c r="I234" s="12" t="str">
        <x:v>対象</x:v>
      </x:c>
      <x:c r="J234" s="48"/>
      <x:c r="K234" s="12"/>
      <x:c r="L234" s="12"/>
      <x:c r="M234" s="12"/>
      <x:c r="N234" s="12" t="str">
        <x:v>基準仕様（シナリオ間固定）</x:v>
      </x:c>
      <x:c r="O234" s="12" t="str">
        <x:v>09_基準仕様</x:v>
      </x:c>
      <x:c r="P234" s="12" t="str">
        <x:v>通常は編集しない</x:v>
      </x:c>
      <x:c r="Q234" s="12" t="str">
        <x:v>D列は直接編集せず参照元を編集</x:v>
      </x:c>
    </x:row>
    <x:row r="235">
      <x:c r="A235" s="12" t="str">
        <x:v>CMフィルタ</x:v>
      </x:c>
      <x:c r="B235" s="12" t="str">
        <x:v>追加CMフィルタ有効</x:v>
      </x:c>
      <x:c r="C235" s="12" t="str">
        <x:v>Enable_CM_filter</x:v>
      </x:c>
      <x:c r="D235" s="197" t="n">
        <x:f>'10_シナリオ入力'!E15</x:f>
        <x:v>0</x:v>
      </x:c>
      <x:c r="E235" s="12" t="str">
        <x:v>0/1</x:v>
      </x:c>
      <x:c r="F235" s="12" t="str">
        <x:v>CM,M_filter</x:v>
      </x:c>
      <x:c r="G235" s="12" t="str"/>
      <x:c r="H235" s="12" t="str">
        <x:v>技術選択</x:v>
      </x:c>
      <x:c r="I235" s="12" t="str">
        <x:v>対象</x:v>
      </x:c>
      <x:c r="J235" s="48"/>
      <x:c r="K235" s="12"/>
      <x:c r="L235" s="12"/>
      <x:c r="M235" s="12"/>
      <x:c r="N235" s="12" t="str">
        <x:v>シナリオ固有手入力</x:v>
      </x:c>
      <x:c r="O235" s="12" t="str">
        <x:v>10_シナリオ入力</x:v>
      </x:c>
      <x:c r="P235" s="12" t="str">
        <x:v>必要に応じて編集</x:v>
      </x:c>
      <x:c r="Q235" s="12" t="str">
        <x:v>シナリオ表を参照</x:v>
      </x:c>
    </x:row>
    <x:row r="236">
      <x:c r="A236" s="12" t="str">
        <x:v>CMフィルタ</x:v>
      </x:c>
      <x:c r="B236" s="12" t="str">
        <x:v>追加CMフィルタ重量</x:v>
      </x:c>
      <x:c r="C236" s="12" t="str">
        <x:v>m_CM_filter2</x:v>
      </x:c>
      <x:c r="D236" s="197" t="n">
        <x:f>'09_基準仕様'!E215</x:f>
        <x:v>0.12</x:v>
      </x:c>
      <x:c r="E236" s="12" t="str">
        <x:v>kg</x:v>
      </x:c>
      <x:c r="F236" s="12" t="str">
        <x:v>M_inv</x:v>
      </x:c>
      <x:c r="G236" s="12" t="str"/>
      <x:c r="H236" s="12" t="str">
        <x:v>技術係数</x:v>
      </x:c>
      <x:c r="I236" s="12" t="str">
        <x:v>対象</x:v>
      </x:c>
      <x:c r="J236" s="48"/>
      <x:c r="K236" s="12"/>
      <x:c r="L236" s="12"/>
      <x:c r="M236" s="12"/>
      <x:c r="N236" s="12" t="str">
        <x:v>基準仕様（シナリオ間固定）</x:v>
      </x:c>
      <x:c r="O236" s="12" t="str">
        <x:v>09_基準仕様</x:v>
      </x:c>
      <x:c r="P236" s="12" t="str">
        <x:v>通常は編集しない</x:v>
      </x:c>
      <x:c r="Q236" s="12" t="str">
        <x:v>D列は直接編集せず参照元を編集</x:v>
      </x:c>
    </x:row>
    <x:row r="237">
      <x:c r="A237" s="12" t="str">
        <x:v>CMフィルタ</x:v>
      </x:c>
      <x:c r="B237" s="12" t="str">
        <x:v>既存CM対策低減率</x:v>
      </x:c>
      <x:c r="C237" s="12" t="str">
        <x:v>k_CM_reduce2</x:v>
      </x:c>
      <x:c r="D237" s="197" t="n">
        <x:f>'09_基準仕様'!E216</x:f>
        <x:v>0.65</x:v>
      </x:c>
      <x:c r="E237" s="12" t="str">
        <x:v>-</x:v>
      </x:c>
      <x:c r="F237" s="12" t="str">
        <x:v>M_CM_filter</x:v>
      </x:c>
      <x:c r="G237" s="12" t="str"/>
      <x:c r="H237" s="12" t="str">
        <x:v>技術係数</x:v>
      </x:c>
      <x:c r="I237" s="12" t="str">
        <x:v>対象</x:v>
      </x:c>
      <x:c r="J237" s="48"/>
      <x:c r="K237" s="12"/>
      <x:c r="L237" s="12"/>
      <x:c r="M237" s="12"/>
      <x:c r="N237" s="12" t="str">
        <x:v>基準仕様（シナリオ間固定）</x:v>
      </x:c>
      <x:c r="O237" s="12" t="str">
        <x:v>09_基準仕様</x:v>
      </x:c>
      <x:c r="P237" s="12" t="str">
        <x:v>通常は編集しない</x:v>
      </x:c>
      <x:c r="Q237" s="12" t="str">
        <x:v>D列は直接編集せず参照元を編集</x:v>
      </x:c>
    </x:row>
    <x:row r="238">
      <x:c r="A238" s="12" t="str">
        <x:v>CMフィルタ</x:v>
      </x:c>
      <x:c r="B238" s="12" t="str">
        <x:v>Y-Cap漏れペナルティ重量</x:v>
      </x:c>
      <x:c r="C238" s="12" t="str">
        <x:v>m_CM_leak_penalty</x:v>
      </x:c>
      <x:c r="D238" s="197" t="n">
        <x:f>'09_基準仕様'!E217</x:f>
        <x:v>0.015</x:v>
      </x:c>
      <x:c r="E238" s="12" t="str">
        <x:v>kg</x:v>
      </x:c>
      <x:c r="F238" s="12" t="str">
        <x:v>M_inv</x:v>
      </x:c>
      <x:c r="G238" s="12" t="str"/>
      <x:c r="H238" s="12" t="str">
        <x:v>技術係数</x:v>
      </x:c>
      <x:c r="I238" s="12" t="str">
        <x:v>対象</x:v>
      </x:c>
      <x:c r="J238" s="48"/>
      <x:c r="K238" s="12"/>
      <x:c r="L238" s="12"/>
      <x:c r="M238" s="12"/>
      <x:c r="N238" s="12" t="str">
        <x:v>基準仕様（シナリオ間固定）</x:v>
      </x:c>
      <x:c r="O238" s="12" t="str">
        <x:v>09_基準仕様</x:v>
      </x:c>
      <x:c r="P238" s="12" t="str">
        <x:v>通常は編集しない</x:v>
      </x:c>
      <x:c r="Q238" s="12" t="str">
        <x:v>D列は直接編集せず参照元を編集</x:v>
      </x:c>
    </x:row>
    <x:row r="239">
      <x:c r="A239" s="12" t="str">
        <x:v>EMI/構造</x:v>
      </x:c>
      <x:c r="B239" s="12" t="str">
        <x:v>シールド有効</x:v>
      </x:c>
      <x:c r="C239" s="12" t="str">
        <x:v>Enable_shield</x:v>
      </x:c>
      <x:c r="D239" s="197" t="n">
        <x:f>'10_シナリオ入力'!E16</x:f>
        <x:v>0</x:v>
      </x:c>
      <x:c r="E239" s="12" t="str">
        <x:v>0/1</x:v>
      </x:c>
      <x:c r="F239" s="12" t="str">
        <x:v>EMI低減/重量増</x:v>
      </x:c>
      <x:c r="G239" s="12" t="str"/>
      <x:c r="H239" s="12" t="str">
        <x:v>技術選択</x:v>
      </x:c>
      <x:c r="I239" s="12" t="str">
        <x:v>対象</x:v>
      </x:c>
      <x:c r="J239" s="48"/>
      <x:c r="K239" s="12"/>
      <x:c r="L239" s="12"/>
      <x:c r="M239" s="12"/>
      <x:c r="N239" s="12" t="str">
        <x:v>シナリオ固有手入力</x:v>
      </x:c>
      <x:c r="O239" s="12" t="str">
        <x:v>10_シナリオ入力</x:v>
      </x:c>
      <x:c r="P239" s="12" t="str">
        <x:v>必要に応じて編集</x:v>
      </x:c>
      <x:c r="Q239" s="12" t="str">
        <x:v>シナリオ表を参照</x:v>
      </x:c>
    </x:row>
    <x:row r="240">
      <x:c r="A240" s="12" t="str">
        <x:v>EMI/構造</x:v>
      </x:c>
      <x:c r="B240" s="12" t="str">
        <x:v>シールド追加重量</x:v>
      </x:c>
      <x:c r="C240" s="12" t="str">
        <x:v>m_shield</x:v>
      </x:c>
      <x:c r="D240" s="197" t="n">
        <x:f>'09_基準仕様'!E218</x:f>
        <x:v>0.12</x:v>
      </x:c>
      <x:c r="E240" s="12" t="str">
        <x:v>kg</x:v>
      </x:c>
      <x:c r="F240" s="12" t="str">
        <x:v>M_shield</x:v>
      </x:c>
      <x:c r="G240" s="12" t="str"/>
      <x:c r="H240" s="12" t="str">
        <x:v>技術係数</x:v>
      </x:c>
      <x:c r="I240" s="12" t="str">
        <x:v>対象</x:v>
      </x:c>
      <x:c r="J240" s="48"/>
      <x:c r="K240" s="12"/>
      <x:c r="L240" s="12"/>
      <x:c r="M240" s="12"/>
      <x:c r="N240" s="12" t="str">
        <x:v>基準仕様（シナリオ間固定）</x:v>
      </x:c>
      <x:c r="O240" s="12" t="str">
        <x:v>09_基準仕様</x:v>
      </x:c>
      <x:c r="P240" s="12" t="str">
        <x:v>通常は編集しない</x:v>
      </x:c>
      <x:c r="Q240" s="12" t="str">
        <x:v>D列は直接編集せず参照元を編集</x:v>
      </x:c>
    </x:row>
    <x:row r="241">
      <x:c r="A241" s="12" t="str">
        <x:v>EMI/構造</x:v>
      </x:c>
      <x:c r="B241" s="12" t="str">
        <x:v>シールドEMI低減率</x:v>
      </x:c>
      <x:c r="C241" s="12" t="str">
        <x:v>k_shield_reduce</x:v>
      </x:c>
      <x:c r="D241" s="197" t="n">
        <x:f>'09_基準仕様'!E219</x:f>
        <x:v>0.35</x:v>
      </x:c>
      <x:c r="E241" s="12" t="str">
        <x:v>-</x:v>
      </x:c>
      <x:c r="F241" s="12" t="str">
        <x:v>M_emi</x:v>
      </x:c>
      <x:c r="G241" s="12" t="str"/>
      <x:c r="H241" s="12" t="str">
        <x:v>技術係数</x:v>
      </x:c>
      <x:c r="I241" s="12" t="str">
        <x:v>対象</x:v>
      </x:c>
      <x:c r="J241" s="48"/>
      <x:c r="K241" s="12"/>
      <x:c r="L241" s="12"/>
      <x:c r="M241" s="12"/>
      <x:c r="N241" s="12" t="str">
        <x:v>基準仕様（シナリオ間固定）</x:v>
      </x:c>
      <x:c r="O241" s="12" t="str">
        <x:v>09_基準仕様</x:v>
      </x:c>
      <x:c r="P241" s="12" t="str">
        <x:v>通常は編集しない</x:v>
      </x:c>
      <x:c r="Q241" s="12" t="str">
        <x:v>D列は直接編集せず参照元を編集</x:v>
      </x:c>
    </x:row>
    <x:row r="242">
      <x:c r="A242" s="12" t="str">
        <x:v>センシング</x:v>
      </x:c>
      <x:c r="B242" s="12" t="str">
        <x:v>シャント抵抗</x:v>
      </x:c>
      <x:c r="C242" s="12" t="str">
        <x:v>R_shunt</x:v>
      </x:c>
      <x:c r="D242" s="197" t="n">
        <x:f>'09_基準仕様'!E220</x:f>
        <x:v>0.0005</x:v>
      </x:c>
      <x:c r="E242" s="12" t="str">
        <x:v>ohm</x:v>
      </x:c>
      <x:c r="F242" s="12" t="str">
        <x:v>P_shunt/M_CSA</x:v>
      </x:c>
      <x:c r="G242" s="12" t="str"/>
      <x:c r="H242" s="12" t="str">
        <x:v>設計変数</x:v>
      </x:c>
      <x:c r="I242" s="12" t="str">
        <x:v>対象</x:v>
      </x:c>
      <x:c r="J242" s="48"/>
      <x:c r="K242" s="12"/>
      <x:c r="L242" s="12"/>
      <x:c r="M242" s="12"/>
      <x:c r="N242" s="12" t="str">
        <x:v>基準仕様（シナリオ間固定）</x:v>
      </x:c>
      <x:c r="O242" s="12" t="str">
        <x:v>09_基準仕様</x:v>
      </x:c>
      <x:c r="P242" s="12" t="str">
        <x:v>通常は編集しない</x:v>
      </x:c>
      <x:c r="Q242" s="12" t="str">
        <x:v>D列は直接編集せず参照元を編集</x:v>
      </x:c>
    </x:row>
    <x:row r="243">
      <x:c r="A243" s="12" t="str">
        <x:v>センシング</x:v>
      </x:c>
      <x:c r="B243" s="12" t="str">
        <x:v>基準シャント抵抗</x:v>
      </x:c>
      <x:c r="C243" s="12" t="str">
        <x:v>R_shunt_ref</x:v>
      </x:c>
      <x:c r="D243" s="197" t="n">
        <x:f>'09_基準仕様'!E221</x:f>
        <x:v>0.0005</x:v>
      </x:c>
      <x:c r="E243" s="12" t="str">
        <x:v>ohm</x:v>
      </x:c>
      <x:c r="F243" s="12" t="str">
        <x:v>M_CSA</x:v>
      </x:c>
      <x:c r="G243" s="12" t="str"/>
      <x:c r="H243" s="12" t="str">
        <x:v>技術係数</x:v>
      </x:c>
      <x:c r="I243" s="12" t="str">
        <x:v>対象</x:v>
      </x:c>
      <x:c r="J243" s="48"/>
      <x:c r="K243" s="12"/>
      <x:c r="L243" s="12"/>
      <x:c r="M243" s="12"/>
      <x:c r="N243" s="12" t="str">
        <x:v>基準仕様（シナリオ間固定）</x:v>
      </x:c>
      <x:c r="O243" s="12" t="str">
        <x:v>09_基準仕様</x:v>
      </x:c>
      <x:c r="P243" s="12" t="str">
        <x:v>通常は編集しない</x:v>
      </x:c>
      <x:c r="Q243" s="12" t="str">
        <x:v>D列は直接編集せず参照元を編集</x:v>
      </x:c>
    </x:row>
    <x:row r="244">
      <x:c r="A244" s="12" t="str">
        <x:v>センシング</x:v>
      </x:c>
      <x:c r="B244" s="12" t="str">
        <x:v>基準電流アンプ重量</x:v>
      </x:c>
      <x:c r="C244" s="12" t="str">
        <x:v>m_CSA_ref</x:v>
      </x:c>
      <x:c r="D244" s="197" t="n">
        <x:f>'09_基準仕様'!E222</x:f>
        <x:v>0.035</x:v>
      </x:c>
      <x:c r="E244" s="12" t="str">
        <x:v>kg</x:v>
      </x:c>
      <x:c r="F244" s="12" t="str">
        <x:v>M_CSA</x:v>
      </x:c>
      <x:c r="G244" s="12" t="str"/>
      <x:c r="H244" s="12" t="str">
        <x:v>技術係数</x:v>
      </x:c>
      <x:c r="I244" s="12" t="str">
        <x:v>対象</x:v>
      </x:c>
      <x:c r="J244" s="48"/>
      <x:c r="K244" s="12"/>
      <x:c r="L244" s="12"/>
      <x:c r="M244" s="12"/>
      <x:c r="N244" s="12" t="str">
        <x:v>基準仕様（シナリオ間固定）</x:v>
      </x:c>
      <x:c r="O244" s="12" t="str">
        <x:v>09_基準仕様</x:v>
      </x:c>
      <x:c r="P244" s="12" t="str">
        <x:v>通常は編集しない</x:v>
      </x:c>
      <x:c r="Q244" s="12" t="str">
        <x:v>D列は直接編集せず参照元を編集</x:v>
      </x:c>
    </x:row>
    <x:row r="245">
      <x:c r="A245" s="12" t="str">
        <x:v>センシング</x:v>
      </x:c>
      <x:c r="B245" s="12" t="str">
        <x:v>電流検出方式</x:v>
      </x:c>
      <x:c r="C245" s="12" t="str">
        <x:v>Sense_mode</x:v>
      </x:c>
      <x:c r="D245" s="197" t="n">
        <x:f>'10_シナリオ入力'!E25</x:f>
        <x:v>0</x:v>
      </x:c>
      <x:c r="E245" s="12" t="str">
        <x:v>0/1/2</x:v>
      </x:c>
      <x:c r="F245" s="12" t="str">
        <x:v>M_sensor/Psense</x:v>
      </x:c>
      <x:c r="G245" s="12" t="str">
        <x:v>0=3shunt,1=1shunt,2=Hall</x:v>
      </x:c>
      <x:c r="H245" s="12" t="str">
        <x:v>技術選択</x:v>
      </x:c>
      <x:c r="I245" s="12" t="str">
        <x:v>対象</x:v>
      </x:c>
      <x:c r="J245" s="48"/>
      <x:c r="K245" s="12"/>
      <x:c r="L245" s="12"/>
      <x:c r="M245" s="12"/>
      <x:c r="N245" s="12" t="str">
        <x:v>シナリオ固有手入力</x:v>
      </x:c>
      <x:c r="O245" s="12" t="str">
        <x:v>10_シナリオ入力</x:v>
      </x:c>
      <x:c r="P245" s="12" t="str">
        <x:v>必要に応じて編集</x:v>
      </x:c>
      <x:c r="Q245" s="12" t="str">
        <x:v>シナリオ表を参照</x:v>
      </x:c>
    </x:row>
    <x:row r="246">
      <x:c r="A246" s="12" t="str">
        <x:v>センシング</x:v>
      </x:c>
      <x:c r="B246" s="12" t="str">
        <x:v>Hall方式追加重量</x:v>
      </x:c>
      <x:c r="C246" s="12" t="str">
        <x:v>m_Hall_delta</x:v>
      </x:c>
      <x:c r="D246" s="197" t="n">
        <x:f>'09_基準仕様'!E223</x:f>
        <x:v>0.08</x:v>
      </x:c>
      <x:c r="E246" s="12" t="str">
        <x:v>kg</x:v>
      </x:c>
      <x:c r="F246" s="12" t="str">
        <x:v>M_sensor_option</x:v>
      </x:c>
      <x:c r="G246" s="12" t="str"/>
      <x:c r="H246" s="12" t="str">
        <x:v>技術係数</x:v>
      </x:c>
      <x:c r="I246" s="12" t="str">
        <x:v>対象</x:v>
      </x:c>
      <x:c r="J246" s="48"/>
      <x:c r="K246" s="12"/>
      <x:c r="L246" s="12"/>
      <x:c r="M246" s="12"/>
      <x:c r="N246" s="12" t="str">
        <x:v>基準仕様（シナリオ間固定）</x:v>
      </x:c>
      <x:c r="O246" s="12" t="str">
        <x:v>09_基準仕様</x:v>
      </x:c>
      <x:c r="P246" s="12" t="str">
        <x:v>通常は編集しない</x:v>
      </x:c>
      <x:c r="Q246" s="12" t="str">
        <x:v>D列は直接編集せず参照元を編集</x:v>
      </x:c>
    </x:row>
    <x:row r="247">
      <x:c r="A247" s="12" t="str">
        <x:v>センシング</x:v>
      </x:c>
      <x:c r="B247" s="12" t="str">
        <x:v>1shunt軽量化量</x:v>
      </x:c>
      <x:c r="C247" s="12" t="str">
        <x:v>m_1shunt_save</x:v>
      </x:c>
      <x:c r="D247" s="197" t="n">
        <x:f>'09_基準仕様'!E224</x:f>
        <x:v>0.06</x:v>
      </x:c>
      <x:c r="E247" s="12" t="str">
        <x:v>kg</x:v>
      </x:c>
      <x:c r="F247" s="12" t="str">
        <x:v>M_sensor_option</x:v>
      </x:c>
      <x:c r="G247" s="12" t="str"/>
      <x:c r="H247" s="12" t="str">
        <x:v>技術係数</x:v>
      </x:c>
      <x:c r="I247" s="12" t="str">
        <x:v>対象</x:v>
      </x:c>
      <x:c r="J247" s="48"/>
      <x:c r="K247" s="12"/>
      <x:c r="L247" s="12"/>
      <x:c r="M247" s="12"/>
      <x:c r="N247" s="12" t="str">
        <x:v>基準仕様（シナリオ間固定）</x:v>
      </x:c>
      <x:c r="O247" s="12" t="str">
        <x:v>09_基準仕様</x:v>
      </x:c>
      <x:c r="P247" s="12" t="str">
        <x:v>通常は編集しない</x:v>
      </x:c>
      <x:c r="Q247" s="12" t="str">
        <x:v>D列は直接編集せず参照元を編集</x:v>
      </x:c>
    </x:row>
    <x:row r="248">
      <x:c r="A248" s="12" t="str">
        <x:v>ゲート絶縁</x:v>
      </x:c>
      <x:c r="B248" s="12" t="str">
        <x:v>絶縁バイアス電源有効</x:v>
      </x:c>
      <x:c r="C248" s="12" t="str">
        <x:v>Enable_isolated_bias</x:v>
      </x:c>
      <x:c r="D248" s="197" t="n">
        <x:f>'09_基準仕様'!E225</x:f>
        <x:v>1</x:v>
      </x:c>
      <x:c r="E248" s="12" t="str">
        <x:v>0/1</x:v>
      </x:c>
      <x:c r="F248" s="12" t="str">
        <x:v>M_bias/CMTI</x:v>
      </x:c>
      <x:c r="G248" s="12" t="str"/>
      <x:c r="H248" s="12" t="str">
        <x:v>技術選択</x:v>
      </x:c>
      <x:c r="I248" s="12" t="str">
        <x:v>対象</x:v>
      </x:c>
      <x:c r="J248" s="48"/>
      <x:c r="K248" s="12"/>
      <x:c r="L248" s="12"/>
      <x:c r="M248" s="12"/>
      <x:c r="N248" s="12" t="str">
        <x:v>基準仕様（シナリオ間固定）</x:v>
      </x:c>
      <x:c r="O248" s="12" t="str">
        <x:v>09_基準仕様</x:v>
      </x:c>
      <x:c r="P248" s="12" t="str">
        <x:v>通常は編集しない</x:v>
      </x:c>
      <x:c r="Q248" s="12" t="str">
        <x:v>D列は直接編集せず参照元を編集</x:v>
      </x:c>
    </x:row>
    <x:row r="249">
      <x:c r="A249" s="12" t="str">
        <x:v>ゲート絶縁</x:v>
      </x:c>
      <x:c r="B249" s="12" t="str">
        <x:v>絶縁バイアス追加重量</x:v>
      </x:c>
      <x:c r="C249" s="12" t="str">
        <x:v>m_iso_bias</x:v>
      </x:c>
      <x:c r="D249" s="197" t="n">
        <x:f>'09_基準仕様'!E226</x:f>
        <x:v>0.09</x:v>
      </x:c>
      <x:c r="E249" s="12" t="str">
        <x:v>kg</x:v>
      </x:c>
      <x:c r="F249" s="12" t="str">
        <x:v>M_gate_iso</x:v>
      </x:c>
      <x:c r="G249" s="12" t="str"/>
      <x:c r="H249" s="12" t="str">
        <x:v>技術係数</x:v>
      </x:c>
      <x:c r="I249" s="12" t="str">
        <x:v>対象</x:v>
      </x:c>
      <x:c r="J249" s="12"/>
      <x:c r="K249" s="12"/>
      <x:c r="L249" s="12"/>
      <x:c r="M249" s="12"/>
      <x:c r="N249" s="12" t="str">
        <x:v>基準仕様（シナリオ間固定）</x:v>
      </x:c>
      <x:c r="O249" s="12" t="str">
        <x:v>09_基準仕様</x:v>
      </x:c>
      <x:c r="P249" s="12" t="str">
        <x:v>通常は編集しない</x:v>
      </x:c>
      <x:c r="Q249" s="12" t="str">
        <x:v>D列は直接編集せず参照元を編集</x:v>
      </x:c>
    </x:row>
    <x:row r="250">
      <x:c r="A250" s="12" t="str">
        <x:v>ゲート絶縁</x:v>
      </x:c>
      <x:c r="B250" s="12" t="str">
        <x:v>非絶縁時制御制約重量</x:v>
      </x:c>
      <x:c r="C250" s="12" t="str">
        <x:v>m_bootstrap_penalty</x:v>
      </x:c>
      <x:c r="D250" s="197" t="n">
        <x:f>'09_基準仕様'!E227</x:f>
        <x:v>0.04</x:v>
      </x:c>
      <x:c r="E250" s="12" t="str">
        <x:v>kg</x:v>
      </x:c>
      <x:c r="F250" s="12" t="str">
        <x:v>M_gate_iso</x:v>
      </x:c>
      <x:c r="G250" s="12" t="str"/>
      <x:c r="H250" s="12" t="str">
        <x:v>技術係数</x:v>
      </x:c>
      <x:c r="I250" s="12" t="str">
        <x:v>対象</x:v>
      </x:c>
      <x:c r="J250" s="12"/>
      <x:c r="K250" s="12"/>
      <x:c r="L250" s="12"/>
      <x:c r="M250" s="12"/>
      <x:c r="N250" s="12" t="str">
        <x:v>基準仕様（シナリオ間固定）</x:v>
      </x:c>
      <x:c r="O250" s="12" t="str">
        <x:v>09_基準仕様</x:v>
      </x:c>
      <x:c r="P250" s="12" t="str">
        <x:v>通常は編集しない</x:v>
      </x:c>
      <x:c r="Q250" s="12" t="str">
        <x:v>D列は直接編集せず参照元を編集</x:v>
      </x:c>
    </x:row>
    <x:row r="251">
      <x:c r="A251" s="12" t="str">
        <x:v>保護</x:v>
      </x:c>
      <x:c r="B251" s="12" t="str">
        <x:v>DESAT保護有効</x:v>
      </x:c>
      <x:c r="C251" s="12" t="str">
        <x:v>Enable_DESAT</x:v>
      </x:c>
      <x:c r="D251" s="197" t="n">
        <x:f>'09_基準仕様'!E228</x:f>
        <x:v>1</x:v>
      </x:c>
      <x:c r="E251" s="12" t="str">
        <x:v>0/1</x:v>
      </x:c>
      <x:c r="F251" s="12" t="str">
        <x:v>k_chip_eff/M_protection</x:v>
      </x:c>
      <x:c r="G251" s="12" t="str"/>
      <x:c r="H251" s="12" t="str">
        <x:v>技術選択</x:v>
      </x:c>
      <x:c r="I251" s="12" t="str">
        <x:v>対象</x:v>
      </x:c>
      <x:c r="J251" s="12"/>
      <x:c r="K251" s="12"/>
      <x:c r="L251" s="12"/>
      <x:c r="M251" s="12"/>
      <x:c r="N251" s="12" t="str">
        <x:v>基準仕様（シナリオ間固定）</x:v>
      </x:c>
      <x:c r="O251" s="12" t="str">
        <x:v>09_基準仕様</x:v>
      </x:c>
      <x:c r="P251" s="12" t="str">
        <x:v>通常は編集しない</x:v>
      </x:c>
      <x:c r="Q251" s="12" t="str">
        <x:v>D列は直接編集せず参照元を編集</x:v>
      </x:c>
    </x:row>
    <x:row r="252">
      <x:c r="A252" s="12" t="str">
        <x:v>保護</x:v>
      </x:c>
      <x:c r="B252" s="12" t="str">
        <x:v>DESAT回路重量</x:v>
      </x:c>
      <x:c r="C252" s="12" t="str">
        <x:v>m_DESAT</x:v>
      </x:c>
      <x:c r="D252" s="197" t="n">
        <x:f>'09_基準仕様'!E229</x:f>
        <x:v>0.025</x:v>
      </x:c>
      <x:c r="E252" s="12" t="str">
        <x:v>kg</x:v>
      </x:c>
      <x:c r="F252" s="12" t="str">
        <x:v>M_protection</x:v>
      </x:c>
      <x:c r="G252" s="12" t="str"/>
      <x:c r="H252" s="12" t="str">
        <x:v>技術係数</x:v>
      </x:c>
      <x:c r="I252" s="12" t="str">
        <x:v>対象</x:v>
      </x:c>
      <x:c r="J252" s="12"/>
      <x:c r="K252" s="12"/>
      <x:c r="L252" s="12"/>
      <x:c r="M252" s="12"/>
      <x:c r="N252" s="12" t="str">
        <x:v>基準仕様（シナリオ間固定）</x:v>
      </x:c>
      <x:c r="O252" s="12" t="str">
        <x:v>09_基準仕様</x:v>
      </x:c>
      <x:c r="P252" s="12" t="str">
        <x:v>通常は編集しない</x:v>
      </x:c>
      <x:c r="Q252" s="12" t="str">
        <x:v>D列は直接編集せず参照元を編集</x:v>
      </x:c>
    </x:row>
    <x:row r="253">
      <x:c r="A253" s="12" t="str">
        <x:v>保護</x:v>
      </x:c>
      <x:c r="B253" s="12" t="str">
        <x:v>DESATによる電流余裕低減率</x:v>
      </x:c>
      <x:c r="C253" s="12" t="str">
        <x:v>k_DESAT_margin_reduce</x:v>
      </x:c>
      <x:c r="D253" s="197" t="n">
        <x:f>'09_基準仕様'!E230</x:f>
        <x:v>0.08</x:v>
      </x:c>
      <x:c r="E253" s="12" t="str">
        <x:v>-</x:v>
      </x:c>
      <x:c r="F253" s="12" t="str">
        <x:v>N_chip_mod</x:v>
      </x:c>
      <x:c r="G253" s="12" t="str"/>
      <x:c r="H253" s="12" t="str">
        <x:v>技術係数</x:v>
      </x:c>
      <x:c r="I253" s="12" t="str">
        <x:v>対象</x:v>
      </x:c>
      <x:c r="J253" s="12"/>
      <x:c r="K253" s="12"/>
      <x:c r="L253" s="12"/>
      <x:c r="M253" s="12"/>
      <x:c r="N253" s="12" t="str">
        <x:v>基準仕様（シナリオ間固定）</x:v>
      </x:c>
      <x:c r="O253" s="12" t="str">
        <x:v>09_基準仕様</x:v>
      </x:c>
      <x:c r="P253" s="12" t="str">
        <x:v>通常は編集しない</x:v>
      </x:c>
      <x:c r="Q253" s="12" t="str">
        <x:v>D列は直接編集せず参照元を編集</x:v>
      </x:c>
    </x:row>
    <x:row r="254">
      <x:c r="A254" s="12" t="str">
        <x:v>保護</x:v>
      </x:c>
      <x:c r="B254" s="12" t="str">
        <x:v>アクティブクランプ有効</x:v>
      </x:c>
      <x:c r="C254" s="12" t="str">
        <x:v>Enable_active_clamp</x:v>
      </x:c>
      <x:c r="D254" s="197" t="n">
        <x:f>'10_シナリオ入力'!E17</x:f>
        <x:v>0</x:v>
      </x:c>
      <x:c r="E254" s="12" t="str">
        <x:v>0/1</x:v>
      </x:c>
      <x:c r="F254" s="12" t="str">
        <x:v>overshoot/M_clamp</x:v>
      </x:c>
      <x:c r="G254" s="12" t="str"/>
      <x:c r="H254" s="12" t="str">
        <x:v>技術選択</x:v>
      </x:c>
      <x:c r="I254" s="12" t="str">
        <x:v>対象</x:v>
      </x:c>
      <x:c r="J254" s="12"/>
      <x:c r="K254" s="12"/>
      <x:c r="L254" s="12"/>
      <x:c r="M254" s="12"/>
      <x:c r="N254" s="12" t="str">
        <x:v>シナリオ固有手入力</x:v>
      </x:c>
      <x:c r="O254" s="12" t="str">
        <x:v>10_シナリオ入力</x:v>
      </x:c>
      <x:c r="P254" s="12" t="str">
        <x:v>必要に応じて編集</x:v>
      </x:c>
      <x:c r="Q254" s="12" t="str">
        <x:v>シナリオ表を参照</x:v>
      </x:c>
    </x:row>
    <x:row r="255">
      <x:c r="A255" s="12" t="str">
        <x:v>保護</x:v>
      </x:c>
      <x:c r="B255" s="12" t="str">
        <x:v>クランプovershoot低減率</x:v>
      </x:c>
      <x:c r="C255" s="12" t="str">
        <x:v>k_active_clamp_reduce</x:v>
      </x:c>
      <x:c r="D255" s="197" t="n">
        <x:f>'09_基準仕様'!E231</x:f>
        <x:v>0.45</x:v>
      </x:c>
      <x:c r="E255" s="12" t="str">
        <x:v>-</x:v>
      </x:c>
      <x:c r="F255" s="12" t="str">
        <x:v>V_overshoot</x:v>
      </x:c>
      <x:c r="G255" s="12" t="str"/>
      <x:c r="H255" s="12" t="str">
        <x:v>技術係数</x:v>
      </x:c>
      <x:c r="I255" s="12" t="str">
        <x:v>対象</x:v>
      </x:c>
      <x:c r="J255" s="12"/>
      <x:c r="K255" s="12"/>
      <x:c r="L255" s="12"/>
      <x:c r="M255" s="12"/>
      <x:c r="N255" s="12" t="str">
        <x:v>基準仕様（シナリオ間固定）</x:v>
      </x:c>
      <x:c r="O255" s="12" t="str">
        <x:v>09_基準仕様</x:v>
      </x:c>
      <x:c r="P255" s="12" t="str">
        <x:v>通常は編集しない</x:v>
      </x:c>
      <x:c r="Q255" s="12" t="str">
        <x:v>D列は直接編集せず参照元を編集</x:v>
      </x:c>
    </x:row>
    <x:row r="256">
      <x:c r="A256" s="12" t="str">
        <x:v>保護</x:v>
      </x:c>
      <x:c r="B256" s="12" t="str">
        <x:v>クランプ回路重量</x:v>
      </x:c>
      <x:c r="C256" s="12" t="str">
        <x:v>m_active_clamp</x:v>
      </x:c>
      <x:c r="D256" s="197" t="n">
        <x:f>'09_基準仕様'!E232</x:f>
        <x:v>0.035</x:v>
      </x:c>
      <x:c r="E256" s="12" t="str">
        <x:v>kg</x:v>
      </x:c>
      <x:c r="F256" s="12" t="str">
        <x:v>M_active_clamp</x:v>
      </x:c>
      <x:c r="G256" s="12" t="str"/>
      <x:c r="H256" s="12" t="str">
        <x:v>技術係数</x:v>
      </x:c>
      <x:c r="I256" s="12" t="str">
        <x:v>対象</x:v>
      </x:c>
      <x:c r="J256" s="12"/>
      <x:c r="K256" s="12"/>
      <x:c r="L256" s="12"/>
      <x:c r="M256" s="12"/>
      <x:c r="N256" s="12" t="str">
        <x:v>基準仕様（シナリオ間固定）</x:v>
      </x:c>
      <x:c r="O256" s="12" t="str">
        <x:v>09_基準仕様</x:v>
      </x:c>
      <x:c r="P256" s="12" t="str">
        <x:v>通常は編集しない</x:v>
      </x:c>
      <x:c r="Q256" s="12" t="str">
        <x:v>D列は直接編集せず参照元を編集</x:v>
      </x:c>
    </x:row>
    <x:row r="257">
      <x:c r="A257" s="12" t="str">
        <x:v>保護</x:v>
      </x:c>
      <x:c r="B257" s="12" t="str">
        <x:v>クランプ損失</x:v>
      </x:c>
      <x:c r="C257" s="12" t="str">
        <x:v>P_active_clamp_on</x:v>
      </x:c>
      <x:c r="D257" s="197" t="n">
        <x:f>'09_基準仕様'!E233</x:f>
        <x:v>25</x:v>
      </x:c>
      <x:c r="E257" s="12" t="str">
        <x:v>W</x:v>
      </x:c>
      <x:c r="F257" s="12" t="str">
        <x:v>Q_req</x:v>
      </x:c>
      <x:c r="G257" s="12" t="str"/>
      <x:c r="H257" s="12" t="str">
        <x:v>技術係数</x:v>
      </x:c>
      <x:c r="I257" s="12" t="str">
        <x:v>対象</x:v>
      </x:c>
      <x:c r="J257" s="12"/>
      <x:c r="K257" s="12"/>
      <x:c r="L257" s="12"/>
      <x:c r="M257" s="12"/>
      <x:c r="N257" s="12" t="str">
        <x:v>基準仕様（シナリオ間固定）</x:v>
      </x:c>
      <x:c r="O257" s="12" t="str">
        <x:v>09_基準仕様</x:v>
      </x:c>
      <x:c r="P257" s="12" t="str">
        <x:v>通常は編集しない</x:v>
      </x:c>
      <x:c r="Q257" s="12" t="str">
        <x:v>D列は直接編集せず参照元を編集</x:v>
      </x:c>
    </x:row>
    <x:row r="258">
      <x:c r="A258" s="12" t="str">
        <x:v>絶縁</x:v>
      </x:c>
      <x:c r="B258" s="12" t="str">
        <x:v>高性能絶縁材有効</x:v>
      </x:c>
      <x:c r="C258" s="12" t="str">
        <x:v>Enable_hi_ins</x:v>
      </x:c>
      <x:c r="D258" s="197" t="n">
        <x:f>'10_シナリオ入力'!E18</x:f>
        <x:v>0</x:v>
      </x:c>
      <x:c r="E258" s="12" t="str">
        <x:v>0/1</x:v>
      </x:c>
      <x:c r="F258" s="12" t="str">
        <x:v>clearance/M_ins</x:v>
      </x:c>
      <x:c r="G258" s="12" t="str"/>
      <x:c r="H258" s="12" t="str">
        <x:v>技術選択</x:v>
      </x:c>
      <x:c r="I258" s="12" t="str">
        <x:v>対象</x:v>
      </x:c>
      <x:c r="J258" s="12"/>
      <x:c r="K258" s="12"/>
      <x:c r="L258" s="12"/>
      <x:c r="M258" s="12"/>
      <x:c r="N258" s="12" t="str">
        <x:v>シナリオ固有手入力</x:v>
      </x:c>
      <x:c r="O258" s="12" t="str">
        <x:v>10_シナリオ入力</x:v>
      </x:c>
      <x:c r="P258" s="12" t="str">
        <x:v>必要に応じて編集</x:v>
      </x:c>
      <x:c r="Q258" s="12" t="str">
        <x:v>シナリオ表を参照</x:v>
      </x:c>
    </x:row>
    <x:row r="259">
      <x:c r="A259" s="12" t="str">
        <x:v>絶縁</x:v>
      </x:c>
      <x:c r="B259" s="12" t="str">
        <x:v>高性能絶縁による距離低減率</x:v>
      </x:c>
      <x:c r="C259" s="12" t="str">
        <x:v>k_clearance_reduce</x:v>
      </x:c>
      <x:c r="D259" s="197" t="n">
        <x:f>'09_基準仕様'!E234</x:f>
        <x:v>0.3</x:v>
      </x:c>
      <x:c r="E259" s="12" t="str">
        <x:v>-</x:v>
      </x:c>
      <x:c r="F259" s="12" t="str">
        <x:v>M_clearance</x:v>
      </x:c>
      <x:c r="G259" s="12" t="str"/>
      <x:c r="H259" s="12" t="str">
        <x:v>技術係数</x:v>
      </x:c>
      <x:c r="I259" s="12" t="str">
        <x:v>対象</x:v>
      </x:c>
      <x:c r="J259" s="12"/>
      <x:c r="K259" s="12"/>
      <x:c r="L259" s="12"/>
      <x:c r="M259" s="12"/>
      <x:c r="N259" s="12" t="str">
        <x:v>基準仕様（シナリオ間固定）</x:v>
      </x:c>
      <x:c r="O259" s="12" t="str">
        <x:v>09_基準仕様</x:v>
      </x:c>
      <x:c r="P259" s="12" t="str">
        <x:v>通常は編集しない</x:v>
      </x:c>
      <x:c r="Q259" s="12" t="str">
        <x:v>D列は直接編集せず参照元を編集</x:v>
      </x:c>
    </x:row>
    <x:row r="260">
      <x:c r="A260" s="12" t="str">
        <x:v>絶縁</x:v>
      </x:c>
      <x:c r="B260" s="12" t="str">
        <x:v>高性能絶縁材追加重量</x:v>
      </x:c>
      <x:c r="C260" s="12" t="str">
        <x:v>m_hi_ins</x:v>
      </x:c>
      <x:c r="D260" s="197" t="n">
        <x:f>'09_基準仕様'!E235</x:f>
        <x:v>0.06</x:v>
      </x:c>
      <x:c r="E260" s="12" t="str">
        <x:v>kg</x:v>
      </x:c>
      <x:c r="F260" s="12" t="str">
        <x:v>M_ins_tech</x:v>
      </x:c>
      <x:c r="G260" s="12" t="str"/>
      <x:c r="H260" s="12" t="str">
        <x:v>技術係数</x:v>
      </x:c>
      <x:c r="I260" s="12" t="str">
        <x:v>対象</x:v>
      </x:c>
      <x:c r="J260" s="12"/>
      <x:c r="K260" s="12"/>
      <x:c r="L260" s="12"/>
      <x:c r="M260" s="12"/>
      <x:c r="N260" s="12" t="str">
        <x:v>基準仕様（シナリオ間固定）</x:v>
      </x:c>
      <x:c r="O260" s="12" t="str">
        <x:v>09_基準仕様</x:v>
      </x:c>
      <x:c r="P260" s="12" t="str">
        <x:v>通常は編集しない</x:v>
      </x:c>
      <x:c r="Q260" s="12" t="str">
        <x:v>D列は直接編集せず参照元を編集</x:v>
      </x:c>
    </x:row>
    <x:row r="261">
      <x:c r="A261" s="12" t="str">
        <x:v>絶縁</x:v>
      </x:c>
      <x:c r="B261" s="12" t="str">
        <x:v>基準クリアランス支持重量</x:v>
      </x:c>
      <x:c r="C261" s="12" t="str">
        <x:v>m_clearance_ref</x:v>
      </x:c>
      <x:c r="D261" s="197" t="n">
        <x:f>'09_基準仕様'!E236</x:f>
        <x:v>0.18</x:v>
      </x:c>
      <x:c r="E261" s="12" t="str">
        <x:v>kg</x:v>
      </x:c>
      <x:c r="F261" s="12" t="str">
        <x:v>M_clearance</x:v>
      </x:c>
      <x:c r="G261" s="12" t="str"/>
      <x:c r="H261" s="12" t="str">
        <x:v>技術係数</x:v>
      </x:c>
      <x:c r="I261" s="12" t="str">
        <x:v>対象</x:v>
      </x:c>
      <x:c r="J261" s="12"/>
      <x:c r="K261" s="12"/>
      <x:c r="L261" s="12"/>
      <x:c r="M261" s="12"/>
      <x:c r="N261" s="12" t="str">
        <x:v>基準仕様（シナリオ間固定）</x:v>
      </x:c>
      <x:c r="O261" s="12" t="str">
        <x:v>09_基準仕様</x:v>
      </x:c>
      <x:c r="P261" s="12" t="str">
        <x:v>通常は編集しない</x:v>
      </x:c>
      <x:c r="Q261" s="12" t="str">
        <x:v>D列は直接編集せず参照元を編集</x:v>
      </x:c>
    </x:row>
    <x:row r="262">
      <x:c r="A262" s="12" t="str">
        <x:v>絶縁</x:v>
      </x:c>
      <x:c r="B262" s="12" t="str">
        <x:v>ポッティング有効</x:v>
      </x:c>
      <x:c r="C262" s="12" t="str">
        <x:v>Enable_potting</x:v>
      </x:c>
      <x:c r="D262" s="197" t="n">
        <x:f>'10_シナリオ入力'!E19</x:f>
        <x:v>0</x:v>
      </x:c>
      <x:c r="E262" s="12" t="str">
        <x:v>0/1</x:v>
      </x:c>
      <x:c r="F262" s="12" t="str">
        <x:v>clearance/M_pot/Rth</x:v>
      </x:c>
      <x:c r="G262" s="12" t="str"/>
      <x:c r="H262" s="12" t="str">
        <x:v>技術選択</x:v>
      </x:c>
      <x:c r="I262" s="12" t="str">
        <x:v>対象</x:v>
      </x:c>
      <x:c r="J262" s="12"/>
      <x:c r="K262" s="12"/>
      <x:c r="L262" s="12"/>
      <x:c r="M262" s="12"/>
      <x:c r="N262" s="12" t="str">
        <x:v>シナリオ固有手入力</x:v>
      </x:c>
      <x:c r="O262" s="12" t="str">
        <x:v>10_シナリオ入力</x:v>
      </x:c>
      <x:c r="P262" s="12" t="str">
        <x:v>必要に応じて編集</x:v>
      </x:c>
      <x:c r="Q262" s="12" t="str">
        <x:v>シナリオ表を参照</x:v>
      </x:c>
    </x:row>
    <x:row r="263">
      <x:c r="A263" s="12" t="str">
        <x:v>絶縁</x:v>
      </x:c>
      <x:c r="B263" s="12" t="str">
        <x:v>ポッティング重量</x:v>
      </x:c>
      <x:c r="C263" s="12" t="str">
        <x:v>m_potting</x:v>
      </x:c>
      <x:c r="D263" s="197" t="n">
        <x:f>'09_基準仕様'!E237</x:f>
        <x:v>0.22</x:v>
      </x:c>
      <x:c r="E263" s="12" t="str">
        <x:v>kg</x:v>
      </x:c>
      <x:c r="F263" s="12" t="str">
        <x:v>M_potting</x:v>
      </x:c>
      <x:c r="G263" s="12" t="str"/>
      <x:c r="H263" s="12" t="str">
        <x:v>技術係数</x:v>
      </x:c>
      <x:c r="I263" s="12" t="str">
        <x:v>対象</x:v>
      </x:c>
      <x:c r="J263" s="12"/>
      <x:c r="K263" s="12"/>
      <x:c r="L263" s="12"/>
      <x:c r="M263" s="12"/>
      <x:c r="N263" s="12" t="str">
        <x:v>基準仕様（シナリオ間固定）</x:v>
      </x:c>
      <x:c r="O263" s="12" t="str">
        <x:v>09_基準仕様</x:v>
      </x:c>
      <x:c r="P263" s="12" t="str">
        <x:v>通常は編集しない</x:v>
      </x:c>
      <x:c r="Q263" s="12" t="str">
        <x:v>D列は直接編集せず参照元を編集</x:v>
      </x:c>
    </x:row>
    <x:row r="264">
      <x:c r="A264" s="12" t="str">
        <x:v>絶縁</x:v>
      </x:c>
      <x:c r="B264" s="12" t="str">
        <x:v>ポッティング距離低減率</x:v>
      </x:c>
      <x:c r="C264" s="12" t="str">
        <x:v>k_pot_clearance_reduce</x:v>
      </x:c>
      <x:c r="D264" s="197" t="n">
        <x:f>'09_基準仕様'!E238</x:f>
        <x:v>0.45</x:v>
      </x:c>
      <x:c r="E264" s="12" t="str">
        <x:v>-</x:v>
      </x:c>
      <x:c r="F264" s="12" t="str">
        <x:v>M_clearance</x:v>
      </x:c>
      <x:c r="G264" s="12" t="str"/>
      <x:c r="H264" s="12" t="str">
        <x:v>技術係数</x:v>
      </x:c>
      <x:c r="I264" s="12" t="str">
        <x:v>対象</x:v>
      </x:c>
      <x:c r="J264" s="12"/>
      <x:c r="K264" s="12"/>
      <x:c r="L264" s="12"/>
      <x:c r="M264" s="12"/>
      <x:c r="N264" s="12" t="str">
        <x:v>基準仕様（シナリオ間固定）</x:v>
      </x:c>
      <x:c r="O264" s="12" t="str">
        <x:v>09_基準仕様</x:v>
      </x:c>
      <x:c r="P264" s="12" t="str">
        <x:v>通常は編集しない</x:v>
      </x:c>
      <x:c r="Q264" s="12" t="str">
        <x:v>D列は直接編集せず参照元を編集</x:v>
      </x:c>
    </x:row>
    <x:row r="265">
      <x:c r="A265" s="12" t="str">
        <x:v>絶縁</x:v>
      </x:c>
      <x:c r="B265" s="12" t="str">
        <x:v>ポッティング熱ペナルティ</x:v>
      </x:c>
      <x:c r="C265" s="12" t="str">
        <x:v>k_pot_thermal</x:v>
      </x:c>
      <x:c r="D265" s="197" t="n">
        <x:f>'09_基準仕様'!E239</x:f>
        <x:v>0.08</x:v>
      </x:c>
      <x:c r="E265" s="12" t="str">
        <x:v>-</x:v>
      </x:c>
      <x:c r="F265" s="12" t="str">
        <x:v>M_hx</x:v>
      </x:c>
      <x:c r="G265" s="12" t="str"/>
      <x:c r="H265" s="12" t="str">
        <x:v>技術係数</x:v>
      </x:c>
      <x:c r="I265" s="12" t="str">
        <x:v>対象</x:v>
      </x:c>
      <x:c r="J265" s="12"/>
      <x:c r="K265" s="12"/>
      <x:c r="L265" s="12"/>
      <x:c r="M265" s="12"/>
      <x:c r="N265" s="12" t="str">
        <x:v>基準仕様（シナリオ間固定）</x:v>
      </x:c>
      <x:c r="O265" s="12" t="str">
        <x:v>09_基準仕様</x:v>
      </x:c>
      <x:c r="P265" s="12" t="str">
        <x:v>通常は編集しない</x:v>
      </x:c>
      <x:c r="Q265" s="12" t="str">
        <x:v>D列は直接編集せず参照元を編集</x:v>
      </x:c>
    </x:row>
    <x:row r="266">
      <x:c r="A266" s="12" t="str">
        <x:v>補助電源</x:v>
      </x:c>
      <x:c r="B266" s="12" t="str">
        <x:v>バイアス電源効率</x:v>
      </x:c>
      <x:c r="C266" s="12" t="str">
        <x:v>eta_bias</x:v>
      </x:c>
      <x:c r="D266" s="197" t="n">
        <x:f>'09_基準仕様'!E240</x:f>
        <x:v>0.82</x:v>
      </x:c>
      <x:c r="E266" s="12" t="str">
        <x:v>-</x:v>
      </x:c>
      <x:c r="F266" s="12" t="str">
        <x:v>P_bias_loss/M_bias_supply</x:v>
      </x:c>
      <x:c r="G266" s="12" t="str"/>
      <x:c r="H266" s="12" t="str">
        <x:v>設計変数</x:v>
      </x:c>
      <x:c r="I266" s="12" t="str">
        <x:v>対象</x:v>
      </x:c>
      <x:c r="J266" s="12"/>
      <x:c r="K266" s="12"/>
      <x:c r="L266" s="12"/>
      <x:c r="M266" s="12"/>
      <x:c r="N266" s="12" t="str">
        <x:v>基準仕様（シナリオ間固定）</x:v>
      </x:c>
      <x:c r="O266" s="12" t="str">
        <x:v>09_基準仕様</x:v>
      </x:c>
      <x:c r="P266" s="12" t="str">
        <x:v>通常は編集しない</x:v>
      </x:c>
      <x:c r="Q266" s="12" t="str">
        <x:v>D列は直接編集せず参照元を編集</x:v>
      </x:c>
    </x:row>
    <x:row r="267">
      <x:c r="A267" s="12" t="str">
        <x:v>補助電源</x:v>
      </x:c>
      <x:c r="B267" s="12" t="str">
        <x:v>バイアス電源比重量</x:v>
      </x:c>
      <x:c r="C267" s="12" t="str">
        <x:v>k_m_bias</x:v>
      </x:c>
      <x:c r="D267" s="197" t="n">
        <x:f>'09_基準仕様'!E241</x:f>
        <x:v>0.02</x:v>
      </x:c>
      <x:c r="E267" s="12" t="str">
        <x:v>kg/W</x:v>
      </x:c>
      <x:c r="F267" s="12" t="str">
        <x:v>M_bias_supply</x:v>
      </x:c>
      <x:c r="G267" s="12" t="str"/>
      <x:c r="H267" s="12" t="str">
        <x:v>技術係数</x:v>
      </x:c>
      <x:c r="I267" s="12" t="str">
        <x:v>対象</x:v>
      </x:c>
      <x:c r="J267" s="12"/>
      <x:c r="K267" s="12"/>
      <x:c r="L267" s="12"/>
      <x:c r="M267" s="12"/>
      <x:c r="N267" s="12" t="str">
        <x:v>基準仕様（シナリオ間固定）</x:v>
      </x:c>
      <x:c r="O267" s="12" t="str">
        <x:v>09_基準仕様</x:v>
      </x:c>
      <x:c r="P267" s="12" t="str">
        <x:v>通常は編集しない</x:v>
      </x:c>
      <x:c r="Q267" s="12" t="str">
        <x:v>D列は直接編集せず参照元を編集</x:v>
      </x:c>
    </x:row>
    <x:row r="268">
      <x:c r="A268" s="12" t="str">
        <x:v>プリチャージ</x:v>
      </x:c>
      <x:c r="B268" s="12" t="str">
        <x:v>プリチャージ有効</x:v>
      </x:c>
      <x:c r="C268" s="12" t="str">
        <x:v>Enable_precharge</x:v>
      </x:c>
      <x:c r="D268" s="197" t="n">
        <x:f>'10_シナリオ入力'!E20</x:f>
        <x:v>1</x:v>
      </x:c>
      <x:c r="E268" s="12" t="str">
        <x:v>0/1</x:v>
      </x:c>
      <x:c r="F268" s="12" t="str">
        <x:v>contactor/M_precharge</x:v>
      </x:c>
      <x:c r="G268" s="12" t="str"/>
      <x:c r="H268" s="12" t="str">
        <x:v>技術選択</x:v>
      </x:c>
      <x:c r="I268" s="12" t="str">
        <x:v>対象</x:v>
      </x:c>
      <x:c r="J268" s="12"/>
      <x:c r="K268" s="12"/>
      <x:c r="L268" s="12"/>
      <x:c r="M268" s="12"/>
      <x:c r="N268" s="12" t="str">
        <x:v>シナリオ固有手入力</x:v>
      </x:c>
      <x:c r="O268" s="12" t="str">
        <x:v>10_シナリオ入力</x:v>
      </x:c>
      <x:c r="P268" s="12" t="str">
        <x:v>必要に応じて編集</x:v>
      </x:c>
      <x:c r="Q268" s="12" t="str">
        <x:v>シナリオ表を参照</x:v>
      </x:c>
    </x:row>
    <x:row r="269">
      <x:c r="A269" s="12" t="str">
        <x:v>プリチャージ</x:v>
      </x:c>
      <x:c r="B269" s="12" t="str">
        <x:v>プリチャージ回路重量</x:v>
      </x:c>
      <x:c r="C269" s="12" t="str">
        <x:v>m_precharge</x:v>
      </x:c>
      <x:c r="D269" s="197" t="n">
        <x:f>'09_基準仕様'!E242</x:f>
        <x:v>0.1</x:v>
      </x:c>
      <x:c r="E269" s="12" t="str">
        <x:v>kg</x:v>
      </x:c>
      <x:c r="F269" s="12" t="str">
        <x:v>M_precharge</x:v>
      </x:c>
      <x:c r="G269" s="12" t="str"/>
      <x:c r="H269" s="12" t="str">
        <x:v>技術係数</x:v>
      </x:c>
      <x:c r="I269" s="12" t="str">
        <x:v>対象</x:v>
      </x:c>
      <x:c r="J269" s="12"/>
      <x:c r="K269" s="12"/>
      <x:c r="L269" s="12"/>
      <x:c r="M269" s="12"/>
      <x:c r="N269" s="12" t="str">
        <x:v>基準仕様（シナリオ間固定）</x:v>
      </x:c>
      <x:c r="O269" s="12" t="str">
        <x:v>09_基準仕様</x:v>
      </x:c>
      <x:c r="P269" s="12" t="str">
        <x:v>通常は編集しない</x:v>
      </x:c>
      <x:c r="Q269" s="12" t="str">
        <x:v>D列は直接編集せず参照元を編集</x:v>
      </x:c>
    </x:row>
    <x:row r="270">
      <x:c r="A270" s="12" t="str">
        <x:v>プリチャージ</x:v>
      </x:c>
      <x:c r="B270" s="12" t="str">
        <x:v>コンタクタ重量低減率</x:v>
      </x:c>
      <x:c r="C270" s="12" t="str">
        <x:v>k_contactor_reduce</x:v>
      </x:c>
      <x:c r="D270" s="197" t="n">
        <x:f>'09_基準仕様'!E243</x:f>
        <x:v>0.2</x:v>
      </x:c>
      <x:c r="E270" s="12" t="str">
        <x:v>-</x:v>
      </x:c>
      <x:c r="F270" s="12" t="str">
        <x:v>M_contactor</x:v>
      </x:c>
      <x:c r="G270" s="12" t="str"/>
      <x:c r="H270" s="12" t="str">
        <x:v>技術係数</x:v>
      </x:c>
      <x:c r="I270" s="12" t="str">
        <x:v>対象</x:v>
      </x:c>
      <x:c r="J270" s="12"/>
      <x:c r="K270" s="12"/>
      <x:c r="L270" s="12"/>
      <x:c r="M270" s="12"/>
      <x:c r="N270" s="12" t="str">
        <x:v>基準仕様（シナリオ間固定）</x:v>
      </x:c>
      <x:c r="O270" s="12" t="str">
        <x:v>09_基準仕様</x:v>
      </x:c>
      <x:c r="P270" s="12" t="str">
        <x:v>通常は編集しない</x:v>
      </x:c>
      <x:c r="Q270" s="12" t="str">
        <x:v>D列は直接編集せず参照元を編集</x:v>
      </x:c>
    </x:row>
    <x:row r="271">
      <x:c r="A271" s="12" t="str">
        <x:v>プリチャージ</x:v>
      </x:c>
      <x:c r="B271" s="12" t="str">
        <x:v>基準コンタクタ/ヒューズ重量</x:v>
      </x:c>
      <x:c r="C271" s="12" t="str">
        <x:v>m_contactor_base</x:v>
      </x:c>
      <x:c r="D271" s="197" t="n">
        <x:f>'09_基準仕様'!E244</x:f>
        <x:v>0.35</x:v>
      </x:c>
      <x:c r="E271" s="12" t="str">
        <x:v>kg</x:v>
      </x:c>
      <x:c r="F271" s="12" t="str">
        <x:v>M_contactor</x:v>
      </x:c>
      <x:c r="G271" s="12" t="str"/>
      <x:c r="H271" s="12" t="str">
        <x:v>技術係数</x:v>
      </x:c>
      <x:c r="I271" s="12" t="str">
        <x:v>対象</x:v>
      </x:c>
      <x:c r="J271" s="12"/>
      <x:c r="K271" s="12"/>
      <x:c r="L271" s="12"/>
      <x:c r="M271" s="12"/>
      <x:c r="N271" s="12" t="str">
        <x:v>基準仕様（シナリオ間固定）</x:v>
      </x:c>
      <x:c r="O271" s="12" t="str">
        <x:v>09_基準仕様</x:v>
      </x:c>
      <x:c r="P271" s="12" t="str">
        <x:v>通常は編集しない</x:v>
      </x:c>
      <x:c r="Q271" s="12" t="str">
        <x:v>D列は直接編集せず参照元を編集</x:v>
      </x:c>
    </x:row>
    <x:row r="272">
      <x:c r="A272" s="12" t="str">
        <x:v>システム要求</x:v>
      </x:c>
      <x:c r="B272" s="12" t="str">
        <x:v>モータケーブル長</x:v>
      </x:c>
      <x:c r="C272" s="12" t="str">
        <x:v>L_cable</x:v>
      </x:c>
      <x:c r="D272" s="12" t="n">
        <x:f>'07_システム要求'!D22</x:f>
        <x:v>2</x:v>
      </x:c>
      <x:c r="E272" s="12" t="str">
        <x:v>m</x:v>
      </x:c>
      <x:c r="F272" s="12" t="str">
        <x:v>EMI/反射/CM</x:v>
      </x:c>
      <x:c r="G272" s="12" t="str">
        <x:v>07_システム要求から自動</x:v>
      </x:c>
      <x:c r="H272" s="12" t="str">
        <x:v>固定要求</x:v>
      </x:c>
      <x:c r="I272" s="12" t="str">
        <x:v>対象外</x:v>
      </x:c>
      <x:c r="J272" s="12"/>
      <x:c r="K272" s="12"/>
      <x:c r="L272" s="12"/>
      <x:c r="M272" s="12"/>
      <x:c r="N272" s="12" t="str">
        <x:v>システム要求→自動計算</x:v>
      </x:c>
      <x:c r="O272" s="12" t="str">
        <x:v>07_システム要求</x:v>
      </x:c>
      <x:c r="P272" s="12" t="str">
        <x:v>参照元を編集</x:v>
      </x:c>
      <x:c r="Q272" s="12" t="str">
        <x:v>D列は直接編集しない</x:v>
      </x:c>
    </x:row>
    <x:row r="273">
      <x:c r="A273" s="12" t="str">
        <x:v>システム要求</x:v>
      </x:c>
      <x:c r="B273" s="12" t="str">
        <x:v>許容相電流リップル率</x:v>
      </x:c>
      <x:c r="C273" s="12" t="str">
        <x:v>ripple_i_req</x:v>
      </x:c>
      <x:c r="D273" s="12" t="n">
        <x:f>'07_システム要求'!D23</x:f>
        <x:v>0.1</x:v>
      </x:c>
      <x:c r="E273" s="12" t="str">
        <x:v>-</x:v>
      </x:c>
      <x:c r="F273" s="12" t="str">
        <x:v>f_sw</x:v>
      </x:c>
      <x:c r="G273" s="12" t="str">
        <x:v>07_システム要求から自動</x:v>
      </x:c>
      <x:c r="H273" s="12" t="str">
        <x:v>固定要求</x:v>
      </x:c>
      <x:c r="I273" s="12" t="str">
        <x:v>対象外</x:v>
      </x:c>
      <x:c r="J273" s="12"/>
      <x:c r="K273" s="12"/>
      <x:c r="L273" s="12"/>
      <x:c r="M273" s="12"/>
      <x:c r="N273" s="12" t="str">
        <x:v>システム要求→自動計算</x:v>
      </x:c>
      <x:c r="O273" s="12" t="str">
        <x:v>07_システム要求</x:v>
      </x:c>
      <x:c r="P273" s="12" t="str">
        <x:v>参照元を編集</x:v>
      </x:c>
      <x:c r="Q273" s="12" t="str">
        <x:v>D列は直接編集しない</x:v>
      </x:c>
    </x:row>
    <x:row r="274">
      <x:c r="A274" s="12" t="str">
        <x:v>システム要求</x:v>
      </x:c>
      <x:c r="B274" s="12" t="str">
        <x:v>モータ相インダクタンス</x:v>
      </x:c>
      <x:c r="C274" s="12" t="str">
        <x:v>L_motor</x:v>
      </x:c>
      <x:c r="D274" s="12" t="n">
        <x:f>'07_システム要求'!D24</x:f>
        <x:v>0.00035</x:v>
      </x:c>
      <x:c r="E274" s="12" t="str">
        <x:v>H</x:v>
      </x:c>
      <x:c r="F274" s="12" t="str">
        <x:v>f_sw</x:v>
      </x:c>
      <x:c r="G274" s="12" t="str">
        <x:v>07_システム要求から自動</x:v>
      </x:c>
      <x:c r="H274" s="12" t="str">
        <x:v>固定要求</x:v>
      </x:c>
      <x:c r="I274" s="12" t="str">
        <x:v>対象外</x:v>
      </x:c>
      <x:c r="J274" s="12"/>
      <x:c r="K274" s="12"/>
      <x:c r="L274" s="12"/>
      <x:c r="M274" s="12"/>
      <x:c r="N274" s="12" t="str">
        <x:v>システム要求→自動計算</x:v>
      </x:c>
      <x:c r="O274" s="12" t="str">
        <x:v>07_システム要求</x:v>
      </x:c>
      <x:c r="P274" s="12" t="str">
        <x:v>参照元を編集</x:v>
      </x:c>
      <x:c r="Q274" s="12" t="str">
        <x:v>D列は直接編集しない</x:v>
      </x:c>
    </x:row>
    <x:row r="275">
      <x:c r="A275" s="12" t="str">
        <x:v>システム要求</x:v>
      </x:c>
      <x:c r="B275" s="12" t="str">
        <x:v>DCリンク放電要求時間</x:v>
      </x:c>
      <x:c r="C275" s="12" t="str">
        <x:v>t_discharge_req</x:v>
      </x:c>
      <x:c r="D275" s="12" t="n">
        <x:f>'07_システム要求'!D28</x:f>
        <x:v>5</x:v>
      </x:c>
      <x:c r="E275" s="12" t="str">
        <x:v>s</x:v>
      </x:c>
      <x:c r="F275" s="12" t="str">
        <x:v>R_discharge</x:v>
      </x:c>
      <x:c r="G275" s="12" t="str">
        <x:v>07_システム要求から自動</x:v>
      </x:c>
      <x:c r="H275" s="12" t="str">
        <x:v>固定要求</x:v>
      </x:c>
      <x:c r="I275" s="12" t="str">
        <x:v>対象外</x:v>
      </x:c>
      <x:c r="J275" s="12"/>
      <x:c r="K275" s="12"/>
      <x:c r="L275" s="12"/>
      <x:c r="M275" s="12"/>
      <x:c r="N275" s="12" t="str">
        <x:v>システム要求→自動計算</x:v>
      </x:c>
      <x:c r="O275" s="12" t="str">
        <x:v>07_システム要求</x:v>
      </x:c>
      <x:c r="P275" s="12" t="str">
        <x:v>参照元を編集</x:v>
      </x:c>
      <x:c r="Q275" s="12" t="str">
        <x:v>D列は直接編集しない</x:v>
      </x:c>
    </x:row>
    <x:row r="276">
      <x:c r="A276" s="12" t="str">
        <x:v>システム要求</x:v>
      </x:c>
      <x:c r="B276" s="12" t="str">
        <x:v>放電完了安全電圧</x:v>
      </x:c>
      <x:c r="C276" s="12" t="str">
        <x:v>V_safe_discharge</x:v>
      </x:c>
      <x:c r="D276" s="12" t="n">
        <x:f>'07_システム要求'!D29</x:f>
        <x:v>60</x:v>
      </x:c>
      <x:c r="E276" s="12" t="str">
        <x:v>V</x:v>
      </x:c>
      <x:c r="F276" s="12" t="str">
        <x:v>R_discharge</x:v>
      </x:c>
      <x:c r="G276" s="12" t="str">
        <x:v>07_システム要求から自動</x:v>
      </x:c>
      <x:c r="H276" s="12" t="str">
        <x:v>固定要求</x:v>
      </x:c>
      <x:c r="I276" s="12" t="str">
        <x:v>対象外</x:v>
      </x:c>
      <x:c r="J276" s="12"/>
      <x:c r="K276" s="12"/>
      <x:c r="L276" s="12"/>
      <x:c r="M276" s="12"/>
      <x:c r="N276" s="12" t="str">
        <x:v>システム要求→自動計算</x:v>
      </x:c>
      <x:c r="O276" s="12" t="str">
        <x:v>07_システム要求</x:v>
      </x:c>
      <x:c r="P276" s="12" t="str">
        <x:v>参照元を編集</x:v>
      </x:c>
      <x:c r="Q276" s="12" t="str">
        <x:v>D列は直接編集しない</x:v>
      </x:c>
    </x:row>
    <x:row r="277">
      <x:c r="A277" s="12" t="str">
        <x:v>システム要求</x:v>
      </x:c>
      <x:c r="B277" s="12" t="str">
        <x:v>電流制御帯域</x:v>
      </x:c>
      <x:c r="C277" s="12" t="str">
        <x:v>BW_current</x:v>
      </x:c>
      <x:c r="D277" s="12" t="n">
        <x:f>'07_システム要求'!D30</x:f>
        <x:v>1000</x:v>
      </x:c>
      <x:c r="E277" s="12" t="str">
        <x:v>Hz</x:v>
      </x:c>
      <x:c r="F277" s="12" t="str">
        <x:v>f_sw</x:v>
      </x:c>
      <x:c r="G277" s="12" t="str">
        <x:v>07_システム要求から自動</x:v>
      </x:c>
      <x:c r="H277" s="12" t="str">
        <x:v>固定要求</x:v>
      </x:c>
      <x:c r="I277" s="12" t="str">
        <x:v>対象外</x:v>
      </x:c>
      <x:c r="J277" s="12"/>
      <x:c r="K277" s="12"/>
      <x:c r="L277" s="12"/>
      <x:c r="M277" s="12"/>
      <x:c r="N277" s="12" t="str">
        <x:v>システム要求→自動計算</x:v>
      </x:c>
      <x:c r="O277" s="12" t="str">
        <x:v>07_システム要求</x:v>
      </x:c>
      <x:c r="P277" s="12" t="str">
        <x:v>参照元を編集</x:v>
      </x:c>
      <x:c r="Q277" s="12" t="str">
        <x:v>D列は直接編集しない</x:v>
      </x:c>
    </x:row>
    <x:row r="278">
      <x:c r="A278" s="12" t="str">
        <x:v>放電</x:v>
      </x:c>
      <x:c r="B278" s="12" t="str">
        <x:v>アクティブ放電時抵抗重量比</x:v>
      </x:c>
      <x:c r="C278" s="12" t="str">
        <x:v>k_discharge_res_mass_active</x:v>
      </x:c>
      <x:c r="D278" s="12" t="n">
        <x:f>'09_基準仕様'!E247</x:f>
        <x:v>0.35</x:v>
      </x:c>
      <x:c r="E278" s="12" t="str">
        <x:v>-</x:v>
      </x:c>
      <x:c r="F278" s="12" t="str">
        <x:v>M_discharge_res</x:v>
      </x:c>
      <x:c r="G278" s="12" t="str">
        <x:v>短時間定格で抵抗を小型化する簡易係数</x:v>
      </x:c>
      <x:c r="H278" s="12" t="str">
        <x:v>技術係数</x:v>
      </x:c>
      <x:c r="I278" s="12" t="str">
        <x:v>対象</x:v>
      </x:c>
      <x:c r="J278" s="12"/>
      <x:c r="K278" s="12"/>
      <x:c r="L278" s="12"/>
      <x:c r="M278" s="12"/>
      <x:c r="N278" s="12" t="str">
        <x:v>基準仕様（シナリオ間固定）</x:v>
      </x:c>
      <x:c r="O278" s="12" t="str">
        <x:v>09_基準仕様</x:v>
      </x:c>
      <x:c r="P278" s="12" t="str">
        <x:v>参照元を編集</x:v>
      </x:c>
      <x:c r="Q278" s="12" t="str">
        <x:v>D列は直接編集しない</x:v>
      </x:c>
    </x:row>
    <x:row r="279">
      <x:c r="A279" s="12" t="str">
        <x:v>放電</x:v>
      </x:c>
      <x:c r="B279" s="12" t="str">
        <x:v>アクティブ放電待機損失比</x:v>
      </x:c>
      <x:c r="C279" s="12" t="str">
        <x:v>k_discharge_standby_active</x:v>
      </x:c>
      <x:c r="D279" s="12" t="n">
        <x:f>'09_基準仕様'!E248</x:f>
        <x:v>0.02</x:v>
      </x:c>
      <x:c r="E279" s="12" t="str">
        <x:v>-</x:v>
      </x:c>
      <x:c r="F279" s="12" t="str">
        <x:v>P_discharge_standby</x:v>
      </x:c>
      <x:c r="G279" s="12" t="str">
        <x:v>能動スイッチOFF時の残存損失比</x:v>
      </x:c>
      <x:c r="H279" s="12" t="str">
        <x:v>技術係数</x:v>
      </x:c>
      <x:c r="I279" s="12" t="str">
        <x:v>対象</x:v>
      </x:c>
      <x:c r="J279" s="12"/>
      <x:c r="K279" s="12"/>
      <x:c r="L279" s="12"/>
      <x:c r="M279" s="12"/>
      <x:c r="N279" s="12" t="str">
        <x:v>基準仕様（シナリオ間固定）</x:v>
      </x:c>
      <x:c r="O279" s="12" t="str">
        <x:v>09_基準仕様</x:v>
      </x:c>
      <x:c r="P279" s="12" t="str">
        <x:v>参照元を編集</x:v>
      </x:c>
      <x:c r="Q279" s="12" t="str">
        <x:v>D列は直接編集しない</x:v>
      </x:c>
    </x:row>
    <x:row r="280">
      <x:c r="A280" s="12" t="str">
        <x:v>放電</x:v>
      </x:c>
      <x:c r="B280" s="12" t="str">
        <x:v>ブリーダ抵抗比重量</x:v>
      </x:c>
      <x:c r="C280" s="12" t="str">
        <x:v>k_m_bleed</x:v>
      </x:c>
      <x:c r="D280" s="12" t="n">
        <x:f>'09_基準仕様'!E249</x:f>
        <x:v>0.00035</x:v>
      </x:c>
      <x:c r="E280" s="12" t="str">
        <x:v>kg/W</x:v>
      </x:c>
      <x:c r="F280" s="12" t="str">
        <x:v>M_discharge_res</x:v>
      </x:c>
      <x:c r="G280" s="12" t="str">
        <x:v>連続定格抵抗の簡易比重量</x:v>
      </x:c>
      <x:c r="H280" s="12" t="str">
        <x:v>技術係数</x:v>
      </x:c>
      <x:c r="I280" s="12" t="str">
        <x:v>対象</x:v>
      </x:c>
      <x:c r="J280" s="12"/>
      <x:c r="K280" s="12"/>
      <x:c r="L280" s="12"/>
      <x:c r="M280" s="12"/>
      <x:c r="N280" s="12" t="str">
        <x:v>基準仕様（シナリオ間固定）</x:v>
      </x:c>
      <x:c r="O280" s="12" t="str">
        <x:v>09_基準仕様</x:v>
      </x:c>
      <x:c r="P280" s="12" t="str">
        <x:v>参照元を編集</x:v>
      </x:c>
      <x:c r="Q280" s="12" t="str">
        <x:v>D列は直接編集しない</x:v>
      </x:c>
    </x:row>
    <x:row r="281">
      <x:c r="A281" s="12" t="str">
        <x:v>放電</x:v>
      </x:c>
      <x:c r="B281" s="12" t="str">
        <x:v>アクティブ放電制御重量</x:v>
      </x:c>
      <x:c r="C281" s="12" t="str">
        <x:v>m_active_discharge_ctrl</x:v>
      </x:c>
      <x:c r="D281" s="12" t="n">
        <x:f>'09_基準仕様'!E250</x:f>
        <x:v>0.05</x:v>
      </x:c>
      <x:c r="E281" s="12" t="str">
        <x:v>kg</x:v>
      </x:c>
      <x:c r="F281" s="12" t="str">
        <x:v>M_active_discharge_ctrl</x:v>
      </x:c>
      <x:c r="G281" s="12" t="str">
        <x:v>スイッチ/駆動/制御の等価重量</x:v>
      </x:c>
      <x:c r="H281" s="12" t="str">
        <x:v>技術係数</x:v>
      </x:c>
      <x:c r="I281" s="12" t="str">
        <x:v>対象</x:v>
      </x:c>
      <x:c r="J281" s="12"/>
      <x:c r="K281" s="12"/>
      <x:c r="L281" s="12"/>
      <x:c r="M281" s="12"/>
      <x:c r="N281" s="12" t="str">
        <x:v>基準仕様（シナリオ間固定）</x:v>
      </x:c>
      <x:c r="O281" s="12" t="str">
        <x:v>09_基準仕様</x:v>
      </x:c>
      <x:c r="P281" s="12" t="str">
        <x:v>参照元を編集</x:v>
      </x:c>
      <x:c r="Q281" s="12" t="str">
        <x:v>D列は直接編集しない</x:v>
      </x:c>
    </x:row>
    <x:row r="282">
      <x:c r="A282" s="12" t="str">
        <x:v>半導体パッケージ</x:v>
      </x:c>
      <x:c r="B282" s="12" t="str">
        <x:v>高度冷却パッケージ熱抵抗低減率</x:v>
      </x:c>
      <x:c r="C282" s="12" t="str">
        <x:v>k_pkg_Rth_reduce</x:v>
      </x:c>
      <x:c r="D282" s="12" t="n">
        <x:f>'09_基準仕様'!E251</x:f>
        <x:v>0.3</x:v>
      </x:c>
      <x:c r="E282" s="12" t="str">
        <x:v>-</x:v>
      </x:c>
      <x:c r="F282" s="12" t="str">
        <x:v>m_hx</x:v>
      </x:c>
      <x:c r="G282" s="12" t="str">
        <x:v>上面/両面冷却等の簡易低減率</x:v>
      </x:c>
      <x:c r="H282" s="12" t="str">
        <x:v>技術係数</x:v>
      </x:c>
      <x:c r="I282" s="12" t="str">
        <x:v>対象</x:v>
      </x:c>
      <x:c r="J282" s="12"/>
      <x:c r="K282" s="12"/>
      <x:c r="L282" s="12"/>
      <x:c r="M282" s="12"/>
      <x:c r="N282" s="12" t="str">
        <x:v>基準仕様（シナリオ間固定）</x:v>
      </x:c>
      <x:c r="O282" s="12" t="str">
        <x:v>09_基準仕様</x:v>
      </x:c>
      <x:c r="P282" s="12" t="str">
        <x:v>参照元を編集</x:v>
      </x:c>
      <x:c r="Q282" s="12" t="str">
        <x:v>D列は直接編集しない</x:v>
      </x:c>
    </x:row>
    <x:row r="283">
      <x:c r="A283" s="12" t="str">
        <x:v>半導体パッケージ</x:v>
      </x:c>
      <x:c r="B283" s="12" t="str">
        <x:v>高度冷却パッケージ電流密度向上率</x:v>
      </x:c>
      <x:c r="C283" s="12" t="str">
        <x:v>k_pkg_J_gain</x:v>
      </x:c>
      <x:c r="D283" s="12" t="n">
        <x:f>'09_基準仕様'!E252</x:f>
        <x:v>0.15</x:v>
      </x:c>
      <x:c r="E283" s="12" t="str">
        <x:v>-</x:v>
      </x:c>
      <x:c r="F283" s="12" t="str">
        <x:v>J_chip_eff</x:v>
      </x:c>
      <x:c r="G283" s="12" t="str">
        <x:v>熱制約緩和による簡易電流密度向上</x:v>
      </x:c>
      <x:c r="H283" s="12" t="str">
        <x:v>技術係数</x:v>
      </x:c>
      <x:c r="I283" s="12" t="str">
        <x:v>対象</x:v>
      </x:c>
      <x:c r="J283" s="12"/>
      <x:c r="K283" s="12"/>
      <x:c r="L283" s="12"/>
      <x:c r="M283" s="12"/>
      <x:c r="N283" s="12" t="str">
        <x:v>基準仕様（シナリオ間固定）</x:v>
      </x:c>
      <x:c r="O283" s="12" t="str">
        <x:v>09_基準仕様</x:v>
      </x:c>
      <x:c r="P283" s="12" t="str">
        <x:v>参照元を編集</x:v>
      </x:c>
      <x:c r="Q283" s="12" t="str">
        <x:v>D列は直接編集しない</x:v>
      </x:c>
    </x:row>
    <x:row r="284">
      <x:c r="A284" s="12" t="str">
        <x:v>半導体パッケージ</x:v>
      </x:c>
      <x:c r="B284" s="12" t="str">
        <x:v>高度冷却パッケージ追加重量</x:v>
      </x:c>
      <x:c r="C284" s="12" t="str">
        <x:v>m_pkg_advanced_delta</x:v>
      </x:c>
      <x:c r="D284" s="12" t="n">
        <x:f>'09_基準仕様'!E253</x:f>
        <x:v>0.08</x:v>
      </x:c>
      <x:c r="E284" s="12" t="str">
        <x:v>kg</x:v>
      </x:c>
      <x:c r="F284" s="12" t="str">
        <x:v>M_pkg_advanced</x:v>
      </x:c>
      <x:c r="G284" s="12" t="str">
        <x:v>クランプ/絶縁/構造の追加重量</x:v>
      </x:c>
      <x:c r="H284" s="12" t="str">
        <x:v>技術係数</x:v>
      </x:c>
      <x:c r="I284" s="12" t="str">
        <x:v>対象</x:v>
      </x:c>
      <x:c r="J284" s="12"/>
      <x:c r="K284" s="12"/>
      <x:c r="L284" s="12"/>
      <x:c r="M284" s="12"/>
      <x:c r="N284" s="12" t="str">
        <x:v>基準仕様（シナリオ間固定）</x:v>
      </x:c>
      <x:c r="O284" s="12" t="str">
        <x:v>09_基準仕様</x:v>
      </x:c>
      <x:c r="P284" s="12" t="str">
        <x:v>参照元を編集</x:v>
      </x:c>
      <x:c r="Q284" s="12" t="str">
        <x:v>D列は直接編集しない</x:v>
      </x:c>
    </x:row>
    <x:row r="285">
      <x:c r="A285" s="12" t="str">
        <x:v>ケーブル</x:v>
      </x:c>
      <x:c r="B285" s="12" t="str">
        <x:v>ケーブル対地容量/長さ</x:v>
      </x:c>
      <x:c r="C285" s="12" t="str">
        <x:v>C_cable_per_m</x:v>
      </x:c>
      <x:c r="D285" s="12" t="n">
        <x:f>'09_基準仕様'!E254</x:f>
        <x:v>1.5e-10</x:v>
      </x:c>
      <x:c r="E285" s="12" t="str">
        <x:v>F/m</x:v>
      </x:c>
      <x:c r="F285" s="12" t="str">
        <x:v>I_cm</x:v>
      </x:c>
      <x:c r="G285" s="12" t="str">
        <x:v>ケーブル構造を固定した基準値</x:v>
      </x:c>
      <x:c r="H285" s="12" t="str">
        <x:v>技術係数</x:v>
      </x:c>
      <x:c r="I285" s="12" t="str">
        <x:v>対象</x:v>
      </x:c>
      <x:c r="J285" s="12"/>
      <x:c r="K285" s="12"/>
      <x:c r="L285" s="12"/>
      <x:c r="M285" s="12"/>
      <x:c r="N285" s="12" t="str">
        <x:v>基準仕様（シナリオ間固定）</x:v>
      </x:c>
      <x:c r="O285" s="12" t="str">
        <x:v>09_基準仕様</x:v>
      </x:c>
      <x:c r="P285" s="12" t="str">
        <x:v>参照元を編集</x:v>
      </x:c>
      <x:c r="Q285" s="12" t="str">
        <x:v>D列は直接編集しない</x:v>
      </x:c>
    </x:row>
    <x:row r="286">
      <x:c r="A286" s="12" t="str">
        <x:v>ケーブル</x:v>
      </x:c>
      <x:c r="B286" s="12" t="str">
        <x:v>基準ケーブル長</x:v>
      </x:c>
      <x:c r="C286" s="12" t="str">
        <x:v>L_cable_ref</x:v>
      </x:c>
      <x:c r="D286" s="12" t="n">
        <x:f>'09_基準仕様'!E255</x:f>
        <x:v>2</x:v>
      </x:c>
      <x:c r="E286" s="12" t="str">
        <x:v>m</x:v>
      </x:c>
      <x:c r="F286" s="12" t="str">
        <x:v>k_cable_cm,k_cable_dvdt</x:v>
      </x:c>
      <x:c r="G286" s="12" t="str">
        <x:v>EMI重量スケーリング基準</x:v>
      </x:c>
      <x:c r="H286" s="12" t="str">
        <x:v>技術係数</x:v>
      </x:c>
      <x:c r="I286" s="12" t="str">
        <x:v>対象</x:v>
      </x:c>
      <x:c r="J286" s="12"/>
      <x:c r="K286" s="12"/>
      <x:c r="L286" s="12"/>
      <x:c r="M286" s="12"/>
      <x:c r="N286" s="12" t="str">
        <x:v>基準仕様（シナリオ間固定）</x:v>
      </x:c>
      <x:c r="O286" s="12" t="str">
        <x:v>09_基準仕様</x:v>
      </x:c>
      <x:c r="P286" s="12" t="str">
        <x:v>参照元を編集</x:v>
      </x:c>
      <x:c r="Q286" s="12" t="str">
        <x:v>D列は直接編集しない</x:v>
      </x:c>
    </x:row>
    <x:row r="287">
      <x:c r="A287" s="12" t="str">
        <x:v>ケーブル</x:v>
      </x:c>
      <x:c r="B287" s="12" t="str">
        <x:v>CM重量ケーブル長指数</x:v>
      </x:c>
      <x:c r="C287" s="12" t="str">
        <x:v>a_cable_cm</x:v>
      </x:c>
      <x:c r="D287" s="12" t="n">
        <x:f>'09_基準仕様'!E256</x:f>
        <x:v>0.7</x:v>
      </x:c>
      <x:c r="E287" s="12" t="str">
        <x:v>-</x:v>
      </x:c>
      <x:c r="F287" s="12" t="str">
        <x:v>M_CM_filter</x:v>
      </x:c>
      <x:c r="G287" s="12" t="str">
        <x:v>簡易スケーリング</x:v>
      </x:c>
      <x:c r="H287" s="12" t="str">
        <x:v>技術係数</x:v>
      </x:c>
      <x:c r="I287" s="12" t="str">
        <x:v>対象</x:v>
      </x:c>
      <x:c r="J287" s="12"/>
      <x:c r="K287" s="12"/>
      <x:c r="L287" s="12"/>
      <x:c r="M287" s="12"/>
      <x:c r="N287" s="12" t="str">
        <x:v>基準仕様（シナリオ間固定）</x:v>
      </x:c>
      <x:c r="O287" s="12" t="str">
        <x:v>09_基準仕様</x:v>
      </x:c>
      <x:c r="P287" s="12" t="str">
        <x:v>参照元を編集</x:v>
      </x:c>
      <x:c r="Q287" s="12" t="str">
        <x:v>D列は直接編集しない</x:v>
      </x:c>
    </x:row>
    <x:row r="288">
      <x:c r="A288" s="12" t="str">
        <x:v>ケーブル</x:v>
      </x:c>
      <x:c r="B288" s="12" t="str">
        <x:v>dvdt対策重量ケーブル長指数</x:v>
      </x:c>
      <x:c r="C288" s="12" t="str">
        <x:v>a_cable_dvdt</x:v>
      </x:c>
      <x:c r="D288" s="12" t="n">
        <x:f>'09_基準仕様'!E257</x:f>
        <x:v>0.5</x:v>
      </x:c>
      <x:c r="E288" s="12" t="str">
        <x:v>-</x:v>
      </x:c>
      <x:c r="F288" s="12" t="str">
        <x:v>M_slew_emi</x:v>
      </x:c>
      <x:c r="G288" s="12" t="str">
        <x:v>簡易スケーリング</x:v>
      </x:c>
      <x:c r="H288" s="12" t="str">
        <x:v>技術係数</x:v>
      </x:c>
      <x:c r="I288" s="12" t="str">
        <x:v>対象</x:v>
      </x:c>
      <x:c r="J288" s="12"/>
      <x:c r="K288" s="12"/>
      <x:c r="L288" s="12"/>
      <x:c r="M288" s="12"/>
      <x:c r="N288" s="12" t="str">
        <x:v>基準仕様（シナリオ間固定）</x:v>
      </x:c>
      <x:c r="O288" s="12" t="str">
        <x:v>09_基準仕様</x:v>
      </x:c>
      <x:c r="P288" s="12" t="str">
        <x:v>参照元を編集</x:v>
      </x:c>
      <x:c r="Q288" s="12" t="str">
        <x:v>D列は直接編集しない</x:v>
      </x:c>
    </x:row>
    <x:row r="289">
      <x:c r="A289" s="12" t="str">
        <x:v>制御</x:v>
      </x:c>
      <x:c r="B289" s="12" t="str">
        <x:v>リップル電圧係数</x:v>
      </x:c>
      <x:c r="C289" s="12" t="str">
        <x:v>k_ripple_voltage</x:v>
      </x:c>
      <x:c r="D289" s="12" t="n">
        <x:f>'09_基準仕様'!E258</x:f>
        <x:v>0.125</x:v>
      </x:c>
      <x:c r="E289" s="12" t="str">
        <x:v>-</x:v>
      </x:c>
      <x:c r="F289" s="12" t="str">
        <x:v>f_sw_ripple</x:v>
      </x:c>
      <x:c r="G289" s="12" t="str">
        <x:v>PWM/変調の平均電圧ステップ簡易係数</x:v>
      </x:c>
      <x:c r="H289" s="12" t="str">
        <x:v>技術係数</x:v>
      </x:c>
      <x:c r="I289" s="12" t="str">
        <x:v>対象</x:v>
      </x:c>
      <x:c r="J289" s="12"/>
      <x:c r="K289" s="12"/>
      <x:c r="L289" s="12"/>
      <x:c r="M289" s="12"/>
      <x:c r="N289" s="12" t="str">
        <x:v>基準仕様（シナリオ間固定）</x:v>
      </x:c>
      <x:c r="O289" s="12" t="str">
        <x:v>09_基準仕様</x:v>
      </x:c>
      <x:c r="P289" s="12" t="str">
        <x:v>参照元を編集</x:v>
      </x:c>
      <x:c r="Q289" s="12" t="str">
        <x:v>D列は直接編集しない</x:v>
      </x:c>
    </x:row>
    <x:row r="290">
      <x:c r="A290" s="12" t="str">
        <x:v>制御</x:v>
      </x:c>
      <x:c r="B290" s="12" t="str">
        <x:v>fsw/制御帯域倍率</x:v>
      </x:c>
      <x:c r="C290" s="12" t="str">
        <x:v>k_fsw_bw</x:v>
      </x:c>
      <x:c r="D290" s="12" t="n">
        <x:f>'09_基準仕様'!E259</x:f>
        <x:v>10</x:v>
      </x:c>
      <x:c r="E290" s="12" t="str">
        <x:v>-</x:v>
      </x:c>
      <x:c r="F290" s="12" t="str">
        <x:v>f_sw_bw</x:v>
      </x:c>
      <x:c r="G290" s="12" t="str">
        <x:v>制御帯域に対する最低キャリア倍率</x:v>
      </x:c>
      <x:c r="H290" s="12" t="str">
        <x:v>技術係数</x:v>
      </x:c>
      <x:c r="I290" s="12" t="str">
        <x:v>対象</x:v>
      </x:c>
      <x:c r="J290" s="12"/>
      <x:c r="K290" s="12"/>
      <x:c r="L290" s="12"/>
      <x:c r="M290" s="12"/>
      <x:c r="N290" s="12" t="str">
        <x:v>基準仕様（シナリオ間固定）</x:v>
      </x:c>
      <x:c r="O290" s="12" t="str">
        <x:v>09_基準仕様</x:v>
      </x:c>
      <x:c r="P290" s="12" t="str">
        <x:v>参照元を編集</x:v>
      </x:c>
      <x:c r="Q290" s="12" t="str">
        <x:v>D列は直接編集しない</x:v>
      </x:c>
    </x:row>
    <x:row r="291">
      <x:c r="A291" s="12" t="str">
        <x:v>ゲート駆動</x:v>
      </x:c>
      <x:c r="B291" s="12" t="str">
        <x:v>Miller clampによるSW時間低減率</x:v>
      </x:c>
      <x:c r="C291" s="12" t="str">
        <x:v>k_miller_sw_reduce</x:v>
      </x:c>
      <x:c r="D291" s="12" t="n">
        <x:f>'09_基準仕様'!E260</x:f>
        <x:v>0.1</x:v>
      </x:c>
      <x:c r="E291" s="12" t="str">
        <x:v>-</x:v>
      </x:c>
      <x:c r="F291" s="12" t="str">
        <x:v>P_sw</x:v>
      </x:c>
      <x:c r="G291" s="12" t="str">
        <x:v>誤点弧余裕を利用した高速化の簡易係数</x:v>
      </x:c>
      <x:c r="H291" s="12" t="str">
        <x:v>技術係数</x:v>
      </x:c>
      <x:c r="I291" s="12" t="str">
        <x:v>対象</x:v>
      </x:c>
      <x:c r="J291" s="12"/>
      <x:c r="K291" s="12"/>
      <x:c r="L291" s="12"/>
      <x:c r="M291" s="12"/>
      <x:c r="N291" s="12" t="str">
        <x:v>基準仕様（シナリオ間固定）</x:v>
      </x:c>
      <x:c r="O291" s="12" t="str">
        <x:v>09_基準仕様</x:v>
      </x:c>
      <x:c r="P291" s="12" t="str">
        <x:v>参照元を編集</x:v>
      </x:c>
      <x:c r="Q291" s="12" t="str">
        <x:v>D列は直接編集しない</x:v>
      </x:c>
    </x:row>
    <x:row r="292">
      <x:c r="A292" s="12" t="str">
        <x:v>ゲート駆動</x:v>
      </x:c>
      <x:c r="B292" s="12" t="str">
        <x:v>Miller clamp追加重量</x:v>
      </x:c>
      <x:c r="C292" s="12" t="str">
        <x:v>m_miller_clamp</x:v>
      </x:c>
      <x:c r="D292" s="12" t="n">
        <x:f>'09_基準仕様'!E261</x:f>
        <x:v>0.02</x:v>
      </x:c>
      <x:c r="E292" s="12" t="str">
        <x:v>kg</x:v>
      </x:c>
      <x:c r="F292" s="12" t="str">
        <x:v>M_miller_clamp</x:v>
      </x:c>
      <x:c r="G292" s="12" t="str">
        <x:v>専用ドライバ/クランプ回路等価重量</x:v>
      </x:c>
      <x:c r="H292" s="12" t="str">
        <x:v>技術係数</x:v>
      </x:c>
      <x:c r="I292" s="12" t="str">
        <x:v>対象</x:v>
      </x:c>
      <x:c r="J292" s="12"/>
      <x:c r="K292" s="12"/>
      <x:c r="L292" s="12"/>
      <x:c r="M292" s="12"/>
      <x:c r="N292" s="12" t="str">
        <x:v>基準仕様（シナリオ間固定）</x:v>
      </x:c>
      <x:c r="O292" s="12" t="str">
        <x:v>09_基準仕様</x:v>
      </x:c>
      <x:c r="P292" s="12" t="str">
        <x:v>参照元を編集</x:v>
      </x:c>
      <x:c r="Q292" s="12" t="str">
        <x:v>D列は直接編集しない</x:v>
      </x:c>
    </x:row>
    <x:row r="293">
      <x:c r="A293" s="12" t="str">
        <x:v>DCリンク/安全</x:v>
      </x:c>
      <x:c r="B293" s="12" t="str">
        <x:v>アクティブディスチャージ有効</x:v>
      </x:c>
      <x:c r="C293" s="12" t="str">
        <x:v>Enable_active_discharge</x:v>
      </x:c>
      <x:c r="D293" s="12" t="n">
        <x:f>'10_シナリオ入力'!E26</x:f>
        <x:v>0</x:v>
      </x:c>
      <x:c r="E293" s="12" t="str">
        <x:v>0/1</x:v>
      </x:c>
      <x:c r="F293" s="12" t="str">
        <x:v>M_discharge/P_standby</x:v>
      </x:c>
      <x:c r="G293" s="12" t="str">
        <x:v>技術選択</x:v>
      </x:c>
      <x:c r="H293" s="12" t="str">
        <x:v>技術選択</x:v>
      </x:c>
      <x:c r="I293" s="12" t="str">
        <x:v>対象</x:v>
      </x:c>
      <x:c r="J293" s="12"/>
      <x:c r="K293" s="12"/>
      <x:c r="L293" s="12"/>
      <x:c r="M293" s="12"/>
      <x:c r="N293" s="12" t="str">
        <x:v>シナリオ固有手入力</x:v>
      </x:c>
      <x:c r="O293" s="12" t="str">
        <x:v>10_シナリオ入力</x:v>
      </x:c>
      <x:c r="P293" s="12" t="str">
        <x:v>必要に応じて編集</x:v>
      </x:c>
      <x:c r="Q293" s="12" t="str">
        <x:v>シナリオ表を参照</x:v>
      </x:c>
    </x:row>
    <x:row r="294">
      <x:c r="A294" s="12" t="str">
        <x:v>半導体熱</x:v>
      </x:c>
      <x:c r="B294" s="12" t="str">
        <x:v>高度冷却パッケージ有効</x:v>
      </x:c>
      <x:c r="C294" s="12" t="str">
        <x:v>Package_cooling_mode</x:v>
      </x:c>
      <x:c r="D294" s="12" t="n">
        <x:f>'10_シナリオ入力'!E27</x:f>
        <x:v>0</x:v>
      </x:c>
      <x:c r="E294" s="12" t="str">
        <x:v>0/1</x:v>
      </x:c>
      <x:c r="F294" s="12" t="str">
        <x:v>M_cool/J_chip/M_semi</x:v>
      </x:c>
      <x:c r="G294" s="12" t="str">
        <x:v>技術選択</x:v>
      </x:c>
      <x:c r="H294" s="12" t="str">
        <x:v>技術選択</x:v>
      </x:c>
      <x:c r="I294" s="12" t="str">
        <x:v>対象</x:v>
      </x:c>
      <x:c r="J294" s="12"/>
      <x:c r="K294" s="12"/>
      <x:c r="L294" s="12"/>
      <x:c r="M294" s="12"/>
      <x:c r="N294" s="12" t="str">
        <x:v>シナリオ固有手入力</x:v>
      </x:c>
      <x:c r="O294" s="12" t="str">
        <x:v>10_シナリオ入力</x:v>
      </x:c>
      <x:c r="P294" s="12" t="str">
        <x:v>必要に応じて編集</x:v>
      </x:c>
      <x:c r="Q294" s="12" t="str">
        <x:v>シナリオ表を参照</x:v>
      </x:c>
    </x:row>
    <x:row r="295">
      <x:c r="A295" s="12" t="str">
        <x:v>ゲート駆動</x:v>
      </x:c>
      <x:c r="B295" s="12" t="str">
        <x:v>Miller clamp有効</x:v>
      </x:c>
      <x:c r="C295" s="12" t="str">
        <x:v>Enable_Miller_clamp</x:v>
      </x:c>
      <x:c r="D295" s="12" t="n">
        <x:f>'10_シナリオ入力'!E28</x:f>
        <x:v>0</x:v>
      </x:c>
      <x:c r="E295" s="12" t="str">
        <x:v>0/1</x:v>
      </x:c>
      <x:c r="F295" s="12" t="str">
        <x:v>P_sw/M_gate</x:v>
      </x:c>
      <x:c r="G295" s="12" t="str">
        <x:v>技術選択</x:v>
      </x:c>
      <x:c r="H295" s="12" t="str">
        <x:v>技術選択</x:v>
      </x:c>
      <x:c r="I295" s="12" t="str">
        <x:v>対象</x:v>
      </x:c>
      <x:c r="J295" s="12"/>
      <x:c r="K295" s="12"/>
      <x:c r="L295" s="12"/>
      <x:c r="M295" s="12"/>
      <x:c r="N295" s="12" t="str">
        <x:v>シナリオ固有手入力</x:v>
      </x:c>
      <x:c r="O295" s="12" t="str">
        <x:v>10_シナリオ入力</x:v>
      </x:c>
      <x:c r="P295" s="12" t="str">
        <x:v>必要に応じて編集</x:v>
      </x:c>
      <x:c r="Q295" s="12" t="str">
        <x:v>シナリオ表を参照</x:v>
      </x:c>
    </x:row>
  </x:sheetData>
  <x:mergeCells>
    <x:mergeCell ref="A1:I2"/>
  </x:mergeCells>
  <x:dataValidations count="27">
    <x:dataValidation type="list" sqref="D88">
      <x:formula1>"0,1"</x:formula1>
    </x:dataValidation>
    <x:dataValidation type="list" sqref="D155">
      <x:formula1>"0,1"</x:formula1>
    </x:dataValidation>
    <x:dataValidation type="list" sqref="D162">
      <x:formula1>"0,1"</x:formula1>
    </x:dataValidation>
    <x:dataValidation type="list" sqref="D175">
      <x:formula1>"0,1"</x:formula1>
    </x:dataValidation>
    <x:dataValidation type="list" sqref="D179">
      <x:formula1>"0,1"</x:formula1>
    </x:dataValidation>
    <x:dataValidation type="list" sqref="D182">
      <x:formula1>"0,1"</x:formula1>
    </x:dataValidation>
    <x:dataValidation type="list" sqref="D197">
      <x:formula1>"0,1"</x:formula1>
    </x:dataValidation>
    <x:dataValidation type="list" sqref="D224">
      <x:formula1>"0,1"</x:formula1>
    </x:dataValidation>
    <x:dataValidation type="list" sqref="D231">
      <x:formula1>"0,1"</x:formula1>
    </x:dataValidation>
    <x:dataValidation type="list" sqref="D235">
      <x:formula1>"0,1"</x:formula1>
    </x:dataValidation>
    <x:dataValidation type="list" sqref="L5">
      <x:formula1>"自動,手動"</x:formula1>
    </x:dataValidation>
    <x:dataValidation type="list" sqref="L6">
      <x:formula1>"自動,手動"</x:formula1>
    </x:dataValidation>
    <x:dataValidation type="list" sqref="L8">
      <x:formula1>"自動,手動"</x:formula1>
    </x:dataValidation>
    <x:dataValidation type="list" sqref="L9">
      <x:formula1>"自動,手動"</x:formula1>
    </x:dataValidation>
    <x:dataValidation type="list" sqref="L10">
      <x:formula1>"自動,手動"</x:formula1>
    </x:dataValidation>
    <x:dataValidation type="list" sqref="L60">
      <x:formula1>"自動,手動"</x:formula1>
    </x:dataValidation>
    <x:dataValidation type="list" sqref="L216">
      <x:formula1>"自動,手動"</x:formula1>
    </x:dataValidation>
    <x:dataValidation type="list" sqref="L194">
      <x:formula1>"自動,手動"</x:formula1>
    </x:dataValidation>
    <x:dataValidation type="list" sqref="L131">
      <x:formula1>"自動,手動"</x:formula1>
    </x:dataValidation>
    <x:dataValidation type="list" sqref="D239">
      <x:formula1>"0,1"</x:formula1>
    </x:dataValidation>
    <x:dataValidation type="list" sqref="D248">
      <x:formula1>"0,1"</x:formula1>
    </x:dataValidation>
    <x:dataValidation type="list" sqref="D251">
      <x:formula1>"0,1"</x:formula1>
    </x:dataValidation>
    <x:dataValidation type="list" sqref="D254">
      <x:formula1>"0,1"</x:formula1>
    </x:dataValidation>
    <x:dataValidation type="list" sqref="D258">
      <x:formula1>"0,1"</x:formula1>
    </x:dataValidation>
    <x:dataValidation type="list" sqref="D262">
      <x:formula1>"0,1"</x:formula1>
    </x:dataValidation>
    <x:dataValidation type="list" sqref="D268">
      <x:formula1>"0,1"</x:formula1>
    </x:dataValidation>
    <x:dataValidation type="list" sqref="D245">
      <x:formula1>"0,1,2"</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8" hidden="0" customWidth="1"/>
    <x:col min="4" max="4" width="50" hidden="0" customWidth="1"/>
    <x:col min="5" max="5" width="20" hidden="0" customWidth="1"/>
    <x:col min="6" max="6" width="17" hidden="0" customWidth="1"/>
    <x:col min="7" max="7" width="17" hidden="0" customWidth="1"/>
    <x:col min="8" max="8" width="18" hidden="0" customWidth="1"/>
    <x:col min="9" max="9" width="65" hidden="0" customWidth="1"/>
    <x:col min="10" max="10" width="16" hidden="0" customWidth="1"/>
    <x:col min="11" max="11" width="18" hidden="0" customWidth="1"/>
    <x:col min="12" max="12" width="18" hidden="0" customWidth="1"/>
    <x:col min="13" max="13" width="14" hidden="0" customWidth="1"/>
    <x:col min="14" max="14" width="30" hidden="0" customWidth="1"/>
    <x:col min="15" max="15" width="20" hidden="0" customWidth="1"/>
    <x:col min="16" max="16" width="24" hidden="0" customWidth="1"/>
  </x:cols>
  <x:sheetData>
    <x:row r="1">
      <x:c r="A1" s="4" t="str">
        <x:v>02_ツリー：Level 12 技術分解 / 設計変数 / 等価重量 / 感度</x:v>
      </x:c>
      <x:c r="B1" s="4"/>
      <x:c r="C1" s="4"/>
      <x:c r="D1" s="4"/>
      <x:c r="E1" s="4"/>
      <x:c r="F1" s="4"/>
      <x:c r="G1" s="4"/>
      <x:c r="H1" s="4"/>
      <x:c r="I1" s="4"/>
      <x:c r="J1" s="4"/>
      <x:c r="K1" s="4"/>
      <x:c r="L1" s="4"/>
      <x:c r="M1" s="4"/>
      <x:c r="N1" s="4"/>
    </x:row>
    <x:row r="2">
      <x:c r="A2" s="4"/>
      <x:c r="B2" s="4"/>
      <x:c r="C2" s="4"/>
      <x:c r="D2" s="4"/>
      <x:c r="E2" s="4"/>
      <x:c r="F2" s="4"/>
      <x:c r="G2" s="4"/>
      <x:c r="H2" s="4"/>
      <x:c r="I2" s="4"/>
      <x:c r="J2" s="4"/>
      <x:c r="K2" s="4"/>
      <x:c r="L2" s="4"/>
      <x:c r="M2" s="4"/>
      <x:c r="N2" s="4"/>
    </x:row>
    <x:row r="4">
      <x:c r="A4" s="24" t="str">
        <x:v>Node ID</x:v>
      </x:c>
      <x:c r="B4" s="24" t="str">
        <x:v>Parent ID</x:v>
      </x:c>
      <x:c r="C4" s="24" t="str">
        <x:v>Level</x:v>
      </x:c>
      <x:c r="D4" s="24" t="str">
        <x:v>項目名</x:v>
      </x:c>
      <x:c r="E4" s="24" t="str">
        <x:v>変数</x:v>
      </x:c>
      <x:c r="F4" s="24" t="str">
        <x:v>現在値</x:v>
      </x:c>
      <x:c r="G4" s="24" t="str">
        <x:v>単位</x:v>
      </x:c>
      <x:c r="H4" s="24" t="str">
        <x:v>重量 [kg]</x:v>
      </x:c>
      <x:c r="I4" s="24" t="str">
        <x:v>式（左辺 = 右辺）</x:v>
      </x:c>
      <x:c r="J4" s="24" t="str">
        <x:v>局所弾性 ε</x:v>
      </x:c>
      <x:c r="K4" s="24" t="str">
        <x:v>正規化感度 S</x:v>
      </x:c>
      <x:c r="L4" s="24" t="str">
        <x:v>感度方向</x:v>
      </x:c>
      <x:c r="M4" s="24" t="str">
        <x:v>変更可否</x:v>
      </x:c>
      <x:c r="N4" s="24" t="str">
        <x:v>備考</x:v>
      </x:c>
      <x:c r="O4" s="228" t="str">
        <x:v>最終変数判定
1=最下層 / 0=途中</x:v>
      </x:c>
      <x:c r="P4" s="228" t="str">
        <x:v>Enable単純比例局所弾性 ε
直接追加/削除枝</x:v>
      </x:c>
      <x:c r="Q4" s="248" t="str">
        <x:v>変数初出判定</x:v>
      </x:c>
      <x:c r="R4" s="248" t="str">
        <x:v>変数連番</x:v>
      </x:c>
    </x:row>
    <x:row r="5">
      <x:c r="A5" s="50" t="str">
        <x:v>T001</x:v>
      </x:c>
      <x:c r="B5" s="50" t="str"/>
      <x:c r="C5" s="50" t="n">
        <x:v>0</x:v>
      </x:c>
      <x:c r="D5" s="50" t="str">
        <x:v>インバータ総重量</x:v>
      </x:c>
      <x:c r="E5" s="50" t="str">
        <x:v>M_inv</x:v>
      </x:c>
      <x:c r="F5" s="51" t="n">
        <x:f>F6+F34+F96+F111+F129+F140+F186+F337+F343+F355+F372+F440+F463+F475+F477+F482+F174+F175+F176+F177+F485+F494+F496+F502+F506+F509+F511+F518+F520+F522+F524+F540+F559</x:f>
        <x:v>8.94783901471096</x:v>
      </x:c>
      <x:c r="G5" s="51" t="str">
        <x:v>kg</x:v>
      </x:c>
      <x:c r="H5" s="51" t="n">
        <x:f>ABS(K5)*$F$5</x:f>
        <x:v>8.94783901471096</x:v>
      </x:c>
      <x:c r="I5" s="50" t="str">
        <x:v>M_inv=既存構成+放電回路+高度冷却パッケージ+Miller clamp</x:v>
      </x:c>
      <x:c r="J5" s="51" t="n">
        <x:f>1</x:f>
        <x:v>1</x:v>
      </x:c>
      <x:c r="K5" s="51" t="n">
        <x:f>1</x:f>
        <x:v>1</x:v>
      </x:c>
      <x:c r="L5" s="50" t="str">
        <x:v>TOP KPI</x:v>
      </x:c>
      <x:c r="M5" s="50" t="str">
        <x:v>設計対象</x:v>
      </x:c>
      <x:c r="N5" s="50" t="str">
        <x:v>トップKPI</x:v>
      </x:c>
      <x:c r="O5" s="229" t="n">
        <x:f>--(COUNTIF($B$5:$B$560,A5)=0)</x:f>
        <x:v>0</x:v>
      </x:c>
      <x:c r="P5" s="70" t="str">
        <x:f>IF(LEFT(E5,7)&lt;&gt;"Enable_","",IFERROR(IF(OR(ISNUMBER(SEARCH("=Enable",INDEX($I$5:$I$560,MATCH(B5,$A$5:$A$560,0)))),ISNUMBER(SEARCH("×Enable",INDEX($I$5:$I$560,MATCH(B5,$A$5:$A$560,0))))),1,""),""))</x:f>
      </x:c>
      <x:c r="Q5" t="n">
        <x:f>IF(E5="","",--(XMATCH(E5,$E$5:E5,0)=ROWS($E$5:E5)))</x:f>
        <x:v>1</x:v>
      </x:c>
      <x:c r="R5" t="n">
        <x:f>IF(Q5=1,SUM($Q$5:Q5),"")</x:f>
        <x:v>1</x:v>
      </x:c>
    </x:row>
    <x:row r="6">
      <x:c r="A6" s="54" t="str">
        <x:v>T002</x:v>
      </x:c>
      <x:c r="B6" s="54" t="str">
        <x:v>T001</x:v>
      </x:c>
      <x:c r="C6" s="54" t="n">
        <x:v>1</x:v>
      </x:c>
      <x:c r="D6" s="54" t="str">
        <x:v>半導体総重量</x:v>
      </x:c>
      <x:c r="E6" s="54" t="str">
        <x:v>M_semi</x:v>
      </x:c>
      <x:c r="F6" s="55" t="n">
        <x:f>'01_入力仕様'!D13*F8+F178</x:f>
        <x:v>1.4165557709152576</x:v>
      </x:c>
      <x:c r="G6" s="55" t="str">
        <x:v>kg</x:v>
      </x:c>
      <x:c r="H6" s="55" t="n">
        <x:f>ABS(K6)*$F$5</x:f>
        <x:v>1.4165557709152576</x:v>
      </x:c>
      <x:c r="I6" s="54" t="str">
        <x:v>M_semi=N_mod×m_mod+M_parallel</x:v>
      </x:c>
      <x:c r="J6" s="55" t="n">
        <x:f>F6/F5</x:f>
        <x:v>0.15831261252983286</x:v>
      </x:c>
      <x:c r="K6" s="55" t="n">
        <x:f>K5*J6</x:f>
        <x:v>0.15831261252983286</x:v>
      </x:c>
      <x:c r="L6" s="54" t="str">
        <x:f>IF(K6&gt;0,"増加→総重量増",IF(K6&lt;0,"増加→総重量減","中立"))</x:f>
        <x:v>増加→総重量増</x:v>
      </x:c>
      <x:c r="M6" s="54" t="str">
        <x:v>設計対象</x:v>
      </x:c>
      <x:c r="N6" s="54" t="str"/>
      <x:c r="O6" s="229" t="n">
        <x:f>--(COUNTIF($B$5:$B$560,A6)=0)</x:f>
        <x:v>0</x:v>
      </x:c>
      <x:c r="P6" s="70" t="str">
        <x:f>IF(LEFT(E6,7)&lt;&gt;"Enable_","",IFERROR(IF(OR(ISNUMBER(SEARCH("=Enable",INDEX($I$5:$I$560,MATCH(B6,$A$5:$A$560,0)))),ISNUMBER(SEARCH("×Enable",INDEX($I$5:$I$560,MATCH(B6,$A$5:$A$560,0))))),1,""),""))</x:f>
      </x:c>
      <x:c r="Q6" t="n">
        <x:f>IF(E6="","",--(XMATCH(E6,$E$5:E6,0)=ROWS($E$5:E6)))</x:f>
        <x:v>1</x:v>
      </x:c>
      <x:c r="R6" t="n">
        <x:f>IF(Q6=1,SUM($Q$5:Q6),"")</x:f>
        <x:v>2</x:v>
      </x:c>
    </x:row>
    <x:row r="7">
      <x:c r="A7" s="58" t="str">
        <x:v>T003</x:v>
      </x:c>
      <x:c r="B7" s="58" t="str">
        <x:v>T002</x:v>
      </x:c>
      <x:c r="C7" s="58" t="n">
        <x:v>2</x:v>
      </x:c>
      <x:c r="D7" s="58" t="str">
        <x:v>モジュール個数</x:v>
      </x:c>
      <x:c r="E7" s="58" t="str">
        <x:v>N_mod</x:v>
      </x:c>
      <x:c r="F7" s="59" t="n">
        <x:f>'01_入力仕様'!D13</x:f>
        <x:v>6</x:v>
      </x:c>
      <x:c r="G7" s="59" t="str">
        <x:v>個</x:v>
      </x:c>
      <x:c r="H7" s="59" t="n">
        <x:f>ABS(K7)*$F$5</x:f>
        <x:v>0.7865557709152575</x:v>
      </x:c>
      <x:c r="I7" s="58" t="str">
        <x:v>入力仕様</x:v>
      </x:c>
      <x:c r="J7" s="59" t="n">
        <x:f>('01_入力仕様'!D13*F8)/F6</x:f>
        <x:v>0.5552593036326782</x:v>
      </x:c>
      <x:c r="K7" s="59" t="n">
        <x:f>K6*J7</x:f>
        <x:v>0.087904550989585</x:v>
      </x:c>
      <x:c r="L7" s="58" t="str">
        <x:f>IF(K7&gt;0,"増加→総重量増",IF(K7&lt;0,"増加→総重量減","中立"))</x:f>
        <x:v>増加→総重量増</x:v>
      </x:c>
      <x:c r="M7" s="58" t="str">
        <x:v>設計対象</x:v>
      </x:c>
      <x:c r="N7" s="58" t="str"/>
      <x:c r="O7" s="229" t="n">
        <x:f>--(COUNTIF($B$5:$B$560,A7)=0)</x:f>
        <x:v>1</x:v>
      </x:c>
      <x:c r="P7" s="70" t="str">
        <x:f>IF(LEFT(E7,7)&lt;&gt;"Enable_","",IFERROR(IF(OR(ISNUMBER(SEARCH("=Enable",INDEX($I$5:$I$560,MATCH(B7,$A$5:$A$560,0)))),ISNUMBER(SEARCH("×Enable",INDEX($I$5:$I$560,MATCH(B7,$A$5:$A$560,0))))),1,""),""))</x:f>
      </x:c>
      <x:c r="Q7" t="n">
        <x:f>IF(E7="","",--(XMATCH(E7,$E$5:E7,0)=ROWS($E$5:E7)))</x:f>
        <x:v>1</x:v>
      </x:c>
      <x:c r="R7" t="n">
        <x:f>IF(Q7=1,SUM($Q$5:Q7),"")</x:f>
        <x:v>3</x:v>
      </x:c>
    </x:row>
    <x:row r="8">
      <x:c r="A8" s="54" t="str">
        <x:v>T004</x:v>
      </x:c>
      <x:c r="B8" s="54" t="str">
        <x:v>T002</x:v>
      </x:c>
      <x:c r="C8" s="54" t="n">
        <x:v>2</x:v>
      </x:c>
      <x:c r="D8" s="54" t="str">
        <x:v>1モジュール重量</x:v>
      </x:c>
      <x:c r="E8" s="54" t="str">
        <x:v>m_mod</x:v>
      </x:c>
      <x:c r="F8" s="55" t="n">
        <x:f>F9+F25+F29+'01_入力仕様'!D41</x:f>
        <x:v>0.13109262848587624</x:v>
      </x:c>
      <x:c r="G8" s="55" t="str">
        <x:v>kg</x:v>
      </x:c>
      <x:c r="H8" s="55" t="n">
        <x:f>ABS(K8)*$F$5</x:f>
        <x:v>0.7865557709152575</x:v>
      </x:c>
      <x:c r="I8" s="54" t="str">
        <x:v>m_mod=m_chip_mod+m_dbc+m_base+m_pkg</x:v>
      </x:c>
      <x:c r="J8" s="55" t="n">
        <x:f>('01_入力仕様'!D13*F8)/F6</x:f>
        <x:v>0.5552593036326782</x:v>
      </x:c>
      <x:c r="K8" s="55" t="n">
        <x:f>K6*J8</x:f>
        <x:v>0.087904550989585</x:v>
      </x:c>
      <x:c r="L8" s="54" t="str">
        <x:f>IF(K8&gt;0,"増加→総重量増",IF(K8&lt;0,"増加→総重量減","中立"))</x:f>
        <x:v>増加→総重量増</x:v>
      </x:c>
      <x:c r="M8" s="54" t="str">
        <x:v>設計対象</x:v>
      </x:c>
      <x:c r="N8" s="54" t="str"/>
      <x:c r="O8" s="229" t="n">
        <x:f>--(COUNTIF($B$5:$B$560,A8)=0)</x:f>
        <x:v>0</x:v>
      </x:c>
      <x:c r="P8" s="70" t="str">
        <x:f>IF(LEFT(E8,7)&lt;&gt;"Enable_","",IFERROR(IF(OR(ISNUMBER(SEARCH("=Enable",INDEX($I$5:$I$560,MATCH(B8,$A$5:$A$560,0)))),ISNUMBER(SEARCH("×Enable",INDEX($I$5:$I$560,MATCH(B8,$A$5:$A$560,0))))),1,""),""))</x:f>
      </x:c>
      <x:c r="Q8" t="n">
        <x:f>IF(E8="","",--(XMATCH(E8,$E$5:E8,0)=ROWS($E$5:E8)))</x:f>
        <x:v>1</x:v>
      </x:c>
      <x:c r="R8" t="n">
        <x:f>IF(Q8=1,SUM($Q$5:Q8),"")</x:f>
        <x:v>4</x:v>
      </x:c>
    </x:row>
    <x:row r="9">
      <x:c r="A9" s="54" t="str">
        <x:v>T005</x:v>
      </x:c>
      <x:c r="B9" s="54" t="str">
        <x:v>T004</x:v>
      </x:c>
      <x:c r="C9" s="54" t="n">
        <x:v>3</x:v>
      </x:c>
      <x:c r="D9" s="54" t="str">
        <x:v>チップ重量/モジュール</x:v>
      </x:c>
      <x:c r="E9" s="54" t="str">
        <x:v>m_chip_mod</x:v>
      </x:c>
      <x:c r="F9" s="55" t="n">
        <x:f>F10*F21</x:f>
        <x:v>0.00013662848587625174</x:v>
      </x:c>
      <x:c r="G9" s="55" t="str">
        <x:v>kg</x:v>
      </x:c>
      <x:c r="H9" s="55" t="n">
        <x:f>ABS(K9)*$F$5</x:f>
        <x:v>0.0008197709152575105</x:v>
      </x:c>
      <x:c r="I9" s="54" t="str">
        <x:v>m_chip_mod=N_chip_mod×m_chip</x:v>
      </x:c>
      <x:c r="J9" s="55" t="n">
        <x:f>F9/F8</x:f>
        <x:v>0.001042228594043119</x:v>
      </x:c>
      <x:c r="K9" s="55" t="n">
        <x:f>K8*J9</x:f>
        <x:v>0.00009161663658786684</x:v>
      </x:c>
      <x:c r="L9" s="54" t="str">
        <x:f>IF(K9&gt;0,"増加→総重量増",IF(K9&lt;0,"増加→総重量減","中立"))</x:f>
        <x:v>増加→総重量増</x:v>
      </x:c>
      <x:c r="M9" s="54" t="str">
        <x:v>設計対象</x:v>
      </x:c>
      <x:c r="N9" s="54" t="str"/>
      <x:c r="O9" s="229" t="n">
        <x:f>--(COUNTIF($B$5:$B$560,A9)=0)</x:f>
        <x:v>0</x:v>
      </x:c>
      <x:c r="P9" s="70" t="str">
        <x:f>IF(LEFT(E9,7)&lt;&gt;"Enable_","",IFERROR(IF(OR(ISNUMBER(SEARCH("=Enable",INDEX($I$5:$I$560,MATCH(B9,$A$5:$A$560,0)))),ISNUMBER(SEARCH("×Enable",INDEX($I$5:$I$560,MATCH(B9,$A$5:$A$560,0))))),1,""),""))</x:f>
      </x:c>
      <x:c r="Q9" t="n">
        <x:f>IF(E9="","",--(XMATCH(E9,$E$5:E9,0)=ROWS($E$5:E9)))</x:f>
        <x:v>1</x:v>
      </x:c>
      <x:c r="R9" t="n">
        <x:f>IF(Q9=1,SUM($Q$5:Q9),"")</x:f>
        <x:v>5</x:v>
      </x:c>
    </x:row>
    <x:row r="10">
      <x:c r="A10" s="62" t="str">
        <x:v>T006</x:v>
      </x:c>
      <x:c r="B10" s="62" t="str">
        <x:v>T005</x:v>
      </x:c>
      <x:c r="C10" s="62" t="n">
        <x:v>4</x:v>
      </x:c>
      <x:c r="D10" s="62" t="str">
        <x:v>チップ数/モジュール</x:v>
      </x:c>
      <x:c r="E10" s="62" t="str">
        <x:v>N_chip_mod</x:v>
      </x:c>
      <x:c r="F10" s="63" t="n">
        <x:f>'01_入力仕様'!D32*F12/F16</x:f>
        <x:v>2.3646328465948723</x:v>
      </x:c>
      <x:c r="G10" s="63" t="str">
        <x:v>個</x:v>
      </x:c>
      <x:c r="H10" s="63" t="n">
        <x:f>ABS(K10)*$F$5</x:f>
        <x:v>0.0008197709152575105</x:v>
      </x:c>
      <x:c r="I10" s="62" t="str">
        <x:v>N_chip_mod=k_chip×I_phase/I_chip</x:v>
      </x:c>
      <x:c r="J10" s="63" t="n">
        <x:f>1</x:f>
        <x:v>1</x:v>
      </x:c>
      <x:c r="K10" s="63" t="n">
        <x:f>K9*J10</x:f>
        <x:v>0.00009161663658786684</x:v>
      </x:c>
      <x:c r="L10" s="62" t="str">
        <x:f>IF(K10&gt;0,"増加→総重量増",IF(K10&lt;0,"増加→総重量減","中立"))</x:f>
        <x:v>増加→総重量増</x:v>
      </x:c>
      <x:c r="M10" s="62" t="str">
        <x:v>設計対象</x:v>
      </x:c>
      <x:c r="N10" s="62" t="str"/>
      <x:c r="O10" s="229" t="n">
        <x:f>--(COUNTIF($B$5:$B$560,A10)=0)</x:f>
        <x:v>0</x:v>
      </x:c>
      <x:c r="P10" s="70" t="str">
        <x:f>IF(LEFT(E10,7)&lt;&gt;"Enable_","",IFERROR(IF(OR(ISNUMBER(SEARCH("=Enable",INDEX($I$5:$I$560,MATCH(B10,$A$5:$A$560,0)))),ISNUMBER(SEARCH("×Enable",INDEX($I$5:$I$560,MATCH(B10,$A$5:$A$560,0))))),1,""),""))</x:f>
      </x:c>
      <x:c r="Q10" t="n">
        <x:f>IF(E10="","",--(XMATCH(E10,$E$5:E10,0)=ROWS($E$5:E10)))</x:f>
        <x:v>1</x:v>
      </x:c>
      <x:c r="R10" t="n">
        <x:f>IF(Q10=1,SUM($Q$5:Q10),"")</x:f>
        <x:v>6</x:v>
      </x:c>
    </x:row>
    <x:row r="11">
      <x:c r="A11" s="58" t="str">
        <x:v>T007</x:v>
      </x:c>
      <x:c r="B11" s="58" t="str">
        <x:v>T006</x:v>
      </x:c>
      <x:c r="C11" s="58" t="n">
        <x:v>5</x:v>
      </x:c>
      <x:c r="D11" s="58" t="str">
        <x:v>チップ数係数</x:v>
      </x:c>
      <x:c r="E11" s="58" t="str">
        <x:v>k_chip</x:v>
      </x:c>
      <x:c r="F11" s="59" t="n">
        <x:f>'01_入力仕様'!D32</x:f>
        <x:v>1.25</x:v>
      </x:c>
      <x:c r="G11" s="59" t="str">
        <x:v>-</x:v>
      </x:c>
      <x:c r="H11" s="59" t="n">
        <x:f>ABS(K11)*$F$5</x:f>
        <x:v>0.0008197709152575105</x:v>
      </x:c>
      <x:c r="I11" s="58" t="str">
        <x:v>入力仕様</x:v>
      </x:c>
      <x:c r="J11" s="59" t="n">
        <x:f>1</x:f>
        <x:v>1</x:v>
      </x:c>
      <x:c r="K11" s="59" t="n">
        <x:f>K10*J11</x:f>
        <x:v>0.00009161663658786684</x:v>
      </x:c>
      <x:c r="L11" s="58" t="str">
        <x:f>IF(K11&gt;0,"増加→総重量増",IF(K11&lt;0,"増加→総重量減","中立"))</x:f>
        <x:v>増加→総重量増</x:v>
      </x:c>
      <x:c r="M11" s="58" t="str">
        <x:v>設計対象</x:v>
      </x:c>
      <x:c r="N11" s="58" t="str"/>
      <x:c r="O11" s="229" t="n">
        <x:f>--(COUNTIF($B$5:$B$560,A11)=0)</x:f>
        <x:v>0</x:v>
      </x:c>
      <x:c r="P11" s="70" t="str">
        <x:f>IF(LEFT(E11,7)&lt;&gt;"Enable_","",IFERROR(IF(OR(ISNUMBER(SEARCH("=Enable",INDEX($I$5:$I$560,MATCH(B11,$A$5:$A$560,0)))),ISNUMBER(SEARCH("×Enable",INDEX($I$5:$I$560,MATCH(B11,$A$5:$A$560,0))))),1,""),""))</x:f>
      </x:c>
      <x:c r="Q11" t="n">
        <x:f>IF(E11="","",--(XMATCH(E11,$E$5:E11,0)=ROWS($E$5:E11)))</x:f>
        <x:v>1</x:v>
      </x:c>
      <x:c r="R11" t="n">
        <x:f>IF(Q11=1,SUM($Q$5:Q11),"")</x:f>
        <x:v>7</x:v>
      </x:c>
    </x:row>
    <x:row r="12">
      <x:c r="A12" s="62" t="str">
        <x:v>T008</x:v>
      </x:c>
      <x:c r="B12" s="62" t="str">
        <x:v>T006</x:v>
      </x:c>
      <x:c r="C12" s="62" t="n">
        <x:v>5</x:v>
      </x:c>
      <x:c r="D12" s="62" t="str">
        <x:v>相電流RMS</x:v>
      </x:c>
      <x:c r="E12" s="62" t="str">
        <x:v>I_phase</x:v>
      </x:c>
      <x:c r="F12" s="63" t="n">
        <x:f>'01_入力仕様'!D5*1000/(SQRT(3)*'01_入力仕様'!D7*'01_入力仕様'!D8*'01_入力仕様'!D9)</x:f>
        <x:v>156.63327975844433</x:v>
      </x:c>
      <x:c r="G12" s="63" t="str">
        <x:v>A</x:v>
      </x:c>
      <x:c r="H12" s="63" t="n">
        <x:f>ABS(K12)*$F$5</x:f>
        <x:v>0.0008197709152575105</x:v>
      </x:c>
      <x:c r="I12" s="62" t="str">
        <x:v>I_phase=P_out_const/(√3×V_ll×PF×eta)</x:v>
      </x:c>
      <x:c r="J12" s="63" t="n">
        <x:f>1</x:f>
        <x:v>1</x:v>
      </x:c>
      <x:c r="K12" s="63" t="n">
        <x:f>K10*J12</x:f>
        <x:v>0.00009161663658786684</x:v>
      </x:c>
      <x:c r="L12" s="62" t="str">
        <x:f>IF(K12&gt;0,"増加→総重量増",IF(K12&lt;0,"増加→総重量減","中立"))</x:f>
        <x:v>増加→総重量増</x:v>
      </x:c>
      <x:c r="M12" s="62" t="str">
        <x:v>設計対象</x:v>
      </x:c>
      <x:c r="N12" s="62" t="str">
        <x:v>P_outは固定要求で子ノード化しない</x:v>
      </x:c>
      <x:c r="O12" s="229" t="n">
        <x:f>--(COUNTIF($B$5:$B$560,A12)=0)</x:f>
        <x:v>0</x:v>
      </x:c>
      <x:c r="P12" s="70" t="str">
        <x:f>IF(LEFT(E12,7)&lt;&gt;"Enable_","",IFERROR(IF(OR(ISNUMBER(SEARCH("=Enable",INDEX($I$5:$I$560,MATCH(B12,$A$5:$A$560,0)))),ISNUMBER(SEARCH("×Enable",INDEX($I$5:$I$560,MATCH(B12,$A$5:$A$560,0))))),1,""),""))</x:f>
      </x:c>
      <x:c r="Q12" t="n">
        <x:f>IF(E12="","",--(XMATCH(E12,$E$5:E12,0)=ROWS($E$5:E12)))</x:f>
        <x:v>1</x:v>
      </x:c>
      <x:c r="R12" t="n">
        <x:f>IF(Q12=1,SUM($Q$5:Q12),"")</x:f>
        <x:v>8</x:v>
      </x:c>
    </x:row>
    <x:row r="13">
      <x:c r="A13" s="58" t="str">
        <x:v>T009</x:v>
      </x:c>
      <x:c r="B13" s="58" t="str">
        <x:v>T008</x:v>
      </x:c>
      <x:c r="C13" s="58" t="n">
        <x:v>6</x:v>
      </x:c>
      <x:c r="D13" s="58" t="str">
        <x:v>線間電圧RMS</x:v>
      </x:c>
      <x:c r="E13" s="58" t="str">
        <x:v>V_ll</x:v>
      </x:c>
      <x:c r="F13" s="59" t="n">
        <x:f>'01_入力仕様'!D7</x:f>
        <x:v>400</x:v>
      </x:c>
      <x:c r="G13" s="59" t="str">
        <x:v>V</x:v>
      </x:c>
      <x:c r="H13" s="59" t="n">
        <x:f>ABS(K13)*$F$5</x:f>
        <x:v>0.0008197709152575105</x:v>
      </x:c>
      <x:c r="I13" s="58" t="str">
        <x:v>入力仕様</x:v>
      </x:c>
      <x:c r="J13" s="59" t="n">
        <x:f>-1</x:f>
        <x:v>-1</x:v>
      </x:c>
      <x:c r="K13" s="59" t="n">
        <x:f>K12*J13</x:f>
        <x:v>-0.00009161663658786684</x:v>
      </x:c>
      <x:c r="L13" s="58" t="str">
        <x:f>IF(K13&gt;0,"増加→総重量増",IF(K13&lt;0,"増加→総重量減","中立"))</x:f>
        <x:v>増加→総重量減</x:v>
      </x:c>
      <x:c r="M13" s="58" t="str">
        <x:v>設計対象</x:v>
      </x:c>
      <x:c r="N13" s="58" t="str"/>
      <x:c r="O13" s="229" t="n">
        <x:f>--(COUNTIF($B$5:$B$560,A13)=0)</x:f>
        <x:v>1</x:v>
      </x:c>
      <x:c r="P13" s="70" t="str">
        <x:f>IF(LEFT(E13,7)&lt;&gt;"Enable_","",IFERROR(IF(OR(ISNUMBER(SEARCH("=Enable",INDEX($I$5:$I$560,MATCH(B13,$A$5:$A$560,0)))),ISNUMBER(SEARCH("×Enable",INDEX($I$5:$I$560,MATCH(B13,$A$5:$A$560,0))))),1,""),""))</x:f>
      </x:c>
      <x:c r="Q13" t="n">
        <x:f>IF(E13="","",--(XMATCH(E13,$E$5:E13,0)=ROWS($E$5:E13)))</x:f>
        <x:v>1</x:v>
      </x:c>
      <x:c r="R13" t="n">
        <x:f>IF(Q13=1,SUM($Q$5:Q13),"")</x:f>
        <x:v>9</x:v>
      </x:c>
    </x:row>
    <x:row r="14">
      <x:c r="A14" s="58" t="str">
        <x:v>T010</x:v>
      </x:c>
      <x:c r="B14" s="58" t="str">
        <x:v>T008</x:v>
      </x:c>
      <x:c r="C14" s="58" t="n">
        <x:v>6</x:v>
      </x:c>
      <x:c r="D14" s="58" t="str">
        <x:v>力率</x:v>
      </x:c>
      <x:c r="E14" s="58" t="str">
        <x:v>PF</x:v>
      </x:c>
      <x:c r="F14" s="59" t="n">
        <x:f>'01_入力仕様'!D8</x:f>
        <x:v>0.95</x:v>
      </x:c>
      <x:c r="G14" s="59" t="str">
        <x:v>-</x:v>
      </x:c>
      <x:c r="H14" s="59" t="n">
        <x:f>ABS(K14)*$F$5</x:f>
        <x:v>0.0008197709152575105</x:v>
      </x:c>
      <x:c r="I14" s="58" t="str">
        <x:v>入力仕様</x:v>
      </x:c>
      <x:c r="J14" s="59" t="n">
        <x:f>-1</x:f>
        <x:v>-1</x:v>
      </x:c>
      <x:c r="K14" s="59" t="n">
        <x:f>K12*J14</x:f>
        <x:v>-0.00009161663658786684</x:v>
      </x:c>
      <x:c r="L14" s="58" t="str">
        <x:f>IF(K14&gt;0,"増加→総重量増",IF(K14&lt;0,"増加→総重量減","中立"))</x:f>
        <x:v>増加→総重量減</x:v>
      </x:c>
      <x:c r="M14" s="58" t="str">
        <x:v>設計対象</x:v>
      </x:c>
      <x:c r="N14" s="58" t="str"/>
      <x:c r="O14" s="229" t="n">
        <x:f>--(COUNTIF($B$5:$B$560,A14)=0)</x:f>
        <x:v>1</x:v>
      </x:c>
      <x:c r="P14" s="70" t="str">
        <x:f>IF(LEFT(E14,7)&lt;&gt;"Enable_","",IFERROR(IF(OR(ISNUMBER(SEARCH("=Enable",INDEX($I$5:$I$560,MATCH(B14,$A$5:$A$560,0)))),ISNUMBER(SEARCH("×Enable",INDEX($I$5:$I$560,MATCH(B14,$A$5:$A$560,0))))),1,""),""))</x:f>
      </x:c>
      <x:c r="Q14" t="n">
        <x:f>IF(E14="","",--(XMATCH(E14,$E$5:E14,0)=ROWS($E$5:E14)))</x:f>
        <x:v>1</x:v>
      </x:c>
      <x:c r="R14" t="n">
        <x:f>IF(Q14=1,SUM($Q$5:Q14),"")</x:f>
        <x:v>10</x:v>
      </x:c>
    </x:row>
    <x:row r="15">
      <x:c r="A15" s="58" t="str">
        <x:v>T011</x:v>
      </x:c>
      <x:c r="B15" s="58" t="str">
        <x:v>T008</x:v>
      </x:c>
      <x:c r="C15" s="58" t="n">
        <x:v>6</x:v>
      </x:c>
      <x:c r="D15" s="58" t="str">
        <x:v>効率</x:v>
      </x:c>
      <x:c r="E15" s="58" t="str">
        <x:v>eta</x:v>
      </x:c>
      <x:c r="F15" s="59" t="n">
        <x:f>'01_入力仕様'!D9</x:f>
        <x:v>0.97</x:v>
      </x:c>
      <x:c r="G15" s="59" t="str">
        <x:v>-</x:v>
      </x:c>
      <x:c r="H15" s="59" t="n">
        <x:f>ABS(K15)*$F$5</x:f>
        <x:v>0.0008197709152575105</x:v>
      </x:c>
      <x:c r="I15" s="58" t="str">
        <x:v>入力仕様</x:v>
      </x:c>
      <x:c r="J15" s="59" t="n">
        <x:f>-1</x:f>
        <x:v>-1</x:v>
      </x:c>
      <x:c r="K15" s="59" t="n">
        <x:f>K12*J15</x:f>
        <x:v>-0.00009161663658786684</x:v>
      </x:c>
      <x:c r="L15" s="58" t="str">
        <x:f>IF(K15&gt;0,"増加→総重量増",IF(K15&lt;0,"増加→総重量減","中立"))</x:f>
        <x:v>増加→総重量減</x:v>
      </x:c>
      <x:c r="M15" s="58" t="str">
        <x:v>設計対象</x:v>
      </x:c>
      <x:c r="N15" s="58" t="str"/>
      <x:c r="O15" s="229" t="n">
        <x:f>--(COUNTIF($B$5:$B$560,A15)=0)</x:f>
        <x:v>1</x:v>
      </x:c>
      <x:c r="P15" s="70" t="str">
        <x:f>IF(LEFT(E15,7)&lt;&gt;"Enable_","",IFERROR(IF(OR(ISNUMBER(SEARCH("=Enable",INDEX($I$5:$I$560,MATCH(B15,$A$5:$A$560,0)))),ISNUMBER(SEARCH("×Enable",INDEX($I$5:$I$560,MATCH(B15,$A$5:$A$560,0))))),1,""),""))</x:f>
      </x:c>
      <x:c r="Q15" t="n">
        <x:f>IF(E15="","",--(XMATCH(E15,$E$5:E15,0)=ROWS($E$5:E15)))</x:f>
        <x:v>1</x:v>
      </x:c>
      <x:c r="R15" t="n">
        <x:f>IF(Q15=1,SUM($Q$5:Q15),"")</x:f>
        <x:v>11</x:v>
      </x:c>
    </x:row>
    <x:row r="16">
      <x:c r="A16" s="62" t="str">
        <x:v>T012</x:v>
      </x:c>
      <x:c r="B16" s="62" t="str">
        <x:v>T006</x:v>
      </x:c>
      <x:c r="C16" s="62" t="n">
        <x:v>5</x:v>
      </x:c>
      <x:c r="D16" s="62" t="str">
        <x:v>1チップ電流能力</x:v>
      </x:c>
      <x:c r="E16" s="62" t="str">
        <x:v>I_chip</x:v>
      </x:c>
      <x:c r="F16" s="63" t="n">
        <x:f>'01_入力仕様'!D33*F18</x:f>
        <x:v>82.8</x:v>
      </x:c>
      <x:c r="G16" s="63" t="str">
        <x:v>A</x:v>
      </x:c>
      <x:c r="H16" s="63" t="n">
        <x:f>ABS(K16)*$F$5</x:f>
        <x:v>0.0008197709152575105</x:v>
      </x:c>
      <x:c r="I16" s="62" t="str">
        <x:v>I_chip=J_chip×A_active</x:v>
      </x:c>
      <x:c r="J16" s="63" t="n">
        <x:f>-1</x:f>
        <x:v>-1</x:v>
      </x:c>
      <x:c r="K16" s="63" t="n">
        <x:f>K10*J16</x:f>
        <x:v>-0.00009161663658786684</x:v>
      </x:c>
      <x:c r="L16" s="62" t="str">
        <x:f>IF(K16&gt;0,"増加→総重量増",IF(K16&lt;0,"増加→総重量減","中立"))</x:f>
        <x:v>増加→総重量減</x:v>
      </x:c>
      <x:c r="M16" s="62" t="str">
        <x:v>設計対象</x:v>
      </x:c>
      <x:c r="N16" s="62" t="str"/>
      <x:c r="O16" s="229" t="n">
        <x:f>--(COUNTIF($B$5:$B$560,A16)=0)</x:f>
        <x:v>0</x:v>
      </x:c>
      <x:c r="P16" s="70" t="str">
        <x:f>IF(LEFT(E16,7)&lt;&gt;"Enable_","",IFERROR(IF(OR(ISNUMBER(SEARCH("=Enable",INDEX($I$5:$I$560,MATCH(B16,$A$5:$A$560,0)))),ISNUMBER(SEARCH("×Enable",INDEX($I$5:$I$560,MATCH(B16,$A$5:$A$560,0))))),1,""),""))</x:f>
      </x:c>
      <x:c r="Q16" t="n">
        <x:f>IF(E16="","",--(XMATCH(E16,$E$5:E16,0)=ROWS($E$5:E16)))</x:f>
        <x:v>1</x:v>
      </x:c>
      <x:c r="R16" t="n">
        <x:f>IF(Q16=1,SUM($Q$5:Q16),"")</x:f>
        <x:v>12</x:v>
      </x:c>
    </x:row>
    <x:row r="17">
      <x:c r="A17" s="58" t="str">
        <x:v>T013</x:v>
      </x:c>
      <x:c r="B17" s="58" t="str">
        <x:v>T012</x:v>
      </x:c>
      <x:c r="C17" s="58" t="n">
        <x:v>6</x:v>
      </x:c>
      <x:c r="D17" s="58" t="str">
        <x:v>実効チップ許容電流密度</x:v>
      </x:c>
      <x:c r="E17" s="58" t="str">
        <x:v>J_chip_eff</x:v>
      </x:c>
      <x:c r="F17" s="59" t="n">
        <x:f>'01_入力仕様'!D33*F538</x:f>
        <x:v>1.15</x:v>
      </x:c>
      <x:c r="G17" s="59" t="str">
        <x:v>A/mm²</x:v>
      </x:c>
      <x:c r="H17" s="59" t="n">
        <x:f>ABS(K17)*$F$5</x:f>
        <x:v>0.0008197709152575105</x:v>
      </x:c>
      <x:c r="I17" s="58" t="str">
        <x:v>J_chip_eff=J_chip×k_pkg_J</x:v>
      </x:c>
      <x:c r="J17" s="59" t="n">
        <x:f>1</x:f>
        <x:v>1</x:v>
      </x:c>
      <x:c r="K17" s="59" t="n">
        <x:f>K16*J17</x:f>
        <x:v>-0.00009161663658786684</x:v>
      </x:c>
      <x:c r="L17" s="58" t="str">
        <x:f>IF(K17&gt;0,"増加→総重量増",IF(K17&lt;0,"増加→総重量減","中立"))</x:f>
        <x:v>増加→総重量減</x:v>
      </x:c>
      <x:c r="M17" s="58" t="str">
        <x:v>設計対象</x:v>
      </x:c>
      <x:c r="N17" s="58" t="str"/>
      <x:c r="O17" s="229" t="n">
        <x:f>--(COUNTIF($B$5:$B$560,A17)=0)</x:f>
        <x:v>0</x:v>
      </x:c>
      <x:c r="P17" s="70" t="str">
        <x:f>IF(LEFT(E17,7)&lt;&gt;"Enable_","",IFERROR(IF(OR(ISNUMBER(SEARCH("=Enable",INDEX($I$5:$I$560,MATCH(B17,$A$5:$A$560,0)))),ISNUMBER(SEARCH("×Enable",INDEX($I$5:$I$560,MATCH(B17,$A$5:$A$560,0))))),1,""),""))</x:f>
      </x:c>
      <x:c r="Q17" t="n">
        <x:f>IF(E17="","",--(XMATCH(E17,$E$5:E17,0)=ROWS($E$5:E17)))</x:f>
        <x:v>1</x:v>
      </x:c>
      <x:c r="R17" t="n">
        <x:f>IF(Q17=1,SUM($Q$5:Q17),"")</x:f>
        <x:v>13</x:v>
      </x:c>
    </x:row>
    <x:row r="18">
      <x:c r="A18" s="62" t="str">
        <x:v>T014</x:v>
      </x:c>
      <x:c r="B18" s="62" t="str">
        <x:v>T012</x:v>
      </x:c>
      <x:c r="C18" s="62" t="n">
        <x:v>6</x:v>
      </x:c>
      <x:c r="D18" s="62" t="str">
        <x:v>有効チップ面積</x:v>
      </x:c>
      <x:c r="E18" s="62" t="str">
        <x:v>A_active</x:v>
      </x:c>
      <x:c r="F18" s="63" t="n">
        <x:f>'01_入力仕様'!D34*'01_入力仕様'!D25</x:f>
        <x:v>72</x:v>
      </x:c>
      <x:c r="G18" s="63" t="str">
        <x:v>mm²</x:v>
      </x:c>
      <x:c r="H18" s="63" t="n">
        <x:f>ABS(K18)*$F$5</x:f>
        <x:v>0.0008197709152575105</x:v>
      </x:c>
      <x:c r="I18" s="62" t="str">
        <x:v>A_active=k_active×A_chip</x:v>
      </x:c>
      <x:c r="J18" s="63" t="n">
        <x:f>1</x:f>
        <x:v>1</x:v>
      </x:c>
      <x:c r="K18" s="63" t="n">
        <x:f>K16*J18</x:f>
        <x:v>-0.00009161663658786684</x:v>
      </x:c>
      <x:c r="L18" s="62" t="str">
        <x:f>IF(K18&gt;0,"増加→総重量増",IF(K18&lt;0,"増加→総重量減","中立"))</x:f>
        <x:v>増加→総重量減</x:v>
      </x:c>
      <x:c r="M18" s="62" t="str">
        <x:v>設計対象</x:v>
      </x:c>
      <x:c r="N18" s="62" t="str"/>
      <x:c r="O18" s="229" t="n">
        <x:f>--(COUNTIF($B$5:$B$560,A18)=0)</x:f>
        <x:v>0</x:v>
      </x:c>
      <x:c r="P18" s="70" t="str">
        <x:f>IF(LEFT(E18,7)&lt;&gt;"Enable_","",IFERROR(IF(OR(ISNUMBER(SEARCH("=Enable",INDEX($I$5:$I$560,MATCH(B18,$A$5:$A$560,0)))),ISNUMBER(SEARCH("×Enable",INDEX($I$5:$I$560,MATCH(B18,$A$5:$A$560,0))))),1,""),""))</x:f>
      </x:c>
      <x:c r="Q18" t="n">
        <x:f>IF(E18="","",--(XMATCH(E18,$E$5:E18,0)=ROWS($E$5:E18)))</x:f>
        <x:v>1</x:v>
      </x:c>
      <x:c r="R18" t="n">
        <x:f>IF(Q18=1,SUM($Q$5:Q18),"")</x:f>
        <x:v>14</x:v>
      </x:c>
    </x:row>
    <x:row r="19">
      <x:c r="A19" s="58" t="str">
        <x:v>T015</x:v>
      </x:c>
      <x:c r="B19" s="58" t="str">
        <x:v>T014</x:v>
      </x:c>
      <x:c r="C19" s="58" t="n">
        <x:v>7</x:v>
      </x:c>
      <x:c r="D19" s="58" t="str">
        <x:v>有効面積率</x:v>
      </x:c>
      <x:c r="E19" s="58" t="str">
        <x:v>k_active</x:v>
      </x:c>
      <x:c r="F19" s="59" t="n">
        <x:f>'01_入力仕様'!D34</x:f>
        <x:v>0.72</x:v>
      </x:c>
      <x:c r="G19" s="59" t="str">
        <x:v>-</x:v>
      </x:c>
      <x:c r="H19" s="59" t="n">
        <x:f>ABS(K19)*$F$5</x:f>
        <x:v>0.0008197709152575105</x:v>
      </x:c>
      <x:c r="I19" s="58" t="str">
        <x:v>入力仕様</x:v>
      </x:c>
      <x:c r="J19" s="59" t="n">
        <x:f>1</x:f>
        <x:v>1</x:v>
      </x:c>
      <x:c r="K19" s="59" t="n">
        <x:f>K18*J19</x:f>
        <x:v>-0.00009161663658786684</x:v>
      </x:c>
      <x:c r="L19" s="58" t="str">
        <x:f>IF(K19&gt;0,"増加→総重量増",IF(K19&lt;0,"増加→総重量減","中立"))</x:f>
        <x:v>増加→総重量減</x:v>
      </x:c>
      <x:c r="M19" s="58" t="str">
        <x:v>設計対象</x:v>
      </x:c>
      <x:c r="N19" s="58" t="str"/>
      <x:c r="O19" s="229" t="n">
        <x:f>--(COUNTIF($B$5:$B$560,A19)=0)</x:f>
        <x:v>1</x:v>
      </x:c>
      <x:c r="P19" s="70" t="str">
        <x:f>IF(LEFT(E19,7)&lt;&gt;"Enable_","",IFERROR(IF(OR(ISNUMBER(SEARCH("=Enable",INDEX($I$5:$I$560,MATCH(B19,$A$5:$A$560,0)))),ISNUMBER(SEARCH("×Enable",INDEX($I$5:$I$560,MATCH(B19,$A$5:$A$560,0))))),1,""),""))</x:f>
      </x:c>
      <x:c r="Q19" t="n">
        <x:f>IF(E19="","",--(XMATCH(E19,$E$5:E19,0)=ROWS($E$5:E19)))</x:f>
        <x:v>1</x:v>
      </x:c>
      <x:c r="R19" t="n">
        <x:f>IF(Q19=1,SUM($Q$5:Q19),"")</x:f>
        <x:v>15</x:v>
      </x:c>
    </x:row>
    <x:row r="20">
      <x:c r="A20" s="58" t="str">
        <x:v>T016</x:v>
      </x:c>
      <x:c r="B20" s="58" t="str">
        <x:v>T014</x:v>
      </x:c>
      <x:c r="C20" s="58" t="n">
        <x:v>7</x:v>
      </x:c>
      <x:c r="D20" s="58" t="str">
        <x:v>チップ面積</x:v>
      </x:c>
      <x:c r="E20" s="58" t="str">
        <x:v>A_chip</x:v>
      </x:c>
      <x:c r="F20" s="59" t="n">
        <x:f>'01_入力仕様'!D25</x:f>
        <x:v>100</x:v>
      </x:c>
      <x:c r="G20" s="59" t="str">
        <x:v>mm²</x:v>
      </x:c>
      <x:c r="H20" s="59" t="n">
        <x:f>ABS(K20)*$F$5</x:f>
        <x:v>0.0008197709152575105</x:v>
      </x:c>
      <x:c r="I20" s="58" t="str">
        <x:v>入力仕様</x:v>
      </x:c>
      <x:c r="J20" s="59" t="n">
        <x:f>1</x:f>
        <x:v>1</x:v>
      </x:c>
      <x:c r="K20" s="59" t="n">
        <x:f>K18*J20</x:f>
        <x:v>-0.00009161663658786684</x:v>
      </x:c>
      <x:c r="L20" s="58" t="str">
        <x:f>IF(K20&gt;0,"増加→総重量増",IF(K20&lt;0,"増加→総重量減","中立"))</x:f>
        <x:v>増加→総重量減</x:v>
      </x:c>
      <x:c r="M20" s="58" t="str">
        <x:v>設計対象</x:v>
      </x:c>
      <x:c r="N20" s="58" t="str">
        <x:v>面積増→電流能力増</x:v>
      </x:c>
      <x:c r="O20" s="229" t="n">
        <x:f>--(COUNTIF($B$5:$B$560,A20)=0)</x:f>
        <x:v>1</x:v>
      </x:c>
      <x:c r="P20" s="70" t="str">
        <x:f>IF(LEFT(E20,7)&lt;&gt;"Enable_","",IFERROR(IF(OR(ISNUMBER(SEARCH("=Enable",INDEX($I$5:$I$560,MATCH(B20,$A$5:$A$560,0)))),ISNUMBER(SEARCH("×Enable",INDEX($I$5:$I$560,MATCH(B20,$A$5:$A$560,0))))),1,""),""))</x:f>
      </x:c>
      <x:c r="Q20" t="n">
        <x:f>IF(E20="","",--(XMATCH(E20,$E$5:E20,0)=ROWS($E$5:E20)))</x:f>
        <x:v>1</x:v>
      </x:c>
      <x:c r="R20" t="n">
        <x:f>IF(Q20=1,SUM($Q$5:Q20),"")</x:f>
        <x:v>16</x:v>
      </x:c>
    </x:row>
    <x:row r="21">
      <x:c r="A21" s="62" t="str">
        <x:v>T017</x:v>
      </x:c>
      <x:c r="B21" s="62" t="str">
        <x:v>T005</x:v>
      </x:c>
      <x:c r="C21" s="62" t="n">
        <x:v>4</x:v>
      </x:c>
      <x:c r="D21" s="62" t="str">
        <x:v>1チップ重量</x:v>
      </x:c>
      <x:c r="E21" s="62" t="str">
        <x:v>m_chip</x:v>
      </x:c>
      <x:c r="F21" s="63" t="n">
        <x:f>'01_入力仕様'!D25*'01_入力仕様'!D26*'01_入力仕様'!D27*1E-9</x:f>
        <x:v>0.000057780000000000006</x:v>
      </x:c>
      <x:c r="G21" s="63" t="str">
        <x:v>kg</x:v>
      </x:c>
      <x:c r="H21" s="63" t="n">
        <x:f>ABS(K21)*$F$5</x:f>
        <x:v>0.0008197709152575105</x:v>
      </x:c>
      <x:c r="I21" s="62" t="str">
        <x:v>m_chip=A_chip×t_chip×rho_chip×1E-9</x:v>
      </x:c>
      <x:c r="J21" s="63" t="n">
        <x:f>1</x:f>
        <x:v>1</x:v>
      </x:c>
      <x:c r="K21" s="63" t="n">
        <x:f>K9*J21</x:f>
        <x:v>0.00009161663658786684</x:v>
      </x:c>
      <x:c r="L21" s="62" t="str">
        <x:f>IF(K21&gt;0,"増加→総重量増",IF(K21&lt;0,"増加→総重量減","中立"))</x:f>
        <x:v>増加→総重量増</x:v>
      </x:c>
      <x:c r="M21" s="62" t="str">
        <x:v>設計対象</x:v>
      </x:c>
      <x:c r="N21" s="62" t="str"/>
      <x:c r="O21" s="229" t="n">
        <x:f>--(COUNTIF($B$5:$B$560,A21)=0)</x:f>
        <x:v>0</x:v>
      </x:c>
      <x:c r="P21" s="70" t="str">
        <x:f>IF(LEFT(E21,7)&lt;&gt;"Enable_","",IFERROR(IF(OR(ISNUMBER(SEARCH("=Enable",INDEX($I$5:$I$560,MATCH(B21,$A$5:$A$560,0)))),ISNUMBER(SEARCH("×Enable",INDEX($I$5:$I$560,MATCH(B21,$A$5:$A$560,0))))),1,""),""))</x:f>
      </x:c>
      <x:c r="Q21" t="n">
        <x:f>IF(E21="","",--(XMATCH(E21,$E$5:E21,0)=ROWS($E$5:E21)))</x:f>
        <x:v>1</x:v>
      </x:c>
      <x:c r="R21" t="n">
        <x:f>IF(Q21=1,SUM($Q$5:Q21),"")</x:f>
        <x:v>17</x:v>
      </x:c>
    </x:row>
    <x:row r="22">
      <x:c r="A22" s="58" t="str">
        <x:v>T018</x:v>
      </x:c>
      <x:c r="B22" s="58" t="str">
        <x:v>T017</x:v>
      </x:c>
      <x:c r="C22" s="58" t="n">
        <x:v>5</x:v>
      </x:c>
      <x:c r="D22" s="58" t="str">
        <x:v>チップ面積</x:v>
      </x:c>
      <x:c r="E22" s="58" t="str">
        <x:v>A_chip</x:v>
      </x:c>
      <x:c r="F22" s="59" t="n">
        <x:f>'01_入力仕様'!D25</x:f>
        <x:v>100</x:v>
      </x:c>
      <x:c r="G22" s="59" t="str">
        <x:v>mm²</x:v>
      </x:c>
      <x:c r="H22" s="59" t="n">
        <x:f>ABS(K22)*$F$5</x:f>
        <x:v>0.0008197709152575105</x:v>
      </x:c>
      <x:c r="I22" s="58" t="str">
        <x:v>入力仕様</x:v>
      </x:c>
      <x:c r="J22" s="59" t="n">
        <x:f>1</x:f>
        <x:v>1</x:v>
      </x:c>
      <x:c r="K22" s="59" t="n">
        <x:f>K21*J22</x:f>
        <x:v>0.00009161663658786684</x:v>
      </x:c>
      <x:c r="L22" s="58" t="str">
        <x:f>IF(K22&gt;0,"増加→総重量増",IF(K22&lt;0,"増加→総重量減","中立"))</x:f>
        <x:v>増加→総重量増</x:v>
      </x:c>
      <x:c r="M22" s="58" t="str">
        <x:v>設計対象</x:v>
      </x:c>
      <x:c r="N22" s="58" t="str">
        <x:v>面積増→重量増</x:v>
      </x:c>
      <x:c r="O22" s="229" t="n">
        <x:f>--(COUNTIF($B$5:$B$560,A22)=0)</x:f>
        <x:v>1</x:v>
      </x:c>
      <x:c r="P22" s="70" t="str">
        <x:f>IF(LEFT(E22,7)&lt;&gt;"Enable_","",IFERROR(IF(OR(ISNUMBER(SEARCH("=Enable",INDEX($I$5:$I$560,MATCH(B22,$A$5:$A$560,0)))),ISNUMBER(SEARCH("×Enable",INDEX($I$5:$I$560,MATCH(B22,$A$5:$A$560,0))))),1,""),""))</x:f>
      </x:c>
      <x:c r="Q22" t="n">
        <x:f>IF(E22="","",--(XMATCH(E22,$E$5:E22,0)=ROWS($E$5:E22)))</x:f>
        <x:v>0</x:v>
      </x:c>
      <x:c r="R22" t="str">
        <x:f>IF(Q22=1,SUM($Q$5:Q22),"")</x:f>
      </x:c>
    </x:row>
    <x:row r="23">
      <x:c r="A23" s="58" t="str">
        <x:v>T019</x:v>
      </x:c>
      <x:c r="B23" s="58" t="str">
        <x:v>T017</x:v>
      </x:c>
      <x:c r="C23" s="58" t="n">
        <x:v>5</x:v>
      </x:c>
      <x:c r="D23" s="58" t="str">
        <x:v>チップ厚さ</x:v>
      </x:c>
      <x:c r="E23" s="58" t="str">
        <x:v>t_chip</x:v>
      </x:c>
      <x:c r="F23" s="59" t="n">
        <x:f>'01_入力仕様'!D26</x:f>
        <x:v>0.18</x:v>
      </x:c>
      <x:c r="G23" s="59" t="str">
        <x:v>mm</x:v>
      </x:c>
      <x:c r="H23" s="59" t="n">
        <x:f>ABS(K23)*$F$5</x:f>
        <x:v>0.0008197709152575105</x:v>
      </x:c>
      <x:c r="I23" s="58" t="str">
        <x:v>入力仕様</x:v>
      </x:c>
      <x:c r="J23" s="59" t="n">
        <x:f>1</x:f>
        <x:v>1</x:v>
      </x:c>
      <x:c r="K23" s="59" t="n">
        <x:f>K21*J23</x:f>
        <x:v>0.00009161663658786684</x:v>
      </x:c>
      <x:c r="L23" s="58" t="str">
        <x:f>IF(K23&gt;0,"増加→総重量増",IF(K23&lt;0,"増加→総重量減","中立"))</x:f>
        <x:v>増加→総重量増</x:v>
      </x:c>
      <x:c r="M23" s="58" t="str">
        <x:v>設計対象</x:v>
      </x:c>
      <x:c r="N23" s="58" t="str"/>
      <x:c r="O23" s="229" t="n">
        <x:f>--(COUNTIF($B$5:$B$560,A23)=0)</x:f>
        <x:v>1</x:v>
      </x:c>
      <x:c r="P23" s="70" t="str">
        <x:f>IF(LEFT(E23,7)&lt;&gt;"Enable_","",IFERROR(IF(OR(ISNUMBER(SEARCH("=Enable",INDEX($I$5:$I$560,MATCH(B23,$A$5:$A$560,0)))),ISNUMBER(SEARCH("×Enable",INDEX($I$5:$I$560,MATCH(B23,$A$5:$A$560,0))))),1,""),""))</x:f>
      </x:c>
      <x:c r="Q23" t="n">
        <x:f>IF(E23="","",--(XMATCH(E23,$E$5:E23,0)=ROWS($E$5:E23)))</x:f>
        <x:v>1</x:v>
      </x:c>
      <x:c r="R23" t="n">
        <x:f>IF(Q23=1,SUM($Q$5:Q23),"")</x:f>
        <x:v>18</x:v>
      </x:c>
    </x:row>
    <x:row r="24">
      <x:c r="A24" s="58" t="str">
        <x:v>T020</x:v>
      </x:c>
      <x:c r="B24" s="58" t="str">
        <x:v>T017</x:v>
      </x:c>
      <x:c r="C24" s="58" t="n">
        <x:v>5</x:v>
      </x:c>
      <x:c r="D24" s="58" t="str">
        <x:v>密度</x:v>
      </x:c>
      <x:c r="E24" s="58" t="str">
        <x:v>rho_chip</x:v>
      </x:c>
      <x:c r="F24" s="59" t="n">
        <x:f>'01_入力仕様'!D27</x:f>
        <x:v>3210</x:v>
      </x:c>
      <x:c r="G24" s="59" t="str">
        <x:v>kg/m³</x:v>
      </x:c>
      <x:c r="H24" s="59" t="n">
        <x:f>ABS(K24)*$F$5</x:f>
        <x:v>0.0008197709152575105</x:v>
      </x:c>
      <x:c r="I24" s="58" t="str">
        <x:v>入力仕様</x:v>
      </x:c>
      <x:c r="J24" s="59" t="n">
        <x:f>1</x:f>
        <x:v>1</x:v>
      </x:c>
      <x:c r="K24" s="59" t="n">
        <x:f>K21*J24</x:f>
        <x:v>0.00009161663658786684</x:v>
      </x:c>
      <x:c r="L24" s="58" t="str">
        <x:f>IF(K24&gt;0,"増加→総重量増",IF(K24&lt;0,"増加→総重量減","中立"))</x:f>
        <x:v>増加→総重量増</x:v>
      </x:c>
      <x:c r="M24" s="58" t="str">
        <x:v>設計対象</x:v>
      </x:c>
      <x:c r="N24" s="58" t="str"/>
      <x:c r="O24" s="229" t="n">
        <x:f>--(COUNTIF($B$5:$B$560,A24)=0)</x:f>
        <x:v>1</x:v>
      </x:c>
      <x:c r="P24" s="70" t="str">
        <x:f>IF(LEFT(E24,7)&lt;&gt;"Enable_","",IFERROR(IF(OR(ISNUMBER(SEARCH("=Enable",INDEX($I$5:$I$560,MATCH(B24,$A$5:$A$560,0)))),ISNUMBER(SEARCH("×Enable",INDEX($I$5:$I$560,MATCH(B24,$A$5:$A$560,0))))),1,""),""))</x:f>
      </x:c>
      <x:c r="Q24" t="n">
        <x:f>IF(E24="","",--(XMATCH(E24,$E$5:E24,0)=ROWS($E$5:E24)))</x:f>
        <x:v>1</x:v>
      </x:c>
      <x:c r="R24" t="n">
        <x:f>IF(Q24=1,SUM($Q$5:Q24),"")</x:f>
        <x:v>19</x:v>
      </x:c>
    </x:row>
    <x:row r="25">
      <x:c r="A25" s="54" t="str">
        <x:v>T021</x:v>
      </x:c>
      <x:c r="B25" s="54" t="str">
        <x:v>T004</x:v>
      </x:c>
      <x:c r="C25" s="54" t="n">
        <x:v>3</x:v>
      </x:c>
      <x:c r="D25" s="54" t="str">
        <x:v>DBC重量</x:v>
      </x:c>
      <x:c r="E25" s="54" t="str">
        <x:v>m_dbc</x:v>
      </x:c>
      <x:c r="F25" s="55" t="n">
        <x:f>'01_入力仕様'!D35*'01_入力仕様'!D36*'01_入力仕様'!D37*1E-9</x:f>
        <x:v>0.015456000000000001</x:v>
      </x:c>
      <x:c r="G25" s="55" t="str">
        <x:v>kg</x:v>
      </x:c>
      <x:c r="H25" s="55" t="n">
        <x:f>ABS(K25)*$F$5</x:f>
        <x:v>0.092736</x:v>
      </x:c>
      <x:c r="I25" s="54" t="str">
        <x:v>m_dbc=A_dbc×t_dbc×rho_dbc×1E-9</x:v>
      </x:c>
      <x:c r="J25" s="55" t="n">
        <x:f>F25/F8</x:f>
        <x:v>0.11790136622110076</x:v>
      </x:c>
      <x:c r="K25" s="55" t="n">
        <x:f>K8*J25</x:f>
        <x:v>0.010364066658724485</x:v>
      </x:c>
      <x:c r="L25" s="54" t="str">
        <x:f>IF(K25&gt;0,"増加→総重量増",IF(K25&lt;0,"増加→総重量減","中立"))</x:f>
        <x:v>増加→総重量増</x:v>
      </x:c>
      <x:c r="M25" s="54" t="str">
        <x:v>設計対象</x:v>
      </x:c>
      <x:c r="N25" s="54" t="str"/>
      <x:c r="O25" s="229" t="n">
        <x:f>--(COUNTIF($B$5:$B$560,A25)=0)</x:f>
        <x:v>0</x:v>
      </x:c>
      <x:c r="P25" s="70" t="str">
        <x:f>IF(LEFT(E25,7)&lt;&gt;"Enable_","",IFERROR(IF(OR(ISNUMBER(SEARCH("=Enable",INDEX($I$5:$I$560,MATCH(B25,$A$5:$A$560,0)))),ISNUMBER(SEARCH("×Enable",INDEX($I$5:$I$560,MATCH(B25,$A$5:$A$560,0))))),1,""),""))</x:f>
      </x:c>
      <x:c r="Q25" t="n">
        <x:f>IF(E25="","",--(XMATCH(E25,$E$5:E25,0)=ROWS($E$5:E25)))</x:f>
        <x:v>1</x:v>
      </x:c>
      <x:c r="R25" t="n">
        <x:f>IF(Q25=1,SUM($Q$5:Q25),"")</x:f>
        <x:v>20</x:v>
      </x:c>
    </x:row>
    <x:row r="26">
      <x:c r="A26" s="58" t="str">
        <x:v>T022</x:v>
      </x:c>
      <x:c r="B26" s="58" t="str">
        <x:v>T021</x:v>
      </x:c>
      <x:c r="C26" s="58" t="n">
        <x:v>4</x:v>
      </x:c>
      <x:c r="D26" s="58" t="str">
        <x:v>DBC面積</x:v>
      </x:c>
      <x:c r="E26" s="58" t="str">
        <x:v>A_dbc</x:v>
      </x:c>
      <x:c r="F26" s="59" t="n">
        <x:f>'01_入力仕様'!D97*'01_入力仕様'!D98*1E6</x:f>
        <x:v>4200.000000000001</x:v>
      </x:c>
      <x:c r="G26" s="59" t="str">
        <x:v>mm²</x:v>
      </x:c>
      <x:c r="H26" s="59" t="n">
        <x:f>ABS(K26)*$F$5</x:f>
        <x:v>0.092736</x:v>
      </x:c>
      <x:c r="I26" s="58" t="str">
        <x:v>A_dbc=L_dbc×W_dbc×1E6</x:v>
      </x:c>
      <x:c r="J26" s="59" t="n">
        <x:f>1</x:f>
        <x:v>1</x:v>
      </x:c>
      <x:c r="K26" s="59" t="n">
        <x:f>K25*J26</x:f>
        <x:v>0.010364066658724485</x:v>
      </x:c>
      <x:c r="L26" s="58" t="str">
        <x:f>IF(K26&gt;0,"増加→総重量増",IF(K26&lt;0,"増加→総重量減","中立"))</x:f>
        <x:v>増加→総重量増</x:v>
      </x:c>
      <x:c r="M26" s="58" t="str">
        <x:v>設計対象</x:v>
      </x:c>
      <x:c r="N26" s="58" t="str"/>
      <x:c r="O26" s="229" t="n">
        <x:f>--(COUNTIF($B$5:$B$560,A26)=0)</x:f>
        <x:v>0</x:v>
      </x:c>
      <x:c r="P26" s="70" t="str">
        <x:f>IF(LEFT(E26,7)&lt;&gt;"Enable_","",IFERROR(IF(OR(ISNUMBER(SEARCH("=Enable",INDEX($I$5:$I$560,MATCH(B26,$A$5:$A$560,0)))),ISNUMBER(SEARCH("×Enable",INDEX($I$5:$I$560,MATCH(B26,$A$5:$A$560,0))))),1,""),""))</x:f>
      </x:c>
      <x:c r="Q26" t="n">
        <x:f>IF(E26="","",--(XMATCH(E26,$E$5:E26,0)=ROWS($E$5:E26)))</x:f>
        <x:v>1</x:v>
      </x:c>
      <x:c r="R26" t="n">
        <x:f>IF(Q26=1,SUM($Q$5:Q26),"")</x:f>
        <x:v>21</x:v>
      </x:c>
    </x:row>
    <x:row r="27">
      <x:c r="A27" s="58" t="str">
        <x:v>T023</x:v>
      </x:c>
      <x:c r="B27" s="58" t="str">
        <x:v>T021</x:v>
      </x:c>
      <x:c r="C27" s="58" t="n">
        <x:v>4</x:v>
      </x:c>
      <x:c r="D27" s="58" t="str">
        <x:v>DBC厚さ</x:v>
      </x:c>
      <x:c r="E27" s="58" t="str">
        <x:v>t_dbc</x:v>
      </x:c>
      <x:c r="F27" s="59" t="n">
        <x:f>'01_入力仕様'!D99+'01_入力仕様'!D100+'01_入力仕様'!D101</x:f>
        <x:v>0.9199999999999999</x:v>
      </x:c>
      <x:c r="G27" s="59" t="str">
        <x:v>mm</x:v>
      </x:c>
      <x:c r="H27" s="59" t="n">
        <x:f>ABS(K27)*$F$5</x:f>
        <x:v>0.092736</x:v>
      </x:c>
      <x:c r="I27" s="58" t="str">
        <x:v>t_dbc=t_cu_top+t_cer+t_cu_bot</x:v>
      </x:c>
      <x:c r="J27" s="59" t="n">
        <x:f>1</x:f>
        <x:v>1</x:v>
      </x:c>
      <x:c r="K27" s="59" t="n">
        <x:f>K25*J27</x:f>
        <x:v>0.010364066658724485</x:v>
      </x:c>
      <x:c r="L27" s="58" t="str">
        <x:f>IF(K27&gt;0,"増加→総重量増",IF(K27&lt;0,"増加→総重量減","中立"))</x:f>
        <x:v>増加→総重量増</x:v>
      </x:c>
      <x:c r="M27" s="58" t="str">
        <x:v>設計対象</x:v>
      </x:c>
      <x:c r="N27" s="58" t="str"/>
      <x:c r="O27" s="229" t="n">
        <x:f>--(COUNTIF($B$5:$B$560,A27)=0)</x:f>
        <x:v>0</x:v>
      </x:c>
      <x:c r="P27" s="70" t="str">
        <x:f>IF(LEFT(E27,7)&lt;&gt;"Enable_","",IFERROR(IF(OR(ISNUMBER(SEARCH("=Enable",INDEX($I$5:$I$560,MATCH(B27,$A$5:$A$560,0)))),ISNUMBER(SEARCH("×Enable",INDEX($I$5:$I$560,MATCH(B27,$A$5:$A$560,0))))),1,""),""))</x:f>
      </x:c>
      <x:c r="Q27" t="n">
        <x:f>IF(E27="","",--(XMATCH(E27,$E$5:E27,0)=ROWS($E$5:E27)))</x:f>
        <x:v>1</x:v>
      </x:c>
      <x:c r="R27" t="n">
        <x:f>IF(Q27=1,SUM($Q$5:Q27),"")</x:f>
        <x:v>22</x:v>
      </x:c>
    </x:row>
    <x:row r="28">
      <x:c r="A28" s="58" t="str">
        <x:v>T024</x:v>
      </x:c>
      <x:c r="B28" s="58" t="str">
        <x:v>T021</x:v>
      </x:c>
      <x:c r="C28" s="58" t="n">
        <x:v>4</x:v>
      </x:c>
      <x:c r="D28" s="58" t="str">
        <x:v>DBC密度</x:v>
      </x:c>
      <x:c r="E28" s="58" t="str">
        <x:v>rho_dbc</x:v>
      </x:c>
      <x:c r="F28" s="59" t="n">
        <x:f>('01_入力仕様'!D102*('01_入力仕様'!D99+'01_入力仕様'!D101)+'01_入力仕様'!D103*'01_入力仕様'!D100)/F225</x:f>
        <x:v>6977.391304347826</x:v>
      </x:c>
      <x:c r="G28" s="59" t="str">
        <x:v>kg/m³</x:v>
      </x:c>
      <x:c r="H28" s="59" t="n">
        <x:f>ABS(K28)*$F$5</x:f>
        <x:v>0.092736</x:v>
      </x:c>
      <x:c r="I28" s="58" t="str">
        <x:v>rho_dbc={rho_cu(t_top+t_bot)+rho_cer t_cer}/t_dbc</x:v>
      </x:c>
      <x:c r="J28" s="59" t="n">
        <x:f>1</x:f>
        <x:v>1</x:v>
      </x:c>
      <x:c r="K28" s="59" t="n">
        <x:f>K25*J28</x:f>
        <x:v>0.010364066658724485</x:v>
      </x:c>
      <x:c r="L28" s="58" t="str">
        <x:f>IF(K28&gt;0,"増加→総重量増",IF(K28&lt;0,"増加→総重量減","中立"))</x:f>
        <x:v>増加→総重量増</x:v>
      </x:c>
      <x:c r="M28" s="58" t="str">
        <x:v>設計対象</x:v>
      </x:c>
      <x:c r="N28" s="58" t="str"/>
      <x:c r="O28" s="229" t="n">
        <x:f>--(COUNTIF($B$5:$B$560,A28)=0)</x:f>
        <x:v>0</x:v>
      </x:c>
      <x:c r="P28" s="70" t="str">
        <x:f>IF(LEFT(E28,7)&lt;&gt;"Enable_","",IFERROR(IF(OR(ISNUMBER(SEARCH("=Enable",INDEX($I$5:$I$560,MATCH(B28,$A$5:$A$560,0)))),ISNUMBER(SEARCH("×Enable",INDEX($I$5:$I$560,MATCH(B28,$A$5:$A$560,0))))),1,""),""))</x:f>
      </x:c>
      <x:c r="Q28" t="n">
        <x:f>IF(E28="","",--(XMATCH(E28,$E$5:E28,0)=ROWS($E$5:E28)))</x:f>
        <x:v>1</x:v>
      </x:c>
      <x:c r="R28" t="n">
        <x:f>IF(Q28=1,SUM($Q$5:Q28),"")</x:f>
        <x:v>23</x:v>
      </x:c>
    </x:row>
    <x:row r="29">
      <x:c r="A29" s="54" t="str">
        <x:v>T025</x:v>
      </x:c>
      <x:c r="B29" s="54" t="str">
        <x:v>T004</x:v>
      </x:c>
      <x:c r="C29" s="54" t="n">
        <x:v>3</x:v>
      </x:c>
      <x:c r="D29" s="54" t="str">
        <x:v>ベース重量</x:v>
      </x:c>
      <x:c r="E29" s="54" t="str">
        <x:v>m_base</x:v>
      </x:c>
      <x:c r="F29" s="55" t="n">
        <x:f>'01_入力仕様'!D38*'01_入力仕様'!D39*'01_入力仕様'!D40*1E-9</x:f>
        <x:v>0.0405</x:v>
      </x:c>
      <x:c r="G29" s="55" t="str">
        <x:v>kg</x:v>
      </x:c>
      <x:c r="H29" s="55" t="n">
        <x:f>ABS(K29)*$F$5</x:f>
        <x:v>0.24300000000000002</x:v>
      </x:c>
      <x:c r="I29" s="54" t="str">
        <x:v>m_base=A_base×t_base×rho_base×1E-9</x:v>
      </x:c>
      <x:c r="J29" s="55" t="n">
        <x:f>F29/F8</x:f>
        <x:v>0.308941856363521</x:v>
      </x:c>
      <x:c r="K29" s="55" t="n">
        <x:f>K8*J29</x:f>
        <x:v>0.027157395165524175</x:v>
      </x:c>
      <x:c r="L29" s="54" t="str">
        <x:f>IF(K29&gt;0,"増加→総重量増",IF(K29&lt;0,"増加→総重量減","中立"))</x:f>
        <x:v>増加→総重量増</x:v>
      </x:c>
      <x:c r="M29" s="54" t="str">
        <x:v>設計対象</x:v>
      </x:c>
      <x:c r="N29" s="54" t="str"/>
      <x:c r="O29" s="229" t="n">
        <x:f>--(COUNTIF($B$5:$B$560,A29)=0)</x:f>
        <x:v>0</x:v>
      </x:c>
      <x:c r="P29" s="70" t="str">
        <x:f>IF(LEFT(E29,7)&lt;&gt;"Enable_","",IFERROR(IF(OR(ISNUMBER(SEARCH("=Enable",INDEX($I$5:$I$560,MATCH(B29,$A$5:$A$560,0)))),ISNUMBER(SEARCH("×Enable",INDEX($I$5:$I$560,MATCH(B29,$A$5:$A$560,0))))),1,""),""))</x:f>
      </x:c>
      <x:c r="Q29" t="n">
        <x:f>IF(E29="","",--(XMATCH(E29,$E$5:E29,0)=ROWS($E$5:E29)))</x:f>
        <x:v>1</x:v>
      </x:c>
      <x:c r="R29" t="n">
        <x:f>IF(Q29=1,SUM($Q$5:Q29),"")</x:f>
        <x:v>24</x:v>
      </x:c>
    </x:row>
    <x:row r="30">
      <x:c r="A30" s="58" t="str">
        <x:v>T026</x:v>
      </x:c>
      <x:c r="B30" s="58" t="str">
        <x:v>T025</x:v>
      </x:c>
      <x:c r="C30" s="58" t="n">
        <x:v>4</x:v>
      </x:c>
      <x:c r="D30" s="58" t="str">
        <x:v>ベース面積</x:v>
      </x:c>
      <x:c r="E30" s="58" t="str">
        <x:v>A_base</x:v>
      </x:c>
      <x:c r="F30" s="59" t="n">
        <x:f>'01_入力仕様'!D104*'01_入力仕様'!D105*1E6</x:f>
        <x:v>5200.000000000001</x:v>
      </x:c>
      <x:c r="G30" s="59" t="str">
        <x:v>mm²</x:v>
      </x:c>
      <x:c r="H30" s="59" t="n">
        <x:f>ABS(K30)*$F$5</x:f>
        <x:v>0.24300000000000002</x:v>
      </x:c>
      <x:c r="I30" s="58" t="str">
        <x:v>A_base=L_base×W_base×1E6</x:v>
      </x:c>
      <x:c r="J30" s="59" t="n">
        <x:f>1</x:f>
        <x:v>1</x:v>
      </x:c>
      <x:c r="K30" s="59" t="n">
        <x:f>K29*J30</x:f>
        <x:v>0.027157395165524175</x:v>
      </x:c>
      <x:c r="L30" s="58" t="str">
        <x:f>IF(K30&gt;0,"増加→総重量増",IF(K30&lt;0,"増加→総重量減","中立"))</x:f>
        <x:v>増加→総重量増</x:v>
      </x:c>
      <x:c r="M30" s="58" t="str">
        <x:v>設計対象</x:v>
      </x:c>
      <x:c r="N30" s="58" t="str"/>
      <x:c r="O30" s="229" t="n">
        <x:f>--(COUNTIF($B$5:$B$560,A30)=0)</x:f>
        <x:v>0</x:v>
      </x:c>
      <x:c r="P30" s="70" t="str">
        <x:f>IF(LEFT(E30,7)&lt;&gt;"Enable_","",IFERROR(IF(OR(ISNUMBER(SEARCH("=Enable",INDEX($I$5:$I$560,MATCH(B30,$A$5:$A$560,0)))),ISNUMBER(SEARCH("×Enable",INDEX($I$5:$I$560,MATCH(B30,$A$5:$A$560,0))))),1,""),""))</x:f>
      </x:c>
      <x:c r="Q30" t="n">
        <x:f>IF(E30="","",--(XMATCH(E30,$E$5:E30,0)=ROWS($E$5:E30)))</x:f>
        <x:v>1</x:v>
      </x:c>
      <x:c r="R30" t="n">
        <x:f>IF(Q30=1,SUM($Q$5:Q30),"")</x:f>
        <x:v>25</x:v>
      </x:c>
    </x:row>
    <x:row r="31">
      <x:c r="A31" s="58" t="str">
        <x:v>T027</x:v>
      </x:c>
      <x:c r="B31" s="58" t="str">
        <x:v>T025</x:v>
      </x:c>
      <x:c r="C31" s="58" t="n">
        <x:v>4</x:v>
      </x:c>
      <x:c r="D31" s="58" t="str">
        <x:v>ベース厚さ</x:v>
      </x:c>
      <x:c r="E31" s="58" t="str">
        <x:v>t_base</x:v>
      </x:c>
      <x:c r="F31" s="59" t="n">
        <x:f>MAX(F269,F231)</x:f>
        <x:v>4.8</x:v>
      </x:c>
      <x:c r="G31" s="59" t="str">
        <x:v>mm</x:v>
      </x:c>
      <x:c r="H31" s="59" t="n">
        <x:f>ABS(K31)*$F$5</x:f>
        <x:v>0.24300000000000002</x:v>
      </x:c>
      <x:c r="I31" s="58" t="str">
        <x:v>t_base=MAX(t_base_input,t_base_req)</x:v>
      </x:c>
      <x:c r="J31" s="59" t="n">
        <x:f>1</x:f>
        <x:v>1</x:v>
      </x:c>
      <x:c r="K31" s="59" t="n">
        <x:f>K29*J31</x:f>
        <x:v>0.027157395165524175</x:v>
      </x:c>
      <x:c r="L31" s="58" t="str">
        <x:f>IF(K31&gt;0,"増加→総重量増",IF(K31&lt;0,"増加→総重量減","中立"))</x:f>
        <x:v>増加→総重量増</x:v>
      </x:c>
      <x:c r="M31" s="58" t="str">
        <x:v>設計対象</x:v>
      </x:c>
      <x:c r="N31" s="58" t="str"/>
      <x:c r="O31" s="229" t="n">
        <x:f>--(COUNTIF($B$5:$B$560,A31)=0)</x:f>
        <x:v>0</x:v>
      </x:c>
      <x:c r="P31" s="70" t="str">
        <x:f>IF(LEFT(E31,7)&lt;&gt;"Enable_","",IFERROR(IF(OR(ISNUMBER(SEARCH("=Enable",INDEX($I$5:$I$560,MATCH(B31,$A$5:$A$560,0)))),ISNUMBER(SEARCH("×Enable",INDEX($I$5:$I$560,MATCH(B31,$A$5:$A$560,0))))),1,""),""))</x:f>
      </x:c>
      <x:c r="Q31" t="n">
        <x:f>IF(E31="","",--(XMATCH(E31,$E$5:E31,0)=ROWS($E$5:E31)))</x:f>
        <x:v>1</x:v>
      </x:c>
      <x:c r="R31" t="n">
        <x:f>IF(Q31=1,SUM($Q$5:Q31),"")</x:f>
        <x:v>26</x:v>
      </x:c>
    </x:row>
    <x:row r="32">
      <x:c r="A32" s="58" t="str">
        <x:v>T028</x:v>
      </x:c>
      <x:c r="B32" s="58" t="str">
        <x:v>T025</x:v>
      </x:c>
      <x:c r="C32" s="58" t="n">
        <x:v>4</x:v>
      </x:c>
      <x:c r="D32" s="58" t="str">
        <x:v>ベース密度</x:v>
      </x:c>
      <x:c r="E32" s="58" t="str">
        <x:v>rho_base</x:v>
      </x:c>
      <x:c r="F32" s="59" t="n">
        <x:f>'01_入力仕様'!D40</x:f>
        <x:v>2700</x:v>
      </x:c>
      <x:c r="G32" s="59" t="str">
        <x:v>kg/m³</x:v>
      </x:c>
      <x:c r="H32" s="59" t="n">
        <x:f>ABS(K32)*$F$5</x:f>
        <x:v>0.24300000000000002</x:v>
      </x:c>
      <x:c r="I32" s="58" t="str">
        <x:v>入力仕様</x:v>
      </x:c>
      <x:c r="J32" s="59" t="n">
        <x:f>1</x:f>
        <x:v>1</x:v>
      </x:c>
      <x:c r="K32" s="59" t="n">
        <x:f>K29*J32</x:f>
        <x:v>0.027157395165524175</x:v>
      </x:c>
      <x:c r="L32" s="58" t="str">
        <x:f>IF(K32&gt;0,"増加→総重量増",IF(K32&lt;0,"増加→総重量減","中立"))</x:f>
        <x:v>増加→総重量増</x:v>
      </x:c>
      <x:c r="M32" s="58" t="str">
        <x:v>設計対象</x:v>
      </x:c>
      <x:c r="N32" s="58" t="str"/>
      <x:c r="O32" s="229" t="n">
        <x:f>--(COUNTIF($B$5:$B$560,A32)=0)</x:f>
        <x:v>1</x:v>
      </x:c>
      <x:c r="P32" s="70" t="str">
        <x:f>IF(LEFT(E32,7)&lt;&gt;"Enable_","",IFERROR(IF(OR(ISNUMBER(SEARCH("=Enable",INDEX($I$5:$I$560,MATCH(B32,$A$5:$A$560,0)))),ISNUMBER(SEARCH("×Enable",INDEX($I$5:$I$560,MATCH(B32,$A$5:$A$560,0))))),1,""),""))</x:f>
      </x:c>
      <x:c r="Q32" t="n">
        <x:f>IF(E32="","",--(XMATCH(E32,$E$5:E32,0)=ROWS($E$5:E32)))</x:f>
        <x:v>1</x:v>
      </x:c>
      <x:c r="R32" t="n">
        <x:f>IF(Q32=1,SUM($Q$5:Q32),"")</x:f>
        <x:v>27</x:v>
      </x:c>
    </x:row>
    <x:row r="33">
      <x:c r="A33" s="58" t="str">
        <x:v>T029</x:v>
      </x:c>
      <x:c r="B33" s="58" t="str">
        <x:v>T004</x:v>
      </x:c>
      <x:c r="C33" s="58" t="n">
        <x:v>3</x:v>
      </x:c>
      <x:c r="D33" s="58" t="str">
        <x:v>封止・端子重量</x:v>
      </x:c>
      <x:c r="E33" s="58" t="str">
        <x:v>m_pkg</x:v>
      </x:c>
      <x:c r="F33" s="59" t="n">
        <x:f>'01_入力仕様'!D41</x:f>
        <x:v>0.075</x:v>
      </x:c>
      <x:c r="G33" s="59" t="str">
        <x:v>kg</x:v>
      </x:c>
      <x:c r="H33" s="59" t="n">
        <x:f>ABS(K33)*$F$5</x:f>
        <x:v>0.45</x:v>
      </x:c>
      <x:c r="I33" s="58" t="str">
        <x:v>入力仕様</x:v>
      </x:c>
      <x:c r="J33" s="59" t="n">
        <x:f>F33/F8</x:f>
        <x:v>0.5721145488213352</x:v>
      </x:c>
      <x:c r="K33" s="59" t="n">
        <x:f>K8*J33</x:f>
        <x:v>0.05029147252874847</x:v>
      </x:c>
      <x:c r="L33" s="58" t="str">
        <x:f>IF(K33&gt;0,"増加→総重量増",IF(K33&lt;0,"増加→総重量減","中立"))</x:f>
        <x:v>増加→総重量増</x:v>
      </x:c>
      <x:c r="M33" s="58" t="str">
        <x:v>設計対象</x:v>
      </x:c>
      <x:c r="N33" s="58" t="str"/>
      <x:c r="O33" s="229" t="n">
        <x:f>--(COUNTIF($B$5:$B$560,A33)=0)</x:f>
        <x:v>1</x:v>
      </x:c>
      <x:c r="P33" s="70" t="str">
        <x:f>IF(LEFT(E33,7)&lt;&gt;"Enable_","",IFERROR(IF(OR(ISNUMBER(SEARCH("=Enable",INDEX($I$5:$I$560,MATCH(B33,$A$5:$A$560,0)))),ISNUMBER(SEARCH("×Enable",INDEX($I$5:$I$560,MATCH(B33,$A$5:$A$560,0))))),1,""),""))</x:f>
      </x:c>
      <x:c r="Q33" t="n">
        <x:f>IF(E33="","",--(XMATCH(E33,$E$5:E33,0)=ROWS($E$5:E33)))</x:f>
        <x:v>1</x:v>
      </x:c>
      <x:c r="R33" t="n">
        <x:f>IF(Q33=1,SUM($Q$5:Q33),"")</x:f>
        <x:v>28</x:v>
      </x:c>
    </x:row>
    <x:row r="34">
      <x:c r="A34" s="54" t="str">
        <x:v>T030</x:v>
      </x:c>
      <x:c r="B34" s="54" t="str">
        <x:v>T001</x:v>
      </x:c>
      <x:c r="C34" s="54" t="n">
        <x:v>1</x:v>
      </x:c>
      <x:c r="D34" s="54" t="str">
        <x:v>冷却系重量</x:v>
      </x:c>
      <x:c r="E34" s="54" t="str">
        <x:v>M_cool</x:v>
      </x:c>
      <x:c r="F34" s="55" t="n">
        <x:f>F35+F443+F457+F95</x:f>
        <x:v>0.7492866225892505</x:v>
      </x:c>
      <x:c r="G34" s="55" t="str">
        <x:v>kg</x:v>
      </x:c>
      <x:c r="H34" s="55" t="n">
        <x:f>ABS(K34)*$F$5</x:f>
        <x:v>0.7492866225892505</x:v>
      </x:c>
      <x:c r="I34" s="54" t="str">
        <x:v>M_cool=m_hx+m_cool_fix</x:v>
      </x:c>
      <x:c r="J34" s="55" t="n">
        <x:f>F34/F5</x:f>
        <x:v>0.08373939465801336</x:v>
      </x:c>
      <x:c r="K34" s="55" t="n">
        <x:f>K5*J34</x:f>
        <x:v>0.08373939465801336</x:v>
      </x:c>
      <x:c r="L34" s="54" t="str">
        <x:f>IF(K34&gt;0,"増加→総重量増",IF(K34&lt;0,"増加→総重量減","中立"))</x:f>
        <x:v>増加→総重量増</x:v>
      </x:c>
      <x:c r="M34" s="54" t="str">
        <x:v>設計対象</x:v>
      </x:c>
      <x:c r="N34" s="54" t="str"/>
      <x:c r="O34" s="229" t="n">
        <x:f>--(COUNTIF($B$5:$B$560,A34)=0)</x:f>
        <x:v>0</x:v>
      </x:c>
      <x:c r="P34" s="70" t="str">
        <x:f>IF(LEFT(E34,7)&lt;&gt;"Enable_","",IFERROR(IF(OR(ISNUMBER(SEARCH("=Enable",INDEX($I$5:$I$560,MATCH(B34,$A$5:$A$560,0)))),ISNUMBER(SEARCH("×Enable",INDEX($I$5:$I$560,MATCH(B34,$A$5:$A$560,0))))),1,""),""))</x:f>
      </x:c>
      <x:c r="Q34" t="n">
        <x:f>IF(E34="","",--(XMATCH(E34,$E$5:E34,0)=ROWS($E$5:E34)))</x:f>
        <x:v>1</x:v>
      </x:c>
      <x:c r="R34" t="n">
        <x:f>IF(Q34=1,SUM($Q$5:Q34),"")</x:f>
        <x:v>29</x:v>
      </x:c>
    </x:row>
    <x:row r="35">
      <x:c r="A35" s="54" t="str">
        <x:v>T031</x:v>
      </x:c>
      <x:c r="B35" s="54" t="str">
        <x:v>T030</x:v>
      </x:c>
      <x:c r="C35" s="54" t="n">
        <x:v>2</x:v>
      </x:c>
      <x:c r="D35" s="54" t="str">
        <x:v>熱交換器重量</x:v>
      </x:c>
      <x:c r="E35" s="54" t="str">
        <x:v>m_hx</x:v>
      </x:c>
      <x:c r="F35" s="55" t="n">
        <x:f>F36/F82*F448*F455*F514*F536</x:f>
        <x:v>0.19928662258925056</x:v>
      </x:c>
      <x:c r="G35" s="55" t="str">
        <x:v>kg</x:v>
      </x:c>
      <x:c r="H35" s="55" t="n">
        <x:f>ABS(K35)*$F$5</x:f>
        <x:v>0.19928662258925056</x:v>
      </x:c>
      <x:c r="I35" s="54" t="str">
        <x:v>m_hx=Q_req/q_cool×TIM×Tj×potting×package_cooling</x:v>
      </x:c>
      <x:c r="J35" s="55" t="n">
        <x:f>F35/F34</x:f>
        <x:v>0.2659684779912279</x:v>
      </x:c>
      <x:c r="K35" s="55" t="n">
        <x:f>K34*J35</x:f>
        <x:v>0.022272039345098575</x:v>
      </x:c>
      <x:c r="L35" s="54" t="str">
        <x:f>IF(K35&gt;0,"増加→総重量増",IF(K35&lt;0,"増加→総重量減","中立"))</x:f>
        <x:v>増加→総重量増</x:v>
      </x:c>
      <x:c r="M35" s="54" t="str">
        <x:v>設計対象</x:v>
      </x:c>
      <x:c r="N35" s="54" t="str"/>
      <x:c r="O35" s="229" t="n">
        <x:f>--(COUNTIF($B$5:$B$560,A35)=0)</x:f>
        <x:v>0</x:v>
      </x:c>
      <x:c r="P35" s="70" t="str">
        <x:f>IF(LEFT(E35,7)&lt;&gt;"Enable_","",IFERROR(IF(OR(ISNUMBER(SEARCH("=Enable",INDEX($I$5:$I$560,MATCH(B35,$A$5:$A$560,0)))),ISNUMBER(SEARCH("×Enable",INDEX($I$5:$I$560,MATCH(B35,$A$5:$A$560,0))))),1,""),""))</x:f>
      </x:c>
      <x:c r="Q35" t="n">
        <x:f>IF(E35="","",--(XMATCH(E35,$E$5:E35,0)=ROWS($E$5:E35)))</x:f>
        <x:v>1</x:v>
      </x:c>
      <x:c r="R35" t="n">
        <x:f>IF(Q35=1,SUM($Q$5:Q35),"")</x:f>
        <x:v>30</x:v>
      </x:c>
    </x:row>
    <x:row r="36">
      <x:c r="A36" s="62" t="str">
        <x:v>T032</x:v>
      </x:c>
      <x:c r="B36" s="62" t="str">
        <x:v>T031</x:v>
      </x:c>
      <x:c r="C36" s="62" t="n">
        <x:v>3</x:v>
      </x:c>
      <x:c r="D36" s="62" t="str">
        <x:v>必要冷却能力</x:v>
      </x:c>
      <x:c r="E36" s="62" t="str">
        <x:v>Q_req</x:v>
      </x:c>
      <x:c r="F36" s="63" t="n">
        <x:f>'01_入力仕様'!D51*(F38+F444+F467+F479+F488+F504+F516+F534)</x:f>
        <x:v>2879.450068368693</x:v>
      </x:c>
      <x:c r="G36" s="63" t="str">
        <x:v>W</x:v>
      </x:c>
      <x:c r="H36" s="63" t="n">
        <x:f>ABS(K36)*$F$5</x:f>
        <x:v>0.19928662258925056</x:v>
      </x:c>
      <x:c r="I36" s="62" t="str">
        <x:v>Q_req=K_th×(P_loss+補機/フィルタ/保護/放電待機損失)</x:v>
      </x:c>
      <x:c r="J36" s="63" t="n">
        <x:f>1</x:f>
        <x:v>1</x:v>
      </x:c>
      <x:c r="K36" s="63" t="n">
        <x:f>K35*J36</x:f>
        <x:v>0.022272039345098575</x:v>
      </x:c>
      <x:c r="L36" s="62" t="str">
        <x:f>IF(K36&gt;0,"増加→総重量増",IF(K36&lt;0,"増加→総重量減","中立"))</x:f>
        <x:v>増加→総重量増</x:v>
      </x:c>
      <x:c r="M36" s="62" t="str">
        <x:v>設計対象</x:v>
      </x:c>
      <x:c r="N36" s="62" t="str"/>
      <x:c r="O36" s="229" t="n">
        <x:f>--(COUNTIF($B$5:$B$560,A36)=0)</x:f>
        <x:v>0</x:v>
      </x:c>
      <x:c r="P36" s="70" t="str">
        <x:f>IF(LEFT(E36,7)&lt;&gt;"Enable_","",IFERROR(IF(OR(ISNUMBER(SEARCH("=Enable",INDEX($I$5:$I$560,MATCH(B36,$A$5:$A$560,0)))),ISNUMBER(SEARCH("×Enable",INDEX($I$5:$I$560,MATCH(B36,$A$5:$A$560,0))))),1,""),""))</x:f>
      </x:c>
      <x:c r="Q36" t="n">
        <x:f>IF(E36="","",--(XMATCH(E36,$E$5:E36,0)=ROWS($E$5:E36)))</x:f>
        <x:v>1</x:v>
      </x:c>
      <x:c r="R36" t="n">
        <x:f>IF(Q36=1,SUM($Q$5:Q36),"")</x:f>
        <x:v>31</x:v>
      </x:c>
    </x:row>
    <x:row r="37">
      <x:c r="A37" s="58" t="str">
        <x:v>T033</x:v>
      </x:c>
      <x:c r="B37" s="58" t="str">
        <x:v>T032</x:v>
      </x:c>
      <x:c r="C37" s="58" t="n">
        <x:v>4</x:v>
      </x:c>
      <x:c r="D37" s="58" t="str">
        <x:v>熱設計マージン</x:v>
      </x:c>
      <x:c r="E37" s="58" t="str">
        <x:v>K_th</x:v>
      </x:c>
      <x:c r="F37" s="59" t="n">
        <x:f>'01_入力仕様'!D51</x:f>
        <x:v>1.2</x:v>
      </x:c>
      <x:c r="G37" s="59" t="str">
        <x:v>-</x:v>
      </x:c>
      <x:c r="H37" s="59" t="n">
        <x:f>ABS(K37)*$F$5</x:f>
        <x:v>0.19928662258925056</x:v>
      </x:c>
      <x:c r="I37" s="58" t="str">
        <x:v>入力仕様</x:v>
      </x:c>
      <x:c r="J37" s="59" t="n">
        <x:f>1</x:f>
        <x:v>1</x:v>
      </x:c>
      <x:c r="K37" s="59" t="n">
        <x:f>K36*J37</x:f>
        <x:v>0.022272039345098575</x:v>
      </x:c>
      <x:c r="L37" s="58" t="str">
        <x:f>IF(K37&gt;0,"増加→総重量増",IF(K37&lt;0,"増加→総重量減","中立"))</x:f>
        <x:v>増加→総重量増</x:v>
      </x:c>
      <x:c r="M37" s="58" t="str">
        <x:v>設計対象</x:v>
      </x:c>
      <x:c r="N37" s="58" t="str"/>
      <x:c r="O37" s="229" t="n">
        <x:f>--(COUNTIF($B$5:$B$560,A37)=0)</x:f>
        <x:v>1</x:v>
      </x:c>
      <x:c r="P37" s="70" t="str">
        <x:f>IF(LEFT(E37,7)&lt;&gt;"Enable_","",IFERROR(IF(OR(ISNUMBER(SEARCH("=Enable",INDEX($I$5:$I$560,MATCH(B37,$A$5:$A$560,0)))),ISNUMBER(SEARCH("×Enable",INDEX($I$5:$I$560,MATCH(B37,$A$5:$A$560,0))))),1,""),""))</x:f>
      </x:c>
      <x:c r="Q37" t="n">
        <x:f>IF(E37="","",--(XMATCH(E37,$E$5:E37,0)=ROWS($E$5:E37)))</x:f>
        <x:v>1</x:v>
      </x:c>
      <x:c r="R37" t="n">
        <x:f>IF(Q37=1,SUM($Q$5:Q37),"")</x:f>
        <x:v>32</x:v>
      </x:c>
    </x:row>
    <x:row r="38">
      <x:c r="A38" s="62" t="str">
        <x:v>T034</x:v>
      </x:c>
      <x:c r="B38" s="62" t="str">
        <x:v>T032</x:v>
      </x:c>
      <x:c r="C38" s="62" t="n">
        <x:v>4</x:v>
      </x:c>
      <x:c r="D38" s="62" t="str">
        <x:v>半導体総損失</x:v>
      </x:c>
      <x:c r="E38" s="62" t="str">
        <x:v>P_loss</x:v>
      </x:c>
      <x:c r="F38" s="63" t="n">
        <x:f>F39+F68+F319+F332+F350</x:f>
        <x:v>1798.9176897168268</x:v>
      </x:c>
      <x:c r="G38" s="63" t="str">
        <x:v>W</x:v>
      </x:c>
      <x:c r="H38" s="63" t="n">
        <x:f>ABS(K38)*$F$5</x:f>
        <x:v>0.06826131260586836</x:v>
      </x:c>
      <x:c r="I38" s="62" t="str">
        <x:v>P_loss=P_cond+P_sw+P_dead+P_gate+P_snub</x:v>
      </x:c>
      <x:c r="J38" s="63" t="n">
        <x:f>F38/(F38+F444+F471+F479)</x:f>
        <x:v>0.34252832286972756</x:v>
      </x:c>
      <x:c r="K38" s="63" t="n">
        <x:f>K36*J38</x:f>
        <x:v>0.0076288042837652</x:v>
      </x:c>
      <x:c r="L38" s="62" t="str">
        <x:f>IF(K38&gt;0,"増加→総重量増",IF(K38&lt;0,"増加→総重量減","中立"))</x:f>
        <x:v>増加→総重量増</x:v>
      </x:c>
      <x:c r="M38" s="62" t="str">
        <x:v>設計対象</x:v>
      </x:c>
      <x:c r="N38" s="62" t="str"/>
      <x:c r="O38" s="229" t="n">
        <x:f>--(COUNTIF($B$5:$B$560,A38)=0)</x:f>
        <x:v>0</x:v>
      </x:c>
      <x:c r="P38" s="70" t="str">
        <x:f>IF(LEFT(E38,7)&lt;&gt;"Enable_","",IFERROR(IF(OR(ISNUMBER(SEARCH("=Enable",INDEX($I$5:$I$560,MATCH(B38,$A$5:$A$560,0)))),ISNUMBER(SEARCH("×Enable",INDEX($I$5:$I$560,MATCH(B38,$A$5:$A$560,0))))),1,""),""))</x:f>
      </x:c>
      <x:c r="Q38" t="n">
        <x:f>IF(E38="","",--(XMATCH(E38,$E$5:E38,0)=ROWS($E$5:E38)))</x:f>
        <x:v>1</x:v>
      </x:c>
      <x:c r="R38" t="n">
        <x:f>IF(Q38=1,SUM($Q$5:Q38),"")</x:f>
        <x:v>33</x:v>
      </x:c>
    </x:row>
    <x:row r="39">
      <x:c r="A39" s="62" t="str">
        <x:v>T035</x:v>
      </x:c>
      <x:c r="B39" s="62" t="str">
        <x:v>T034</x:v>
      </x:c>
      <x:c r="C39" s="62" t="n">
        <x:v>5</x:v>
      </x:c>
      <x:c r="D39" s="62" t="str">
        <x:v>導通損失</x:v>
      </x:c>
      <x:c r="E39" s="62" t="str">
        <x:v>P_cond</x:v>
      </x:c>
      <x:c r="F39" s="63" t="n">
        <x:f>3*F40^2*F44</x:f>
        <x:v>15.178911624505142</x:v>
      </x:c>
      <x:c r="G39" s="63" t="str">
        <x:v>W</x:v>
      </x:c>
      <x:c r="H39" s="63" t="n">
        <x:f>ABS(K39)*$F$5</x:f>
        <x:v>0.0005759754530960755</x:v>
      </x:c>
      <x:c r="I39" s="62" t="str">
        <x:v>P_cond=3×I_phase²×R_on_eq</x:v>
      </x:c>
      <x:c r="J39" s="63" t="n">
        <x:f>IF(F38=0,0,F39/F38)</x:f>
        <x:v>0.00843780219143573</x:v>
      </x:c>
      <x:c r="K39" s="63" t="n">
        <x:f>K38*J39</x:f>
        <x:v>0.00006437034150358829</x:v>
      </x:c>
      <x:c r="L39" s="62" t="str">
        <x:f>IF(K39&gt;0,"増加→総重量増",IF(K39&lt;0,"増加→総重量減","中立"))</x:f>
        <x:v>増加→総重量増</x:v>
      </x:c>
      <x:c r="M39" s="62" t="str">
        <x:v>設計対象</x:v>
      </x:c>
      <x:c r="N39" s="62" t="str"/>
      <x:c r="O39" s="229" t="n">
        <x:f>--(COUNTIF($B$5:$B$560,A39)=0)</x:f>
        <x:v>0</x:v>
      </x:c>
      <x:c r="P39" s="70" t="str">
        <x:f>IF(LEFT(E39,7)&lt;&gt;"Enable_","",IFERROR(IF(OR(ISNUMBER(SEARCH("=Enable",INDEX($I$5:$I$560,MATCH(B39,$A$5:$A$560,0)))),ISNUMBER(SEARCH("×Enable",INDEX($I$5:$I$560,MATCH(B39,$A$5:$A$560,0))))),1,""),""))</x:f>
      </x:c>
      <x:c r="Q39" t="n">
        <x:f>IF(E39="","",--(XMATCH(E39,$E$5:E39,0)=ROWS($E$5:E39)))</x:f>
        <x:v>1</x:v>
      </x:c>
      <x:c r="R39" t="n">
        <x:f>IF(Q39=1,SUM($Q$5:Q39),"")</x:f>
        <x:v>34</x:v>
      </x:c>
    </x:row>
    <x:row r="40">
      <x:c r="A40" s="62" t="str">
        <x:v>T036</x:v>
      </x:c>
      <x:c r="B40" s="62" t="str">
        <x:v>T035</x:v>
      </x:c>
      <x:c r="C40" s="62" t="n">
        <x:v>6</x:v>
      </x:c>
      <x:c r="D40" s="62" t="str">
        <x:v>相電流RMS</x:v>
      </x:c>
      <x:c r="E40" s="62" t="str">
        <x:v>I_phase</x:v>
      </x:c>
      <x:c r="F40" s="63" t="n">
        <x:f>'01_入力仕様'!D5*1000/(SQRT(3)*'01_入力仕様'!D7*'01_入力仕様'!D8*'01_入力仕様'!D9)</x:f>
        <x:v>156.63327975844433</x:v>
      </x:c>
      <x:c r="G40" s="63" t="str">
        <x:v>A</x:v>
      </x:c>
      <x:c r="H40" s="63" t="n">
        <x:f>ABS(K40)*$F$5</x:f>
        <x:v>0.001151950906192151</x:v>
      </x:c>
      <x:c r="I40" s="62" t="str">
        <x:v>I_phase=P_out_const/(√3×V_ll×PF×eta)</x:v>
      </x:c>
      <x:c r="J40" s="63" t="n">
        <x:f>2</x:f>
        <x:v>2</x:v>
      </x:c>
      <x:c r="K40" s="63" t="n">
        <x:f>K39*J40</x:f>
        <x:v>0.00012874068300717658</x:v>
      </x:c>
      <x:c r="L40" s="62" t="str">
        <x:f>IF(K40&gt;0,"増加→総重量増",IF(K40&lt;0,"増加→総重量減","中立"))</x:f>
        <x:v>増加→総重量増</x:v>
      </x:c>
      <x:c r="M40" s="62" t="str">
        <x:v>設計対象</x:v>
      </x:c>
      <x:c r="N40" s="62" t="str">
        <x:v>P_out固定要求</x:v>
      </x:c>
      <x:c r="O40" s="229" t="n">
        <x:f>--(COUNTIF($B$5:$B$560,A40)=0)</x:f>
        <x:v>0</x:v>
      </x:c>
      <x:c r="P40" s="70" t="str">
        <x:f>IF(LEFT(E40,7)&lt;&gt;"Enable_","",IFERROR(IF(OR(ISNUMBER(SEARCH("=Enable",INDEX($I$5:$I$560,MATCH(B40,$A$5:$A$560,0)))),ISNUMBER(SEARCH("×Enable",INDEX($I$5:$I$560,MATCH(B40,$A$5:$A$560,0))))),1,""),""))</x:f>
      </x:c>
      <x:c r="Q40" t="n">
        <x:f>IF(E40="","",--(XMATCH(E40,$E$5:E40,0)=ROWS($E$5:E40)))</x:f>
        <x:v>0</x:v>
      </x:c>
      <x:c r="R40" t="str">
        <x:f>IF(Q40=1,SUM($Q$5:Q40),"")</x:f>
      </x:c>
    </x:row>
    <x:row r="41">
      <x:c r="A41" s="58" t="str">
        <x:v>T037</x:v>
      </x:c>
      <x:c r="B41" s="58" t="str">
        <x:v>T036</x:v>
      </x:c>
      <x:c r="C41" s="58" t="n">
        <x:v>7</x:v>
      </x:c>
      <x:c r="D41" s="58" t="str">
        <x:v>線間電圧RMS</x:v>
      </x:c>
      <x:c r="E41" s="58" t="str">
        <x:v>V_ll</x:v>
      </x:c>
      <x:c r="F41" s="59" t="n">
        <x:f>'01_入力仕様'!D7</x:f>
        <x:v>400</x:v>
      </x:c>
      <x:c r="G41" s="59" t="str">
        <x:v>V</x:v>
      </x:c>
      <x:c r="H41" s="59" t="n">
        <x:f>ABS(K41)*$F$5</x:f>
        <x:v>0.001151950906192151</x:v>
      </x:c>
      <x:c r="I41" s="58" t="str">
        <x:v>入力仕様</x:v>
      </x:c>
      <x:c r="J41" s="59" t="n">
        <x:f>-1</x:f>
        <x:v>-1</x:v>
      </x:c>
      <x:c r="K41" s="59" t="n">
        <x:f>K40*J41</x:f>
        <x:v>-0.00012874068300717658</x:v>
      </x:c>
      <x:c r="L41" s="58" t="str">
        <x:f>IF(K41&gt;0,"増加→総重量増",IF(K41&lt;0,"増加→総重量減","中立"))</x:f>
        <x:v>増加→総重量減</x:v>
      </x:c>
      <x:c r="M41" s="58" t="str">
        <x:v>設計対象</x:v>
      </x:c>
      <x:c r="N41" s="58" t="str"/>
      <x:c r="O41" s="229" t="n">
        <x:f>--(COUNTIF($B$5:$B$560,A41)=0)</x:f>
        <x:v>1</x:v>
      </x:c>
      <x:c r="P41" s="70" t="str">
        <x:f>IF(LEFT(E41,7)&lt;&gt;"Enable_","",IFERROR(IF(OR(ISNUMBER(SEARCH("=Enable",INDEX($I$5:$I$560,MATCH(B41,$A$5:$A$560,0)))),ISNUMBER(SEARCH("×Enable",INDEX($I$5:$I$560,MATCH(B41,$A$5:$A$560,0))))),1,""),""))</x:f>
      </x:c>
      <x:c r="Q41" t="n">
        <x:f>IF(E41="","",--(XMATCH(E41,$E$5:E41,0)=ROWS($E$5:E41)))</x:f>
        <x:v>0</x:v>
      </x:c>
      <x:c r="R41" t="str">
        <x:f>IF(Q41=1,SUM($Q$5:Q41),"")</x:f>
      </x:c>
    </x:row>
    <x:row r="42">
      <x:c r="A42" s="58" t="str">
        <x:v>T038</x:v>
      </x:c>
      <x:c r="B42" s="58" t="str">
        <x:v>T036</x:v>
      </x:c>
      <x:c r="C42" s="58" t="n">
        <x:v>7</x:v>
      </x:c>
      <x:c r="D42" s="58" t="str">
        <x:v>力率</x:v>
      </x:c>
      <x:c r="E42" s="58" t="str">
        <x:v>PF</x:v>
      </x:c>
      <x:c r="F42" s="59" t="n">
        <x:f>'01_入力仕様'!D8</x:f>
        <x:v>0.95</x:v>
      </x:c>
      <x:c r="G42" s="59" t="str">
        <x:v>-</x:v>
      </x:c>
      <x:c r="H42" s="59" t="n">
        <x:f>ABS(K42)*$F$5</x:f>
        <x:v>0.001151950906192151</x:v>
      </x:c>
      <x:c r="I42" s="58" t="str">
        <x:v>入力仕様</x:v>
      </x:c>
      <x:c r="J42" s="59" t="n">
        <x:f>-1</x:f>
        <x:v>-1</x:v>
      </x:c>
      <x:c r="K42" s="59" t="n">
        <x:f>K40*J42</x:f>
        <x:v>-0.00012874068300717658</x:v>
      </x:c>
      <x:c r="L42" s="58" t="str">
        <x:f>IF(K42&gt;0,"増加→総重量増",IF(K42&lt;0,"増加→総重量減","中立"))</x:f>
        <x:v>増加→総重量減</x:v>
      </x:c>
      <x:c r="M42" s="58" t="str">
        <x:v>設計対象</x:v>
      </x:c>
      <x:c r="N42" s="58" t="str"/>
      <x:c r="O42" s="229" t="n">
        <x:f>--(COUNTIF($B$5:$B$560,A42)=0)</x:f>
        <x:v>1</x:v>
      </x:c>
      <x:c r="P42" s="70" t="str">
        <x:f>IF(LEFT(E42,7)&lt;&gt;"Enable_","",IFERROR(IF(OR(ISNUMBER(SEARCH("=Enable",INDEX($I$5:$I$560,MATCH(B42,$A$5:$A$560,0)))),ISNUMBER(SEARCH("×Enable",INDEX($I$5:$I$560,MATCH(B42,$A$5:$A$560,0))))),1,""),""))</x:f>
      </x:c>
      <x:c r="Q42" t="n">
        <x:f>IF(E42="","",--(XMATCH(E42,$E$5:E42,0)=ROWS($E$5:E42)))</x:f>
        <x:v>0</x:v>
      </x:c>
      <x:c r="R42" t="str">
        <x:f>IF(Q42=1,SUM($Q$5:Q42),"")</x:f>
      </x:c>
    </x:row>
    <x:row r="43">
      <x:c r="A43" s="58" t="str">
        <x:v>T039</x:v>
      </x:c>
      <x:c r="B43" s="58" t="str">
        <x:v>T036</x:v>
      </x:c>
      <x:c r="C43" s="58" t="n">
        <x:v>7</x:v>
      </x:c>
      <x:c r="D43" s="58" t="str">
        <x:v>効率</x:v>
      </x:c>
      <x:c r="E43" s="58" t="str">
        <x:v>eta</x:v>
      </x:c>
      <x:c r="F43" s="59" t="n">
        <x:f>'01_入力仕様'!D9</x:f>
        <x:v>0.97</x:v>
      </x:c>
      <x:c r="G43" s="59" t="str">
        <x:v>-</x:v>
      </x:c>
      <x:c r="H43" s="59" t="n">
        <x:f>ABS(K43)*$F$5</x:f>
        <x:v>0.001151950906192151</x:v>
      </x:c>
      <x:c r="I43" s="58" t="str">
        <x:v>入力仕様</x:v>
      </x:c>
      <x:c r="J43" s="59" t="n">
        <x:f>-1</x:f>
        <x:v>-1</x:v>
      </x:c>
      <x:c r="K43" s="59" t="n">
        <x:f>K40*J43</x:f>
        <x:v>-0.00012874068300717658</x:v>
      </x:c>
      <x:c r="L43" s="58" t="str">
        <x:f>IF(K43&gt;0,"増加→総重量増",IF(K43&lt;0,"増加→総重量減","中立"))</x:f>
        <x:v>増加→総重量減</x:v>
      </x:c>
      <x:c r="M43" s="58" t="str">
        <x:v>設計対象</x:v>
      </x:c>
      <x:c r="N43" s="58" t="str"/>
      <x:c r="O43" s="229" t="n">
        <x:f>--(COUNTIF($B$5:$B$560,A43)=0)</x:f>
        <x:v>1</x:v>
      </x:c>
      <x:c r="P43" s="70" t="str">
        <x:f>IF(LEFT(E43,7)&lt;&gt;"Enable_","",IFERROR(IF(OR(ISNUMBER(SEARCH("=Enable",INDEX($I$5:$I$560,MATCH(B43,$A$5:$A$560,0)))),ISNUMBER(SEARCH("×Enable",INDEX($I$5:$I$560,MATCH(B43,$A$5:$A$560,0))))),1,""),""))</x:f>
      </x:c>
      <x:c r="Q43" t="n">
        <x:f>IF(E43="","",--(XMATCH(E43,$E$5:E43,0)=ROWS($E$5:E43)))</x:f>
        <x:v>0</x:v>
      </x:c>
      <x:c r="R43" t="str">
        <x:f>IF(Q43=1,SUM($Q$5:Q43),"")</x:f>
      </x:c>
    </x:row>
    <x:row r="44">
      <x:c r="A44" s="62" t="str">
        <x:v>T040</x:v>
      </x:c>
      <x:c r="B44" s="62" t="str">
        <x:v>T035</x:v>
      </x:c>
      <x:c r="C44" s="62" t="n">
        <x:v>6</x:v>
      </x:c>
      <x:c r="D44" s="62" t="str">
        <x:v>等価オン抵抗</x:v>
      </x:c>
      <x:c r="E44" s="62" t="str">
        <x:v>R_on_eq</x:v>
      </x:c>
      <x:c r="F44" s="63" t="n">
        <x:f>F45/('01_入力仕様'!D25*'01_入力仕様'!D86)*F328*F461</x:f>
        <x:v>0.00020622973996185502</x:v>
      </x:c>
      <x:c r="G44" s="63" t="str">
        <x:v>Ω</x:v>
      </x:c>
      <x:c r="H44" s="63" t="n">
        <x:f>ABS(K44)*$F$5</x:f>
        <x:v>0.0005759754530960755</x:v>
      </x:c>
      <x:c r="I44" s="62" t="str">
        <x:v>R_on_eq=Rsp_total/(A_chip×N_parallel)×k_vgs_ron×k_Ron_T</x:v>
      </x:c>
      <x:c r="J44" s="63" t="n">
        <x:f>1</x:f>
        <x:v>1</x:v>
      </x:c>
      <x:c r="K44" s="63" t="n">
        <x:f>K39*J44</x:f>
        <x:v>0.00006437034150358829</x:v>
      </x:c>
      <x:c r="L44" s="62" t="str">
        <x:f>IF(K44&gt;0,"増加→総重量増",IF(K44&lt;0,"増加→総重量減","中立"))</x:f>
        <x:v>増加→総重量増</x:v>
      </x:c>
      <x:c r="M44" s="62" t="str">
        <x:v>設計対象</x:v>
      </x:c>
      <x:c r="N44" s="62" t="str"/>
      <x:c r="O44" s="229" t="n">
        <x:f>--(COUNTIF($B$5:$B$560,A44)=0)</x:f>
        <x:v>0</x:v>
      </x:c>
      <x:c r="P44" s="70" t="str">
        <x:f>IF(LEFT(E44,7)&lt;&gt;"Enable_","",IFERROR(IF(OR(ISNUMBER(SEARCH("=Enable",INDEX($I$5:$I$560,MATCH(B44,$A$5:$A$560,0)))),ISNUMBER(SEARCH("×Enable",INDEX($I$5:$I$560,MATCH(B44,$A$5:$A$560,0))))),1,""),""))</x:f>
      </x:c>
      <x:c r="Q44" t="n">
        <x:f>IF(E44="","",--(XMATCH(E44,$E$5:E44,0)=ROWS($E$5:E44)))</x:f>
        <x:v>1</x:v>
      </x:c>
      <x:c r="R44" t="n">
        <x:f>IF(Q44=1,SUM($Q$5:Q44),"")</x:f>
        <x:v>35</x:v>
      </x:c>
    </x:row>
    <x:row r="45">
      <x:c r="A45" s="62" t="str">
        <x:v>T041</x:v>
      </x:c>
      <x:c r="B45" s="62" t="str">
        <x:v>T040</x:v>
      </x:c>
      <x:c r="C45" s="62" t="n">
        <x:v>7</x:v>
      </x:c>
      <x:c r="D45" s="62" t="str">
        <x:v>総比オン抵抗</x:v>
      </x:c>
      <x:c r="E45" s="62" t="str">
        <x:v>Rsp_total</x:v>
      </x:c>
      <x:c r="F45" s="63" t="n">
        <x:f>F46+'01_入力仕様'!D24</x:f>
        <x:v>0.05689096274809794</x:v>
      </x:c>
      <x:c r="G45" s="63" t="str">
        <x:v>Ω·mm²</x:v>
      </x:c>
      <x:c r="H45" s="63" t="n">
        <x:f>ABS(K45)*$F$5</x:f>
        <x:v>0.0005759754530960755</x:v>
      </x:c>
      <x:c r="I45" s="62" t="str">
        <x:v>Rsp_total=Rsp_drift+Rsp_cell</x:v>
      </x:c>
      <x:c r="J45" s="63" t="n">
        <x:f>1</x:f>
        <x:v>1</x:v>
      </x:c>
      <x:c r="K45" s="63" t="n">
        <x:f>K44*J45</x:f>
        <x:v>0.00006437034150358829</x:v>
      </x:c>
      <x:c r="L45" s="62" t="str">
        <x:f>IF(K45&gt;0,"増加→総重量増",IF(K45&lt;0,"増加→総重量減","中立"))</x:f>
        <x:v>増加→総重量増</x:v>
      </x:c>
      <x:c r="M45" s="62" t="str">
        <x:v>設計対象</x:v>
      </x:c>
      <x:c r="N45" s="62" t="str"/>
      <x:c r="O45" s="229" t="n">
        <x:f>--(COUNTIF($B$5:$B$560,A45)=0)</x:f>
        <x:v>0</x:v>
      </x:c>
      <x:c r="P45" s="70" t="str">
        <x:f>IF(LEFT(E45,7)&lt;&gt;"Enable_","",IFERROR(IF(OR(ISNUMBER(SEARCH("=Enable",INDEX($I$5:$I$560,MATCH(B45,$A$5:$A$560,0)))),ISNUMBER(SEARCH("×Enable",INDEX($I$5:$I$560,MATCH(B45,$A$5:$A$560,0))))),1,""),""))</x:f>
      </x:c>
      <x:c r="Q45" t="n">
        <x:f>IF(E45="","",--(XMATCH(E45,$E$5:E45,0)=ROWS($E$5:E45)))</x:f>
        <x:v>1</x:v>
      </x:c>
      <x:c r="R45" t="n">
        <x:f>IF(Q45=1,SUM($Q$5:Q45),"")</x:f>
        <x:v>36</x:v>
      </x:c>
    </x:row>
    <x:row r="46">
      <x:c r="A46" s="62" t="str">
        <x:v>T042</x:v>
      </x:c>
      <x:c r="B46" s="62" t="str">
        <x:v>T041</x:v>
      </x:c>
      <x:c r="C46" s="62" t="n">
        <x:v>8</x:v>
      </x:c>
      <x:c r="D46" s="62" t="str">
        <x:v>ドリフト層比オン抵抗</x:v>
      </x:c>
      <x:c r="E46" s="62" t="str">
        <x:v>Rsp_drift</x:v>
      </x:c>
      <x:c r="F46" s="63" t="n">
        <x:f>'01_入力仕様'!D23*F48*F58*1E6</x:f>
        <x:v>0.05539096274809794</x:v>
      </x:c>
      <x:c r="G46" s="63" t="str">
        <x:v>Ω·mm²</x:v>
      </x:c>
      <x:c r="H46" s="63" t="n">
        <x:f>ABS(K46)*$F$5</x:f>
        <x:v>0.0005607891539386931</x:v>
      </x:c>
      <x:c r="I46" s="62" t="str">
        <x:v>Rsp_drift=K_rsp×rho_drift×t_drift×1E6</x:v>
      </x:c>
      <x:c r="J46" s="63" t="n">
        <x:f>F46/F45</x:f>
        <x:v>0.9736337736690851</x:v>
      </x:c>
      <x:c r="K46" s="63" t="n">
        <x:f>K45*J46</x:f>
        <x:v>0.0000626731385105064</x:v>
      </x:c>
      <x:c r="L46" s="62" t="str">
        <x:f>IF(K46&gt;0,"増加→総重量増",IF(K46&lt;0,"増加→総重量減","中立"))</x:f>
        <x:v>増加→総重量増</x:v>
      </x:c>
      <x:c r="M46" s="62" t="str">
        <x:v>設計対象</x:v>
      </x:c>
      <x:c r="N46" s="62" t="str"/>
      <x:c r="O46" s="229" t="n">
        <x:f>--(COUNTIF($B$5:$B$560,A46)=0)</x:f>
        <x:v>0</x:v>
      </x:c>
      <x:c r="P46" s="70" t="str">
        <x:f>IF(LEFT(E46,7)&lt;&gt;"Enable_","",IFERROR(IF(OR(ISNUMBER(SEARCH("=Enable",INDEX($I$5:$I$560,MATCH(B46,$A$5:$A$560,0)))),ISNUMBER(SEARCH("×Enable",INDEX($I$5:$I$560,MATCH(B46,$A$5:$A$560,0))))),1,""),""))</x:f>
      </x:c>
      <x:c r="Q46" t="n">
        <x:f>IF(E46="","",--(XMATCH(E46,$E$5:E46,0)=ROWS($E$5:E46)))</x:f>
        <x:v>1</x:v>
      </x:c>
      <x:c r="R46" t="n">
        <x:f>IF(Q46=1,SUM($Q$5:Q46),"")</x:f>
        <x:v>37</x:v>
      </x:c>
    </x:row>
    <x:row r="47">
      <x:c r="A47" s="58" t="str">
        <x:v>T043</x:v>
      </x:c>
      <x:c r="B47" s="58" t="str">
        <x:v>T042</x:v>
      </x:c>
      <x:c r="C47" s="58" t="n">
        <x:v>9</x:v>
      </x:c>
      <x:c r="D47" s="58" t="str">
        <x:v>比オン抵抗補正</x:v>
      </x:c>
      <x:c r="E47" s="58" t="str">
        <x:v>K_rsp</x:v>
      </x:c>
      <x:c r="F47" s="59" t="n">
        <x:f>'01_入力仕様'!D23</x:f>
        <x:v>1</x:v>
      </x:c>
      <x:c r="G47" s="59" t="str">
        <x:v>-</x:v>
      </x:c>
      <x:c r="H47" s="59" t="n">
        <x:f>ABS(K47)*$F$5</x:f>
        <x:v>0.0005607891539386931</x:v>
      </x:c>
      <x:c r="I47" s="58" t="str">
        <x:v>入力仕様</x:v>
      </x:c>
      <x:c r="J47" s="59" t="n">
        <x:f>1</x:f>
        <x:v>1</x:v>
      </x:c>
      <x:c r="K47" s="59" t="n">
        <x:f>K46*J47</x:f>
        <x:v>0.0000626731385105064</x:v>
      </x:c>
      <x:c r="L47" s="58" t="str">
        <x:f>IF(K47&gt;0,"増加→総重量増",IF(K47&lt;0,"増加→総重量減","中立"))</x:f>
        <x:v>増加→総重量増</x:v>
      </x:c>
      <x:c r="M47" s="58" t="str">
        <x:v>設計対象</x:v>
      </x:c>
      <x:c r="N47" s="58" t="str"/>
      <x:c r="O47" s="229" t="n">
        <x:f>--(COUNTIF($B$5:$B$560,A47)=0)</x:f>
        <x:v>1</x:v>
      </x:c>
      <x:c r="P47" s="70" t="str">
        <x:f>IF(LEFT(E47,7)&lt;&gt;"Enable_","",IFERROR(IF(OR(ISNUMBER(SEARCH("=Enable",INDEX($I$5:$I$560,MATCH(B47,$A$5:$A$560,0)))),ISNUMBER(SEARCH("×Enable",INDEX($I$5:$I$560,MATCH(B47,$A$5:$A$560,0))))),1,""),""))</x:f>
      </x:c>
      <x:c r="Q47" t="n">
        <x:f>IF(E47="","",--(XMATCH(E47,$E$5:E47,0)=ROWS($E$5:E47)))</x:f>
        <x:v>1</x:v>
      </x:c>
      <x:c r="R47" t="n">
        <x:f>IF(Q47=1,SUM($Q$5:Q47),"")</x:f>
        <x:v>38</x:v>
      </x:c>
    </x:row>
    <x:row r="48">
      <x:c r="A48" s="62" t="str">
        <x:v>T044</x:v>
      </x:c>
      <x:c r="B48" s="62" t="str">
        <x:v>T042</x:v>
      </x:c>
      <x:c r="C48" s="62" t="n">
        <x:v>9</x:v>
      </x:c>
      <x:c r="D48" s="62" t="str">
        <x:v>ドリフト層抵抗率</x:v>
      </x:c>
      <x:c r="E48" s="62" t="str">
        <x:v>rho_drift</x:v>
      </x:c>
      <x:c r="F48" s="63" t="n">
        <x:f>1/('01_入力仕様'!D22*'01_入力仕様'!D21*F51)</x:f>
        <x:v>0.008280776277265225</x:v>
      </x:c>
      <x:c r="G48" s="63" t="str">
        <x:v>Ωm</x:v>
      </x:c>
      <x:c r="H48" s="63" t="n">
        <x:f>ABS(K48)*$F$5</x:f>
        <x:v>0.0005607891539386931</x:v>
      </x:c>
      <x:c r="I48" s="62" t="str">
        <x:v>rho_drift=1/(q_e×mu_n×N_drift)</x:v>
      </x:c>
      <x:c r="J48" s="63" t="n">
        <x:f>1</x:f>
        <x:v>1</x:v>
      </x:c>
      <x:c r="K48" s="63" t="n">
        <x:f>K46*J48</x:f>
        <x:v>0.0000626731385105064</x:v>
      </x:c>
      <x:c r="L48" s="62" t="str">
        <x:f>IF(K48&gt;0,"増加→総重量増",IF(K48&lt;0,"増加→総重量減","中立"))</x:f>
        <x:v>増加→総重量増</x:v>
      </x:c>
      <x:c r="M48" s="62" t="str">
        <x:v>設計対象</x:v>
      </x:c>
      <x:c r="N48" s="62" t="str"/>
      <x:c r="O48" s="229" t="n">
        <x:f>--(COUNTIF($B$5:$B$560,A48)=0)</x:f>
        <x:v>0</x:v>
      </x:c>
      <x:c r="P48" s="70" t="str">
        <x:f>IF(LEFT(E48,7)&lt;&gt;"Enable_","",IFERROR(IF(OR(ISNUMBER(SEARCH("=Enable",INDEX($I$5:$I$560,MATCH(B48,$A$5:$A$560,0)))),ISNUMBER(SEARCH("×Enable",INDEX($I$5:$I$560,MATCH(B48,$A$5:$A$560,0))))),1,""),""))</x:f>
      </x:c>
      <x:c r="Q48" t="n">
        <x:f>IF(E48="","",--(XMATCH(E48,$E$5:E48,0)=ROWS($E$5:E48)))</x:f>
        <x:v>1</x:v>
      </x:c>
      <x:c r="R48" t="n">
        <x:f>IF(Q48=1,SUM($Q$5:Q48),"")</x:f>
        <x:v>39</x:v>
      </x:c>
    </x:row>
    <x:row r="49">
      <x:c r="A49" s="66" t="str">
        <x:v>T045</x:v>
      </x:c>
      <x:c r="B49" s="66" t="str">
        <x:v>T044</x:v>
      </x:c>
      <x:c r="C49" s="66" t="n">
        <x:v>10</x:v>
      </x:c>
      <x:c r="D49" s="66" t="str">
        <x:v>素電荷</x:v>
      </x:c>
      <x:c r="E49" s="66" t="str">
        <x:v>q_e</x:v>
      </x:c>
      <x:c r="F49" s="67" t="n">
        <x:f>'01_入力仕様'!D22</x:f>
        <x:v>1.602e-19</x:v>
      </x:c>
      <x:c r="G49" s="67" t="str">
        <x:v>C</x:v>
      </x:c>
      <x:c r="H49" s="67" t="n">
        <x:f>ABS(K49)*$F$5</x:f>
        <x:v>0</x:v>
      </x:c>
      <x:c r="I49" s="66" t="str">
        <x:v>固定定数</x:v>
      </x:c>
      <x:c r="J49" s="67" t="n">
        <x:f>0</x:f>
        <x:v>0</x:v>
      </x:c>
      <x:c r="K49" s="67" t="n">
        <x:f>0</x:f>
        <x:v>0</x:v>
      </x:c>
      <x:c r="L49" s="66" t="str">
        <x:v>感度対象外</x:v>
      </x:c>
      <x:c r="M49" s="66" t="str">
        <x:v>固定/対象外</x:v>
      </x:c>
      <x:c r="N49" s="66" t="str">
        <x:v>感度対象外</x:v>
      </x:c>
      <x:c r="O49" s="229" t="n">
        <x:f>--(COUNTIF($B$5:$B$560,A49)=0)</x:f>
        <x:v>1</x:v>
      </x:c>
      <x:c r="P49" s="70" t="str">
        <x:f>IF(LEFT(E49,7)&lt;&gt;"Enable_","",IFERROR(IF(OR(ISNUMBER(SEARCH("=Enable",INDEX($I$5:$I$560,MATCH(B49,$A$5:$A$560,0)))),ISNUMBER(SEARCH("×Enable",INDEX($I$5:$I$560,MATCH(B49,$A$5:$A$560,0))))),1,""),""))</x:f>
      </x:c>
      <x:c r="Q49" t="n">
        <x:f>IF(E49="","",--(XMATCH(E49,$E$5:E49,0)=ROWS($E$5:E49)))</x:f>
        <x:v>1</x:v>
      </x:c>
      <x:c r="R49" t="n">
        <x:f>IF(Q49=1,SUM($Q$5:Q49),"")</x:f>
        <x:v>40</x:v>
      </x:c>
    </x:row>
    <x:row r="50">
      <x:c r="A50" s="58" t="str">
        <x:v>T046</x:v>
      </x:c>
      <x:c r="B50" s="58" t="str">
        <x:v>T044</x:v>
      </x:c>
      <x:c r="C50" s="58" t="n">
        <x:v>10</x:v>
      </x:c>
      <x:c r="D50" s="58" t="str">
        <x:v>移動度</x:v>
      </x:c>
      <x:c r="E50" s="58" t="str">
        <x:v>mu_n</x:v>
      </x:c>
      <x:c r="F50" s="59" t="n">
        <x:f>'01_入力仕様'!D21</x:f>
        <x:v>0.08</x:v>
      </x:c>
      <x:c r="G50" s="59" t="str">
        <x:v>m²/(V·s)</x:v>
      </x:c>
      <x:c r="H50" s="59" t="n">
        <x:f>ABS(K50)*$F$5</x:f>
        <x:v>0.0005607891539386931</x:v>
      </x:c>
      <x:c r="I50" s="58" t="str">
        <x:v>入力仕様</x:v>
      </x:c>
      <x:c r="J50" s="59" t="n">
        <x:f>-1</x:f>
        <x:v>-1</x:v>
      </x:c>
      <x:c r="K50" s="59" t="n">
        <x:f>K48*J50</x:f>
        <x:v>-0.0000626731385105064</x:v>
      </x:c>
      <x:c r="L50" s="58" t="str">
        <x:f>IF(K50&gt;0,"増加→総重量増",IF(K50&lt;0,"増加→総重量減","中立"))</x:f>
        <x:v>増加→総重量減</x:v>
      </x:c>
      <x:c r="M50" s="58" t="str">
        <x:v>設計対象</x:v>
      </x:c>
      <x:c r="N50" s="58" t="str"/>
      <x:c r="O50" s="229" t="n">
        <x:f>--(COUNTIF($B$5:$B$560,A50)=0)</x:f>
        <x:v>1</x:v>
      </x:c>
      <x:c r="P50" s="70" t="str">
        <x:f>IF(LEFT(E50,7)&lt;&gt;"Enable_","",IFERROR(IF(OR(ISNUMBER(SEARCH("=Enable",INDEX($I$5:$I$560,MATCH(B50,$A$5:$A$560,0)))),ISNUMBER(SEARCH("×Enable",INDEX($I$5:$I$560,MATCH(B50,$A$5:$A$560,0))))),1,""),""))</x:f>
      </x:c>
      <x:c r="Q50" t="n">
        <x:f>IF(E50="","",--(XMATCH(E50,$E$5:E50,0)=ROWS($E$5:E50)))</x:f>
        <x:v>1</x:v>
      </x:c>
      <x:c r="R50" t="n">
        <x:f>IF(Q50=1,SUM($Q$5:Q50),"")</x:f>
        <x:v>41</x:v>
      </x:c>
    </x:row>
    <x:row r="51">
      <x:c r="A51" s="62" t="str">
        <x:v>T047</x:v>
      </x:c>
      <x:c r="B51" s="62" t="str">
        <x:v>T044</x:v>
      </x:c>
      <x:c r="C51" s="62" t="n">
        <x:v>10</x:v>
      </x:c>
      <x:c r="D51" s="62" t="str">
        <x:v>ドーピング濃度</x:v>
      </x:c>
      <x:c r="E51" s="62" t="str">
        <x:v>N_drift</x:v>
      </x:c>
      <x:c r="F51" s="63" t="n">
        <x:f>'01_入力仕様'!D18*(F55/'01_入力仕様'!D19)^(-'01_入力仕様'!D20)</x:f>
        <x:v>9.422723553362819e+21</x:v>
      </x:c>
      <x:c r="G51" s="63" t="str">
        <x:v>1/m³</x:v>
      </x:c>
      <x:c r="H51" s="63" t="n">
        <x:f>ABS(K51)*$F$5</x:f>
        <x:v>0.0005607891539386931</x:v>
      </x:c>
      <x:c r="I51" s="62" t="str">
        <x:v>N_drift=N_d_ref×(V_block_req/V_ref_nd)^(-a_nd)</x:v>
      </x:c>
      <x:c r="J51" s="63" t="n">
        <x:f>-1</x:f>
        <x:v>-1</x:v>
      </x:c>
      <x:c r="K51" s="63" t="n">
        <x:f>K48*J51</x:f>
        <x:v>-0.0000626731385105064</x:v>
      </x:c>
      <x:c r="L51" s="62" t="str">
        <x:f>IF(K51&gt;0,"増加→総重量増",IF(K51&lt;0,"増加→総重量減","中立"))</x:f>
        <x:v>増加→総重量減</x:v>
      </x:c>
      <x:c r="M51" s="62" t="str">
        <x:v>設計対象</x:v>
      </x:c>
      <x:c r="N51" s="62" t="str"/>
      <x:c r="O51" s="229" t="n">
        <x:f>--(COUNTIF($B$5:$B$560,A51)=0)</x:f>
        <x:v>0</x:v>
      </x:c>
      <x:c r="P51" s="70" t="str">
        <x:f>IF(LEFT(E51,7)&lt;&gt;"Enable_","",IFERROR(IF(OR(ISNUMBER(SEARCH("=Enable",INDEX($I$5:$I$560,MATCH(B51,$A$5:$A$560,0)))),ISNUMBER(SEARCH("×Enable",INDEX($I$5:$I$560,MATCH(B51,$A$5:$A$560,0))))),1,""),""))</x:f>
      </x:c>
      <x:c r="Q51" t="n">
        <x:f>IF(E51="","",--(XMATCH(E51,$E$5:E51,0)=ROWS($E$5:E51)))</x:f>
        <x:v>1</x:v>
      </x:c>
      <x:c r="R51" t="n">
        <x:f>IF(Q51=1,SUM($Q$5:Q51),"")</x:f>
        <x:v>42</x:v>
      </x:c>
    </x:row>
    <x:row r="52">
      <x:c r="A52" s="58" t="str">
        <x:v>T048</x:v>
      </x:c>
      <x:c r="B52" s="58" t="str">
        <x:v>T047</x:v>
      </x:c>
      <x:c r="C52" s="58" t="n">
        <x:v>11</x:v>
      </x:c>
      <x:c r="D52" s="58" t="str">
        <x:v>基準ドーピング</x:v>
      </x:c>
      <x:c r="E52" s="58" t="str">
        <x:v>N_d_ref</x:v>
      </x:c>
      <x:c r="F52" s="59" t="n">
        <x:f>'01_入力仕様'!D18</x:f>
        <x:v>8e+21</x:v>
      </x:c>
      <x:c r="G52" s="59" t="str">
        <x:v>1/m³</x:v>
      </x:c>
      <x:c r="H52" s="59" t="n">
        <x:f>ABS(K52)*$F$5</x:f>
        <x:v>0.0005607891539386931</x:v>
      </x:c>
      <x:c r="I52" s="58" t="str">
        <x:v>入力仕様</x:v>
      </x:c>
      <x:c r="J52" s="59" t="n">
        <x:f>1</x:f>
        <x:v>1</x:v>
      </x:c>
      <x:c r="K52" s="59" t="n">
        <x:f>K51*J52</x:f>
        <x:v>-0.0000626731385105064</x:v>
      </x:c>
      <x:c r="L52" s="58" t="str">
        <x:f>IF(K52&gt;0,"増加→総重量増",IF(K52&lt;0,"増加→総重量減","中立"))</x:f>
        <x:v>増加→総重量減</x:v>
      </x:c>
      <x:c r="M52" s="58" t="str">
        <x:v>設計対象</x:v>
      </x:c>
      <x:c r="N52" s="58" t="str"/>
      <x:c r="O52" s="229" t="n">
        <x:f>--(COUNTIF($B$5:$B$560,A52)=0)</x:f>
        <x:v>1</x:v>
      </x:c>
      <x:c r="P52" s="70" t="str">
        <x:f>IF(LEFT(E52,7)&lt;&gt;"Enable_","",IFERROR(IF(OR(ISNUMBER(SEARCH("=Enable",INDEX($I$5:$I$560,MATCH(B52,$A$5:$A$560,0)))),ISNUMBER(SEARCH("×Enable",INDEX($I$5:$I$560,MATCH(B52,$A$5:$A$560,0))))),1,""),""))</x:f>
      </x:c>
      <x:c r="Q52" t="n">
        <x:f>IF(E52="","",--(XMATCH(E52,$E$5:E52,0)=ROWS($E$5:E52)))</x:f>
        <x:v>1</x:v>
      </x:c>
      <x:c r="R52" t="n">
        <x:f>IF(Q52=1,SUM($Q$5:Q52),"")</x:f>
        <x:v>43</x:v>
      </x:c>
    </x:row>
    <x:row r="53">
      <x:c r="A53" s="58" t="str">
        <x:v>T049</x:v>
      </x:c>
      <x:c r="B53" s="58" t="str">
        <x:v>T047</x:v>
      </x:c>
      <x:c r="C53" s="58" t="n">
        <x:v>11</x:v>
      </x:c>
      <x:c r="D53" s="58" t="str">
        <x:v>耐圧基準</x:v>
      </x:c>
      <x:c r="E53" s="58" t="str">
        <x:v>V_ref_nd</x:v>
      </x:c>
      <x:c r="F53" s="59" t="n">
        <x:f>'01_入力仕様'!D19</x:f>
        <x:v>1200</x:v>
      </x:c>
      <x:c r="G53" s="59" t="str">
        <x:v>V</x:v>
      </x:c>
      <x:c r="H53" s="59" t="n">
        <x:f>ABS(K53)*$F$5</x:f>
        <x:v>0.0006729469847264316</x:v>
      </x:c>
      <x:c r="I53" s="58" t="str">
        <x:v>入力仕様</x:v>
      </x:c>
      <x:c r="J53" s="59" t="n">
        <x:f>'01_入力仕様'!D20</x:f>
        <x:v>1.2</x:v>
      </x:c>
      <x:c r="K53" s="59" t="n">
        <x:f>K51*J53</x:f>
        <x:v>-0.00007520776621260767</x:v>
      </x:c>
      <x:c r="L53" s="58" t="str">
        <x:f>IF(K53&gt;0,"増加→総重量増",IF(K53&lt;0,"増加→総重量減","中立"))</x:f>
        <x:v>増加→総重量減</x:v>
      </x:c>
      <x:c r="M53" s="58" t="str">
        <x:v>設計対象</x:v>
      </x:c>
      <x:c r="N53" s="58" t="str"/>
      <x:c r="O53" s="229" t="n">
        <x:f>--(COUNTIF($B$5:$B$560,A53)=0)</x:f>
        <x:v>1</x:v>
      </x:c>
      <x:c r="P53" s="70" t="str">
        <x:f>IF(LEFT(E53,7)&lt;&gt;"Enable_","",IFERROR(IF(OR(ISNUMBER(SEARCH("=Enable",INDEX($I$5:$I$560,MATCH(B53,$A$5:$A$560,0)))),ISNUMBER(SEARCH("×Enable",INDEX($I$5:$I$560,MATCH(B53,$A$5:$A$560,0))))),1,""),""))</x:f>
      </x:c>
      <x:c r="Q53" t="n">
        <x:f>IF(E53="","",--(XMATCH(E53,$E$5:E53,0)=ROWS($E$5:E53)))</x:f>
        <x:v>1</x:v>
      </x:c>
      <x:c r="R53" t="n">
        <x:f>IF(Q53=1,SUM($Q$5:Q53),"")</x:f>
        <x:v>44</x:v>
      </x:c>
    </x:row>
    <x:row r="54">
      <x:c r="A54" s="58" t="str">
        <x:v>T050</x:v>
      </x:c>
      <x:c r="B54" s="58" t="str">
        <x:v>T047</x:v>
      </x:c>
      <x:c r="C54" s="58" t="n">
        <x:v>11</x:v>
      </x:c>
      <x:c r="D54" s="58" t="str">
        <x:v>耐圧指数</x:v>
      </x:c>
      <x:c r="E54" s="58" t="str">
        <x:v>a_nd</x:v>
      </x:c>
      <x:c r="F54" s="59" t="n">
        <x:f>'01_入力仕様'!D20</x:f>
        <x:v>1.2</x:v>
      </x:c>
      <x:c r="G54" s="59" t="str">
        <x:v>-</x:v>
      </x:c>
      <x:c r="H54" s="59" t="n">
        <x:f>ABS(K54)*$F$5</x:f>
        <x:v>0.00009179144341315239</x:v>
      </x:c>
      <x:c r="I54" s="58" t="str">
        <x:v>入力仕様</x:v>
      </x:c>
      <x:c r="J54" s="59" t="n">
        <x:f>-'01_入力仕様'!D20*LN(F55/'01_入力仕様'!D19)</x:f>
        <x:v>0.16368262968079314</x:v>
      </x:c>
      <x:c r="K54" s="59" t="n">
        <x:f>K51*J54</x:f>
        <x:v>-0.000010258504121748273</x:v>
      </x:c>
      <x:c r="L54" s="58" t="str">
        <x:f>IF(K54&gt;0,"増加→総重量増",IF(K54&lt;0,"増加→総重量減","中立"))</x:f>
        <x:v>増加→総重量減</x:v>
      </x:c>
      <x:c r="M54" s="58" t="str">
        <x:v>設計対象</x:v>
      </x:c>
      <x:c r="N54" s="58" t="str"/>
      <x:c r="O54" s="229" t="n">
        <x:f>--(COUNTIF($B$5:$B$560,A54)=0)</x:f>
        <x:v>1</x:v>
      </x:c>
      <x:c r="P54" s="70" t="str">
        <x:f>IF(LEFT(E54,7)&lt;&gt;"Enable_","",IFERROR(IF(OR(ISNUMBER(SEARCH("=Enable",INDEX($I$5:$I$560,MATCH(B54,$A$5:$A$560,0)))),ISNUMBER(SEARCH("×Enable",INDEX($I$5:$I$560,MATCH(B54,$A$5:$A$560,0))))),1,""),""))</x:f>
      </x:c>
      <x:c r="Q54" t="n">
        <x:f>IF(E54="","",--(XMATCH(E54,$E$5:E54,0)=ROWS($E$5:E54)))</x:f>
        <x:v>1</x:v>
      </x:c>
      <x:c r="R54" t="n">
        <x:f>IF(Q54=1,SUM($Q$5:Q54),"")</x:f>
        <x:v>45</x:v>
      </x:c>
    </x:row>
    <x:row r="55">
      <x:c r="A55" s="62" t="str">
        <x:v>T051</x:v>
      </x:c>
      <x:c r="B55" s="62" t="str">
        <x:v>T047</x:v>
      </x:c>
      <x:c r="C55" s="62" t="n">
        <x:v>11</x:v>
      </x:c>
      <x:c r="D55" s="62" t="str">
        <x:v>必要耐圧</x:v>
      </x:c>
      <x:c r="E55" s="62" t="str">
        <x:v>V_block_req</x:v>
      </x:c>
      <x:c r="F55" s="63" t="n">
        <x:f>'01_入力仕様'!D14*'01_入力仕様'!D6+F347</x:f>
        <x:v>1046.9899839275333</x:v>
      </x:c>
      <x:c r="G55" s="63" t="str">
        <x:v>V</x:v>
      </x:c>
      <x:c r="H55" s="63" t="n">
        <x:f>ABS(K55)*$F$5</x:f>
        <x:v>0.0006729469847264316</x:v>
      </x:c>
      <x:c r="I55" s="62" t="str">
        <x:v>V_block_req=K_vblk×V_dc+V_overshoot_eff</x:v>
      </x:c>
      <x:c r="J55" s="63" t="n">
        <x:f>-'01_入力仕様'!D20</x:f>
        <x:v>-1.2</x:v>
      </x:c>
      <x:c r="K55" s="63" t="n">
        <x:f>K51*J55</x:f>
        <x:v>0.00007520776621260767</x:v>
      </x:c>
      <x:c r="L55" s="62" t="str">
        <x:f>IF(K55&gt;0,"増加→総重量増",IF(K55&lt;0,"増加→総重量減","中立"))</x:f>
        <x:v>増加→総重量増</x:v>
      </x:c>
      <x:c r="M55" s="62" t="str">
        <x:v>設計対象</x:v>
      </x:c>
      <x:c r="N55" s="62" t="str"/>
      <x:c r="O55" s="229" t="n">
        <x:f>--(COUNTIF($B$5:$B$560,A55)=0)</x:f>
        <x:v>0</x:v>
      </x:c>
      <x:c r="P55" s="70" t="str">
        <x:f>IF(LEFT(E55,7)&lt;&gt;"Enable_","",IFERROR(IF(OR(ISNUMBER(SEARCH("=Enable",INDEX($I$5:$I$560,MATCH(B55,$A$5:$A$560,0)))),ISNUMBER(SEARCH("×Enable",INDEX($I$5:$I$560,MATCH(B55,$A$5:$A$560,0))))),1,""),""))</x:f>
      </x:c>
      <x:c r="Q55" t="n">
        <x:f>IF(E55="","",--(XMATCH(E55,$E$5:E55,0)=ROWS($E$5:E55)))</x:f>
        <x:v>1</x:v>
      </x:c>
      <x:c r="R55" t="n">
        <x:f>IF(Q55=1,SUM($Q$5:Q55),"")</x:f>
        <x:v>46</x:v>
      </x:c>
    </x:row>
    <x:row r="56">
      <x:c r="A56" s="58" t="str">
        <x:v>T052</x:v>
      </x:c>
      <x:c r="B56" s="58" t="str">
        <x:v>T051</x:v>
      </x:c>
      <x:c r="C56" s="58" t="n">
        <x:v>12</x:v>
      </x:c>
      <x:c r="D56" s="58" t="str">
        <x:v>耐圧係数</x:v>
      </x:c>
      <x:c r="E56" s="58" t="str">
        <x:v>K_vblk</x:v>
      </x:c>
      <x:c r="F56" s="59" t="n">
        <x:f>'01_入力仕様'!D14</x:f>
        <x:v>1.25</x:v>
      </x:c>
      <x:c r="G56" s="59" t="str">
        <x:v>-</x:v>
      </x:c>
      <x:c r="H56" s="59" t="n">
        <x:f>ABS(K56)*$F$5</x:f>
        <x:v>0.0006427444340986257</x:v>
      </x:c>
      <x:c r="I56" s="58" t="str">
        <x:v>入力仕様</x:v>
      </x:c>
      <x:c r="J56" s="59" t="n">
        <x:f>('01_入力仕様'!D14*'01_入力仕様'!D6)/F55</x:f>
        <x:v>0.9551189747286201</x:v>
      </x:c>
      <x:c r="K56" s="59" t="n">
        <x:f>K55*J56</x:f>
        <x:v>0.0000718323645566156</x:v>
      </x:c>
      <x:c r="L56" s="58" t="str">
        <x:f>IF(K56&gt;0,"増加→総重量増",IF(K56&lt;0,"増加→総重量減","中立"))</x:f>
        <x:v>増加→総重量増</x:v>
      </x:c>
      <x:c r="M56" s="58" t="str">
        <x:v>設計対象</x:v>
      </x:c>
      <x:c r="N56" s="58" t="str"/>
      <x:c r="O56" s="229" t="n">
        <x:f>--(COUNTIF($B$5:$B$560,A56)=0)</x:f>
        <x:v>1</x:v>
      </x:c>
      <x:c r="P56" s="70" t="str">
        <x:f>IF(LEFT(E56,7)&lt;&gt;"Enable_","",IFERROR(IF(OR(ISNUMBER(SEARCH("=Enable",INDEX($I$5:$I$560,MATCH(B56,$A$5:$A$560,0)))),ISNUMBER(SEARCH("×Enable",INDEX($I$5:$I$560,MATCH(B56,$A$5:$A$560,0))))),1,""),""))</x:f>
      </x:c>
      <x:c r="Q56" t="n">
        <x:f>IF(E56="","",--(XMATCH(E56,$E$5:E56,0)=ROWS($E$5:E56)))</x:f>
        <x:v>1</x:v>
      </x:c>
      <x:c r="R56" t="n">
        <x:f>IF(Q56=1,SUM($Q$5:Q56),"")</x:f>
        <x:v>47</x:v>
      </x:c>
    </x:row>
    <x:row r="57">
      <x:c r="A57" s="58" t="str">
        <x:v>T053</x:v>
      </x:c>
      <x:c r="B57" s="58" t="str">
        <x:v>T051</x:v>
      </x:c>
      <x:c r="C57" s="58" t="n">
        <x:v>12</x:v>
      </x:c>
      <x:c r="D57" s="58" t="str">
        <x:v>DCバス電圧</x:v>
      </x:c>
      <x:c r="E57" s="58" t="str">
        <x:v>V_dc</x:v>
      </x:c>
      <x:c r="F57" s="59" t="n">
        <x:f>'01_入力仕様'!D6</x:f>
        <x:v>800</x:v>
      </x:c>
      <x:c r="G57" s="59" t="str">
        <x:v>V</x:v>
      </x:c>
      <x:c r="H57" s="59" t="n">
        <x:f>ABS(K57)*$F$5</x:f>
        <x:v>0.0006427444340986257</x:v>
      </x:c>
      <x:c r="I57" s="58" t="str">
        <x:v>入力仕様</x:v>
      </x:c>
      <x:c r="J57" s="59" t="n">
        <x:f>('01_入力仕様'!D14*'01_入力仕様'!D6)/F55</x:f>
        <x:v>0.9551189747286201</x:v>
      </x:c>
      <x:c r="K57" s="59" t="n">
        <x:f>K55*J57</x:f>
        <x:v>0.0000718323645566156</x:v>
      </x:c>
      <x:c r="L57" s="58" t="str">
        <x:f>IF(K57&gt;0,"増加→総重量増",IF(K57&lt;0,"増加→総重量減","中立"))</x:f>
        <x:v>増加→総重量増</x:v>
      </x:c>
      <x:c r="M57" s="58" t="str">
        <x:v>設計対象</x:v>
      </x:c>
      <x:c r="N57" s="58" t="str">
        <x:v>耐圧増→Ron増</x:v>
      </x:c>
      <x:c r="O57" s="229" t="n">
        <x:f>--(COUNTIF($B$5:$B$560,A57)=0)</x:f>
        <x:v>1</x:v>
      </x:c>
      <x:c r="P57" s="70" t="str">
        <x:f>IF(LEFT(E57,7)&lt;&gt;"Enable_","",IFERROR(IF(OR(ISNUMBER(SEARCH("=Enable",INDEX($I$5:$I$560,MATCH(B57,$A$5:$A$560,0)))),ISNUMBER(SEARCH("×Enable",INDEX($I$5:$I$560,MATCH(B57,$A$5:$A$560,0))))),1,""),""))</x:f>
      </x:c>
      <x:c r="Q57" t="n">
        <x:f>IF(E57="","",--(XMATCH(E57,$E$5:E57,0)=ROWS($E$5:E57)))</x:f>
        <x:v>1</x:v>
      </x:c>
      <x:c r="R57" t="n">
        <x:f>IF(Q57=1,SUM($Q$5:Q57),"")</x:f>
        <x:v>48</x:v>
      </x:c>
    </x:row>
    <x:row r="58">
      <x:c r="A58" s="62" t="str">
        <x:v>T054</x:v>
      </x:c>
      <x:c r="B58" s="62" t="str">
        <x:v>T042</x:v>
      </x:c>
      <x:c r="C58" s="62" t="n">
        <x:v>9</x:v>
      </x:c>
      <x:c r="D58" s="62" t="str">
        <x:v>ドリフト層厚</x:v>
      </x:c>
      <x:c r="E58" s="62" t="str">
        <x:v>t_drift</x:v>
      </x:c>
      <x:c r="F58" s="63" t="n">
        <x:f>'01_入力仕様'!D17*F60/F63</x:f>
        <x:v>0.000006689102675092574</x:v>
      </x:c>
      <x:c r="G58" s="63" t="str">
        <x:v>m</x:v>
      </x:c>
      <x:c r="H58" s="63" t="n">
        <x:f>ABS(K58)*$F$5</x:f>
        <x:v>0.0005607891539386931</x:v>
      </x:c>
      <x:c r="I58" s="62" t="str">
        <x:v>t_drift=K_tdrift×V_block_req/E_allow</x:v>
      </x:c>
      <x:c r="J58" s="63" t="n">
        <x:f>1</x:f>
        <x:v>1</x:v>
      </x:c>
      <x:c r="K58" s="63" t="n">
        <x:f>K46*J58</x:f>
        <x:v>0.0000626731385105064</x:v>
      </x:c>
      <x:c r="L58" s="62" t="str">
        <x:f>IF(K58&gt;0,"増加→総重量増",IF(K58&lt;0,"増加→総重量減","中立"))</x:f>
        <x:v>増加→総重量増</x:v>
      </x:c>
      <x:c r="M58" s="62" t="str">
        <x:v>設計対象</x:v>
      </x:c>
      <x:c r="N58" s="62" t="str"/>
      <x:c r="O58" s="229" t="n">
        <x:f>--(COUNTIF($B$5:$B$560,A58)=0)</x:f>
        <x:v>0</x:v>
      </x:c>
      <x:c r="P58" s="70" t="str">
        <x:f>IF(LEFT(E58,7)&lt;&gt;"Enable_","",IFERROR(IF(OR(ISNUMBER(SEARCH("=Enable",INDEX($I$5:$I$560,MATCH(B58,$A$5:$A$560,0)))),ISNUMBER(SEARCH("×Enable",INDEX($I$5:$I$560,MATCH(B58,$A$5:$A$560,0))))),1,""),""))</x:f>
      </x:c>
      <x:c r="Q58" t="n">
        <x:f>IF(E58="","",--(XMATCH(E58,$E$5:E58,0)=ROWS($E$5:E58)))</x:f>
        <x:v>1</x:v>
      </x:c>
      <x:c r="R58" t="n">
        <x:f>IF(Q58=1,SUM($Q$5:Q58),"")</x:f>
        <x:v>49</x:v>
      </x:c>
    </x:row>
    <x:row r="59">
      <x:c r="A59" s="58" t="str">
        <x:v>T055</x:v>
      </x:c>
      <x:c r="B59" s="58" t="str">
        <x:v>T054</x:v>
      </x:c>
      <x:c r="C59" s="58" t="n">
        <x:v>10</x:v>
      </x:c>
      <x:c r="D59" s="58" t="str">
        <x:v>厚さ余裕係数</x:v>
      </x:c>
      <x:c r="E59" s="58" t="str">
        <x:v>K_tdrift</x:v>
      </x:c>
      <x:c r="F59" s="59" t="n">
        <x:f>'01_入力仕様'!D17</x:f>
        <x:v>1.15</x:v>
      </x:c>
      <x:c r="G59" s="59" t="str">
        <x:v>-</x:v>
      </x:c>
      <x:c r="H59" s="59" t="n">
        <x:f>ABS(K59)*$F$5</x:f>
        <x:v>0.0005607891539386931</x:v>
      </x:c>
      <x:c r="I59" s="58" t="str">
        <x:v>入力仕様</x:v>
      </x:c>
      <x:c r="J59" s="59" t="n">
        <x:f>1</x:f>
        <x:v>1</x:v>
      </x:c>
      <x:c r="K59" s="59" t="n">
        <x:f>K58*J59</x:f>
        <x:v>0.0000626731385105064</x:v>
      </x:c>
      <x:c r="L59" s="58" t="str">
        <x:f>IF(K59&gt;0,"増加→総重量増",IF(K59&lt;0,"増加→総重量減","中立"))</x:f>
        <x:v>増加→総重量増</x:v>
      </x:c>
      <x:c r="M59" s="58" t="str">
        <x:v>設計対象</x:v>
      </x:c>
      <x:c r="N59" s="58" t="str"/>
      <x:c r="O59" s="229" t="n">
        <x:f>--(COUNTIF($B$5:$B$560,A59)=0)</x:f>
        <x:v>1</x:v>
      </x:c>
      <x:c r="P59" s="70" t="str">
        <x:f>IF(LEFT(E59,7)&lt;&gt;"Enable_","",IFERROR(IF(OR(ISNUMBER(SEARCH("=Enable",INDEX($I$5:$I$560,MATCH(B59,$A$5:$A$560,0)))),ISNUMBER(SEARCH("×Enable",INDEX($I$5:$I$560,MATCH(B59,$A$5:$A$560,0))))),1,""),""))</x:f>
      </x:c>
      <x:c r="Q59" t="n">
        <x:f>IF(E59="","",--(XMATCH(E59,$E$5:E59,0)=ROWS($E$5:E59)))</x:f>
        <x:v>1</x:v>
      </x:c>
      <x:c r="R59" t="n">
        <x:f>IF(Q59=1,SUM($Q$5:Q59),"")</x:f>
        <x:v>50</x:v>
      </x:c>
    </x:row>
    <x:row r="60">
      <x:c r="A60" s="62" t="str">
        <x:v>T056</x:v>
      </x:c>
      <x:c r="B60" s="62" t="str">
        <x:v>T054</x:v>
      </x:c>
      <x:c r="C60" s="62" t="n">
        <x:v>10</x:v>
      </x:c>
      <x:c r="D60" s="62" t="str">
        <x:v>必要耐圧</x:v>
      </x:c>
      <x:c r="E60" s="62" t="str">
        <x:v>V_block_req</x:v>
      </x:c>
      <x:c r="F60" s="63" t="n">
        <x:f>'01_入力仕様'!D14*'01_入力仕様'!D6+F348</x:f>
        <x:v>1046.9899839275333</x:v>
      </x:c>
      <x:c r="G60" s="63" t="str">
        <x:v>V</x:v>
      </x:c>
      <x:c r="H60" s="63" t="n">
        <x:f>ABS(K60)*$F$5</x:f>
        <x:v>0.0005607891539386931</x:v>
      </x:c>
      <x:c r="I60" s="62" t="str">
        <x:v>V_block_req=K_vblk×V_dc+V_overshoot_eff</x:v>
      </x:c>
      <x:c r="J60" s="63" t="n">
        <x:f>1</x:f>
        <x:v>1</x:v>
      </x:c>
      <x:c r="K60" s="63" t="n">
        <x:f>K58*J60</x:f>
        <x:v>0.0000626731385105064</x:v>
      </x:c>
      <x:c r="L60" s="62" t="str">
        <x:f>IF(K60&gt;0,"増加→総重量増",IF(K60&lt;0,"増加→総重量減","中立"))</x:f>
        <x:v>増加→総重量増</x:v>
      </x:c>
      <x:c r="M60" s="62" t="str">
        <x:v>設計対象</x:v>
      </x:c>
      <x:c r="N60" s="62" t="str"/>
      <x:c r="O60" s="229" t="n">
        <x:f>--(COUNTIF($B$5:$B$560,A60)=0)</x:f>
        <x:v>0</x:v>
      </x:c>
      <x:c r="P60" s="70" t="str">
        <x:f>IF(LEFT(E60,7)&lt;&gt;"Enable_","",IFERROR(IF(OR(ISNUMBER(SEARCH("=Enable",INDEX($I$5:$I$560,MATCH(B60,$A$5:$A$560,0)))),ISNUMBER(SEARCH("×Enable",INDEX($I$5:$I$560,MATCH(B60,$A$5:$A$560,0))))),1,""),""))</x:f>
      </x:c>
      <x:c r="Q60" t="n">
        <x:f>IF(E60="","",--(XMATCH(E60,$E$5:E60,0)=ROWS($E$5:E60)))</x:f>
        <x:v>0</x:v>
      </x:c>
      <x:c r="R60" t="str">
        <x:f>IF(Q60=1,SUM($Q$5:Q60),"")</x:f>
      </x:c>
    </x:row>
    <x:row r="61">
      <x:c r="A61" s="58" t="str">
        <x:v>T057</x:v>
      </x:c>
      <x:c r="B61" s="58" t="str">
        <x:v>T056</x:v>
      </x:c>
      <x:c r="C61" s="58" t="n">
        <x:v>11</x:v>
      </x:c>
      <x:c r="D61" s="58" t="str">
        <x:v>耐圧係数</x:v>
      </x:c>
      <x:c r="E61" s="58" t="str">
        <x:v>K_vblk</x:v>
      </x:c>
      <x:c r="F61" s="59" t="n">
        <x:f>'01_入力仕様'!D14</x:f>
        <x:v>1.25</x:v>
      </x:c>
      <x:c r="G61" s="59" t="str">
        <x:v>-</x:v>
      </x:c>
      <x:c r="H61" s="59" t="n">
        <x:f>ABS(K61)*$F$5</x:f>
        <x:v>0.0005356203617488548</x:v>
      </x:c>
      <x:c r="I61" s="58" t="str">
        <x:v>入力仕様</x:v>
      </x:c>
      <x:c r="J61" s="59" t="n">
        <x:f>('01_入力仕様'!D14*'01_入力仕様'!D6)/F60</x:f>
        <x:v>0.9551189747286201</x:v>
      </x:c>
      <x:c r="K61" s="59" t="n">
        <x:f>K60*J61</x:f>
        <x:v>0.000059860303797179666</x:v>
      </x:c>
      <x:c r="L61" s="58" t="str">
        <x:f>IF(K61&gt;0,"増加→総重量増",IF(K61&lt;0,"増加→総重量減","中立"))</x:f>
        <x:v>増加→総重量増</x:v>
      </x:c>
      <x:c r="M61" s="58" t="str">
        <x:v>設計対象</x:v>
      </x:c>
      <x:c r="N61" s="58" t="str"/>
      <x:c r="O61" s="229" t="n">
        <x:f>--(COUNTIF($B$5:$B$560,A61)=0)</x:f>
        <x:v>1</x:v>
      </x:c>
      <x:c r="P61" s="70" t="str">
        <x:f>IF(LEFT(E61,7)&lt;&gt;"Enable_","",IFERROR(IF(OR(ISNUMBER(SEARCH("=Enable",INDEX($I$5:$I$560,MATCH(B61,$A$5:$A$560,0)))),ISNUMBER(SEARCH("×Enable",INDEX($I$5:$I$560,MATCH(B61,$A$5:$A$560,0))))),1,""),""))</x:f>
      </x:c>
      <x:c r="Q61" t="n">
        <x:f>IF(E61="","",--(XMATCH(E61,$E$5:E61,0)=ROWS($E$5:E61)))</x:f>
        <x:v>0</x:v>
      </x:c>
      <x:c r="R61" t="str">
        <x:f>IF(Q61=1,SUM($Q$5:Q61),"")</x:f>
      </x:c>
    </x:row>
    <x:row r="62">
      <x:c r="A62" s="58" t="str">
        <x:v>T058</x:v>
      </x:c>
      <x:c r="B62" s="58" t="str">
        <x:v>T056</x:v>
      </x:c>
      <x:c r="C62" s="58" t="n">
        <x:v>11</x:v>
      </x:c>
      <x:c r="D62" s="58" t="str">
        <x:v>DCバス電圧</x:v>
      </x:c>
      <x:c r="E62" s="58" t="str">
        <x:v>V_dc</x:v>
      </x:c>
      <x:c r="F62" s="59" t="n">
        <x:f>'01_入力仕様'!D6</x:f>
        <x:v>800</x:v>
      </x:c>
      <x:c r="G62" s="59" t="str">
        <x:v>V</x:v>
      </x:c>
      <x:c r="H62" s="59" t="n">
        <x:f>ABS(K62)*$F$5</x:f>
        <x:v>0.0005356203617488548</x:v>
      </x:c>
      <x:c r="I62" s="58" t="str">
        <x:v>入力仕様</x:v>
      </x:c>
      <x:c r="J62" s="59" t="n">
        <x:f>('01_入力仕様'!D14*'01_入力仕様'!D6)/F60</x:f>
        <x:v>0.9551189747286201</x:v>
      </x:c>
      <x:c r="K62" s="59" t="n">
        <x:f>K60*J62</x:f>
        <x:v>0.000059860303797179666</x:v>
      </x:c>
      <x:c r="L62" s="58" t="str">
        <x:f>IF(K62&gt;0,"増加→総重量増",IF(K62&lt;0,"増加→総重量減","中立"))</x:f>
        <x:v>増加→総重量増</x:v>
      </x:c>
      <x:c r="M62" s="58" t="str">
        <x:v>設計対象</x:v>
      </x:c>
      <x:c r="N62" s="58" t="str">
        <x:v>耐圧増→厚さ増</x:v>
      </x:c>
      <x:c r="O62" s="229" t="n">
        <x:f>--(COUNTIF($B$5:$B$560,A62)=0)</x:f>
        <x:v>1</x:v>
      </x:c>
      <x:c r="P62" s="70" t="str">
        <x:f>IF(LEFT(E62,7)&lt;&gt;"Enable_","",IFERROR(IF(OR(ISNUMBER(SEARCH("=Enable",INDEX($I$5:$I$560,MATCH(B62,$A$5:$A$560,0)))),ISNUMBER(SEARCH("×Enable",INDEX($I$5:$I$560,MATCH(B62,$A$5:$A$560,0))))),1,""),""))</x:f>
      </x:c>
      <x:c r="Q62" t="n">
        <x:f>IF(E62="","",--(XMATCH(E62,$E$5:E62,0)=ROWS($E$5:E62)))</x:f>
        <x:v>0</x:v>
      </x:c>
      <x:c r="R62" t="str">
        <x:f>IF(Q62=1,SUM($Q$5:Q62),"")</x:f>
      </x:c>
    </x:row>
    <x:row r="63">
      <x:c r="A63" s="62" t="str">
        <x:v>T059</x:v>
      </x:c>
      <x:c r="B63" s="62" t="str">
        <x:v>T054</x:v>
      </x:c>
      <x:c r="C63" s="62" t="n">
        <x:v>10</x:v>
      </x:c>
      <x:c r="D63" s="62" t="str">
        <x:v>許容電界</x:v>
      </x:c>
      <x:c r="E63" s="62" t="str">
        <x:v>E_allow</x:v>
      </x:c>
      <x:c r="F63" s="63" t="n">
        <x:f>'01_入力仕様'!D15*'01_入力仕様'!D16</x:f>
        <x:v>180000000</x:v>
      </x:c>
      <x:c r="G63" s="63" t="str">
        <x:v>V/m</x:v>
      </x:c>
      <x:c r="H63" s="63" t="n">
        <x:f>ABS(K63)*$F$5</x:f>
        <x:v>0.0005607891539386931</x:v>
      </x:c>
      <x:c r="I63" s="62" t="str">
        <x:v>E_allow=k_Euse×E_crit</x:v>
      </x:c>
      <x:c r="J63" s="63" t="n">
        <x:f>-1</x:f>
        <x:v>-1</x:v>
      </x:c>
      <x:c r="K63" s="63" t="n">
        <x:f>K58*J63</x:f>
        <x:v>-0.0000626731385105064</x:v>
      </x:c>
      <x:c r="L63" s="62" t="str">
        <x:f>IF(K63&gt;0,"増加→総重量増",IF(K63&lt;0,"増加→総重量減","中立"))</x:f>
        <x:v>増加→総重量減</x:v>
      </x:c>
      <x:c r="M63" s="62" t="str">
        <x:v>設計対象</x:v>
      </x:c>
      <x:c r="N63" s="62" t="str"/>
      <x:c r="O63" s="229" t="n">
        <x:f>--(COUNTIF($B$5:$B$560,A63)=0)</x:f>
        <x:v>0</x:v>
      </x:c>
      <x:c r="P63" s="70" t="str">
        <x:f>IF(LEFT(E63,7)&lt;&gt;"Enable_","",IFERROR(IF(OR(ISNUMBER(SEARCH("=Enable",INDEX($I$5:$I$560,MATCH(B63,$A$5:$A$560,0)))),ISNUMBER(SEARCH("×Enable",INDEX($I$5:$I$560,MATCH(B63,$A$5:$A$560,0))))),1,""),""))</x:f>
      </x:c>
      <x:c r="Q63" t="n">
        <x:f>IF(E63="","",--(XMATCH(E63,$E$5:E63,0)=ROWS($E$5:E63)))</x:f>
        <x:v>1</x:v>
      </x:c>
      <x:c r="R63" t="n">
        <x:f>IF(Q63=1,SUM($Q$5:Q63),"")</x:f>
        <x:v>51</x:v>
      </x:c>
    </x:row>
    <x:row r="64">
      <x:c r="A64" s="58" t="str">
        <x:v>T060</x:v>
      </x:c>
      <x:c r="B64" s="58" t="str">
        <x:v>T059</x:v>
      </x:c>
      <x:c r="C64" s="58" t="n">
        <x:v>11</x:v>
      </x:c>
      <x:c r="D64" s="58" t="str">
        <x:v>電界利用率</x:v>
      </x:c>
      <x:c r="E64" s="58" t="str">
        <x:v>k_Euse</x:v>
      </x:c>
      <x:c r="F64" s="59" t="n">
        <x:f>'01_入力仕様'!D15</x:f>
        <x:v>0.72</x:v>
      </x:c>
      <x:c r="G64" s="59" t="str">
        <x:v>-</x:v>
      </x:c>
      <x:c r="H64" s="59" t="n">
        <x:f>ABS(K64)*$F$5</x:f>
        <x:v>0.0005607891539386931</x:v>
      </x:c>
      <x:c r="I64" s="58" t="str">
        <x:v>入力仕様</x:v>
      </x:c>
      <x:c r="J64" s="59" t="n">
        <x:f>-1</x:f>
        <x:v>-1</x:v>
      </x:c>
      <x:c r="K64" s="59" t="n">
        <x:f>K63*J64</x:f>
        <x:v>0.0000626731385105064</x:v>
      </x:c>
      <x:c r="L64" s="58" t="str">
        <x:f>IF(K64&gt;0,"増加→総重量増",IF(K64&lt;0,"増加→総重量減","中立"))</x:f>
        <x:v>増加→総重量増</x:v>
      </x:c>
      <x:c r="M64" s="58" t="str">
        <x:v>設計対象</x:v>
      </x:c>
      <x:c r="N64" s="58" t="str"/>
      <x:c r="O64" s="229" t="n">
        <x:f>--(COUNTIF($B$5:$B$560,A64)=0)</x:f>
        <x:v>1</x:v>
      </x:c>
      <x:c r="P64" s="70" t="str">
        <x:f>IF(LEFT(E64,7)&lt;&gt;"Enable_","",IFERROR(IF(OR(ISNUMBER(SEARCH("=Enable",INDEX($I$5:$I$560,MATCH(B64,$A$5:$A$560,0)))),ISNUMBER(SEARCH("×Enable",INDEX($I$5:$I$560,MATCH(B64,$A$5:$A$560,0))))),1,""),""))</x:f>
      </x:c>
      <x:c r="Q64" t="n">
        <x:f>IF(E64="","",--(XMATCH(E64,$E$5:E64,0)=ROWS($E$5:E64)))</x:f>
        <x:v>1</x:v>
      </x:c>
      <x:c r="R64" t="n">
        <x:f>IF(Q64=1,SUM($Q$5:Q64),"")</x:f>
        <x:v>52</x:v>
      </x:c>
    </x:row>
    <x:row r="65">
      <x:c r="A65" s="58" t="str">
        <x:v>T061</x:v>
      </x:c>
      <x:c r="B65" s="58" t="str">
        <x:v>T059</x:v>
      </x:c>
      <x:c r="C65" s="58" t="n">
        <x:v>11</x:v>
      </x:c>
      <x:c r="D65" s="58" t="str">
        <x:v>臨界電界</x:v>
      </x:c>
      <x:c r="E65" s="58" t="str">
        <x:v>E_crit</x:v>
      </x:c>
      <x:c r="F65" s="59" t="n">
        <x:f>'01_入力仕様'!D16</x:f>
        <x:v>250000000</x:v>
      </x:c>
      <x:c r="G65" s="59" t="str">
        <x:v>V/m</x:v>
      </x:c>
      <x:c r="H65" s="59" t="n">
        <x:f>ABS(K65)*$F$5</x:f>
        <x:v>0.0005607891539386931</x:v>
      </x:c>
      <x:c r="I65" s="58" t="str">
        <x:v>入力仕様</x:v>
      </x:c>
      <x:c r="J65" s="59" t="n">
        <x:f>-1</x:f>
        <x:v>-1</x:v>
      </x:c>
      <x:c r="K65" s="59" t="n">
        <x:f>K63*J65</x:f>
        <x:v>0.0000626731385105064</x:v>
      </x:c>
      <x:c r="L65" s="58" t="str">
        <x:f>IF(K65&gt;0,"増加→総重量増",IF(K65&lt;0,"増加→総重量減","中立"))</x:f>
        <x:v>増加→総重量増</x:v>
      </x:c>
      <x:c r="M65" s="58" t="str">
        <x:v>設計対象</x:v>
      </x:c>
      <x:c r="N65" s="58" t="str"/>
      <x:c r="O65" s="229" t="n">
        <x:f>--(COUNTIF($B$5:$B$560,A65)=0)</x:f>
        <x:v>1</x:v>
      </x:c>
      <x:c r="P65" s="70" t="str">
        <x:f>IF(LEFT(E65,7)&lt;&gt;"Enable_","",IFERROR(IF(OR(ISNUMBER(SEARCH("=Enable",INDEX($I$5:$I$560,MATCH(B65,$A$5:$A$560,0)))),ISNUMBER(SEARCH("×Enable",INDEX($I$5:$I$560,MATCH(B65,$A$5:$A$560,0))))),1,""),""))</x:f>
      </x:c>
      <x:c r="Q65" t="n">
        <x:f>IF(E65="","",--(XMATCH(E65,$E$5:E65,0)=ROWS($E$5:E65)))</x:f>
        <x:v>1</x:v>
      </x:c>
      <x:c r="R65" t="n">
        <x:f>IF(Q65=1,SUM($Q$5:Q65),"")</x:f>
        <x:v>53</x:v>
      </x:c>
    </x:row>
    <x:row r="66">
      <x:c r="A66" s="58" t="str">
        <x:v>T062</x:v>
      </x:c>
      <x:c r="B66" s="58" t="str">
        <x:v>T041</x:v>
      </x:c>
      <x:c r="C66" s="58" t="n">
        <x:v>8</x:v>
      </x:c>
      <x:c r="D66" s="58" t="str">
        <x:v>セル等抵抗面積積</x:v>
      </x:c>
      <x:c r="E66" s="58" t="str">
        <x:v>Rsp_cell</x:v>
      </x:c>
      <x:c r="F66" s="59" t="n">
        <x:f>'01_入力仕様'!D24</x:f>
        <x:v>0.0015</x:v>
      </x:c>
      <x:c r="G66" s="59" t="str">
        <x:v>Ω·mm²</x:v>
      </x:c>
      <x:c r="H66" s="59" t="n">
        <x:f>ABS(K66)*$F$5</x:f>
        <x:v>0.000015186299157382399</x:v>
      </x:c>
      <x:c r="I66" s="58" t="str">
        <x:v>入力仕様</x:v>
      </x:c>
      <x:c r="J66" s="59" t="n">
        <x:f>'01_入力仕様'!D24/F45</x:f>
        <x:v>0.026366226330914923</x:v>
      </x:c>
      <x:c r="K66" s="59" t="n">
        <x:f>K45*J66</x:f>
        <x:v>0.0000016972029930818954</x:v>
      </x:c>
      <x:c r="L66" s="58" t="str">
        <x:f>IF(K66&gt;0,"増加→総重量増",IF(K66&lt;0,"増加→総重量減","中立"))</x:f>
        <x:v>増加→総重量増</x:v>
      </x:c>
      <x:c r="M66" s="58" t="str">
        <x:v>設計対象</x:v>
      </x:c>
      <x:c r="N66" s="58" t="str"/>
      <x:c r="O66" s="229" t="n">
        <x:f>--(COUNTIF($B$5:$B$560,A66)=0)</x:f>
        <x:v>1</x:v>
      </x:c>
      <x:c r="P66" s="70" t="str">
        <x:f>IF(LEFT(E66,7)&lt;&gt;"Enable_","",IFERROR(IF(OR(ISNUMBER(SEARCH("=Enable",INDEX($I$5:$I$560,MATCH(B66,$A$5:$A$560,0)))),ISNUMBER(SEARCH("×Enable",INDEX($I$5:$I$560,MATCH(B66,$A$5:$A$560,0))))),1,""),""))</x:f>
      </x:c>
      <x:c r="Q66" t="n">
        <x:f>IF(E66="","",--(XMATCH(E66,$E$5:E66,0)=ROWS($E$5:E66)))</x:f>
        <x:v>1</x:v>
      </x:c>
      <x:c r="R66" t="n">
        <x:f>IF(Q66=1,SUM($Q$5:Q66),"")</x:f>
        <x:v>54</x:v>
      </x:c>
    </x:row>
    <x:row r="67">
      <x:c r="A67" s="58" t="str">
        <x:v>T063</x:v>
      </x:c>
      <x:c r="B67" s="58" t="str">
        <x:v>T040</x:v>
      </x:c>
      <x:c r="C67" s="58" t="n">
        <x:v>7</x:v>
      </x:c>
      <x:c r="D67" s="58" t="str">
        <x:v>チップ面積</x:v>
      </x:c>
      <x:c r="E67" s="58" t="str">
        <x:v>A_chip</x:v>
      </x:c>
      <x:c r="F67" s="59" t="n">
        <x:f>'01_入力仕様'!D25</x:f>
        <x:v>100</x:v>
      </x:c>
      <x:c r="G67" s="59" t="str">
        <x:v>mm²</x:v>
      </x:c>
      <x:c r="H67" s="59" t="n">
        <x:f>ABS(K67)*$F$5</x:f>
        <x:v>0.0005759754530960755</x:v>
      </x:c>
      <x:c r="I67" s="58" t="str">
        <x:v>入力仕様</x:v>
      </x:c>
      <x:c r="J67" s="59" t="n">
        <x:f>-1</x:f>
        <x:v>-1</x:v>
      </x:c>
      <x:c r="K67" s="59" t="n">
        <x:f>K44*J67</x:f>
        <x:v>-0.00006437034150358829</x:v>
      </x:c>
      <x:c r="L67" s="58" t="str">
        <x:f>IF(K67&gt;0,"増加→総重量増",IF(K67&lt;0,"増加→総重量減","中立"))</x:f>
        <x:v>増加→総重量減</x:v>
      </x:c>
      <x:c r="M67" s="58" t="str">
        <x:v>設計対象</x:v>
      </x:c>
      <x:c r="N67" s="58" t="str">
        <x:v>面積増→Ron低下</x:v>
      </x:c>
      <x:c r="O67" s="229" t="n">
        <x:f>--(COUNTIF($B$5:$B$560,A67)=0)</x:f>
        <x:v>1</x:v>
      </x:c>
      <x:c r="P67" s="70" t="str">
        <x:f>IF(LEFT(E67,7)&lt;&gt;"Enable_","",IFERROR(IF(OR(ISNUMBER(SEARCH("=Enable",INDEX($I$5:$I$560,MATCH(B67,$A$5:$A$560,0)))),ISNUMBER(SEARCH("×Enable",INDEX($I$5:$I$560,MATCH(B67,$A$5:$A$560,0))))),1,""),""))</x:f>
      </x:c>
      <x:c r="Q67" t="n">
        <x:f>IF(E67="","",--(XMATCH(E67,$E$5:E67,0)=ROWS($E$5:E67)))</x:f>
        <x:v>0</x:v>
      </x:c>
      <x:c r="R67" t="str">
        <x:f>IF(Q67=1,SUM($Q$5:Q67),"")</x:f>
      </x:c>
    </x:row>
    <x:row r="68">
      <x:c r="A68" s="62" t="str">
        <x:v>T064</x:v>
      </x:c>
      <x:c r="B68" s="62" t="str">
        <x:v>T034</x:v>
      </x:c>
      <x:c r="C68" s="62" t="n">
        <x:v>5</x:v>
      </x:c>
      <x:c r="D68" s="62" t="str">
        <x:v>スイッチング損失</x:v>
      </x:c>
      <x:c r="E68" s="62" t="str">
        <x:v>P_sw</x:v>
      </x:c>
      <x:c r="F68" s="63" t="n">
        <x:f>F69*F70*'01_入力仕様'!D10*F183*F300*F358*F557</x:f>
        <x:v>1772.2192619497137</x:v>
      </x:c>
      <x:c r="G68" s="63" t="str">
        <x:v>W</x:v>
      </x:c>
      <x:c r="H68" s="63" t="n">
        <x:f>ABS(K68)*$F$5</x:f>
        <x:v>0.06724822027023014</x:v>
      </x:c>
      <x:c r="I68" s="62" t="str">
        <x:v>P_sw=N_sw×E_sw×f_sw×k_ss_eff×k_gate_sw×k_pwm_sw×k_miller_sw</x:v>
      </x:c>
      <x:c r="J68" s="63" t="n">
        <x:f>IF(F38=0,0,F68/F38)</x:f>
        <x:v>0.9851586162503545</x:v>
      </x:c>
      <x:c r="K68" s="63" t="n">
        <x:f>K38*J68</x:f>
        <x:v>0.007515582271838901</x:v>
      </x:c>
      <x:c r="L68" s="62" t="str">
        <x:f>IF(K68&gt;0,"増加→総重量増",IF(K68&lt;0,"増加→総重量減","中立"))</x:f>
        <x:v>増加→総重量増</x:v>
      </x:c>
      <x:c r="M68" s="62" t="str">
        <x:v>設計対象</x:v>
      </x:c>
      <x:c r="N68" s="62" t="str"/>
      <x:c r="O68" s="229" t="n">
        <x:f>--(COUNTIF($B$5:$B$560,A68)=0)</x:f>
        <x:v>0</x:v>
      </x:c>
      <x:c r="P68" s="70" t="str">
        <x:f>IF(LEFT(E68,7)&lt;&gt;"Enable_","",IFERROR(IF(OR(ISNUMBER(SEARCH("=Enable",INDEX($I$5:$I$560,MATCH(B68,$A$5:$A$560,0)))),ISNUMBER(SEARCH("×Enable",INDEX($I$5:$I$560,MATCH(B68,$A$5:$A$560,0))))),1,""),""))</x:f>
      </x:c>
      <x:c r="Q68" t="n">
        <x:f>IF(E68="","",--(XMATCH(E68,$E$5:E68,0)=ROWS($E$5:E68)))</x:f>
        <x:v>1</x:v>
      </x:c>
      <x:c r="R68" t="n">
        <x:f>IF(Q68=1,SUM($Q$5:Q68),"")</x:f>
        <x:v>55</x:v>
      </x:c>
    </x:row>
    <x:row r="69">
      <x:c r="A69" s="66" t="str">
        <x:v>T065</x:v>
      </x:c>
      <x:c r="B69" s="66" t="str">
        <x:v>T064</x:v>
      </x:c>
      <x:c r="C69" s="66" t="n">
        <x:v>6</x:v>
      </x:c>
      <x:c r="D69" s="66" t="str">
        <x:v>等価スイッチ数</x:v>
      </x:c>
      <x:c r="E69" s="66" t="str">
        <x:v>N_sw</x:v>
      </x:c>
      <x:c r="F69" s="67" t="n">
        <x:f>6</x:f>
        <x:v>6</x:v>
      </x:c>
      <x:c r="G69" s="67" t="str">
        <x:v>-</x:v>
      </x:c>
      <x:c r="H69" s="67" t="n">
        <x:f>ABS(K69)*$F$5</x:f>
        <x:v>0</x:v>
      </x:c>
      <x:c r="I69" s="66" t="str">
        <x:v>N_sw=6</x:v>
      </x:c>
      <x:c r="J69" s="67" t="n">
        <x:f>0</x:f>
        <x:v>0</x:v>
      </x:c>
      <x:c r="K69" s="67" t="n">
        <x:f>0</x:f>
        <x:v>0</x:v>
      </x:c>
      <x:c r="L69" s="66" t="str">
        <x:v>感度対象外</x:v>
      </x:c>
      <x:c r="M69" s="66" t="str">
        <x:v>固定/対象外</x:v>
      </x:c>
      <x:c r="N69" s="66" t="str">
        <x:v>簡易固定係数</x:v>
      </x:c>
      <x:c r="O69" s="229" t="n">
        <x:f>--(COUNTIF($B$5:$B$560,A69)=0)</x:f>
        <x:v>1</x:v>
      </x:c>
      <x:c r="P69" s="70" t="str">
        <x:f>IF(LEFT(E69,7)&lt;&gt;"Enable_","",IFERROR(IF(OR(ISNUMBER(SEARCH("=Enable",INDEX($I$5:$I$560,MATCH(B69,$A$5:$A$560,0)))),ISNUMBER(SEARCH("×Enable",INDEX($I$5:$I$560,MATCH(B69,$A$5:$A$560,0))))),1,""),""))</x:f>
      </x:c>
      <x:c r="Q69" t="n">
        <x:f>IF(E69="","",--(XMATCH(E69,$E$5:E69,0)=ROWS($E$5:E69)))</x:f>
        <x:v>1</x:v>
      </x:c>
      <x:c r="R69" t="n">
        <x:f>IF(Q69=1,SUM($Q$5:Q69),"")</x:f>
        <x:v>56</x:v>
      </x:c>
    </x:row>
    <x:row r="70">
      <x:c r="A70" s="62" t="str">
        <x:v>T066</x:v>
      </x:c>
      <x:c r="B70" s="62" t="str">
        <x:v>T064</x:v>
      </x:c>
      <x:c r="C70" s="62" t="n">
        <x:v>6</x:v>
      </x:c>
      <x:c r="D70" s="62" t="str">
        <x:v>1回SWエネルギー</x:v>
      </x:c>
      <x:c r="E70" s="62" t="str">
        <x:v>E_sw</x:v>
      </x:c>
      <x:c r="F70" s="63" t="n">
        <x:f>'01_入力仕様'!D31*0.5*F72*'01_入力仕様'!D6^2</x:f>
        <x:v>0.018460617311976183</x:v>
      </x:c>
      <x:c r="G70" s="63" t="str">
        <x:v>J</x:v>
      </x:c>
      <x:c r="H70" s="63" t="n">
        <x:f>ABS(K70)*$F$5</x:f>
        <x:v>0.06724822027023014</x:v>
      </x:c>
      <x:c r="I70" s="62" t="str">
        <x:v>E_sw=K_esw×0.5×C_oss×V_dc²</x:v>
      </x:c>
      <x:c r="J70" s="63" t="n">
        <x:f>1</x:f>
        <x:v>1</x:v>
      </x:c>
      <x:c r="K70" s="63" t="n">
        <x:f>K68*J70</x:f>
        <x:v>0.007515582271838901</x:v>
      </x:c>
      <x:c r="L70" s="62" t="str">
        <x:f>IF(K70&gt;0,"増加→総重量増",IF(K70&lt;0,"増加→総重量減","中立"))</x:f>
        <x:v>増加→総重量増</x:v>
      </x:c>
      <x:c r="M70" s="62" t="str">
        <x:v>設計対象</x:v>
      </x:c>
      <x:c r="N70" s="62" t="str"/>
      <x:c r="O70" s="229" t="n">
        <x:f>--(COUNTIF($B$5:$B$560,A70)=0)</x:f>
        <x:v>0</x:v>
      </x:c>
      <x:c r="P70" s="70" t="str">
        <x:f>IF(LEFT(E70,7)&lt;&gt;"Enable_","",IFERROR(IF(OR(ISNUMBER(SEARCH("=Enable",INDEX($I$5:$I$560,MATCH(B70,$A$5:$A$560,0)))),ISNUMBER(SEARCH("×Enable",INDEX($I$5:$I$560,MATCH(B70,$A$5:$A$560,0))))),1,""),""))</x:f>
      </x:c>
      <x:c r="Q70" t="n">
        <x:f>IF(E70="","",--(XMATCH(E70,$E$5:E70,0)=ROWS($E$5:E70)))</x:f>
        <x:v>1</x:v>
      </x:c>
      <x:c r="R70" t="n">
        <x:f>IF(Q70=1,SUM($Q$5:Q70),"")</x:f>
        <x:v>57</x:v>
      </x:c>
    </x:row>
    <x:row r="71">
      <x:c r="A71" s="58" t="str">
        <x:v>T067</x:v>
      </x:c>
      <x:c r="B71" s="58" t="str">
        <x:v>T066</x:v>
      </x:c>
      <x:c r="C71" s="58" t="n">
        <x:v>7</x:v>
      </x:c>
      <x:c r="D71" s="58" t="str">
        <x:v>SWエネルギー係数</x:v>
      </x:c>
      <x:c r="E71" s="58" t="str">
        <x:v>K_esw</x:v>
      </x:c>
      <x:c r="F71" s="59" t="n">
        <x:f>'01_入力仕様'!D31</x:f>
        <x:v>1</x:v>
      </x:c>
      <x:c r="G71" s="59" t="str">
        <x:v>-</x:v>
      </x:c>
      <x:c r="H71" s="59" t="n">
        <x:f>ABS(K71)*$F$5</x:f>
        <x:v>0.06724822027023014</x:v>
      </x:c>
      <x:c r="I71" s="58" t="str">
        <x:v>入力仕様</x:v>
      </x:c>
      <x:c r="J71" s="59" t="n">
        <x:f>1</x:f>
        <x:v>1</x:v>
      </x:c>
      <x:c r="K71" s="59" t="n">
        <x:f>K70*J71</x:f>
        <x:v>0.007515582271838901</x:v>
      </x:c>
      <x:c r="L71" s="58" t="str">
        <x:f>IF(K71&gt;0,"増加→総重量増",IF(K71&lt;0,"増加→総重量減","中立"))</x:f>
        <x:v>増加→総重量増</x:v>
      </x:c>
      <x:c r="M71" s="58" t="str">
        <x:v>設計対象</x:v>
      </x:c>
      <x:c r="N71" s="58" t="str"/>
      <x:c r="O71" s="229" t="n">
        <x:f>--(COUNTIF($B$5:$B$560,A71)=0)</x:f>
        <x:v>1</x:v>
      </x:c>
      <x:c r="P71" s="70" t="str">
        <x:f>IF(LEFT(E71,7)&lt;&gt;"Enable_","",IFERROR(IF(OR(ISNUMBER(SEARCH("=Enable",INDEX($I$5:$I$560,MATCH(B71,$A$5:$A$560,0)))),ISNUMBER(SEARCH("×Enable",INDEX($I$5:$I$560,MATCH(B71,$A$5:$A$560,0))))),1,""),""))</x:f>
      </x:c>
      <x:c r="Q71" t="n">
        <x:f>IF(E71="","",--(XMATCH(E71,$E$5:E71,0)=ROWS($E$5:E71)))</x:f>
        <x:v>1</x:v>
      </x:c>
      <x:c r="R71" t="n">
        <x:f>IF(Q71=1,SUM($Q$5:Q71),"")</x:f>
        <x:v>58</x:v>
      </x:c>
    </x:row>
    <x:row r="72">
      <x:c r="A72" s="62" t="str">
        <x:v>T068</x:v>
      </x:c>
      <x:c r="B72" s="62" t="str">
        <x:v>T066</x:v>
      </x:c>
      <x:c r="C72" s="62" t="n">
        <x:v>7</x:v>
      </x:c>
      <x:c r="D72" s="62" t="str">
        <x:v>出力容量</x:v>
      </x:c>
      <x:c r="E72" s="62" t="str">
        <x:v>C_oss</x:v>
      </x:c>
      <x:c r="F72" s="63" t="n">
        <x:f>'01_入力仕様'!D28*'01_入力仕様'!D25*(F77/'01_入力仕様'!D30)^(-'01_入力仕様'!D29)*1E-9</x:f>
        <x:v>5.768942909992557e-8</x:v>
      </x:c>
      <x:c r="G72" s="63" t="str">
        <x:v>F</x:v>
      </x:c>
      <x:c r="H72" s="63" t="n">
        <x:f>ABS(K72)*$F$5</x:f>
        <x:v>0.06724822027023014</x:v>
      </x:c>
      <x:c r="I72" s="62" t="str">
        <x:v>C_oss=Coss_area_ref×A_chip×(V_block_req/V_ref_coss)^(-b_coss)×1E-9</x:v>
      </x:c>
      <x:c r="J72" s="63" t="n">
        <x:f>1</x:f>
        <x:v>1</x:v>
      </x:c>
      <x:c r="K72" s="63" t="n">
        <x:f>K70*J72</x:f>
        <x:v>0.007515582271838901</x:v>
      </x:c>
      <x:c r="L72" s="62" t="str">
        <x:f>IF(K72&gt;0,"増加→総重量増",IF(K72&lt;0,"増加→総重量減","中立"))</x:f>
        <x:v>増加→総重量増</x:v>
      </x:c>
      <x:c r="M72" s="62" t="str">
        <x:v>設計対象</x:v>
      </x:c>
      <x:c r="N72" s="62" t="str"/>
      <x:c r="O72" s="229" t="n">
        <x:f>--(COUNTIF($B$5:$B$560,A72)=0)</x:f>
        <x:v>0</x:v>
      </x:c>
      <x:c r="P72" s="70" t="str">
        <x:f>IF(LEFT(E72,7)&lt;&gt;"Enable_","",IFERROR(IF(OR(ISNUMBER(SEARCH("=Enable",INDEX($I$5:$I$560,MATCH(B72,$A$5:$A$560,0)))),ISNUMBER(SEARCH("×Enable",INDEX($I$5:$I$560,MATCH(B72,$A$5:$A$560,0))))),1,""),""))</x:f>
      </x:c>
      <x:c r="Q72" t="n">
        <x:f>IF(E72="","",--(XMATCH(E72,$E$5:E72,0)=ROWS($E$5:E72)))</x:f>
        <x:v>1</x:v>
      </x:c>
      <x:c r="R72" t="n">
        <x:f>IF(Q72=1,SUM($Q$5:Q72),"")</x:f>
        <x:v>59</x:v>
      </x:c>
    </x:row>
    <x:row r="73">
      <x:c r="A73" s="58" t="str">
        <x:v>T069</x:v>
      </x:c>
      <x:c r="B73" s="58" t="str">
        <x:v>T068</x:v>
      </x:c>
      <x:c r="C73" s="58" t="n">
        <x:v>8</x:v>
      </x:c>
      <x:c r="D73" s="58" t="str">
        <x:v>容量面積係数</x:v>
      </x:c>
      <x:c r="E73" s="58" t="str">
        <x:v>Coss_area_ref</x:v>
      </x:c>
      <x:c r="F73" s="59" t="n">
        <x:f>'01_入力仕様'!D28</x:f>
        <x:v>0.55</x:v>
      </x:c>
      <x:c r="G73" s="59" t="str">
        <x:v>nF/mm²</x:v>
      </x:c>
      <x:c r="H73" s="59" t="n">
        <x:f>ABS(K73)*$F$5</x:f>
        <x:v>0.06724822027023014</x:v>
      </x:c>
      <x:c r="I73" s="58" t="str">
        <x:v>入力仕様</x:v>
      </x:c>
      <x:c r="J73" s="59" t="n">
        <x:f>1</x:f>
        <x:v>1</x:v>
      </x:c>
      <x:c r="K73" s="59" t="n">
        <x:f>K72*J73</x:f>
        <x:v>0.007515582271838901</x:v>
      </x:c>
      <x:c r="L73" s="58" t="str">
        <x:f>IF(K73&gt;0,"増加→総重量増",IF(K73&lt;0,"増加→総重量減","中立"))</x:f>
        <x:v>増加→総重量増</x:v>
      </x:c>
      <x:c r="M73" s="58" t="str">
        <x:v>設計対象</x:v>
      </x:c>
      <x:c r="N73" s="58" t="str"/>
      <x:c r="O73" s="229" t="n">
        <x:f>--(COUNTIF($B$5:$B$560,A73)=0)</x:f>
        <x:v>1</x:v>
      </x:c>
      <x:c r="P73" s="70" t="str">
        <x:f>IF(LEFT(E73,7)&lt;&gt;"Enable_","",IFERROR(IF(OR(ISNUMBER(SEARCH("=Enable",INDEX($I$5:$I$560,MATCH(B73,$A$5:$A$560,0)))),ISNUMBER(SEARCH("×Enable",INDEX($I$5:$I$560,MATCH(B73,$A$5:$A$560,0))))),1,""),""))</x:f>
      </x:c>
      <x:c r="Q73" t="n">
        <x:f>IF(E73="","",--(XMATCH(E73,$E$5:E73,0)=ROWS($E$5:E73)))</x:f>
        <x:v>1</x:v>
      </x:c>
      <x:c r="R73" t="n">
        <x:f>IF(Q73=1,SUM($Q$5:Q73),"")</x:f>
        <x:v>60</x:v>
      </x:c>
    </x:row>
    <x:row r="74">
      <x:c r="A74" s="58" t="str">
        <x:v>T070</x:v>
      </x:c>
      <x:c r="B74" s="58" t="str">
        <x:v>T068</x:v>
      </x:c>
      <x:c r="C74" s="58" t="n">
        <x:v>8</x:v>
      </x:c>
      <x:c r="D74" s="58" t="str">
        <x:v>チップ面積</x:v>
      </x:c>
      <x:c r="E74" s="58" t="str">
        <x:v>A_chip</x:v>
      </x:c>
      <x:c r="F74" s="59" t="n">
        <x:f>'01_入力仕様'!D25</x:f>
        <x:v>100</x:v>
      </x:c>
      <x:c r="G74" s="59" t="str">
        <x:v>mm²</x:v>
      </x:c>
      <x:c r="H74" s="59" t="n">
        <x:f>ABS(K74)*$F$5</x:f>
        <x:v>0.06724822027023014</x:v>
      </x:c>
      <x:c r="I74" s="58" t="str">
        <x:v>入力仕様</x:v>
      </x:c>
      <x:c r="J74" s="59" t="n">
        <x:f>1</x:f>
        <x:v>1</x:v>
      </x:c>
      <x:c r="K74" s="59" t="n">
        <x:f>K72*J74</x:f>
        <x:v>0.007515582271838901</x:v>
      </x:c>
      <x:c r="L74" s="58" t="str">
        <x:f>IF(K74&gt;0,"増加→総重量増",IF(K74&lt;0,"増加→総重量減","中立"))</x:f>
        <x:v>増加→総重量増</x:v>
      </x:c>
      <x:c r="M74" s="58" t="str">
        <x:v>設計対象</x:v>
      </x:c>
      <x:c r="N74" s="58" t="str">
        <x:v>面積増→Coss増</x:v>
      </x:c>
      <x:c r="O74" s="229" t="n">
        <x:f>--(COUNTIF($B$5:$B$560,A74)=0)</x:f>
        <x:v>1</x:v>
      </x:c>
      <x:c r="P74" s="70" t="str">
        <x:f>IF(LEFT(E74,7)&lt;&gt;"Enable_","",IFERROR(IF(OR(ISNUMBER(SEARCH("=Enable",INDEX($I$5:$I$560,MATCH(B74,$A$5:$A$560,0)))),ISNUMBER(SEARCH("×Enable",INDEX($I$5:$I$560,MATCH(B74,$A$5:$A$560,0))))),1,""),""))</x:f>
      </x:c>
      <x:c r="Q74" t="n">
        <x:f>IF(E74="","",--(XMATCH(E74,$E$5:E74,0)=ROWS($E$5:E74)))</x:f>
        <x:v>0</x:v>
      </x:c>
      <x:c r="R74" t="str">
        <x:f>IF(Q74=1,SUM($Q$5:Q74),"")</x:f>
      </x:c>
    </x:row>
    <x:row r="75">
      <x:c r="A75" s="58" t="str">
        <x:v>T071</x:v>
      </x:c>
      <x:c r="B75" s="58" t="str">
        <x:v>T068</x:v>
      </x:c>
      <x:c r="C75" s="58" t="n">
        <x:v>8</x:v>
      </x:c>
      <x:c r="D75" s="58" t="str">
        <x:v>耐圧指数</x:v>
      </x:c>
      <x:c r="E75" s="58" t="str">
        <x:v>b_coss</x:v>
      </x:c>
      <x:c r="F75" s="59" t="n">
        <x:f>'01_入力仕様'!D29</x:f>
        <x:v>0.35</x:v>
      </x:c>
      <x:c r="G75" s="59" t="str">
        <x:v>-</x:v>
      </x:c>
      <x:c r="H75" s="59" t="n">
        <x:f>ABS(K75)*$F$5</x:f>
        <x:v>0.003210481614428809</x:v>
      </x:c>
      <x:c r="I75" s="58" t="str">
        <x:v>入力仕様</x:v>
      </x:c>
      <x:c r="J75" s="59" t="n">
        <x:f>-'01_入力仕様'!D29*LN(F77/'01_入力仕様'!D30)</x:f>
        <x:v>0.04774076699023133</x:v>
      </x:c>
      <x:c r="K75" s="59" t="n">
        <x:f>K72*J75</x:f>
        <x:v>0.0003587996620357744</x:v>
      </x:c>
      <x:c r="L75" s="58" t="str">
        <x:f>IF(K75&gt;0,"増加→総重量増",IF(K75&lt;0,"増加→総重量減","中立"))</x:f>
        <x:v>増加→総重量増</x:v>
      </x:c>
      <x:c r="M75" s="58" t="str">
        <x:v>設計対象</x:v>
      </x:c>
      <x:c r="N75" s="58" t="str"/>
      <x:c r="O75" s="229" t="n">
        <x:f>--(COUNTIF($B$5:$B$560,A75)=0)</x:f>
        <x:v>1</x:v>
      </x:c>
      <x:c r="P75" s="70" t="str">
        <x:f>IF(LEFT(E75,7)&lt;&gt;"Enable_","",IFERROR(IF(OR(ISNUMBER(SEARCH("=Enable",INDEX($I$5:$I$560,MATCH(B75,$A$5:$A$560,0)))),ISNUMBER(SEARCH("×Enable",INDEX($I$5:$I$560,MATCH(B75,$A$5:$A$560,0))))),1,""),""))</x:f>
      </x:c>
      <x:c r="Q75" t="n">
        <x:f>IF(E75="","",--(XMATCH(E75,$E$5:E75,0)=ROWS($E$5:E75)))</x:f>
        <x:v>1</x:v>
      </x:c>
      <x:c r="R75" t="n">
        <x:f>IF(Q75=1,SUM($Q$5:Q75),"")</x:f>
        <x:v>61</x:v>
      </x:c>
    </x:row>
    <x:row r="76">
      <x:c r="A76" s="58" t="str">
        <x:v>T072</x:v>
      </x:c>
      <x:c r="B76" s="58" t="str">
        <x:v>T068</x:v>
      </x:c>
      <x:c r="C76" s="58" t="n">
        <x:v>8</x:v>
      </x:c>
      <x:c r="D76" s="58" t="str">
        <x:v>容量耐圧基準</x:v>
      </x:c>
      <x:c r="E76" s="58" t="str">
        <x:v>V_ref_coss</x:v>
      </x:c>
      <x:c r="F76" s="59" t="n">
        <x:f>'01_入力仕様'!D30</x:f>
        <x:v>1200</x:v>
      </x:c>
      <x:c r="G76" s="59" t="str">
        <x:v>V</x:v>
      </x:c>
      <x:c r="H76" s="59" t="n">
        <x:f>ABS(K76)*$F$5</x:f>
        <x:v>0.02353687709458055</x:v>
      </x:c>
      <x:c r="I76" s="58" t="str">
        <x:v>入力仕様</x:v>
      </x:c>
      <x:c r="J76" s="59" t="n">
        <x:f>'01_入力仕様'!D29</x:f>
        <x:v>0.35</x:v>
      </x:c>
      <x:c r="K76" s="59" t="n">
        <x:f>K72*J76</x:f>
        <x:v>0.002630453795143615</x:v>
      </x:c>
      <x:c r="L76" s="58" t="str">
        <x:f>IF(K76&gt;0,"増加→総重量増",IF(K76&lt;0,"増加→総重量減","中立"))</x:f>
        <x:v>増加→総重量増</x:v>
      </x:c>
      <x:c r="M76" s="58" t="str">
        <x:v>設計対象</x:v>
      </x:c>
      <x:c r="N76" s="58" t="str"/>
      <x:c r="O76" s="229" t="n">
        <x:f>--(COUNTIF($B$5:$B$560,A76)=0)</x:f>
        <x:v>1</x:v>
      </x:c>
      <x:c r="P76" s="70" t="str">
        <x:f>IF(LEFT(E76,7)&lt;&gt;"Enable_","",IFERROR(IF(OR(ISNUMBER(SEARCH("=Enable",INDEX($I$5:$I$560,MATCH(B76,$A$5:$A$560,0)))),ISNUMBER(SEARCH("×Enable",INDEX($I$5:$I$560,MATCH(B76,$A$5:$A$560,0))))),1,""),""))</x:f>
      </x:c>
      <x:c r="Q76" t="n">
        <x:f>IF(E76="","",--(XMATCH(E76,$E$5:E76,0)=ROWS($E$5:E76)))</x:f>
        <x:v>1</x:v>
      </x:c>
      <x:c r="R76" t="n">
        <x:f>IF(Q76=1,SUM($Q$5:Q76),"")</x:f>
        <x:v>62</x:v>
      </x:c>
    </x:row>
    <x:row r="77">
      <x:c r="A77" s="62" t="str">
        <x:v>T073</x:v>
      </x:c>
      <x:c r="B77" s="62" t="str">
        <x:v>T068</x:v>
      </x:c>
      <x:c r="C77" s="62" t="n">
        <x:v>8</x:v>
      </x:c>
      <x:c r="D77" s="62" t="str">
        <x:v>必要耐圧</x:v>
      </x:c>
      <x:c r="E77" s="62" t="str">
        <x:v>V_block_req</x:v>
      </x:c>
      <x:c r="F77" s="63" t="n">
        <x:f>'01_入力仕様'!D14*'01_入力仕様'!D6+F349</x:f>
        <x:v>1046.9899839275333</x:v>
      </x:c>
      <x:c r="G77" s="63" t="str">
        <x:v>V</x:v>
      </x:c>
      <x:c r="H77" s="63" t="n">
        <x:f>ABS(K77)*$F$5</x:f>
        <x:v>0.02353687709458055</x:v>
      </x:c>
      <x:c r="I77" s="62" t="str">
        <x:v>V_block_req=K_vblk×V_dc+V_overshoot_eff</x:v>
      </x:c>
      <x:c r="J77" s="63" t="n">
        <x:f>-'01_入力仕様'!D29</x:f>
        <x:v>-0.35</x:v>
      </x:c>
      <x:c r="K77" s="63" t="n">
        <x:f>K72*J77</x:f>
        <x:v>-0.002630453795143615</x:v>
      </x:c>
      <x:c r="L77" s="62" t="str">
        <x:f>IF(K77&gt;0,"増加→総重量増",IF(K77&lt;0,"増加→総重量減","中立"))</x:f>
        <x:v>増加→総重量減</x:v>
      </x:c>
      <x:c r="M77" s="62" t="str">
        <x:v>設計対象</x:v>
      </x:c>
      <x:c r="N77" s="62" t="str"/>
      <x:c r="O77" s="229" t="n">
        <x:f>--(COUNTIF($B$5:$B$560,A77)=0)</x:f>
        <x:v>0</x:v>
      </x:c>
      <x:c r="P77" s="70" t="str">
        <x:f>IF(LEFT(E77,7)&lt;&gt;"Enable_","",IFERROR(IF(OR(ISNUMBER(SEARCH("=Enable",INDEX($I$5:$I$560,MATCH(B77,$A$5:$A$560,0)))),ISNUMBER(SEARCH("×Enable",INDEX($I$5:$I$560,MATCH(B77,$A$5:$A$560,0))))),1,""),""))</x:f>
      </x:c>
      <x:c r="Q77" t="n">
        <x:f>IF(E77="","",--(XMATCH(E77,$E$5:E77,0)=ROWS($E$5:E77)))</x:f>
        <x:v>0</x:v>
      </x:c>
      <x:c r="R77" t="str">
        <x:f>IF(Q77=1,SUM($Q$5:Q77),"")</x:f>
      </x:c>
    </x:row>
    <x:row r="78">
      <x:c r="A78" s="58" t="str">
        <x:v>T074</x:v>
      </x:c>
      <x:c r="B78" s="58" t="str">
        <x:v>T073</x:v>
      </x:c>
      <x:c r="C78" s="58" t="n">
        <x:v>9</x:v>
      </x:c>
      <x:c r="D78" s="58" t="str">
        <x:v>耐圧係数</x:v>
      </x:c>
      <x:c r="E78" s="58" t="str">
        <x:v>K_vblk</x:v>
      </x:c>
      <x:c r="F78" s="59" t="n">
        <x:f>'01_入力仕様'!D14</x:f>
        <x:v>1.25</x:v>
      </x:c>
      <x:c r="G78" s="59" t="str">
        <x:v>-</x:v>
      </x:c>
      <x:c r="H78" s="59" t="n">
        <x:f>ABS(K78)*$F$5</x:f>
        <x:v>0.022480517918889314</x:v>
      </x:c>
      <x:c r="I78" s="58" t="str">
        <x:v>入力仕様</x:v>
      </x:c>
      <x:c r="J78" s="59" t="n">
        <x:f>('01_入力仕様'!D14*'01_入力仕様'!D6)/F77</x:f>
        <x:v>0.9551189747286201</x:v>
      </x:c>
      <x:c r="K78" s="59" t="n">
        <x:f>K77*J78</x:f>
        <x:v>-0.002512396331888577</x:v>
      </x:c>
      <x:c r="L78" s="58" t="str">
        <x:f>IF(K78&gt;0,"増加→総重量増",IF(K78&lt;0,"増加→総重量減","中立"))</x:f>
        <x:v>増加→総重量減</x:v>
      </x:c>
      <x:c r="M78" s="58" t="str">
        <x:v>設計対象</x:v>
      </x:c>
      <x:c r="N78" s="58" t="str"/>
      <x:c r="O78" s="229" t="n">
        <x:f>--(COUNTIF($B$5:$B$560,A78)=0)</x:f>
        <x:v>1</x:v>
      </x:c>
      <x:c r="P78" s="70" t="str">
        <x:f>IF(LEFT(E78,7)&lt;&gt;"Enable_","",IFERROR(IF(OR(ISNUMBER(SEARCH("=Enable",INDEX($I$5:$I$560,MATCH(B78,$A$5:$A$560,0)))),ISNUMBER(SEARCH("×Enable",INDEX($I$5:$I$560,MATCH(B78,$A$5:$A$560,0))))),1,""),""))</x:f>
      </x:c>
      <x:c r="Q78" t="n">
        <x:f>IF(E78="","",--(XMATCH(E78,$E$5:E78,0)=ROWS($E$5:E78)))</x:f>
        <x:v>0</x:v>
      </x:c>
      <x:c r="R78" t="str">
        <x:f>IF(Q78=1,SUM($Q$5:Q78),"")</x:f>
      </x:c>
    </x:row>
    <x:row r="79">
      <x:c r="A79" s="58" t="str">
        <x:v>T075</x:v>
      </x:c>
      <x:c r="B79" s="58" t="str">
        <x:v>T073</x:v>
      </x:c>
      <x:c r="C79" s="58" t="n">
        <x:v>9</x:v>
      </x:c>
      <x:c r="D79" s="58" t="str">
        <x:v>DCバス電圧</x:v>
      </x:c>
      <x:c r="E79" s="58" t="str">
        <x:v>V_dc</x:v>
      </x:c>
      <x:c r="F79" s="59" t="n">
        <x:f>'01_入力仕様'!D6</x:f>
        <x:v>800</x:v>
      </x:c>
      <x:c r="G79" s="59" t="str">
        <x:v>V</x:v>
      </x:c>
      <x:c r="H79" s="59" t="n">
        <x:f>ABS(K79)*$F$5</x:f>
        <x:v>0.022480517918889314</x:v>
      </x:c>
      <x:c r="I79" s="58" t="str">
        <x:v>入力仕様</x:v>
      </x:c>
      <x:c r="J79" s="59" t="n">
        <x:f>('01_入力仕様'!D14*'01_入力仕様'!D6)/F77</x:f>
        <x:v>0.9551189747286201</x:v>
      </x:c>
      <x:c r="K79" s="59" t="n">
        <x:f>K77*J79</x:f>
        <x:v>-0.002512396331888577</x:v>
      </x:c>
      <x:c r="L79" s="58" t="str">
        <x:f>IF(K79&gt;0,"増加→総重量増",IF(K79&lt;0,"増加→総重量減","中立"))</x:f>
        <x:v>増加→総重量減</x:v>
      </x:c>
      <x:c r="M79" s="58" t="str">
        <x:v>設計対象</x:v>
      </x:c>
      <x:c r="N79" s="58" t="str">
        <x:v>耐圧↑でCoss低下</x:v>
      </x:c>
      <x:c r="O79" s="229" t="n">
        <x:f>--(COUNTIF($B$5:$B$560,A79)=0)</x:f>
        <x:v>1</x:v>
      </x:c>
      <x:c r="P79" s="70" t="str">
        <x:f>IF(LEFT(E79,7)&lt;&gt;"Enable_","",IFERROR(IF(OR(ISNUMBER(SEARCH("=Enable",INDEX($I$5:$I$560,MATCH(B79,$A$5:$A$560,0)))),ISNUMBER(SEARCH("×Enable",INDEX($I$5:$I$560,MATCH(B79,$A$5:$A$560,0))))),1,""),""))</x:f>
      </x:c>
      <x:c r="Q79" t="n">
        <x:f>IF(E79="","",--(XMATCH(E79,$E$5:E79,0)=ROWS($E$5:E79)))</x:f>
        <x:v>0</x:v>
      </x:c>
      <x:c r="R79" t="str">
        <x:f>IF(Q79=1,SUM($Q$5:Q79),"")</x:f>
      </x:c>
    </x:row>
    <x:row r="80">
      <x:c r="A80" s="58" t="str">
        <x:v>T076</x:v>
      </x:c>
      <x:c r="B80" s="58" t="str">
        <x:v>T066</x:v>
      </x:c>
      <x:c r="C80" s="58" t="n">
        <x:v>7</x:v>
      </x:c>
      <x:c r="D80" s="58" t="str">
        <x:v>DCバス電圧</x:v>
      </x:c>
      <x:c r="E80" s="58" t="str">
        <x:v>V_dc</x:v>
      </x:c>
      <x:c r="F80" s="59" t="n">
        <x:f>'01_入力仕様'!D6</x:f>
        <x:v>800</x:v>
      </x:c>
      <x:c r="G80" s="59" t="str">
        <x:v>V</x:v>
      </x:c>
      <x:c r="H80" s="59" t="n">
        <x:f>ABS(K80)*$F$5</x:f>
        <x:v>0.13449644054046028</x:v>
      </x:c>
      <x:c r="I80" s="58" t="str">
        <x:v>入力仕様</x:v>
      </x:c>
      <x:c r="J80" s="59" t="n">
        <x:f>2</x:f>
        <x:v>2</x:v>
      </x:c>
      <x:c r="K80" s="59" t="n">
        <x:f>K70*J80</x:f>
        <x:v>0.015031164543677802</x:v>
      </x:c>
      <x:c r="L80" s="58" t="str">
        <x:f>IF(K80&gt;0,"増加→総重量増",IF(K80&lt;0,"増加→総重量減","中立"))</x:f>
        <x:v>増加→総重量増</x:v>
      </x:c>
      <x:c r="M80" s="58" t="str">
        <x:v>設計対象</x:v>
      </x:c>
      <x:c r="N80" s="58" t="str">
        <x:v>V²でSW損失増</x:v>
      </x:c>
      <x:c r="O80" s="229" t="n">
        <x:f>--(COUNTIF($B$5:$B$560,A80)=0)</x:f>
        <x:v>1</x:v>
      </x:c>
      <x:c r="P80" s="70" t="str">
        <x:f>IF(LEFT(E80,7)&lt;&gt;"Enable_","",IFERROR(IF(OR(ISNUMBER(SEARCH("=Enable",INDEX($I$5:$I$560,MATCH(B80,$A$5:$A$560,0)))),ISNUMBER(SEARCH("×Enable",INDEX($I$5:$I$560,MATCH(B80,$A$5:$A$560,0))))),1,""),""))</x:f>
      </x:c>
      <x:c r="Q80" t="n">
        <x:f>IF(E80="","",--(XMATCH(E80,$E$5:E80,0)=ROWS($E$5:E80)))</x:f>
        <x:v>0</x:v>
      </x:c>
      <x:c r="R80" t="str">
        <x:f>IF(Q80=1,SUM($Q$5:Q80),"")</x:f>
      </x:c>
    </x:row>
    <x:row r="81">
      <x:c r="A81" s="58" t="str">
        <x:v>T077</x:v>
      </x:c>
      <x:c r="B81" s="58" t="str">
        <x:v>T064</x:v>
      </x:c>
      <x:c r="C81" s="58" t="n">
        <x:v>6</x:v>
      </x:c>
      <x:c r="D81" s="58" t="str">
        <x:v>スイッチング周波数</x:v>
      </x:c>
      <x:c r="E81" s="58" t="str">
        <x:v>f_sw</x:v>
      </x:c>
      <x:c r="F81" s="59" t="n">
        <x:f>'01_入力仕様'!D10</x:f>
        <x:v>16000</x:v>
      </x:c>
      <x:c r="G81" s="59" t="str">
        <x:v>Hz</x:v>
      </x:c>
      <x:c r="H81" s="59" t="n">
        <x:f>ABS(K81)*$F$5</x:f>
        <x:v>0.06724822027023014</x:v>
      </x:c>
      <x:c r="I81" s="58" t="str">
        <x:v>入力仕様</x:v>
      </x:c>
      <x:c r="J81" s="59" t="n">
        <x:f>1</x:f>
        <x:v>1</x:v>
      </x:c>
      <x:c r="K81" s="59" t="n">
        <x:f>K68*J81</x:f>
        <x:v>0.007515582271838901</x:v>
      </x:c>
      <x:c r="L81" s="58" t="str">
        <x:f>IF(K81&gt;0,"増加→総重量増",IF(K81&lt;0,"増加→総重量減","中立"))</x:f>
        <x:v>増加→総重量増</x:v>
      </x:c>
      <x:c r="M81" s="58" t="str">
        <x:v>設計対象</x:v>
      </x:c>
      <x:c r="N81" s="58" t="str">
        <x:v>SW損失増</x:v>
      </x:c>
      <x:c r="O81" s="229" t="n">
        <x:f>--(COUNTIF($B$5:$B$560,A81)=0)</x:f>
        <x:v>0</x:v>
      </x:c>
      <x:c r="P81" s="70" t="str">
        <x:f>IF(LEFT(E81,7)&lt;&gt;"Enable_","",IFERROR(IF(OR(ISNUMBER(SEARCH("=Enable",INDEX($I$5:$I$560,MATCH(B81,$A$5:$A$560,0)))),ISNUMBER(SEARCH("×Enable",INDEX($I$5:$I$560,MATCH(B81,$A$5:$A$560,0))))),1,""),""))</x:f>
      </x:c>
      <x:c r="Q81" t="n">
        <x:f>IF(E81="","",--(XMATCH(E81,$E$5:E81,0)=ROWS($E$5:E81)))</x:f>
        <x:v>1</x:v>
      </x:c>
      <x:c r="R81" t="n">
        <x:f>IF(Q81=1,SUM($Q$5:Q81),"")</x:f>
        <x:v>63</x:v>
      </x:c>
    </x:row>
    <x:row r="82">
      <x:c r="A82" s="62" t="str">
        <x:v>T078</x:v>
      </x:c>
      <x:c r="B82" s="62" t="str">
        <x:v>T031</x:v>
      </x:c>
      <x:c r="C82" s="62" t="n">
        <x:v>3</x:v>
      </x:c>
      <x:c r="D82" s="62" t="str">
        <x:v>比冷却能力</x:v>
      </x:c>
      <x:c r="E82" s="62" t="str">
        <x:v>q_cool</x:v>
      </x:c>
      <x:c r="F82" s="63" t="n">
        <x:f>F83*'01_入力仕様'!D48/F92</x:f>
        <x:v>32509.77195385026</x:v>
      </x:c>
      <x:c r="G82" s="63" t="str">
        <x:v>W/kg</x:v>
      </x:c>
      <x:c r="H82" s="63" t="n">
        <x:f>ABS(K82)*$F$5</x:f>
        <x:v>0.19928662258925056</x:v>
      </x:c>
      <x:c r="I82" s="62" t="str">
        <x:v>q_cool=h_eff×dT_cool/sigma_hx</x:v>
      </x:c>
      <x:c r="J82" s="63" t="n">
        <x:f>-1</x:f>
        <x:v>-1</x:v>
      </x:c>
      <x:c r="K82" s="63" t="n">
        <x:f>K35*J82</x:f>
        <x:v>-0.022272039345098575</x:v>
      </x:c>
      <x:c r="L82" s="62" t="str">
        <x:f>IF(K82&gt;0,"増加→総重量増",IF(K82&lt;0,"増加→総重量減","中立"))</x:f>
        <x:v>増加→総重量減</x:v>
      </x:c>
      <x:c r="M82" s="62" t="str">
        <x:v>設計対象</x:v>
      </x:c>
      <x:c r="N82" s="62" t="str"/>
      <x:c r="O82" s="229" t="n">
        <x:f>--(COUNTIF($B$5:$B$560,A82)=0)</x:f>
        <x:v>0</x:v>
      </x:c>
      <x:c r="P82" s="70" t="str">
        <x:f>IF(LEFT(E82,7)&lt;&gt;"Enable_","",IFERROR(IF(OR(ISNUMBER(SEARCH("=Enable",INDEX($I$5:$I$560,MATCH(B82,$A$5:$A$560,0)))),ISNUMBER(SEARCH("×Enable",INDEX($I$5:$I$560,MATCH(B82,$A$5:$A$560,0))))),1,""),""))</x:f>
      </x:c>
      <x:c r="Q82" t="n">
        <x:f>IF(E82="","",--(XMATCH(E82,$E$5:E82,0)=ROWS($E$5:E82)))</x:f>
        <x:v>1</x:v>
      </x:c>
      <x:c r="R82" t="n">
        <x:f>IF(Q82=1,SUM($Q$5:Q82),"")</x:f>
        <x:v>64</x:v>
      </x:c>
    </x:row>
    <x:row r="83">
      <x:c r="A83" s="62" t="str">
        <x:v>T079</x:v>
      </x:c>
      <x:c r="B83" s="62" t="str">
        <x:v>T078</x:v>
      </x:c>
      <x:c r="C83" s="62" t="n">
        <x:v>4</x:v>
      </x:c>
      <x:c r="D83" s="62" t="str">
        <x:v>実効熱伝達率</x:v>
      </x:c>
      <x:c r="E83" s="62" t="str">
        <x:v>h_eff</x:v>
      </x:c>
      <x:c r="F83" s="63" t="n">
        <x:f>'01_入力仕様'!D42*'01_入力仕様'!D43*'01_入力仕様'!D44*'01_入力仕様'!D45*F88*F450</x:f>
        <x:v>8289.991848231817</x:v>
      </x:c>
      <x:c r="G83" s="63" t="str">
        <x:v>W/(m²K)</x:v>
      </x:c>
      <x:c r="H83" s="63" t="n">
        <x:f>ABS(K83)*$F$5</x:f>
        <x:v>0.19928662258925056</x:v>
      </x:c>
      <x:c r="I83" s="62" t="str">
        <x:v>h_eff=h_nom×k_geom×k_surface×k_fin×k_flow</x:v>
      </x:c>
      <x:c r="J83" s="63" t="n">
        <x:f>1</x:f>
        <x:v>1</x:v>
      </x:c>
      <x:c r="K83" s="63" t="n">
        <x:f>K82*J83</x:f>
        <x:v>-0.022272039345098575</x:v>
      </x:c>
      <x:c r="L83" s="62" t="str">
        <x:f>IF(K83&gt;0,"増加→総重量増",IF(K83&lt;0,"増加→総重量減","中立"))</x:f>
        <x:v>増加→総重量減</x:v>
      </x:c>
      <x:c r="M83" s="62" t="str">
        <x:v>設計対象</x:v>
      </x:c>
      <x:c r="N83" s="62" t="str"/>
      <x:c r="O83" s="229" t="n">
        <x:f>--(COUNTIF($B$5:$B$560,A83)=0)</x:f>
        <x:v>0</x:v>
      </x:c>
      <x:c r="P83" s="70" t="str">
        <x:f>IF(LEFT(E83,7)&lt;&gt;"Enable_","",IFERROR(IF(OR(ISNUMBER(SEARCH("=Enable",INDEX($I$5:$I$560,MATCH(B83,$A$5:$A$560,0)))),ISNUMBER(SEARCH("×Enable",INDEX($I$5:$I$560,MATCH(B83,$A$5:$A$560,0))))),1,""),""))</x:f>
      </x:c>
      <x:c r="Q83" t="n">
        <x:f>IF(E83="","",--(XMATCH(E83,$E$5:E83,0)=ROWS($E$5:E83)))</x:f>
        <x:v>1</x:v>
      </x:c>
      <x:c r="R83" t="n">
        <x:f>IF(Q83=1,SUM($Q$5:Q83),"")</x:f>
        <x:v>65</x:v>
      </x:c>
    </x:row>
    <x:row r="84">
      <x:c r="A84" s="58" t="str">
        <x:v>T080</x:v>
      </x:c>
      <x:c r="B84" s="58" t="str">
        <x:v>T079</x:v>
      </x:c>
      <x:c r="C84" s="58" t="n">
        <x:v>5</x:v>
      </x:c>
      <x:c r="D84" s="58" t="str">
        <x:v>基準熱伝達率</x:v>
      </x:c>
      <x:c r="E84" s="58" t="str">
        <x:v>h_nom</x:v>
      </x:c>
      <x:c r="F84" s="59" t="n">
        <x:f>'01_入力仕様'!D42</x:f>
        <x:v>10000</x:v>
      </x:c>
      <x:c r="G84" s="59" t="str">
        <x:v>W/(m²K)</x:v>
      </x:c>
      <x:c r="H84" s="59" t="n">
        <x:f>ABS(K84)*$F$5</x:f>
        <x:v>0.19928662258925056</x:v>
      </x:c>
      <x:c r="I84" s="58" t="str">
        <x:v>入力仕様</x:v>
      </x:c>
      <x:c r="J84" s="59" t="n">
        <x:f>1</x:f>
        <x:v>1</x:v>
      </x:c>
      <x:c r="K84" s="59" t="n">
        <x:f>K83*J84</x:f>
        <x:v>-0.022272039345098575</x:v>
      </x:c>
      <x:c r="L84" s="58" t="str">
        <x:f>IF(K84&gt;0,"増加→総重量増",IF(K84&lt;0,"増加→総重量減","中立"))</x:f>
        <x:v>増加→総重量減</x:v>
      </x:c>
      <x:c r="M84" s="58" t="str">
        <x:v>設計対象</x:v>
      </x:c>
      <x:c r="N84" s="58" t="str"/>
      <x:c r="O84" s="229" t="n">
        <x:f>--(COUNTIF($B$5:$B$560,A84)=0)</x:f>
        <x:v>1</x:v>
      </x:c>
      <x:c r="P84" s="70" t="str">
        <x:f>IF(LEFT(E84,7)&lt;&gt;"Enable_","",IFERROR(IF(OR(ISNUMBER(SEARCH("=Enable",INDEX($I$5:$I$560,MATCH(B84,$A$5:$A$560,0)))),ISNUMBER(SEARCH("×Enable",INDEX($I$5:$I$560,MATCH(B84,$A$5:$A$560,0))))),1,""),""))</x:f>
      </x:c>
      <x:c r="Q84" t="n">
        <x:f>IF(E84="","",--(XMATCH(E84,$E$5:E84,0)=ROWS($E$5:E84)))</x:f>
        <x:v>1</x:v>
      </x:c>
      <x:c r="R84" t="n">
        <x:f>IF(Q84=1,SUM($Q$5:Q84),"")</x:f>
        <x:v>66</x:v>
      </x:c>
    </x:row>
    <x:row r="85">
      <x:c r="A85" s="58" t="str">
        <x:v>T081</x:v>
      </x:c>
      <x:c r="B85" s="58" t="str">
        <x:v>T079</x:v>
      </x:c>
      <x:c r="C85" s="58" t="n">
        <x:v>5</x:v>
      </x:c>
      <x:c r="D85" s="58" t="str">
        <x:v>流路形状係数</x:v>
      </x:c>
      <x:c r="E85" s="58" t="str">
        <x:v>k_geom</x:v>
      </x:c>
      <x:c r="F85" s="59" t="n">
        <x:f>'01_入力仕様'!D43</x:f>
        <x:v>0.95</x:v>
      </x:c>
      <x:c r="G85" s="59" t="str">
        <x:v>-</x:v>
      </x:c>
      <x:c r="H85" s="59" t="n">
        <x:f>ABS(K85)*$F$5</x:f>
        <x:v>0.19928662258925056</x:v>
      </x:c>
      <x:c r="I85" s="58" t="str">
        <x:v>入力仕様</x:v>
      </x:c>
      <x:c r="J85" s="59" t="n">
        <x:f>1</x:f>
        <x:v>1</x:v>
      </x:c>
      <x:c r="K85" s="59" t="n">
        <x:f>K83*J85</x:f>
        <x:v>-0.022272039345098575</x:v>
      </x:c>
      <x:c r="L85" s="58" t="str">
        <x:f>IF(K85&gt;0,"増加→総重量増",IF(K85&lt;0,"増加→総重量減","中立"))</x:f>
        <x:v>増加→総重量減</x:v>
      </x:c>
      <x:c r="M85" s="58" t="str">
        <x:v>設計対象</x:v>
      </x:c>
      <x:c r="N85" s="58" t="str"/>
      <x:c r="O85" s="229" t="n">
        <x:f>--(COUNTIF($B$5:$B$560,A85)=0)</x:f>
        <x:v>1</x:v>
      </x:c>
      <x:c r="P85" s="70" t="str">
        <x:f>IF(LEFT(E85,7)&lt;&gt;"Enable_","",IFERROR(IF(OR(ISNUMBER(SEARCH("=Enable",INDEX($I$5:$I$560,MATCH(B85,$A$5:$A$560,0)))),ISNUMBER(SEARCH("×Enable",INDEX($I$5:$I$560,MATCH(B85,$A$5:$A$560,0))))),1,""),""))</x:f>
      </x:c>
      <x:c r="Q85" t="n">
        <x:f>IF(E85="","",--(XMATCH(E85,$E$5:E85,0)=ROWS($E$5:E85)))</x:f>
        <x:v>1</x:v>
      </x:c>
      <x:c r="R85" t="n">
        <x:f>IF(Q85=1,SUM($Q$5:Q85),"")</x:f>
        <x:v>67</x:v>
      </x:c>
    </x:row>
    <x:row r="86">
      <x:c r="A86" s="58" t="str">
        <x:v>T082</x:v>
      </x:c>
      <x:c r="B86" s="58" t="str">
        <x:v>T079</x:v>
      </x:c>
      <x:c r="C86" s="58" t="n">
        <x:v>5</x:v>
      </x:c>
      <x:c r="D86" s="58" t="str">
        <x:v>表面状態係数</x:v>
      </x:c>
      <x:c r="E86" s="58" t="str">
        <x:v>k_surface</x:v>
      </x:c>
      <x:c r="F86" s="59" t="n">
        <x:f>'01_入力仕様'!D44</x:f>
        <x:v>0.95</x:v>
      </x:c>
      <x:c r="G86" s="59" t="str">
        <x:v>-</x:v>
      </x:c>
      <x:c r="H86" s="59" t="n">
        <x:f>ABS(K86)*$F$5</x:f>
        <x:v>0.19928662258925056</x:v>
      </x:c>
      <x:c r="I86" s="58" t="str">
        <x:v>入力仕様</x:v>
      </x:c>
      <x:c r="J86" s="59" t="n">
        <x:f>1</x:f>
        <x:v>1</x:v>
      </x:c>
      <x:c r="K86" s="59" t="n">
        <x:f>K83*J86</x:f>
        <x:v>-0.022272039345098575</x:v>
      </x:c>
      <x:c r="L86" s="58" t="str">
        <x:f>IF(K86&gt;0,"増加→総重量増",IF(K86&lt;0,"増加→総重量減","中立"))</x:f>
        <x:v>増加→総重量減</x:v>
      </x:c>
      <x:c r="M86" s="58" t="str">
        <x:v>設計対象</x:v>
      </x:c>
      <x:c r="N86" s="58" t="str"/>
      <x:c r="O86" s="229" t="n">
        <x:f>--(COUNTIF($B$5:$B$560,A86)=0)</x:f>
        <x:v>1</x:v>
      </x:c>
      <x:c r="P86" s="70" t="str">
        <x:f>IF(LEFT(E86,7)&lt;&gt;"Enable_","",IFERROR(IF(OR(ISNUMBER(SEARCH("=Enable",INDEX($I$5:$I$560,MATCH(B86,$A$5:$A$560,0)))),ISNUMBER(SEARCH("×Enable",INDEX($I$5:$I$560,MATCH(B86,$A$5:$A$560,0))))),1,""),""))</x:f>
      </x:c>
      <x:c r="Q86" t="n">
        <x:f>IF(E86="","",--(XMATCH(E86,$E$5:E86,0)=ROWS($E$5:E86)))</x:f>
        <x:v>1</x:v>
      </x:c>
      <x:c r="R86" t="n">
        <x:f>IF(Q86=1,SUM($Q$5:Q86),"")</x:f>
        <x:v>68</x:v>
      </x:c>
    </x:row>
    <x:row r="87">
      <x:c r="A87" s="58" t="str">
        <x:v>T083</x:v>
      </x:c>
      <x:c r="B87" s="58" t="str">
        <x:v>T079</x:v>
      </x:c>
      <x:c r="C87" s="58" t="n">
        <x:v>5</x:v>
      </x:c>
      <x:c r="D87" s="58" t="str">
        <x:v>フィン効率</x:v>
      </x:c>
      <x:c r="E87" s="58" t="str">
        <x:v>k_fin</x:v>
      </x:c>
      <x:c r="F87" s="59" t="n">
        <x:f>'01_入力仕様'!D45</x:f>
        <x:v>0.75</x:v>
      </x:c>
      <x:c r="G87" s="59" t="str">
        <x:v>-</x:v>
      </x:c>
      <x:c r="H87" s="59" t="n">
        <x:f>ABS(K87)*$F$5</x:f>
        <x:v>0.19928662258925056</x:v>
      </x:c>
      <x:c r="I87" s="58" t="str">
        <x:v>入力仕様</x:v>
      </x:c>
      <x:c r="J87" s="59" t="n">
        <x:f>1</x:f>
        <x:v>1</x:v>
      </x:c>
      <x:c r="K87" s="59" t="n">
        <x:f>K83*J87</x:f>
        <x:v>-0.022272039345098575</x:v>
      </x:c>
      <x:c r="L87" s="58" t="str">
        <x:f>IF(K87&gt;0,"増加→総重量増",IF(K87&lt;0,"増加→総重量減","中立"))</x:f>
        <x:v>増加→総重量減</x:v>
      </x:c>
      <x:c r="M87" s="58" t="str">
        <x:v>設計対象</x:v>
      </x:c>
      <x:c r="N87" s="58" t="str"/>
      <x:c r="O87" s="229" t="n">
        <x:f>--(COUNTIF($B$5:$B$560,A87)=0)</x:f>
        <x:v>1</x:v>
      </x:c>
      <x:c r="P87" s="70" t="str">
        <x:f>IF(LEFT(E87,7)&lt;&gt;"Enable_","",IFERROR(IF(OR(ISNUMBER(SEARCH("=Enable",INDEX($I$5:$I$560,MATCH(B87,$A$5:$A$560,0)))),ISNUMBER(SEARCH("×Enable",INDEX($I$5:$I$560,MATCH(B87,$A$5:$A$560,0))))),1,""),""))</x:f>
      </x:c>
      <x:c r="Q87" t="n">
        <x:f>IF(E87="","",--(XMATCH(E87,$E$5:E87,0)=ROWS($E$5:E87)))</x:f>
        <x:v>1</x:v>
      </x:c>
      <x:c r="R87" t="n">
        <x:f>IF(Q87=1,SUM($Q$5:Q87),"")</x:f>
        <x:v>69</x:v>
      </x:c>
    </x:row>
    <x:row r="88">
      <x:c r="A88" s="62" t="str">
        <x:v>T084</x:v>
      </x:c>
      <x:c r="B88" s="62" t="str">
        <x:v>T079</x:v>
      </x:c>
      <x:c r="C88" s="62" t="n">
        <x:v>5</x:v>
      </x:c>
      <x:c r="D88" s="62" t="str">
        <x:v>流速係数</x:v>
      </x:c>
      <x:c r="E88" s="62" t="str">
        <x:v>k_flow</x:v>
      </x:c>
      <x:c r="F88" s="63" t="n">
        <x:f>('01_入力仕様'!D46/'01_入力仕様'!D47)^0.5</x:f>
        <x:v>1.224744871391589</x:v>
      </x:c>
      <x:c r="G88" s="63" t="str">
        <x:v>-</x:v>
      </x:c>
      <x:c r="H88" s="63" t="n">
        <x:f>ABS(K88)*$F$5</x:f>
        <x:v>0.19928662258925056</x:v>
      </x:c>
      <x:c r="I88" s="62" t="str">
        <x:v>k_flow=(v_cool/v_ref)^0.5</x:v>
      </x:c>
      <x:c r="J88" s="63" t="n">
        <x:f>1</x:f>
        <x:v>1</x:v>
      </x:c>
      <x:c r="K88" s="63" t="n">
        <x:f>K83*J88</x:f>
        <x:v>-0.022272039345098575</x:v>
      </x:c>
      <x:c r="L88" s="62" t="str">
        <x:f>IF(K88&gt;0,"増加→総重量増",IF(K88&lt;0,"増加→総重量減","中立"))</x:f>
        <x:v>増加→総重量減</x:v>
      </x:c>
      <x:c r="M88" s="62" t="str">
        <x:v>設計対象</x:v>
      </x:c>
      <x:c r="N88" s="62" t="str"/>
      <x:c r="O88" s="229" t="n">
        <x:f>--(COUNTIF($B$5:$B$560,A88)=0)</x:f>
        <x:v>0</x:v>
      </x:c>
      <x:c r="P88" s="70" t="str">
        <x:f>IF(LEFT(E88,7)&lt;&gt;"Enable_","",IFERROR(IF(OR(ISNUMBER(SEARCH("=Enable",INDEX($I$5:$I$560,MATCH(B88,$A$5:$A$560,0)))),ISNUMBER(SEARCH("×Enable",INDEX($I$5:$I$560,MATCH(B88,$A$5:$A$560,0))))),1,""),""))</x:f>
      </x:c>
      <x:c r="Q88" t="n">
        <x:f>IF(E88="","",--(XMATCH(E88,$E$5:E88,0)=ROWS($E$5:E88)))</x:f>
        <x:v>1</x:v>
      </x:c>
      <x:c r="R88" t="n">
        <x:f>IF(Q88=1,SUM($Q$5:Q88),"")</x:f>
        <x:v>70</x:v>
      </x:c>
    </x:row>
    <x:row r="89">
      <x:c r="A89" s="58" t="str">
        <x:v>T085</x:v>
      </x:c>
      <x:c r="B89" s="58" t="str">
        <x:v>T084</x:v>
      </x:c>
      <x:c r="C89" s="58" t="n">
        <x:v>6</x:v>
      </x:c>
      <x:c r="D89" s="58" t="str">
        <x:v>冷媒流速</x:v>
      </x:c>
      <x:c r="E89" s="58" t="str">
        <x:v>v_cool</x:v>
      </x:c>
      <x:c r="F89" s="59" t="n">
        <x:f>'01_入力仕様'!D46</x:f>
        <x:v>1.5</x:v>
      </x:c>
      <x:c r="G89" s="59" t="str">
        <x:v>m/s</x:v>
      </x:c>
      <x:c r="H89" s="59" t="n">
        <x:f>ABS(K89)*$F$5</x:f>
        <x:v>0.09964331129462528</x:v>
      </x:c>
      <x:c r="I89" s="58" t="str">
        <x:v>入力仕様</x:v>
      </x:c>
      <x:c r="J89" s="59" t="n">
        <x:f>0.5</x:f>
        <x:v>0.5</x:v>
      </x:c>
      <x:c r="K89" s="59" t="n">
        <x:f>K88*J89</x:f>
        <x:v>-0.011136019672549288</x:v>
      </x:c>
      <x:c r="L89" s="58" t="str">
        <x:f>IF(K89&gt;0,"増加→総重量増",IF(K89&lt;0,"増加→総重量減","中立"))</x:f>
        <x:v>増加→総重量減</x:v>
      </x:c>
      <x:c r="M89" s="58" t="str">
        <x:v>設計対象</x:v>
      </x:c>
      <x:c r="N89" s="58" t="str"/>
      <x:c r="O89" s="229" t="n">
        <x:f>--(COUNTIF($B$5:$B$560,A89)=0)</x:f>
        <x:v>1</x:v>
      </x:c>
      <x:c r="P89" s="70" t="str">
        <x:f>IF(LEFT(E89,7)&lt;&gt;"Enable_","",IFERROR(IF(OR(ISNUMBER(SEARCH("=Enable",INDEX($I$5:$I$560,MATCH(B89,$A$5:$A$560,0)))),ISNUMBER(SEARCH("×Enable",INDEX($I$5:$I$560,MATCH(B89,$A$5:$A$560,0))))),1,""),""))</x:f>
      </x:c>
      <x:c r="Q89" t="n">
        <x:f>IF(E89="","",--(XMATCH(E89,$E$5:E89,0)=ROWS($E$5:E89)))</x:f>
        <x:v>1</x:v>
      </x:c>
      <x:c r="R89" t="n">
        <x:f>IF(Q89=1,SUM($Q$5:Q89),"")</x:f>
        <x:v>71</x:v>
      </x:c>
    </x:row>
    <x:row r="90">
      <x:c r="A90" s="58" t="str">
        <x:v>T086</x:v>
      </x:c>
      <x:c r="B90" s="58" t="str">
        <x:v>T084</x:v>
      </x:c>
      <x:c r="C90" s="58" t="n">
        <x:v>6</x:v>
      </x:c>
      <x:c r="D90" s="58" t="str">
        <x:v>基準流速</x:v>
      </x:c>
      <x:c r="E90" s="58" t="str">
        <x:v>v_ref</x:v>
      </x:c>
      <x:c r="F90" s="59" t="n">
        <x:f>'01_入力仕様'!D47</x:f>
        <x:v>1</x:v>
      </x:c>
      <x:c r="G90" s="59" t="str">
        <x:v>m/s</x:v>
      </x:c>
      <x:c r="H90" s="59" t="n">
        <x:f>ABS(K90)*$F$5</x:f>
        <x:v>0.09964331129462528</x:v>
      </x:c>
      <x:c r="I90" s="58" t="str">
        <x:v>入力仕様</x:v>
      </x:c>
      <x:c r="J90" s="59" t="n">
        <x:f>-0.5</x:f>
        <x:v>-0.5</x:v>
      </x:c>
      <x:c r="K90" s="59" t="n">
        <x:f>K88*J90</x:f>
        <x:v>0.011136019672549288</x:v>
      </x:c>
      <x:c r="L90" s="58" t="str">
        <x:f>IF(K90&gt;0,"増加→総重量増",IF(K90&lt;0,"増加→総重量減","中立"))</x:f>
        <x:v>増加→総重量増</x:v>
      </x:c>
      <x:c r="M90" s="58" t="str">
        <x:v>設計対象</x:v>
      </x:c>
      <x:c r="N90" s="58" t="str"/>
      <x:c r="O90" s="229" t="n">
        <x:f>--(COUNTIF($B$5:$B$560,A90)=0)</x:f>
        <x:v>1</x:v>
      </x:c>
      <x:c r="P90" s="70" t="str">
        <x:f>IF(LEFT(E90,7)&lt;&gt;"Enable_","",IFERROR(IF(OR(ISNUMBER(SEARCH("=Enable",INDEX($I$5:$I$560,MATCH(B90,$A$5:$A$560,0)))),ISNUMBER(SEARCH("×Enable",INDEX($I$5:$I$560,MATCH(B90,$A$5:$A$560,0))))),1,""),""))</x:f>
      </x:c>
      <x:c r="Q90" t="n">
        <x:f>IF(E90="","",--(XMATCH(E90,$E$5:E90,0)=ROWS($E$5:E90)))</x:f>
        <x:v>1</x:v>
      </x:c>
      <x:c r="R90" t="n">
        <x:f>IF(Q90=1,SUM($Q$5:Q90),"")</x:f>
        <x:v>72</x:v>
      </x:c>
    </x:row>
    <x:row r="91">
      <x:c r="A91" s="58" t="str">
        <x:v>T087</x:v>
      </x:c>
      <x:c r="B91" s="58" t="str">
        <x:v>T078</x:v>
      </x:c>
      <x:c r="C91" s="58" t="n">
        <x:v>4</x:v>
      </x:c>
      <x:c r="D91" s="58" t="str">
        <x:v>冷媒温度上昇</x:v>
      </x:c>
      <x:c r="E91" s="58" t="str">
        <x:v>dT_cool</x:v>
      </x:c>
      <x:c r="F91" s="59" t="n">
        <x:f>'01_入力仕様'!D48</x:f>
        <x:v>20</x:v>
      </x:c>
      <x:c r="G91" s="59" t="str">
        <x:v>K</x:v>
      </x:c>
      <x:c r="H91" s="59" t="n">
        <x:f>ABS(K91)*$F$5</x:f>
        <x:v>0.19928662258925056</x:v>
      </x:c>
      <x:c r="I91" s="58" t="str">
        <x:v>入力仕様</x:v>
      </x:c>
      <x:c r="J91" s="59" t="n">
        <x:f>1</x:f>
        <x:v>1</x:v>
      </x:c>
      <x:c r="K91" s="59" t="n">
        <x:f>K82*J91</x:f>
        <x:v>-0.022272039345098575</x:v>
      </x:c>
      <x:c r="L91" s="58" t="str">
        <x:f>IF(K91&gt;0,"増加→総重量増",IF(K91&lt;0,"増加→総重量減","中立"))</x:f>
        <x:v>増加→総重量減</x:v>
      </x:c>
      <x:c r="M91" s="58" t="str">
        <x:v>設計対象</x:v>
      </x:c>
      <x:c r="N91" s="58" t="str"/>
      <x:c r="O91" s="229" t="n">
        <x:f>--(COUNTIF($B$5:$B$560,A91)=0)</x:f>
        <x:v>1</x:v>
      </x:c>
      <x:c r="P91" s="70" t="str">
        <x:f>IF(LEFT(E91,7)&lt;&gt;"Enable_","",IFERROR(IF(OR(ISNUMBER(SEARCH("=Enable",INDEX($I$5:$I$560,MATCH(B91,$A$5:$A$560,0)))),ISNUMBER(SEARCH("×Enable",INDEX($I$5:$I$560,MATCH(B91,$A$5:$A$560,0))))),1,""),""))</x:f>
      </x:c>
      <x:c r="Q91" t="n">
        <x:f>IF(E91="","",--(XMATCH(E91,$E$5:E91,0)=ROWS($E$5:E91)))</x:f>
        <x:v>1</x:v>
      </x:c>
      <x:c r="R91" t="n">
        <x:f>IF(Q91=1,SUM($Q$5:Q91),"")</x:f>
        <x:v>73</x:v>
      </x:c>
    </x:row>
    <x:row r="92">
      <x:c r="A92" s="62" t="str">
        <x:v>T088</x:v>
      </x:c>
      <x:c r="B92" s="62" t="str">
        <x:v>T078</x:v>
      </x:c>
      <x:c r="C92" s="62" t="n">
        <x:v>4</x:v>
      </x:c>
      <x:c r="D92" s="62" t="str">
        <x:v>熱交換器面密度</x:v>
      </x:c>
      <x:c r="E92" s="62" t="str">
        <x:v>sigma_hx</x:v>
      </x:c>
      <x:c r="F92" s="63" t="n">
        <x:f>'01_入力仕様'!D50*'01_入力仕様'!D49</x:f>
        <x:v>5.1000000000000005</x:v>
      </x:c>
      <x:c r="G92" s="63" t="str">
        <x:v>kg/m²</x:v>
      </x:c>
      <x:c r="H92" s="63" t="n">
        <x:f>ABS(K92)*$F$5</x:f>
        <x:v>0.19928662258925056</x:v>
      </x:c>
      <x:c r="I92" s="62" t="str">
        <x:v>sigma_hx=rho_hx×t_hx_eq</x:v>
      </x:c>
      <x:c r="J92" s="63" t="n">
        <x:f>-1</x:f>
        <x:v>-1</x:v>
      </x:c>
      <x:c r="K92" s="63" t="n">
        <x:f>K82*J92</x:f>
        <x:v>0.022272039345098575</x:v>
      </x:c>
      <x:c r="L92" s="62" t="str">
        <x:f>IF(K92&gt;0,"増加→総重量増",IF(K92&lt;0,"増加→総重量減","中立"))</x:f>
        <x:v>増加→総重量増</x:v>
      </x:c>
      <x:c r="M92" s="62" t="str">
        <x:v>設計対象</x:v>
      </x:c>
      <x:c r="N92" s="62" t="str"/>
      <x:c r="O92" s="229" t="n">
        <x:f>--(COUNTIF($B$5:$B$560,A92)=0)</x:f>
        <x:v>0</x:v>
      </x:c>
      <x:c r="P92" s="70" t="str">
        <x:f>IF(LEFT(E92,7)&lt;&gt;"Enable_","",IFERROR(IF(OR(ISNUMBER(SEARCH("=Enable",INDEX($I$5:$I$560,MATCH(B92,$A$5:$A$560,0)))),ISNUMBER(SEARCH("×Enable",INDEX($I$5:$I$560,MATCH(B92,$A$5:$A$560,0))))),1,""),""))</x:f>
      </x:c>
      <x:c r="Q92" t="n">
        <x:f>IF(E92="","",--(XMATCH(E92,$E$5:E92,0)=ROWS($E$5:E92)))</x:f>
        <x:v>1</x:v>
      </x:c>
      <x:c r="R92" t="n">
        <x:f>IF(Q92=1,SUM($Q$5:Q92),"")</x:f>
        <x:v>74</x:v>
      </x:c>
    </x:row>
    <x:row r="93">
      <x:c r="A93" s="58" t="str">
        <x:v>T089</x:v>
      </x:c>
      <x:c r="B93" s="58" t="str">
        <x:v>T088</x:v>
      </x:c>
      <x:c r="C93" s="58" t="n">
        <x:v>5</x:v>
      </x:c>
      <x:c r="D93" s="58" t="str">
        <x:v>熱交換器密度</x:v>
      </x:c>
      <x:c r="E93" s="58" t="str">
        <x:v>rho_hx</x:v>
      </x:c>
      <x:c r="F93" s="59" t="n">
        <x:f>'01_入力仕様'!D50</x:f>
        <x:v>850</x:v>
      </x:c>
      <x:c r="G93" s="59" t="str">
        <x:v>kg/m³</x:v>
      </x:c>
      <x:c r="H93" s="59" t="n">
        <x:f>ABS(K93)*$F$5</x:f>
        <x:v>0.19928662258925056</x:v>
      </x:c>
      <x:c r="I93" s="58" t="str">
        <x:v>入力仕様</x:v>
      </x:c>
      <x:c r="J93" s="59" t="n">
        <x:f>-1</x:f>
        <x:v>-1</x:v>
      </x:c>
      <x:c r="K93" s="59" t="n">
        <x:f>K92*J93</x:f>
        <x:v>-0.022272039345098575</x:v>
      </x:c>
      <x:c r="L93" s="58" t="str">
        <x:f>IF(K93&gt;0,"増加→総重量増",IF(K93&lt;0,"増加→総重量減","中立"))</x:f>
        <x:v>増加→総重量減</x:v>
      </x:c>
      <x:c r="M93" s="58" t="str">
        <x:v>設計対象</x:v>
      </x:c>
      <x:c r="N93" s="58" t="str"/>
      <x:c r="O93" s="229" t="n">
        <x:f>--(COUNTIF($B$5:$B$560,A93)=0)</x:f>
        <x:v>1</x:v>
      </x:c>
      <x:c r="P93" s="70" t="str">
        <x:f>IF(LEFT(E93,7)&lt;&gt;"Enable_","",IFERROR(IF(OR(ISNUMBER(SEARCH("=Enable",INDEX($I$5:$I$560,MATCH(B93,$A$5:$A$560,0)))),ISNUMBER(SEARCH("×Enable",INDEX($I$5:$I$560,MATCH(B93,$A$5:$A$560,0))))),1,""),""))</x:f>
      </x:c>
      <x:c r="Q93" t="n">
        <x:f>IF(E93="","",--(XMATCH(E93,$E$5:E93,0)=ROWS($E$5:E93)))</x:f>
        <x:v>1</x:v>
      </x:c>
      <x:c r="R93" t="n">
        <x:f>IF(Q93=1,SUM($Q$5:Q93),"")</x:f>
        <x:v>75</x:v>
      </x:c>
    </x:row>
    <x:row r="94">
      <x:c r="A94" s="58" t="str">
        <x:v>T090</x:v>
      </x:c>
      <x:c r="B94" s="58" t="str">
        <x:v>T088</x:v>
      </x:c>
      <x:c r="C94" s="58" t="n">
        <x:v>5</x:v>
      </x:c>
      <x:c r="D94" s="58" t="str">
        <x:v>熱交換器厚さ</x:v>
      </x:c>
      <x:c r="E94" s="58" t="str">
        <x:v>t_hx_eq</x:v>
      </x:c>
      <x:c r="F94" s="59" t="n">
        <x:f>'01_入力仕様'!D49</x:f>
        <x:v>0.006</x:v>
      </x:c>
      <x:c r="G94" s="59" t="str">
        <x:v>m</x:v>
      </x:c>
      <x:c r="H94" s="59" t="n">
        <x:f>ABS(K94)*$F$5</x:f>
        <x:v>0.19928662258925056</x:v>
      </x:c>
      <x:c r="I94" s="58" t="str">
        <x:v>入力仕様</x:v>
      </x:c>
      <x:c r="J94" s="59" t="n">
        <x:f>-1</x:f>
        <x:v>-1</x:v>
      </x:c>
      <x:c r="K94" s="59" t="n">
        <x:f>K92*J94</x:f>
        <x:v>-0.022272039345098575</x:v>
      </x:c>
      <x:c r="L94" s="58" t="str">
        <x:f>IF(K94&gt;0,"増加→総重量増",IF(K94&lt;0,"増加→総重量減","中立"))</x:f>
        <x:v>増加→総重量減</x:v>
      </x:c>
      <x:c r="M94" s="58" t="str">
        <x:v>設計対象</x:v>
      </x:c>
      <x:c r="N94" s="58" t="str"/>
      <x:c r="O94" s="229" t="n">
        <x:f>--(COUNTIF($B$5:$B$560,A94)=0)</x:f>
        <x:v>1</x:v>
      </x:c>
      <x:c r="P94" s="70" t="str">
        <x:f>IF(LEFT(E94,7)&lt;&gt;"Enable_","",IFERROR(IF(OR(ISNUMBER(SEARCH("=Enable",INDEX($I$5:$I$560,MATCH(B94,$A$5:$A$560,0)))),ISNUMBER(SEARCH("×Enable",INDEX($I$5:$I$560,MATCH(B94,$A$5:$A$560,0))))),1,""),""))</x:f>
      </x:c>
      <x:c r="Q94" t="n">
        <x:f>IF(E94="","",--(XMATCH(E94,$E$5:E94,0)=ROWS($E$5:E94)))</x:f>
        <x:v>1</x:v>
      </x:c>
      <x:c r="R94" t="n">
        <x:f>IF(Q94=1,SUM($Q$5:Q94),"")</x:f>
        <x:v>76</x:v>
      </x:c>
    </x:row>
    <x:row r="95">
      <x:c r="A95" s="58" t="str">
        <x:v>T091</x:v>
      </x:c>
      <x:c r="B95" s="58" t="str">
        <x:v>T030</x:v>
      </x:c>
      <x:c r="C95" s="58" t="n">
        <x:v>2</x:v>
      </x:c>
      <x:c r="D95" s="58" t="str">
        <x:v>冷却補機固定重量</x:v>
      </x:c>
      <x:c r="E95" s="58" t="str">
        <x:v>m_cool_fix</x:v>
      </x:c>
      <x:c r="F95" s="59" t="n">
        <x:f>'01_入力仕様'!D52</x:f>
        <x:v>0.35</x:v>
      </x:c>
      <x:c r="G95" s="59" t="str">
        <x:v>kg</x:v>
      </x:c>
      <x:c r="H95" s="59" t="n">
        <x:f>ABS(K95)*$F$5</x:f>
        <x:v>0.35</x:v>
      </x:c>
      <x:c r="I95" s="58" t="str">
        <x:v>入力仕様</x:v>
      </x:c>
      <x:c r="J95" s="59" t="n">
        <x:f>F95/F34</x:f>
        <x:v>0.4671109685510368</x:v>
      </x:c>
      <x:c r="K95" s="59" t="n">
        <x:f>K34*J95</x:f>
        <x:v>0.03911558974458214</x:v>
      </x:c>
      <x:c r="L95" s="58" t="str">
        <x:f>IF(K95&gt;0,"増加→総重量増",IF(K95&lt;0,"増加→総重量減","中立"))</x:f>
        <x:v>増加→総重量増</x:v>
      </x:c>
      <x:c r="M95" s="58" t="str">
        <x:v>設計対象</x:v>
      </x:c>
      <x:c r="N95" s="58" t="str"/>
      <x:c r="O95" s="229" t="n">
        <x:f>--(COUNTIF($B$5:$B$560,A95)=0)</x:f>
        <x:v>1</x:v>
      </x:c>
      <x:c r="P95" s="70" t="str">
        <x:f>IF(LEFT(E95,7)&lt;&gt;"Enable_","",IFERROR(IF(OR(ISNUMBER(SEARCH("=Enable",INDEX($I$5:$I$560,MATCH(B95,$A$5:$A$560,0)))),ISNUMBER(SEARCH("×Enable",INDEX($I$5:$I$560,MATCH(B95,$A$5:$A$560,0))))),1,""),""))</x:f>
      </x:c>
      <x:c r="Q95" t="n">
        <x:f>IF(E95="","",--(XMATCH(E95,$E$5:E95,0)=ROWS($E$5:E95)))</x:f>
        <x:v>1</x:v>
      </x:c>
      <x:c r="R95" t="n">
        <x:f>IF(Q95=1,SUM($Q$5:Q95),"")</x:f>
        <x:v>77</x:v>
      </x:c>
    </x:row>
    <x:row r="96">
      <x:c r="A96" s="54" t="str">
        <x:v>T092</x:v>
      </x:c>
      <x:c r="B96" s="54" t="str">
        <x:v>T001</x:v>
      </x:c>
      <x:c r="C96" s="54" t="n">
        <x:v>1</x:v>
      </x:c>
      <x:c r="D96" s="54" t="str">
        <x:v>DCリンクC重量</x:v>
      </x:c>
      <x:c r="E96" s="54" t="str">
        <x:v>M_cap</x:v>
      </x:c>
      <x:c r="F96" s="55" t="n">
        <x:f>F97+F375+F110</x:f>
        <x:v>1.5663319302757222</x:v>
      </x:c>
      <x:c r="G96" s="55" t="str">
        <x:v>kg</x:v>
      </x:c>
      <x:c r="H96" s="55" t="n">
        <x:f>ABS(K96)*$F$5</x:f>
        <x:v>1.5663319302757222</x:v>
      </x:c>
      <x:c r="I96" s="54" t="str">
        <x:v>M_cap=m_cap_active+M_cap_margin+mC_fix</x:v>
      </x:c>
      <x:c r="J96" s="55" t="n">
        <x:f>F96/F5</x:f>
        <x:v>0.17505142053858455</x:v>
      </x:c>
      <x:c r="K96" s="55" t="n">
        <x:f>K5*J96</x:f>
        <x:v>0.17505142053858455</x:v>
      </x:c>
      <x:c r="L96" s="54" t="str">
        <x:f>IF(K96&gt;0,"増加→総重量増",IF(K96&lt;0,"増加→総重量減","中立"))</x:f>
        <x:v>増加→総重量増</x:v>
      </x:c>
      <x:c r="M96" s="54" t="str">
        <x:v>設計対象</x:v>
      </x:c>
      <x:c r="N96" s="54" t="str"/>
      <x:c r="O96" s="229" t="n">
        <x:f>--(COUNTIF($B$5:$B$560,A96)=0)</x:f>
        <x:v>0</x:v>
      </x:c>
      <x:c r="P96" s="70" t="str">
        <x:f>IF(LEFT(E96,7)&lt;&gt;"Enable_","",IFERROR(IF(OR(ISNUMBER(SEARCH("=Enable",INDEX($I$5:$I$560,MATCH(B96,$A$5:$A$560,0)))),ISNUMBER(SEARCH("×Enable",INDEX($I$5:$I$560,MATCH(B96,$A$5:$A$560,0))))),1,""),""))</x:f>
      </x:c>
      <x:c r="Q96" t="n">
        <x:f>IF(E96="","",--(XMATCH(E96,$E$5:E96,0)=ROWS($E$5:E96)))</x:f>
        <x:v>1</x:v>
      </x:c>
      <x:c r="R96" t="n">
        <x:f>IF(Q96=1,SUM($Q$5:Q96),"")</x:f>
        <x:v>78</x:v>
      </x:c>
    </x:row>
    <x:row r="97">
      <x:c r="A97" s="54" t="str">
        <x:v>T093</x:v>
      </x:c>
      <x:c r="B97" s="54" t="str">
        <x:v>T092</x:v>
      </x:c>
      <x:c r="C97" s="54" t="n">
        <x:v>2</x:v>
      </x:c>
      <x:c r="D97" s="54" t="str">
        <x:v>容量依存重量</x:v>
      </x:c>
      <x:c r="E97" s="54" t="str">
        <x:v>m_cap_active</x:v>
      </x:c>
      <x:c r="F97" s="55" t="n">
        <x:f>F98*F102</x:f>
        <x:v>1.12792307272332</x:v>
      </x:c>
      <x:c r="G97" s="55" t="str">
        <x:v>kg</x:v>
      </x:c>
      <x:c r="H97" s="55" t="n">
        <x:f>ABS(K97)*$F$5</x:f>
        <x:v>1.12792307272332</x:v>
      </x:c>
      <x:c r="I97" s="54" t="str">
        <x:v>m_cap_active=C_req×mC_spec</x:v>
      </x:c>
      <x:c r="J97" s="55" t="n">
        <x:f>IF(F96=0,0,F97/F96)</x:f>
        <x:v>0.7201047561641492</x:v>
      </x:c>
      <x:c r="K97" s="55" t="n">
        <x:f>K96*J97</x:f>
        <x:v>0.12605536050312535</x:v>
      </x:c>
      <x:c r="L97" s="54" t="str">
        <x:f>IF(K97&gt;0,"増加→総重量増",IF(K97&lt;0,"増加→総重量減","中立"))</x:f>
        <x:v>増加→総重量増</x:v>
      </x:c>
      <x:c r="M97" s="54" t="str">
        <x:v>設計対象</x:v>
      </x:c>
      <x:c r="N97" s="54" t="str"/>
      <x:c r="O97" s="229" t="n">
        <x:f>--(COUNTIF($B$5:$B$560,A97)=0)</x:f>
        <x:v>0</x:v>
      </x:c>
      <x:c r="P97" s="70" t="str">
        <x:f>IF(LEFT(E97,7)&lt;&gt;"Enable_","",IFERROR(IF(OR(ISNUMBER(SEARCH("=Enable",INDEX($I$5:$I$560,MATCH(B97,$A$5:$A$560,0)))),ISNUMBER(SEARCH("×Enable",INDEX($I$5:$I$560,MATCH(B97,$A$5:$A$560,0))))),1,""),""))</x:f>
      </x:c>
      <x:c r="Q97" t="n">
        <x:f>IF(E97="","",--(XMATCH(E97,$E$5:E97,0)=ROWS($E$5:E97)))</x:f>
        <x:v>1</x:v>
      </x:c>
      <x:c r="R97" t="n">
        <x:f>IF(Q97=1,SUM($Q$5:Q97),"")</x:f>
        <x:v>79</x:v>
      </x:c>
    </x:row>
    <x:row r="98">
      <x:c r="A98" s="62" t="str">
        <x:v>T094</x:v>
      </x:c>
      <x:c r="B98" s="62" t="str">
        <x:v>T093</x:v>
      </x:c>
      <x:c r="C98" s="62" t="n">
        <x:v>3</x:v>
      </x:c>
      <x:c r="D98" s="62" t="str">
        <x:v>必要容量</x:v>
      </x:c>
      <x:c r="E98" s="62" t="str">
        <x:v>C_req</x:v>
      </x:c>
      <x:c r="F98" s="63" t="n">
        <x:f>(2*('01_入力仕様'!D5*1000/'01_入力仕様'!D9)*'01_入力仕様'!D12/('01_入力仕様'!D6^2*(1-(1-'01_入力仕様'!D11)^2)))*1000</x:f>
        <x:v>1.652127940787734</x:v>
      </x:c>
      <x:c r="G98" s="63" t="str">
        <x:v>mF</x:v>
      </x:c>
      <x:c r="H98" s="63" t="n">
        <x:f>ABS(K98)*$F$5</x:f>
        <x:v>1.12792307272332</x:v>
      </x:c>
      <x:c r="I98" s="62" t="str">
        <x:v>C_req=2×P_dc_const×t_buf/{V_dc²[1-(1-r_vdc)²]}×1000</x:v>
      </x:c>
      <x:c r="J98" s="63" t="n">
        <x:f>1</x:f>
        <x:v>1</x:v>
      </x:c>
      <x:c r="K98" s="63" t="n">
        <x:f>K97*J98</x:f>
        <x:v>0.12605536050312535</x:v>
      </x:c>
      <x:c r="L98" s="62" t="str">
        <x:f>IF(K98&gt;0,"増加→総重量増",IF(K98&lt;0,"増加→総重量減","中立"))</x:f>
        <x:v>増加→総重量増</x:v>
      </x:c>
      <x:c r="M98" s="62" t="str">
        <x:v>設計対象</x:v>
      </x:c>
      <x:c r="N98" s="62" t="str">
        <x:v>P_out固定要求</x:v>
      </x:c>
      <x:c r="O98" s="229" t="n">
        <x:f>--(COUNTIF($B$5:$B$560,A98)=0)</x:f>
        <x:v>0</x:v>
      </x:c>
      <x:c r="P98" s="70" t="str">
        <x:f>IF(LEFT(E98,7)&lt;&gt;"Enable_","",IFERROR(IF(OR(ISNUMBER(SEARCH("=Enable",INDEX($I$5:$I$560,MATCH(B98,$A$5:$A$560,0)))),ISNUMBER(SEARCH("×Enable",INDEX($I$5:$I$560,MATCH(B98,$A$5:$A$560,0))))),1,""),""))</x:f>
      </x:c>
      <x:c r="Q98" t="n">
        <x:f>IF(E98="","",--(XMATCH(E98,$E$5:E98,0)=ROWS($E$5:E98)))</x:f>
        <x:v>1</x:v>
      </x:c>
      <x:c r="R98" t="n">
        <x:f>IF(Q98=1,SUM($Q$5:Q98),"")</x:f>
        <x:v>80</x:v>
      </x:c>
    </x:row>
    <x:row r="99">
      <x:c r="A99" s="58" t="str">
        <x:v>T095</x:v>
      </x:c>
      <x:c r="B99" s="58" t="str">
        <x:v>T094</x:v>
      </x:c>
      <x:c r="C99" s="58" t="n">
        <x:v>4</x:v>
      </x:c>
      <x:c r="D99" s="58" t="str">
        <x:v>バッファ時間</x:v>
      </x:c>
      <x:c r="E99" s="58" t="str">
        <x:v>t_buf</x:v>
      </x:c>
      <x:c r="F99" s="59" t="n">
        <x:f>'01_入力仕様'!D12</x:f>
        <x:v>0.0005</x:v>
      </x:c>
      <x:c r="G99" s="59" t="str">
        <x:v>s</x:v>
      </x:c>
      <x:c r="H99" s="59" t="n">
        <x:f>ABS(K99)*$F$5</x:f>
        <x:v>1.12792307272332</x:v>
      </x:c>
      <x:c r="I99" s="58" t="str">
        <x:v>入力仕様</x:v>
      </x:c>
      <x:c r="J99" s="59" t="n">
        <x:f>1</x:f>
        <x:v>1</x:v>
      </x:c>
      <x:c r="K99" s="59" t="n">
        <x:f>K98*J99</x:f>
        <x:v>0.12605536050312535</x:v>
      </x:c>
      <x:c r="L99" s="58" t="str">
        <x:f>IF(K99&gt;0,"増加→総重量増",IF(K99&lt;0,"増加→総重量減","中立"))</x:f>
        <x:v>増加→総重量増</x:v>
      </x:c>
      <x:c r="M99" s="58" t="str">
        <x:v>設計対象</x:v>
      </x:c>
      <x:c r="N99" s="58" t="str"/>
      <x:c r="O99" s="229" t="n">
        <x:f>--(COUNTIF($B$5:$B$560,A99)=0)</x:f>
        <x:v>1</x:v>
      </x:c>
      <x:c r="P99" s="70" t="str">
        <x:f>IF(LEFT(E99,7)&lt;&gt;"Enable_","",IFERROR(IF(OR(ISNUMBER(SEARCH("=Enable",INDEX($I$5:$I$560,MATCH(B99,$A$5:$A$560,0)))),ISNUMBER(SEARCH("×Enable",INDEX($I$5:$I$560,MATCH(B99,$A$5:$A$560,0))))),1,""),""))</x:f>
      </x:c>
      <x:c r="Q99" t="n">
        <x:f>IF(E99="","",--(XMATCH(E99,$E$5:E99,0)=ROWS($E$5:E99)))</x:f>
        <x:v>1</x:v>
      </x:c>
      <x:c r="R99" t="n">
        <x:f>IF(Q99=1,SUM($Q$5:Q99),"")</x:f>
        <x:v>81</x:v>
      </x:c>
    </x:row>
    <x:row r="100">
      <x:c r="A100" s="58" t="str">
        <x:v>T096</x:v>
      </x:c>
      <x:c r="B100" s="58" t="str">
        <x:v>T094</x:v>
      </x:c>
      <x:c r="C100" s="58" t="n">
        <x:v>4</x:v>
      </x:c>
      <x:c r="D100" s="58" t="str">
        <x:v>DCバス電圧</x:v>
      </x:c>
      <x:c r="E100" s="58" t="str">
        <x:v>V_dc</x:v>
      </x:c>
      <x:c r="F100" s="59" t="n">
        <x:f>'01_入力仕様'!D6</x:f>
        <x:v>800</x:v>
      </x:c>
      <x:c r="G100" s="59" t="str">
        <x:v>V</x:v>
      </x:c>
      <x:c r="H100" s="59" t="n">
        <x:f>ABS(K100)*$F$5</x:f>
        <x:v>2.25584614544664</x:v>
      </x:c>
      <x:c r="I100" s="58" t="str">
        <x:v>入力仕様</x:v>
      </x:c>
      <x:c r="J100" s="59" t="n">
        <x:f>-2</x:f>
        <x:v>-2</x:v>
      </x:c>
      <x:c r="K100" s="59" t="n">
        <x:f>K98*J100</x:f>
        <x:v>-0.2521107210062507</x:v>
      </x:c>
      <x:c r="L100" s="58" t="str">
        <x:f>IF(K100&gt;0,"増加→総重量増",IF(K100&lt;0,"増加→総重量減","中立"))</x:f>
        <x:v>増加→総重量減</x:v>
      </x:c>
      <x:c r="M100" s="58" t="str">
        <x:v>設計対象</x:v>
      </x:c>
      <x:c r="N100" s="58" t="str">
        <x:v>Vdc↑→Creq↓</x:v>
      </x:c>
      <x:c r="O100" s="229" t="n">
        <x:f>--(COUNTIF($B$5:$B$560,A100)=0)</x:f>
        <x:v>1</x:v>
      </x:c>
      <x:c r="P100" s="70" t="str">
        <x:f>IF(LEFT(E100,7)&lt;&gt;"Enable_","",IFERROR(IF(OR(ISNUMBER(SEARCH("=Enable",INDEX($I$5:$I$560,MATCH(B100,$A$5:$A$560,0)))),ISNUMBER(SEARCH("×Enable",INDEX($I$5:$I$560,MATCH(B100,$A$5:$A$560,0))))),1,""),""))</x:f>
      </x:c>
      <x:c r="Q100" t="n">
        <x:f>IF(E100="","",--(XMATCH(E100,$E$5:E100,0)=ROWS($E$5:E100)))</x:f>
        <x:v>0</x:v>
      </x:c>
      <x:c r="R100" t="str">
        <x:f>IF(Q100=1,SUM($Q$5:Q100),"")</x:f>
      </x:c>
    </x:row>
    <x:row r="101">
      <x:c r="A101" s="58" t="str">
        <x:v>T097</x:v>
      </x:c>
      <x:c r="B101" s="58" t="str">
        <x:v>T094</x:v>
      </x:c>
      <x:c r="C101" s="58" t="n">
        <x:v>4</x:v>
      </x:c>
      <x:c r="D101" s="58" t="str">
        <x:v>許容リップル率</x:v>
      </x:c>
      <x:c r="E101" s="58" t="str">
        <x:v>r_vdc</x:v>
      </x:c>
      <x:c r="F101" s="59" t="n">
        <x:f>'01_入力仕様'!D11</x:f>
        <x:v>0.05</x:v>
      </x:c>
      <x:c r="G101" s="59" t="str">
        <x:v>-</x:v>
      </x:c>
      <x:c r="H101" s="59" t="n">
        <x:f>ABS(K101)*$F$5</x:f>
        <x:v>1.099001968294517</x:v>
      </x:c>
      <x:c r="I101" s="58" t="str">
        <x:v>入力仕様</x:v>
      </x:c>
      <x:c r="J101" s="59" t="n">
        <x:f>-2*(1-'01_入力仕様'!D11)/(2-'01_入力仕様'!D11)</x:f>
        <x:v>-0.9743589743589743</x:v>
      </x:c>
      <x:c r="K101" s="59" t="n">
        <x:f>K98*J101</x:f>
        <x:v>-0.12282317177227599</x:v>
      </x:c>
      <x:c r="L101" s="58" t="str">
        <x:f>IF(K101&gt;0,"増加→総重量増",IF(K101&lt;0,"増加→総重量減","中立"))</x:f>
        <x:v>増加→総重量減</x:v>
      </x:c>
      <x:c r="M101" s="58" t="str">
        <x:v>設計対象</x:v>
      </x:c>
      <x:c r="N101" s="58" t="str"/>
      <x:c r="O101" s="229" t="n">
        <x:f>--(COUNTIF($B$5:$B$560,A101)=0)</x:f>
        <x:v>1</x:v>
      </x:c>
      <x:c r="P101" s="70" t="str">
        <x:f>IF(LEFT(E101,7)&lt;&gt;"Enable_","",IFERROR(IF(OR(ISNUMBER(SEARCH("=Enable",INDEX($I$5:$I$560,MATCH(B101,$A$5:$A$560,0)))),ISNUMBER(SEARCH("×Enable",INDEX($I$5:$I$560,MATCH(B101,$A$5:$A$560,0))))),1,""),""))</x:f>
      </x:c>
      <x:c r="Q101" t="n">
        <x:f>IF(E101="","",--(XMATCH(E101,$E$5:E101,0)=ROWS($E$5:E101)))</x:f>
        <x:v>1</x:v>
      </x:c>
      <x:c r="R101" t="n">
        <x:f>IF(Q101=1,SUM($Q$5:Q101),"")</x:f>
        <x:v>82</x:v>
      </x:c>
    </x:row>
    <x:row r="102">
      <x:c r="A102" s="62" t="str">
        <x:v>T098</x:v>
      </x:c>
      <x:c r="B102" s="62" t="str">
        <x:v>T093</x:v>
      </x:c>
      <x:c r="C102" s="62" t="n">
        <x:v>3</x:v>
      </x:c>
      <x:c r="D102" s="62" t="str">
        <x:v>比重量</x:v>
      </x:c>
      <x:c r="E102" s="62" t="str">
        <x:v>mC_spec</x:v>
      </x:c>
      <x:c r="F102" s="63" t="n">
        <x:f>0.0005*F103^2/F106</x:f>
        <x:v>0.6827092774579714</x:v>
      </x:c>
      <x:c r="G102" s="63" t="str">
        <x:v>kg/mF</x:v>
      </x:c>
      <x:c r="H102" s="63" t="n">
        <x:f>ABS(K102)*$F$5</x:f>
        <x:v>1.12792307272332</x:v>
      </x:c>
      <x:c r="I102" s="62" t="str">
        <x:v>mC_spec=0.0005×V_cap²/e_cap</x:v>
      </x:c>
      <x:c r="J102" s="63" t="n">
        <x:f>1</x:f>
        <x:v>1</x:v>
      </x:c>
      <x:c r="K102" s="63" t="n">
        <x:f>K97*J102</x:f>
        <x:v>0.12605536050312535</x:v>
      </x:c>
      <x:c r="L102" s="62" t="str">
        <x:f>IF(K102&gt;0,"増加→総重量増",IF(K102&lt;0,"増加→総重量減","中立"))</x:f>
        <x:v>増加→総重量増</x:v>
      </x:c>
      <x:c r="M102" s="62" t="str">
        <x:v>設計対象</x:v>
      </x:c>
      <x:c r="N102" s="62" t="str"/>
      <x:c r="O102" s="229" t="n">
        <x:f>--(COUNTIF($B$5:$B$560,A102)=0)</x:f>
        <x:v>0</x:v>
      </x:c>
      <x:c r="P102" s="70" t="str">
        <x:f>IF(LEFT(E102,7)&lt;&gt;"Enable_","",IFERROR(IF(OR(ISNUMBER(SEARCH("=Enable",INDEX($I$5:$I$560,MATCH(B102,$A$5:$A$560,0)))),ISNUMBER(SEARCH("×Enable",INDEX($I$5:$I$560,MATCH(B102,$A$5:$A$560,0))))),1,""),""))</x:f>
      </x:c>
      <x:c r="Q102" t="n">
        <x:f>IF(E102="","",--(XMATCH(E102,$E$5:E102,0)=ROWS($E$5:E102)))</x:f>
        <x:v>1</x:v>
      </x:c>
      <x:c r="R102" t="n">
        <x:f>IF(Q102=1,SUM($Q$5:Q102),"")</x:f>
        <x:v>83</x:v>
      </x:c>
    </x:row>
    <x:row r="103">
      <x:c r="A103" s="62" t="str">
        <x:v>T099</x:v>
      </x:c>
      <x:c r="B103" s="62" t="str">
        <x:v>T098</x:v>
      </x:c>
      <x:c r="C103" s="62" t="n">
        <x:v>4</x:v>
      </x:c>
      <x:c r="D103" s="62" t="str">
        <x:v>C定格電圧</x:v>
      </x:c>
      <x:c r="E103" s="62" t="str">
        <x:v>V_cap</x:v>
      </x:c>
      <x:c r="F103" s="63" t="n">
        <x:f>'01_入力仕様'!D53*'01_入力仕様'!D6</x:f>
        <x:v>1000</x:v>
      </x:c>
      <x:c r="G103" s="63" t="str">
        <x:v>V</x:v>
      </x:c>
      <x:c r="H103" s="63" t="n">
        <x:f>ABS(K103)*$F$5</x:f>
        <x:v>2.25584614544664</x:v>
      </x:c>
      <x:c r="I103" s="62" t="str">
        <x:v>V_cap=K_vcap×V_dc</x:v>
      </x:c>
      <x:c r="J103" s="63" t="n">
        <x:f>2</x:f>
        <x:v>2</x:v>
      </x:c>
      <x:c r="K103" s="63" t="n">
        <x:f>K102*J103</x:f>
        <x:v>0.2521107210062507</x:v>
      </x:c>
      <x:c r="L103" s="62" t="str">
        <x:f>IF(K103&gt;0,"増加→総重量増",IF(K103&lt;0,"増加→総重量減","中立"))</x:f>
        <x:v>増加→総重量増</x:v>
      </x:c>
      <x:c r="M103" s="62" t="str">
        <x:v>設計対象</x:v>
      </x:c>
      <x:c r="N103" s="62" t="str"/>
      <x:c r="O103" s="229" t="n">
        <x:f>--(COUNTIF($B$5:$B$560,A103)=0)</x:f>
        <x:v>0</x:v>
      </x:c>
      <x:c r="P103" s="70" t="str">
        <x:f>IF(LEFT(E103,7)&lt;&gt;"Enable_","",IFERROR(IF(OR(ISNUMBER(SEARCH("=Enable",INDEX($I$5:$I$560,MATCH(B103,$A$5:$A$560,0)))),ISNUMBER(SEARCH("×Enable",INDEX($I$5:$I$560,MATCH(B103,$A$5:$A$560,0))))),1,""),""))</x:f>
      </x:c>
      <x:c r="Q103" t="n">
        <x:f>IF(E103="","",--(XMATCH(E103,$E$5:E103,0)=ROWS($E$5:E103)))</x:f>
        <x:v>1</x:v>
      </x:c>
      <x:c r="R103" t="n">
        <x:f>IF(Q103=1,SUM($Q$5:Q103),"")</x:f>
        <x:v>84</x:v>
      </x:c>
    </x:row>
    <x:row r="104">
      <x:c r="A104" s="58" t="str">
        <x:v>T100</x:v>
      </x:c>
      <x:c r="B104" s="58" t="str">
        <x:v>T099</x:v>
      </x:c>
      <x:c r="C104" s="58" t="n">
        <x:v>5</x:v>
      </x:c>
      <x:c r="D104" s="58" t="str">
        <x:v>定格電圧係数</x:v>
      </x:c>
      <x:c r="E104" s="58" t="str">
        <x:v>K_vcap</x:v>
      </x:c>
      <x:c r="F104" s="59" t="n">
        <x:f>'01_入力仕様'!D53</x:f>
        <x:v>1.25</x:v>
      </x:c>
      <x:c r="G104" s="59" t="str">
        <x:v>-</x:v>
      </x:c>
      <x:c r="H104" s="59" t="n">
        <x:f>ABS(K104)*$F$5</x:f>
        <x:v>2.25584614544664</x:v>
      </x:c>
      <x:c r="I104" s="58" t="str">
        <x:v>入力仕様</x:v>
      </x:c>
      <x:c r="J104" s="59" t="n">
        <x:f>1</x:f>
        <x:v>1</x:v>
      </x:c>
      <x:c r="K104" s="59" t="n">
        <x:f>K103*J104</x:f>
        <x:v>0.2521107210062507</x:v>
      </x:c>
      <x:c r="L104" s="58" t="str">
        <x:f>IF(K104&gt;0,"増加→総重量増",IF(K104&lt;0,"増加→総重量減","中立"))</x:f>
        <x:v>増加→総重量増</x:v>
      </x:c>
      <x:c r="M104" s="58" t="str">
        <x:v>設計対象</x:v>
      </x:c>
      <x:c r="N104" s="58" t="str"/>
      <x:c r="O104" s="229" t="n">
        <x:f>--(COUNTIF($B$5:$B$560,A104)=0)</x:f>
        <x:v>1</x:v>
      </x:c>
      <x:c r="P104" s="70" t="str">
        <x:f>IF(LEFT(E104,7)&lt;&gt;"Enable_","",IFERROR(IF(OR(ISNUMBER(SEARCH("=Enable",INDEX($I$5:$I$560,MATCH(B104,$A$5:$A$560,0)))),ISNUMBER(SEARCH("×Enable",INDEX($I$5:$I$560,MATCH(B104,$A$5:$A$560,0))))),1,""),""))</x:f>
      </x:c>
      <x:c r="Q104" t="n">
        <x:f>IF(E104="","",--(XMATCH(E104,$E$5:E104,0)=ROWS($E$5:E104)))</x:f>
        <x:v>1</x:v>
      </x:c>
      <x:c r="R104" t="n">
        <x:f>IF(Q104=1,SUM($Q$5:Q104),"")</x:f>
        <x:v>85</x:v>
      </x:c>
    </x:row>
    <x:row r="105">
      <x:c r="A105" s="58" t="str">
        <x:v>T101</x:v>
      </x:c>
      <x:c r="B105" s="58" t="str">
        <x:v>T099</x:v>
      </x:c>
      <x:c r="C105" s="58" t="n">
        <x:v>5</x:v>
      </x:c>
      <x:c r="D105" s="58" t="str">
        <x:v>DCバス電圧</x:v>
      </x:c>
      <x:c r="E105" s="58" t="str">
        <x:v>V_dc</x:v>
      </x:c>
      <x:c r="F105" s="59" t="n">
        <x:f>'01_入力仕様'!D6</x:f>
        <x:v>800</x:v>
      </x:c>
      <x:c r="G105" s="59" t="str">
        <x:v>V</x:v>
      </x:c>
      <x:c r="H105" s="59" t="n">
        <x:f>ABS(K105)*$F$5</x:f>
        <x:v>2.25584614544664</x:v>
      </x:c>
      <x:c r="I105" s="58" t="str">
        <x:v>入力仕様</x:v>
      </x:c>
      <x:c r="J105" s="59" t="n">
        <x:f>1</x:f>
        <x:v>1</x:v>
      </x:c>
      <x:c r="K105" s="59" t="n">
        <x:f>K103*J105</x:f>
        <x:v>0.2521107210062507</x:v>
      </x:c>
      <x:c r="L105" s="58" t="str">
        <x:f>IF(K105&gt;0,"増加→総重量増",IF(K105&lt;0,"増加→総重量減","中立"))</x:f>
        <x:v>増加→総重量増</x:v>
      </x:c>
      <x:c r="M105" s="58" t="str">
        <x:v>設計対象</x:v>
      </x:c>
      <x:c r="N105" s="58" t="str">
        <x:v>Vdc↑→比重量↑</x:v>
      </x:c>
      <x:c r="O105" s="229" t="n">
        <x:f>--(COUNTIF($B$5:$B$560,A105)=0)</x:f>
        <x:v>1</x:v>
      </x:c>
      <x:c r="P105" s="70" t="str">
        <x:f>IF(LEFT(E105,7)&lt;&gt;"Enable_","",IFERROR(IF(OR(ISNUMBER(SEARCH("=Enable",INDEX($I$5:$I$560,MATCH(B105,$A$5:$A$560,0)))),ISNUMBER(SEARCH("×Enable",INDEX($I$5:$I$560,MATCH(B105,$A$5:$A$560,0))))),1,""),""))</x:f>
      </x:c>
      <x:c r="Q105" t="n">
        <x:f>IF(E105="","",--(XMATCH(E105,$E$5:E105,0)=ROWS($E$5:E105)))</x:f>
        <x:v>0</x:v>
      </x:c>
      <x:c r="R105" t="str">
        <x:f>IF(Q105=1,SUM($Q$5:Q105),"")</x:f>
      </x:c>
    </x:row>
    <x:row r="106">
      <x:c r="A106" s="62" t="str">
        <x:v>T102</x:v>
      </x:c>
      <x:c r="B106" s="62" t="str">
        <x:v>T098</x:v>
      </x:c>
      <x:c r="C106" s="62" t="n">
        <x:v>4</x:v>
      </x:c>
      <x:c r="D106" s="62" t="str">
        <x:v>実効エネルギー密度</x:v>
      </x:c>
      <x:c r="E106" s="62" t="str">
        <x:v>e_cap</x:v>
      </x:c>
      <x:c r="F106" s="63" t="n">
        <x:f>(('01_入力仕様'!D54*'01_入力仕様'!D55)+F236)/2*'01_入力仕様'!D56</x:f>
        <x:v>732.3761614339286</x:v>
      </x:c>
      <x:c r="G106" s="63" t="str">
        <x:v>J/kg</x:v>
      </x:c>
      <x:c r="H106" s="63" t="n">
        <x:f>ABS(K106)*$F$5</x:f>
        <x:v>1.12792307272332</x:v>
      </x:c>
      <x:c r="I106" s="62" t="str">
        <x:v>e_cap={(e_cap_ref×k_dielectric)+e_cap_phys}/2×k_pack_cap</x:v>
      </x:c>
      <x:c r="J106" s="63" t="n">
        <x:f>-1</x:f>
        <x:v>-1</x:v>
      </x:c>
      <x:c r="K106" s="63" t="n">
        <x:f>K102*J106</x:f>
        <x:v>-0.12605536050312535</x:v>
      </x:c>
      <x:c r="L106" s="62" t="str">
        <x:f>IF(K106&gt;0,"増加→総重量増",IF(K106&lt;0,"増加→総重量減","中立"))</x:f>
        <x:v>増加→総重量減</x:v>
      </x:c>
      <x:c r="M106" s="62" t="str">
        <x:v>設計対象</x:v>
      </x:c>
      <x:c r="N106" s="62" t="str"/>
      <x:c r="O106" s="229" t="n">
        <x:f>--(COUNTIF($B$5:$B$560,A106)=0)</x:f>
        <x:v>0</x:v>
      </x:c>
      <x:c r="P106" s="70" t="str">
        <x:f>IF(LEFT(E106,7)&lt;&gt;"Enable_","",IFERROR(IF(OR(ISNUMBER(SEARCH("=Enable",INDEX($I$5:$I$560,MATCH(B106,$A$5:$A$560,0)))),ISNUMBER(SEARCH("×Enable",INDEX($I$5:$I$560,MATCH(B106,$A$5:$A$560,0))))),1,""),""))</x:f>
      </x:c>
      <x:c r="Q106" t="n">
        <x:f>IF(E106="","",--(XMATCH(E106,$E$5:E106,0)=ROWS($E$5:E106)))</x:f>
        <x:v>1</x:v>
      </x:c>
      <x:c r="R106" t="n">
        <x:f>IF(Q106=1,SUM($Q$5:Q106),"")</x:f>
        <x:v>86</x:v>
      </x:c>
    </x:row>
    <x:row r="107">
      <x:c r="A107" s="58" t="str">
        <x:v>T103</x:v>
      </x:c>
      <x:c r="B107" s="58" t="str">
        <x:v>T102</x:v>
      </x:c>
      <x:c r="C107" s="58" t="n">
        <x:v>5</x:v>
      </x:c>
      <x:c r="D107" s="58" t="str">
        <x:v>基準エネルギー密度</x:v>
      </x:c>
      <x:c r="E107" s="58" t="str">
        <x:v>e_cap_ref</x:v>
      </x:c>
      <x:c r="F107" s="59" t="n">
        <x:f>'01_入力仕様'!D54</x:f>
        <x:v>1800</x:v>
      </x:c>
      <x:c r="G107" s="59" t="str">
        <x:v>J/kg</x:v>
      </x:c>
      <x:c r="H107" s="59" t="n">
        <x:f>ABS(K107)*$F$5</x:f>
        <x:v>0.9979764356252182</x:v>
      </x:c>
      <x:c r="I107" s="58" t="str">
        <x:v>入力仕様</x:v>
      </x:c>
      <x:c r="J107" s="59" t="n">
        <x:f>('01_入力仕様'!D54*'01_入力仕様'!D55)/(('01_入力仕様'!D54*'01_入力仕様'!D55)+F236)</x:f>
        <x:v>0.884791223585531</x:v>
      </x:c>
      <x:c r="K107" s="59" t="n">
        <x:f>K106*J107</x:f>
        <x:v>-0.1115326766590755</x:v>
      </x:c>
      <x:c r="L107" s="58" t="str">
        <x:f>IF(K107&gt;0,"増加→総重量増",IF(K107&lt;0,"増加→総重量減","中立"))</x:f>
        <x:v>増加→総重量減</x:v>
      </x:c>
      <x:c r="M107" s="58" t="str">
        <x:v>設計対象</x:v>
      </x:c>
      <x:c r="N107" s="58" t="str"/>
      <x:c r="O107" s="229" t="n">
        <x:f>--(COUNTIF($B$5:$B$560,A107)=0)</x:f>
        <x:v>1</x:v>
      </x:c>
      <x:c r="P107" s="70" t="str">
        <x:f>IF(LEFT(E107,7)&lt;&gt;"Enable_","",IFERROR(IF(OR(ISNUMBER(SEARCH("=Enable",INDEX($I$5:$I$560,MATCH(B107,$A$5:$A$560,0)))),ISNUMBER(SEARCH("×Enable",INDEX($I$5:$I$560,MATCH(B107,$A$5:$A$560,0))))),1,""),""))</x:f>
      </x:c>
      <x:c r="Q107" t="n">
        <x:f>IF(E107="","",--(XMATCH(E107,$E$5:E107,0)=ROWS($E$5:E107)))</x:f>
        <x:v>1</x:v>
      </x:c>
      <x:c r="R107" t="n">
        <x:f>IF(Q107=1,SUM($Q$5:Q107),"")</x:f>
        <x:v>87</x:v>
      </x:c>
    </x:row>
    <x:row r="108">
      <x:c r="A108" s="58" t="str">
        <x:v>T104</x:v>
      </x:c>
      <x:c r="B108" s="58" t="str">
        <x:v>T102</x:v>
      </x:c>
      <x:c r="C108" s="58" t="n">
        <x:v>5</x:v>
      </x:c>
      <x:c r="D108" s="58" t="str">
        <x:v>誘電体性能</x:v>
      </x:c>
      <x:c r="E108" s="58" t="str">
        <x:v>k_dielectric</x:v>
      </x:c>
      <x:c r="F108" s="59" t="n">
        <x:f>'01_入力仕様'!D55</x:f>
        <x:v>1</x:v>
      </x:c>
      <x:c r="G108" s="59" t="str">
        <x:v>-</x:v>
      </x:c>
      <x:c r="H108" s="59" t="n">
        <x:f>ABS(K108)*$F$5</x:f>
        <x:v>0.9979764356252182</x:v>
      </x:c>
      <x:c r="I108" s="58" t="str">
        <x:v>入力仕様</x:v>
      </x:c>
      <x:c r="J108" s="59" t="n">
        <x:f>('01_入力仕様'!D54*'01_入力仕様'!D55)/(('01_入力仕様'!D54*'01_入力仕様'!D55)+F236)</x:f>
        <x:v>0.884791223585531</x:v>
      </x:c>
      <x:c r="K108" s="59" t="n">
        <x:f>K106*J108</x:f>
        <x:v>-0.1115326766590755</x:v>
      </x:c>
      <x:c r="L108" s="58" t="str">
        <x:f>IF(K108&gt;0,"増加→総重量増",IF(K108&lt;0,"増加→総重量減","中立"))</x:f>
        <x:v>増加→総重量減</x:v>
      </x:c>
      <x:c r="M108" s="58" t="str">
        <x:v>設計対象</x:v>
      </x:c>
      <x:c r="N108" s="58" t="str"/>
      <x:c r="O108" s="229" t="n">
        <x:f>--(COUNTIF($B$5:$B$560,A108)=0)</x:f>
        <x:v>1</x:v>
      </x:c>
      <x:c r="P108" s="70" t="str">
        <x:f>IF(LEFT(E108,7)&lt;&gt;"Enable_","",IFERROR(IF(OR(ISNUMBER(SEARCH("=Enable",INDEX($I$5:$I$560,MATCH(B108,$A$5:$A$560,0)))),ISNUMBER(SEARCH("×Enable",INDEX($I$5:$I$560,MATCH(B108,$A$5:$A$560,0))))),1,""),""))</x:f>
      </x:c>
      <x:c r="Q108" t="n">
        <x:f>IF(E108="","",--(XMATCH(E108,$E$5:E108,0)=ROWS($E$5:E108)))</x:f>
        <x:v>1</x:v>
      </x:c>
      <x:c r="R108" t="n">
        <x:f>IF(Q108=1,SUM($Q$5:Q108),"")</x:f>
        <x:v>88</x:v>
      </x:c>
    </x:row>
    <x:row r="109">
      <x:c r="A109" s="58" t="str">
        <x:v>T105</x:v>
      </x:c>
      <x:c r="B109" s="58" t="str">
        <x:v>T102</x:v>
      </x:c>
      <x:c r="C109" s="58" t="n">
        <x:v>5</x:v>
      </x:c>
      <x:c r="D109" s="58" t="str">
        <x:v>利用率</x:v>
      </x:c>
      <x:c r="E109" s="58" t="str">
        <x:v>k_pack_cap</x:v>
      </x:c>
      <x:c r="F109" s="59" t="n">
        <x:f>'01_入力仕様'!D56</x:f>
        <x:v>0.72</x:v>
      </x:c>
      <x:c r="G109" s="59" t="str">
        <x:v>-</x:v>
      </x:c>
      <x:c r="H109" s="59" t="n">
        <x:f>ABS(K109)*$F$5</x:f>
        <x:v>1.12792307272332</x:v>
      </x:c>
      <x:c r="I109" s="58" t="str">
        <x:v>入力仕様</x:v>
      </x:c>
      <x:c r="J109" s="59" t="n">
        <x:f>1</x:f>
        <x:v>1</x:v>
      </x:c>
      <x:c r="K109" s="59" t="n">
        <x:f>K106*J109</x:f>
        <x:v>-0.12605536050312535</x:v>
      </x:c>
      <x:c r="L109" s="58" t="str">
        <x:f>IF(K109&gt;0,"増加→総重量増",IF(K109&lt;0,"増加→総重量減","中立"))</x:f>
        <x:v>増加→総重量減</x:v>
      </x:c>
      <x:c r="M109" s="58" t="str">
        <x:v>設計対象</x:v>
      </x:c>
      <x:c r="N109" s="58" t="str"/>
      <x:c r="O109" s="229" t="n">
        <x:f>--(COUNTIF($B$5:$B$560,A109)=0)</x:f>
        <x:v>1</x:v>
      </x:c>
      <x:c r="P109" s="70" t="str">
        <x:f>IF(LEFT(E109,7)&lt;&gt;"Enable_","",IFERROR(IF(OR(ISNUMBER(SEARCH("=Enable",INDEX($I$5:$I$560,MATCH(B109,$A$5:$A$560,0)))),ISNUMBER(SEARCH("×Enable",INDEX($I$5:$I$560,MATCH(B109,$A$5:$A$560,0))))),1,""),""))</x:f>
      </x:c>
      <x:c r="Q109" t="n">
        <x:f>IF(E109="","",--(XMATCH(E109,$E$5:E109,0)=ROWS($E$5:E109)))</x:f>
        <x:v>1</x:v>
      </x:c>
      <x:c r="R109" t="n">
        <x:f>IF(Q109=1,SUM($Q$5:Q109),"")</x:f>
        <x:v>89</x:v>
      </x:c>
    </x:row>
    <x:row r="110">
      <x:c r="A110" s="58" t="str">
        <x:v>T106</x:v>
      </x:c>
      <x:c r="B110" s="58" t="str">
        <x:v>T092</x:v>
      </x:c>
      <x:c r="C110" s="58" t="n">
        <x:v>2</x:v>
      </x:c>
      <x:c r="D110" s="58" t="str">
        <x:v>固定重量</x:v>
      </x:c>
      <x:c r="E110" s="58" t="str">
        <x:v>mC_fix</x:v>
      </x:c>
      <x:c r="F110" s="59" t="n">
        <x:f>'01_入力仕様'!D57</x:f>
        <x:v>0.1</x:v>
      </x:c>
      <x:c r="G110" s="59" t="str">
        <x:v>kg</x:v>
      </x:c>
      <x:c r="H110" s="59" t="n">
        <x:f>ABS(K110)*$F$5</x:f>
        <x:v>0.1</x:v>
      </x:c>
      <x:c r="I110" s="58" t="str">
        <x:v>入力仕様</x:v>
      </x:c>
      <x:c r="J110" s="59" t="n">
        <x:f>IF(F96=0,0,F110/F96)</x:f>
        <x:v>0.063843428118328</x:v>
      </x:c>
      <x:c r="K110" s="59" t="n">
        <x:f>K96*J110</x:f>
        <x:v>0.011175882784166327</x:v>
      </x:c>
      <x:c r="L110" s="58" t="str">
        <x:f>IF(K110&gt;0,"増加→総重量増",IF(K110&lt;0,"増加→総重量減","中立"))</x:f>
        <x:v>増加→総重量増</x:v>
      </x:c>
      <x:c r="M110" s="58" t="str">
        <x:v>設計対象</x:v>
      </x:c>
      <x:c r="N110" s="58" t="str"/>
      <x:c r="O110" s="229" t="n">
        <x:f>--(COUNTIF($B$5:$B$560,A110)=0)</x:f>
        <x:v>1</x:v>
      </x:c>
      <x:c r="P110" s="70" t="str">
        <x:f>IF(LEFT(E110,7)&lt;&gt;"Enable_","",IFERROR(IF(OR(ISNUMBER(SEARCH("=Enable",INDEX($I$5:$I$560,MATCH(B110,$A$5:$A$560,0)))),ISNUMBER(SEARCH("×Enable",INDEX($I$5:$I$560,MATCH(B110,$A$5:$A$560,0))))),1,""),""))</x:f>
      </x:c>
      <x:c r="Q110" t="n">
        <x:f>IF(E110="","",--(XMATCH(E110,$E$5:E110,0)=ROWS($E$5:E110)))</x:f>
        <x:v>1</x:v>
      </x:c>
      <x:c r="R110" t="n">
        <x:f>IF(Q110=1,SUM($Q$5:Q110),"")</x:f>
        <x:v>90</x:v>
      </x:c>
    </x:row>
    <x:row r="111">
      <x:c r="A111" s="54" t="str">
        <x:v>T107</x:v>
      </x:c>
      <x:c r="B111" s="54" t="str">
        <x:v>T001</x:v>
      </x:c>
      <x:c r="C111" s="54" t="n">
        <x:v>1</x:v>
      </x:c>
      <x:c r="D111" s="54" t="str">
        <x:v>バスバー重量</x:v>
      </x:c>
      <x:c r="E111" s="54" t="str">
        <x:v>M_bus</x:v>
      </x:c>
      <x:c r="F111" s="55" t="n">
        <x:f>F112*'01_入力仕様'!D66</x:f>
        <x:v>0.0011065323245094917</x:v>
      </x:c>
      <x:c r="G111" s="55" t="str">
        <x:v>kg</x:v>
      </x:c>
      <x:c r="H111" s="55" t="n">
        <x:f>ABS(K111)*$F$5</x:f>
        <x:v>0.0011065323245094917</x:v>
      </x:c>
      <x:c r="I111" s="54" t="str">
        <x:v>M_bus=m_bus×K_bus</x:v>
      </x:c>
      <x:c r="J111" s="55" t="n">
        <x:f>F111/F5</x:f>
        <x:v>0.00012366475555609176</x:v>
      </x:c>
      <x:c r="K111" s="55" t="n">
        <x:f>K5*J111</x:f>
        <x:v>0.00012366475555609176</x:v>
      </x:c>
      <x:c r="L111" s="54" t="str">
        <x:f>IF(K111&gt;0,"増加→総重量増",IF(K111&lt;0,"増加→総重量減","中立"))</x:f>
        <x:v>増加→総重量増</x:v>
      </x:c>
      <x:c r="M111" s="54" t="str">
        <x:v>設計対象</x:v>
      </x:c>
      <x:c r="N111" s="54" t="str"/>
      <x:c r="O111" s="229" t="n">
        <x:f>--(COUNTIF($B$5:$B$560,A111)=0)</x:f>
        <x:v>0</x:v>
      </x:c>
      <x:c r="P111" s="70" t="str">
        <x:f>IF(LEFT(E111,7)&lt;&gt;"Enable_","",IFERROR(IF(OR(ISNUMBER(SEARCH("=Enable",INDEX($I$5:$I$560,MATCH(B111,$A$5:$A$560,0)))),ISNUMBER(SEARCH("×Enable",INDEX($I$5:$I$560,MATCH(B111,$A$5:$A$560,0))))),1,""),""))</x:f>
      </x:c>
      <x:c r="Q111" t="n">
        <x:f>IF(E111="","",--(XMATCH(E111,$E$5:E111,0)=ROWS($E$5:E111)))</x:f>
        <x:v>1</x:v>
      </x:c>
      <x:c r="R111" t="n">
        <x:f>IF(Q111=1,SUM($Q$5:Q111),"")</x:f>
        <x:v>91</x:v>
      </x:c>
    </x:row>
    <x:row r="112">
      <x:c r="A112" s="54" t="str">
        <x:v>T108</x:v>
      </x:c>
      <x:c r="B112" s="54" t="str">
        <x:v>T107</x:v>
      </x:c>
      <x:c r="C112" s="54" t="n">
        <x:v>2</x:v>
      </x:c>
      <x:c r="D112" s="54" t="str">
        <x:v>導体重量</x:v>
      </x:c>
      <x:c r="E112" s="54" t="str">
        <x:v>m_bus</x:v>
      </x:c>
      <x:c r="F112" s="55" t="n">
        <x:f>'01_入力仕様'!D64*'01_入力仕様'!D63*(F115*1E-6)*'01_入力仕様'!D65</x:f>
        <x:v>0.0009377392580588912</x:v>
      </x:c>
      <x:c r="G112" s="55" t="str">
        <x:v>kg</x:v>
      </x:c>
      <x:c r="H112" s="55" t="n">
        <x:f>ABS(K112)*$F$5</x:f>
        <x:v>0.0011065323245094917</x:v>
      </x:c>
      <x:c r="I112" s="54" t="str">
        <x:v>m_bus=N_bus×L_bus×A_bus×rho_bus×1E-6</x:v>
      </x:c>
      <x:c r="J112" s="55" t="n">
        <x:f>1</x:f>
        <x:v>1</x:v>
      </x:c>
      <x:c r="K112" s="55" t="n">
        <x:f>K111*J112</x:f>
        <x:v>0.00012366475555609176</x:v>
      </x:c>
      <x:c r="L112" s="54" t="str">
        <x:f>IF(K112&gt;0,"増加→総重量増",IF(K112&lt;0,"増加→総重量減","中立"))</x:f>
        <x:v>増加→総重量増</x:v>
      </x:c>
      <x:c r="M112" s="54" t="str">
        <x:v>設計対象</x:v>
      </x:c>
      <x:c r="N112" s="54" t="str"/>
      <x:c r="O112" s="229" t="n">
        <x:f>--(COUNTIF($B$5:$B$560,A112)=0)</x:f>
        <x:v>0</x:v>
      </x:c>
      <x:c r="P112" s="70" t="str">
        <x:f>IF(LEFT(E112,7)&lt;&gt;"Enable_","",IFERROR(IF(OR(ISNUMBER(SEARCH("=Enable",INDEX($I$5:$I$560,MATCH(B112,$A$5:$A$560,0)))),ISNUMBER(SEARCH("×Enable",INDEX($I$5:$I$560,MATCH(B112,$A$5:$A$560,0))))),1,""),""))</x:f>
      </x:c>
      <x:c r="Q112" t="n">
        <x:f>IF(E112="","",--(XMATCH(E112,$E$5:E112,0)=ROWS($E$5:E112)))</x:f>
        <x:v>0</x:v>
      </x:c>
      <x:c r="R112" t="str">
        <x:f>IF(Q112=1,SUM($Q$5:Q112),"")</x:f>
      </x:c>
    </x:row>
    <x:row r="113">
      <x:c r="A113" s="58" t="str">
        <x:v>T109</x:v>
      </x:c>
      <x:c r="B113" s="58" t="str">
        <x:v>T108</x:v>
      </x:c>
      <x:c r="C113" s="58" t="n">
        <x:v>3</x:v>
      </x:c>
      <x:c r="D113" s="58" t="str">
        <x:v>導体本数係数</x:v>
      </x:c>
      <x:c r="E113" s="58" t="str">
        <x:v>N_bus</x:v>
      </x:c>
      <x:c r="F113" s="59" t="n">
        <x:f>'01_入力仕様'!D64</x:f>
        <x:v>2</x:v>
      </x:c>
      <x:c r="G113" s="59" t="str">
        <x:v>-</x:v>
      </x:c>
      <x:c r="H113" s="59" t="n">
        <x:f>ABS(K113)*$F$5</x:f>
        <x:v>0.0011065323245094917</x:v>
      </x:c>
      <x:c r="I113" s="58" t="str">
        <x:v>入力仕様</x:v>
      </x:c>
      <x:c r="J113" s="59" t="n">
        <x:f>1</x:f>
        <x:v>1</x:v>
      </x:c>
      <x:c r="K113" s="59" t="n">
        <x:f>K112*J113</x:f>
        <x:v>0.00012366475555609176</x:v>
      </x:c>
      <x:c r="L113" s="58" t="str">
        <x:f>IF(K113&gt;0,"増加→総重量増",IF(K113&lt;0,"増加→総重量減","中立"))</x:f>
        <x:v>増加→総重量増</x:v>
      </x:c>
      <x:c r="M113" s="58" t="str">
        <x:v>設計対象</x:v>
      </x:c>
      <x:c r="N113" s="58" t="str"/>
      <x:c r="O113" s="229" t="n">
        <x:f>--(COUNTIF($B$5:$B$560,A113)=0)</x:f>
        <x:v>1</x:v>
      </x:c>
      <x:c r="P113" s="70" t="str">
        <x:f>IF(LEFT(E113,7)&lt;&gt;"Enable_","",IFERROR(IF(OR(ISNUMBER(SEARCH("=Enable",INDEX($I$5:$I$560,MATCH(B113,$A$5:$A$560,0)))),ISNUMBER(SEARCH("×Enable",INDEX($I$5:$I$560,MATCH(B113,$A$5:$A$560,0))))),1,""),""))</x:f>
      </x:c>
      <x:c r="Q113" t="n">
        <x:f>IF(E113="","",--(XMATCH(E113,$E$5:E113,0)=ROWS($E$5:E113)))</x:f>
        <x:v>1</x:v>
      </x:c>
      <x:c r="R113" t="n">
        <x:f>IF(Q113=1,SUM($Q$5:Q113),"")</x:f>
        <x:v>92</x:v>
      </x:c>
    </x:row>
    <x:row r="114">
      <x:c r="A114" s="58" t="str">
        <x:v>T110</x:v>
      </x:c>
      <x:c r="B114" s="58" t="str">
        <x:v>T108</x:v>
      </x:c>
      <x:c r="C114" s="58" t="n">
        <x:v>3</x:v>
      </x:c>
      <x:c r="D114" s="58" t="str">
        <x:v>導体総長</x:v>
      </x:c>
      <x:c r="E114" s="58" t="str">
        <x:v>L_bus</x:v>
      </x:c>
      <x:c r="F114" s="59" t="n">
        <x:f>'01_入力仕様'!D63</x:f>
        <x:v>1.2</x:v>
      </x:c>
      <x:c r="G114" s="59" t="str">
        <x:v>m</x:v>
      </x:c>
      <x:c r="H114" s="59" t="n">
        <x:f>ABS(K114)*$F$5</x:f>
        <x:v>0.0011065323245094917</x:v>
      </x:c>
      <x:c r="I114" s="58" t="str">
        <x:v>入力仕様</x:v>
      </x:c>
      <x:c r="J114" s="59" t="n">
        <x:f>1</x:f>
        <x:v>1</x:v>
      </x:c>
      <x:c r="K114" s="59" t="n">
        <x:f>K112*J114</x:f>
        <x:v>0.00012366475555609176</x:v>
      </x:c>
      <x:c r="L114" s="58" t="str">
        <x:f>IF(K114&gt;0,"増加→総重量増",IF(K114&lt;0,"増加→総重量減","中立"))</x:f>
        <x:v>増加→総重量増</x:v>
      </x:c>
      <x:c r="M114" s="58" t="str">
        <x:v>設計対象</x:v>
      </x:c>
      <x:c r="N114" s="58" t="str"/>
      <x:c r="O114" s="229" t="n">
        <x:f>--(COUNTIF($B$5:$B$560,A114)=0)</x:f>
        <x:v>1</x:v>
      </x:c>
      <x:c r="P114" s="70" t="str">
        <x:f>IF(LEFT(E114,7)&lt;&gt;"Enable_","",IFERROR(IF(OR(ISNUMBER(SEARCH("=Enable",INDEX($I$5:$I$560,MATCH(B114,$A$5:$A$560,0)))),ISNUMBER(SEARCH("×Enable",INDEX($I$5:$I$560,MATCH(B114,$A$5:$A$560,0))))),1,""),""))</x:f>
      </x:c>
      <x:c r="Q114" t="n">
        <x:f>IF(E114="","",--(XMATCH(E114,$E$5:E114,0)=ROWS($E$5:E114)))</x:f>
        <x:v>1</x:v>
      </x:c>
      <x:c r="R114" t="n">
        <x:f>IF(Q114=1,SUM($Q$5:Q114),"")</x:f>
        <x:v>93</x:v>
      </x:c>
    </x:row>
    <x:row r="115">
      <x:c r="A115" s="62" t="str">
        <x:v>T111</x:v>
      </x:c>
      <x:c r="B115" s="62" t="str">
        <x:v>T108</x:v>
      </x:c>
      <x:c r="C115" s="62" t="n">
        <x:v>3</x:v>
      </x:c>
      <x:c r="D115" s="62" t="str">
        <x:v>必要断面積</x:v>
      </x:c>
      <x:c r="E115" s="62" t="str">
        <x:v>A_bus</x:v>
      </x:c>
      <x:c r="F115" s="63" t="n">
        <x:f>F116/F119</x:f>
        <x:v>0.043607666390387434</x:v>
      </x:c>
      <x:c r="G115" s="63" t="str">
        <x:v>mm²</x:v>
      </x:c>
      <x:c r="H115" s="63" t="n">
        <x:f>ABS(K115)*$F$5</x:f>
        <x:v>0.0011065323245094917</x:v>
      </x:c>
      <x:c r="I115" s="62" t="str">
        <x:v>A_bus=I_dc/J_bus</x:v>
      </x:c>
      <x:c r="J115" s="63" t="n">
        <x:f>1</x:f>
        <x:v>1</x:v>
      </x:c>
      <x:c r="K115" s="63" t="n">
        <x:f>K112*J115</x:f>
        <x:v>0.00012366475555609176</x:v>
      </x:c>
      <x:c r="L115" s="62" t="str">
        <x:f>IF(K115&gt;0,"増加→総重量増",IF(K115&lt;0,"増加→総重量減","中立"))</x:f>
        <x:v>増加→総重量増</x:v>
      </x:c>
      <x:c r="M115" s="62" t="str">
        <x:v>設計対象</x:v>
      </x:c>
      <x:c r="N115" s="62" t="str"/>
      <x:c r="O115" s="229" t="n">
        <x:f>--(COUNTIF($B$5:$B$560,A115)=0)</x:f>
        <x:v>0</x:v>
      </x:c>
      <x:c r="P115" s="70" t="str">
        <x:f>IF(LEFT(E115,7)&lt;&gt;"Enable_","",IFERROR(IF(OR(ISNUMBER(SEARCH("=Enable",INDEX($I$5:$I$560,MATCH(B115,$A$5:$A$560,0)))),ISNUMBER(SEARCH("×Enable",INDEX($I$5:$I$560,MATCH(B115,$A$5:$A$560,0))))),1,""),""))</x:f>
      </x:c>
      <x:c r="Q115" t="n">
        <x:f>IF(E115="","",--(XMATCH(E115,$E$5:E115,0)=ROWS($E$5:E115)))</x:f>
        <x:v>1</x:v>
      </x:c>
      <x:c r="R115" t="n">
        <x:f>IF(Q115=1,SUM($Q$5:Q115),"")</x:f>
        <x:v>94</x:v>
      </x:c>
    </x:row>
    <x:row r="116">
      <x:c r="A116" s="62" t="str">
        <x:v>T112</x:v>
      </x:c>
      <x:c r="B116" s="62" t="str">
        <x:v>T111</x:v>
      </x:c>
      <x:c r="C116" s="62" t="n">
        <x:v>4</x:v>
      </x:c>
      <x:c r="D116" s="62" t="str">
        <x:v>DC電流</x:v>
      </x:c>
      <x:c r="E116" s="62" t="str">
        <x:v>I_dc</x:v>
      </x:c>
      <x:c r="F116" s="63" t="n">
        <x:f>'01_入力仕様'!D5*1000/('01_入力仕様'!D6*'01_入力仕様'!D9)</x:f>
        <x:v>128.8659793814433</x:v>
      </x:c>
      <x:c r="G116" s="63" t="str">
        <x:v>A</x:v>
      </x:c>
      <x:c r="H116" s="63" t="n">
        <x:f>ABS(K116)*$F$5</x:f>
        <x:v>0.0011065323245094917</x:v>
      </x:c>
      <x:c r="I116" s="62" t="str">
        <x:v>I_dc=P_out_const/(V_dc×eta)</x:v>
      </x:c>
      <x:c r="J116" s="63" t="n">
        <x:f>1</x:f>
        <x:v>1</x:v>
      </x:c>
      <x:c r="K116" s="63" t="n">
        <x:f>K115*J116</x:f>
        <x:v>0.00012366475555609176</x:v>
      </x:c>
      <x:c r="L116" s="62" t="str">
        <x:f>IF(K116&gt;0,"増加→総重量増",IF(K116&lt;0,"増加→総重量減","中立"))</x:f>
        <x:v>増加→総重量増</x:v>
      </x:c>
      <x:c r="M116" s="62" t="str">
        <x:v>設計対象</x:v>
      </x:c>
      <x:c r="N116" s="62" t="str">
        <x:v>P_out固定要求</x:v>
      </x:c>
      <x:c r="O116" s="229" t="n">
        <x:f>--(COUNTIF($B$5:$B$560,A116)=0)</x:f>
        <x:v>0</x:v>
      </x:c>
      <x:c r="P116" s="70" t="str">
        <x:f>IF(LEFT(E116,7)&lt;&gt;"Enable_","",IFERROR(IF(OR(ISNUMBER(SEARCH("=Enable",INDEX($I$5:$I$560,MATCH(B116,$A$5:$A$560,0)))),ISNUMBER(SEARCH("×Enable",INDEX($I$5:$I$560,MATCH(B116,$A$5:$A$560,0))))),1,""),""))</x:f>
      </x:c>
      <x:c r="Q116" t="n">
        <x:f>IF(E116="","",--(XMATCH(E116,$E$5:E116,0)=ROWS($E$5:E116)))</x:f>
        <x:v>1</x:v>
      </x:c>
      <x:c r="R116" t="n">
        <x:f>IF(Q116=1,SUM($Q$5:Q116),"")</x:f>
        <x:v>95</x:v>
      </x:c>
    </x:row>
    <x:row r="117">
      <x:c r="A117" s="58" t="str">
        <x:v>T113</x:v>
      </x:c>
      <x:c r="B117" s="58" t="str">
        <x:v>T112</x:v>
      </x:c>
      <x:c r="C117" s="58" t="n">
        <x:v>5</x:v>
      </x:c>
      <x:c r="D117" s="58" t="str">
        <x:v>DCバス電圧</x:v>
      </x:c>
      <x:c r="E117" s="58" t="str">
        <x:v>V_dc</x:v>
      </x:c>
      <x:c r="F117" s="59" t="n">
        <x:f>'01_入力仕様'!D6</x:f>
        <x:v>800</x:v>
      </x:c>
      <x:c r="G117" s="59" t="str">
        <x:v>V</x:v>
      </x:c>
      <x:c r="H117" s="59" t="n">
        <x:f>ABS(K117)*$F$5</x:f>
        <x:v>0.0011065323245094917</x:v>
      </x:c>
      <x:c r="I117" s="58" t="str">
        <x:v>入力仕様</x:v>
      </x:c>
      <x:c r="J117" s="59" t="n">
        <x:f>-1</x:f>
        <x:v>-1</x:v>
      </x:c>
      <x:c r="K117" s="59" t="n">
        <x:f>K116*J117</x:f>
        <x:v>-0.00012366475555609176</x:v>
      </x:c>
      <x:c r="L117" s="58" t="str">
        <x:f>IF(K117&gt;0,"増加→総重量増",IF(K117&lt;0,"増加→総重量減","中立"))</x:f>
        <x:v>増加→総重量減</x:v>
      </x:c>
      <x:c r="M117" s="58" t="str">
        <x:v>設計対象</x:v>
      </x:c>
      <x:c r="N117" s="58" t="str">
        <x:v>Vdc↑→Idc↓</x:v>
      </x:c>
      <x:c r="O117" s="229" t="n">
        <x:f>--(COUNTIF($B$5:$B$560,A117)=0)</x:f>
        <x:v>1</x:v>
      </x:c>
      <x:c r="P117" s="70" t="str">
        <x:f>IF(LEFT(E117,7)&lt;&gt;"Enable_","",IFERROR(IF(OR(ISNUMBER(SEARCH("=Enable",INDEX($I$5:$I$560,MATCH(B117,$A$5:$A$560,0)))),ISNUMBER(SEARCH("×Enable",INDEX($I$5:$I$560,MATCH(B117,$A$5:$A$560,0))))),1,""),""))</x:f>
      </x:c>
      <x:c r="Q117" t="n">
        <x:f>IF(E117="","",--(XMATCH(E117,$E$5:E117,0)=ROWS($E$5:E117)))</x:f>
        <x:v>0</x:v>
      </x:c>
      <x:c r="R117" t="str">
        <x:f>IF(Q117=1,SUM($Q$5:Q117),"")</x:f>
      </x:c>
    </x:row>
    <x:row r="118">
      <x:c r="A118" s="58" t="str">
        <x:v>T114</x:v>
      </x:c>
      <x:c r="B118" s="58" t="str">
        <x:v>T112</x:v>
      </x:c>
      <x:c r="C118" s="58" t="n">
        <x:v>5</x:v>
      </x:c>
      <x:c r="D118" s="58" t="str">
        <x:v>効率</x:v>
      </x:c>
      <x:c r="E118" s="58" t="str">
        <x:v>eta</x:v>
      </x:c>
      <x:c r="F118" s="59" t="n">
        <x:f>'01_入力仕様'!D9</x:f>
        <x:v>0.97</x:v>
      </x:c>
      <x:c r="G118" s="59" t="str">
        <x:v>-</x:v>
      </x:c>
      <x:c r="H118" s="59" t="n">
        <x:f>ABS(K118)*$F$5</x:f>
        <x:v>0.0011065323245094917</x:v>
      </x:c>
      <x:c r="I118" s="58" t="str">
        <x:v>入力仕様</x:v>
      </x:c>
      <x:c r="J118" s="59" t="n">
        <x:f>-1</x:f>
        <x:v>-1</x:v>
      </x:c>
      <x:c r="K118" s="59" t="n">
        <x:f>K116*J118</x:f>
        <x:v>-0.00012366475555609176</x:v>
      </x:c>
      <x:c r="L118" s="58" t="str">
        <x:f>IF(K118&gt;0,"増加→総重量増",IF(K118&lt;0,"増加→総重量減","中立"))</x:f>
        <x:v>増加→総重量減</x:v>
      </x:c>
      <x:c r="M118" s="58" t="str">
        <x:v>設計対象</x:v>
      </x:c>
      <x:c r="N118" s="58" t="str"/>
      <x:c r="O118" s="229" t="n">
        <x:f>--(COUNTIF($B$5:$B$560,A118)=0)</x:f>
        <x:v>1</x:v>
      </x:c>
      <x:c r="P118" s="70" t="str">
        <x:f>IF(LEFT(E118,7)&lt;&gt;"Enable_","",IFERROR(IF(OR(ISNUMBER(SEARCH("=Enable",INDEX($I$5:$I$560,MATCH(B118,$A$5:$A$560,0)))),ISNUMBER(SEARCH("×Enable",INDEX($I$5:$I$560,MATCH(B118,$A$5:$A$560,0))))),1,""),""))</x:f>
      </x:c>
      <x:c r="Q118" t="n">
        <x:f>IF(E118="","",--(XMATCH(E118,$E$5:E118,0)=ROWS($E$5:E118)))</x:f>
        <x:v>0</x:v>
      </x:c>
      <x:c r="R118" t="str">
        <x:f>IF(Q118=1,SUM($Q$5:Q118),"")</x:f>
      </x:c>
    </x:row>
    <x:row r="119">
      <x:c r="A119" s="62" t="str">
        <x:v>T115</x:v>
      </x:c>
      <x:c r="B119" s="62" t="str">
        <x:v>T111</x:v>
      </x:c>
      <x:c r="C119" s="62" t="n">
        <x:v>4</x:v>
      </x:c>
      <x:c r="D119" s="62" t="str">
        <x:v>許容電流密度</x:v>
      </x:c>
      <x:c r="E119" s="62" t="str">
        <x:v>J_bus</x:v>
      </x:c>
      <x:c r="F119" s="63" t="n">
        <x:f>((('01_入力仕様'!D58+F244)/2)*F121*'01_入力仕様'!D62)</x:f>
        <x:v>2955.122116093092</x:v>
      </x:c>
      <x:c r="G119" s="63" t="str">
        <x:v>A/mm²</x:v>
      </x:c>
      <x:c r="H119" s="63" t="n">
        <x:f>ABS(K119)*$F$5</x:f>
        <x:v>0.0011065323245094917</x:v>
      </x:c>
      <x:c r="I119" s="62" t="str">
        <x:v>J_bus={(J_bus_ref+J_bus_phys)/2}×k_temp×k_bus_cool</x:v>
      </x:c>
      <x:c r="J119" s="63" t="n">
        <x:f>-1</x:f>
        <x:v>-1</x:v>
      </x:c>
      <x:c r="K119" s="63" t="n">
        <x:f>K115*J119</x:f>
        <x:v>-0.00012366475555609176</x:v>
      </x:c>
      <x:c r="L119" s="62" t="str">
        <x:f>IF(K119&gt;0,"増加→総重量増",IF(K119&lt;0,"増加→総重量減","中立"))</x:f>
        <x:v>増加→総重量減</x:v>
      </x:c>
      <x:c r="M119" s="62" t="str">
        <x:v>設計対象</x:v>
      </x:c>
      <x:c r="N119" s="62" t="str"/>
      <x:c r="O119" s="229" t="n">
        <x:f>--(COUNTIF($B$5:$B$560,A119)=0)</x:f>
        <x:v>0</x:v>
      </x:c>
      <x:c r="P119" s="70" t="str">
        <x:f>IF(LEFT(E119,7)&lt;&gt;"Enable_","",IFERROR(IF(OR(ISNUMBER(SEARCH("=Enable",INDEX($I$5:$I$560,MATCH(B119,$A$5:$A$560,0)))),ISNUMBER(SEARCH("×Enable",INDEX($I$5:$I$560,MATCH(B119,$A$5:$A$560,0))))),1,""),""))</x:f>
      </x:c>
      <x:c r="Q119" t="n">
        <x:f>IF(E119="","",--(XMATCH(E119,$E$5:E119,0)=ROWS($E$5:E119)))</x:f>
        <x:v>1</x:v>
      </x:c>
      <x:c r="R119" t="n">
        <x:f>IF(Q119=1,SUM($Q$5:Q119),"")</x:f>
        <x:v>96</x:v>
      </x:c>
    </x:row>
    <x:row r="120">
      <x:c r="A120" s="58" t="str">
        <x:v>T116</x:v>
      </x:c>
      <x:c r="B120" s="58" t="str">
        <x:v>T115</x:v>
      </x:c>
      <x:c r="C120" s="58" t="n">
        <x:v>5</x:v>
      </x:c>
      <x:c r="D120" s="58" t="str">
        <x:v>基準電流密度</x:v>
      </x:c>
      <x:c r="E120" s="58" t="str">
        <x:v>J_bus_ref</x:v>
      </x:c>
      <x:c r="F120" s="59" t="n">
        <x:f>'01_入力仕様'!D58</x:f>
        <x:v>4</x:v>
      </x:c>
      <x:c r="G120" s="59" t="str">
        <x:v>A/mm²</x:v>
      </x:c>
      <x:c r="H120" s="59" t="n">
        <x:f>ABS(K120)*$F$5</x:f>
        <x:v>7.488910989386902e-7</x:v>
      </x:c>
      <x:c r="I120" s="58" t="str">
        <x:v>入力仕様</x:v>
      </x:c>
      <x:c r="J120" s="59" t="n">
        <x:f>'01_入力仕様'!D58/('01_入力仕様'!D58+F244)</x:f>
        <x:v>0.0006767909823788129</x:v>
      </x:c>
      <x:c r="K120" s="59" t="n">
        <x:f>K119*J120</x:f>
        <x:v>-8.36951913984431e-8</x:v>
      </x:c>
      <x:c r="L120" s="58" t="str">
        <x:f>IF(K120&gt;0,"増加→総重量増",IF(K120&lt;0,"増加→総重量減","中立"))</x:f>
        <x:v>増加→総重量減</x:v>
      </x:c>
      <x:c r="M120" s="58" t="str">
        <x:v>設計対象</x:v>
      </x:c>
      <x:c r="N120" s="58" t="str"/>
      <x:c r="O120" s="229" t="n">
        <x:f>--(COUNTIF($B$5:$B$560,A120)=0)</x:f>
        <x:v>1</x:v>
      </x:c>
      <x:c r="P120" s="70" t="str">
        <x:f>IF(LEFT(E120,7)&lt;&gt;"Enable_","",IFERROR(IF(OR(ISNUMBER(SEARCH("=Enable",INDEX($I$5:$I$560,MATCH(B120,$A$5:$A$560,0)))),ISNUMBER(SEARCH("×Enable",INDEX($I$5:$I$560,MATCH(B120,$A$5:$A$560,0))))),1,""),""))</x:f>
      </x:c>
      <x:c r="Q120" t="n">
        <x:f>IF(E120="","",--(XMATCH(E120,$E$5:E120,0)=ROWS($E$5:E120)))</x:f>
        <x:v>1</x:v>
      </x:c>
      <x:c r="R120" t="n">
        <x:f>IF(Q120=1,SUM($Q$5:Q120),"")</x:f>
        <x:v>97</x:v>
      </x:c>
    </x:row>
    <x:row r="121">
      <x:c r="A121" s="62" t="str">
        <x:v>T117</x:v>
      </x:c>
      <x:c r="B121" s="62" t="str">
        <x:v>T115</x:v>
      </x:c>
      <x:c r="C121" s="62" t="n">
        <x:v>5</x:v>
      </x:c>
      <x:c r="D121" s="62" t="str">
        <x:v>温度余裕係数</x:v>
      </x:c>
      <x:c r="E121" s="62" t="str">
        <x:v>k_temp</x:v>
      </x:c>
      <x:c r="F121" s="63" t="n">
        <x:f>SQRT(F122/'01_入力仕様'!D61)</x:f>
        <x:v>1</x:v>
      </x:c>
      <x:c r="G121" s="63" t="str">
        <x:v>-</x:v>
      </x:c>
      <x:c r="H121" s="63" t="n">
        <x:f>ABS(K121)*$F$5</x:f>
        <x:v>0.0011065323245094917</x:v>
      </x:c>
      <x:c r="I121" s="62" t="str">
        <x:v>k_temp=SQRT(dT_bus/dT_bus_ref)</x:v>
      </x:c>
      <x:c r="J121" s="63" t="n">
        <x:f>1</x:f>
        <x:v>1</x:v>
      </x:c>
      <x:c r="K121" s="63" t="n">
        <x:f>K119*J121</x:f>
        <x:v>-0.00012366475555609176</x:v>
      </x:c>
      <x:c r="L121" s="62" t="str">
        <x:f>IF(K121&gt;0,"増加→総重量増",IF(K121&lt;0,"増加→総重量減","中立"))</x:f>
        <x:v>増加→総重量減</x:v>
      </x:c>
      <x:c r="M121" s="62" t="str">
        <x:v>設計対象</x:v>
      </x:c>
      <x:c r="N121" s="62" t="str"/>
      <x:c r="O121" s="229" t="n">
        <x:f>--(COUNTIF($B$5:$B$560,A121)=0)</x:f>
        <x:v>0</x:v>
      </x:c>
      <x:c r="P121" s="70" t="str">
        <x:f>IF(LEFT(E121,7)&lt;&gt;"Enable_","",IFERROR(IF(OR(ISNUMBER(SEARCH("=Enable",INDEX($I$5:$I$560,MATCH(B121,$A$5:$A$560,0)))),ISNUMBER(SEARCH("×Enable",INDEX($I$5:$I$560,MATCH(B121,$A$5:$A$560,0))))),1,""),""))</x:f>
      </x:c>
      <x:c r="Q121" t="n">
        <x:f>IF(E121="","",--(XMATCH(E121,$E$5:E121,0)=ROWS($E$5:E121)))</x:f>
        <x:v>1</x:v>
      </x:c>
      <x:c r="R121" t="n">
        <x:f>IF(Q121=1,SUM($Q$5:Q121),"")</x:f>
        <x:v>98</x:v>
      </x:c>
    </x:row>
    <x:row r="122">
      <x:c r="A122" s="62" t="str">
        <x:v>T118</x:v>
      </x:c>
      <x:c r="B122" s="62" t="str">
        <x:v>T117</x:v>
      </x:c>
      <x:c r="C122" s="62" t="n">
        <x:v>6</x:v>
      </x:c>
      <x:c r="D122" s="62" t="str">
        <x:v>許容温度上昇</x:v>
      </x:c>
      <x:c r="E122" s="62" t="str">
        <x:v>dT_bus</x:v>
      </x:c>
      <x:c r="F122" s="63" t="n">
        <x:f>'01_入力仕様'!D59-'01_入力仕様'!D60</x:f>
        <x:v>60</x:v>
      </x:c>
      <x:c r="G122" s="63" t="str">
        <x:v>K</x:v>
      </x:c>
      <x:c r="H122" s="63" t="n">
        <x:f>ABS(K122)*$F$5</x:f>
        <x:v>0.0005532661622547458</x:v>
      </x:c>
      <x:c r="I122" s="62" t="str">
        <x:v>dT_bus=T_bus_max-T_amb</x:v>
      </x:c>
      <x:c r="J122" s="63" t="n">
        <x:f>0.5</x:f>
        <x:v>0.5</x:v>
      </x:c>
      <x:c r="K122" s="63" t="n">
        <x:f>K121*J122</x:f>
        <x:v>-0.00006183237777804588</x:v>
      </x:c>
      <x:c r="L122" s="62" t="str">
        <x:f>IF(K122&gt;0,"増加→総重量増",IF(K122&lt;0,"増加→総重量減","中立"))</x:f>
        <x:v>増加→総重量減</x:v>
      </x:c>
      <x:c r="M122" s="62" t="str">
        <x:v>設計対象</x:v>
      </x:c>
      <x:c r="N122" s="62" t="str"/>
      <x:c r="O122" s="229" t="n">
        <x:f>--(COUNTIF($B$5:$B$560,A122)=0)</x:f>
        <x:v>0</x:v>
      </x:c>
      <x:c r="P122" s="70" t="str">
        <x:f>IF(LEFT(E122,7)&lt;&gt;"Enable_","",IFERROR(IF(OR(ISNUMBER(SEARCH("=Enable",INDEX($I$5:$I$560,MATCH(B122,$A$5:$A$560,0)))),ISNUMBER(SEARCH("×Enable",INDEX($I$5:$I$560,MATCH(B122,$A$5:$A$560,0))))),1,""),""))</x:f>
      </x:c>
      <x:c r="Q122" t="n">
        <x:f>IF(E122="","",--(XMATCH(E122,$E$5:E122,0)=ROWS($E$5:E122)))</x:f>
        <x:v>1</x:v>
      </x:c>
      <x:c r="R122" t="n">
        <x:f>IF(Q122=1,SUM($Q$5:Q122),"")</x:f>
        <x:v>99</x:v>
      </x:c>
    </x:row>
    <x:row r="123">
      <x:c r="A123" s="58" t="str">
        <x:v>T119</x:v>
      </x:c>
      <x:c r="B123" s="58" t="str">
        <x:v>T118</x:v>
      </x:c>
      <x:c r="C123" s="58" t="n">
        <x:v>7</x:v>
      </x:c>
      <x:c r="D123" s="58" t="str">
        <x:v>許容導体温度</x:v>
      </x:c>
      <x:c r="E123" s="58" t="str">
        <x:v>T_bus_max</x:v>
      </x:c>
      <x:c r="F123" s="59" t="n">
        <x:f>'01_入力仕様'!D59</x:f>
        <x:v>105</x:v>
      </x:c>
      <x:c r="G123" s="59" t="str">
        <x:v>°C</x:v>
      </x:c>
      <x:c r="H123" s="59" t="n">
        <x:f>ABS(K123)*$F$5</x:f>
        <x:v>0.0009682157839458053</x:v>
      </x:c>
      <x:c r="I123" s="58" t="str">
        <x:v>入力仕様</x:v>
      </x:c>
      <x:c r="J123" s="59" t="n">
        <x:f>'01_入力仕様'!D59/F122</x:f>
        <x:v>1.75</x:v>
      </x:c>
      <x:c r="K123" s="59" t="n">
        <x:f>K122*J123</x:f>
        <x:v>-0.00010820666111158029</x:v>
      </x:c>
      <x:c r="L123" s="58" t="str">
        <x:f>IF(K123&gt;0,"増加→総重量増",IF(K123&lt;0,"増加→総重量減","中立"))</x:f>
        <x:v>増加→総重量減</x:v>
      </x:c>
      <x:c r="M123" s="58" t="str">
        <x:v>設計対象</x:v>
      </x:c>
      <x:c r="N123" s="58" t="str"/>
      <x:c r="O123" s="229" t="n">
        <x:f>--(COUNTIF($B$5:$B$560,A123)=0)</x:f>
        <x:v>1</x:v>
      </x:c>
      <x:c r="P123" s="70" t="str">
        <x:f>IF(LEFT(E123,7)&lt;&gt;"Enable_","",IFERROR(IF(OR(ISNUMBER(SEARCH("=Enable",INDEX($I$5:$I$560,MATCH(B123,$A$5:$A$560,0)))),ISNUMBER(SEARCH("×Enable",INDEX($I$5:$I$560,MATCH(B123,$A$5:$A$560,0))))),1,""),""))</x:f>
      </x:c>
      <x:c r="Q123" t="n">
        <x:f>IF(E123="","",--(XMATCH(E123,$E$5:E123,0)=ROWS($E$5:E123)))</x:f>
        <x:v>1</x:v>
      </x:c>
      <x:c r="R123" t="n">
        <x:f>IF(Q123=1,SUM($Q$5:Q123),"")</x:f>
        <x:v>100</x:v>
      </x:c>
    </x:row>
    <x:row r="124">
      <x:c r="A124" s="58" t="str">
        <x:v>T120</x:v>
      </x:c>
      <x:c r="B124" s="58" t="str">
        <x:v>T118</x:v>
      </x:c>
      <x:c r="C124" s="58" t="n">
        <x:v>7</x:v>
      </x:c>
      <x:c r="D124" s="58" t="str">
        <x:v>周囲温度</x:v>
      </x:c>
      <x:c r="E124" s="58" t="str">
        <x:v>T_amb</x:v>
      </x:c>
      <x:c r="F124" s="59" t="n">
        <x:f>'01_入力仕様'!D60</x:f>
        <x:v>45</x:v>
      </x:c>
      <x:c r="G124" s="59" t="str">
        <x:v>°C</x:v>
      </x:c>
      <x:c r="H124" s="59" t="n">
        <x:f>ABS(K124)*$F$5</x:f>
        <x:v>0.00041494962169105943</x:v>
      </x:c>
      <x:c r="I124" s="58" t="str">
        <x:v>入力仕様</x:v>
      </x:c>
      <x:c r="J124" s="59" t="n">
        <x:f>-'01_入力仕様'!D60/F122</x:f>
        <x:v>-0.75</x:v>
      </x:c>
      <x:c r="K124" s="59" t="n">
        <x:f>K122*J124</x:f>
        <x:v>0.00004637428333353441</x:v>
      </x:c>
      <x:c r="L124" s="58" t="str">
        <x:f>IF(K124&gt;0,"増加→総重量増",IF(K124&lt;0,"増加→総重量減","中立"))</x:f>
        <x:v>増加→総重量増</x:v>
      </x:c>
      <x:c r="M124" s="58" t="str">
        <x:v>設計対象</x:v>
      </x:c>
      <x:c r="N124" s="58" t="str"/>
      <x:c r="O124" s="229" t="n">
        <x:f>--(COUNTIF($B$5:$B$560,A124)=0)</x:f>
        <x:v>1</x:v>
      </x:c>
      <x:c r="P124" s="70" t="str">
        <x:f>IF(LEFT(E124,7)&lt;&gt;"Enable_","",IFERROR(IF(OR(ISNUMBER(SEARCH("=Enable",INDEX($I$5:$I$560,MATCH(B124,$A$5:$A$560,0)))),ISNUMBER(SEARCH("×Enable",INDEX($I$5:$I$560,MATCH(B124,$A$5:$A$560,0))))),1,""),""))</x:f>
      </x:c>
      <x:c r="Q124" t="n">
        <x:f>IF(E124="","",--(XMATCH(E124,$E$5:E124,0)=ROWS($E$5:E124)))</x:f>
        <x:v>1</x:v>
      </x:c>
      <x:c r="R124" t="n">
        <x:f>IF(Q124=1,SUM($Q$5:Q124),"")</x:f>
        <x:v>101</x:v>
      </x:c>
    </x:row>
    <x:row r="125">
      <x:c r="A125" s="58" t="str">
        <x:v>T121</x:v>
      </x:c>
      <x:c r="B125" s="58" t="str">
        <x:v>T117</x:v>
      </x:c>
      <x:c r="C125" s="58" t="n">
        <x:v>6</x:v>
      </x:c>
      <x:c r="D125" s="58" t="str">
        <x:v>基準温度上昇</x:v>
      </x:c>
      <x:c r="E125" s="58" t="str">
        <x:v>dT_bus_ref</x:v>
      </x:c>
      <x:c r="F125" s="59" t="n">
        <x:f>'01_入力仕様'!D61</x:f>
        <x:v>60</x:v>
      </x:c>
      <x:c r="G125" s="59" t="str">
        <x:v>K</x:v>
      </x:c>
      <x:c r="H125" s="59" t="n">
        <x:f>ABS(K125)*$F$5</x:f>
        <x:v>0.0005532661622547458</x:v>
      </x:c>
      <x:c r="I125" s="58" t="str">
        <x:v>入力仕様</x:v>
      </x:c>
      <x:c r="J125" s="59" t="n">
        <x:f>-0.5</x:f>
        <x:v>-0.5</x:v>
      </x:c>
      <x:c r="K125" s="59" t="n">
        <x:f>K121*J125</x:f>
        <x:v>0.00006183237777804588</x:v>
      </x:c>
      <x:c r="L125" s="58" t="str">
        <x:f>IF(K125&gt;0,"増加→総重量増",IF(K125&lt;0,"増加→総重量減","中立"))</x:f>
        <x:v>増加→総重量増</x:v>
      </x:c>
      <x:c r="M125" s="58" t="str">
        <x:v>設計対象</x:v>
      </x:c>
      <x:c r="N125" s="58" t="str"/>
      <x:c r="O125" s="229" t="n">
        <x:f>--(COUNTIF($B$5:$B$560,A125)=0)</x:f>
        <x:v>1</x:v>
      </x:c>
      <x:c r="P125" s="70" t="str">
        <x:f>IF(LEFT(E125,7)&lt;&gt;"Enable_","",IFERROR(IF(OR(ISNUMBER(SEARCH("=Enable",INDEX($I$5:$I$560,MATCH(B125,$A$5:$A$560,0)))),ISNUMBER(SEARCH("×Enable",INDEX($I$5:$I$560,MATCH(B125,$A$5:$A$560,0))))),1,""),""))</x:f>
      </x:c>
      <x:c r="Q125" t="n">
        <x:f>IF(E125="","",--(XMATCH(E125,$E$5:E125,0)=ROWS($E$5:E125)))</x:f>
        <x:v>1</x:v>
      </x:c>
      <x:c r="R125" t="n">
        <x:f>IF(Q125=1,SUM($Q$5:Q125),"")</x:f>
        <x:v>102</x:v>
      </x:c>
    </x:row>
    <x:row r="126">
      <x:c r="A126" s="58" t="str">
        <x:v>T122</x:v>
      </x:c>
      <x:c r="B126" s="58" t="str">
        <x:v>T115</x:v>
      </x:c>
      <x:c r="C126" s="58" t="n">
        <x:v>5</x:v>
      </x:c>
      <x:c r="D126" s="58" t="str">
        <x:v>放熱改善係数</x:v>
      </x:c>
      <x:c r="E126" s="58" t="str">
        <x:v>k_bus_cool</x:v>
      </x:c>
      <x:c r="F126" s="59" t="n">
        <x:f>'01_入力仕様'!D62</x:f>
        <x:v>1</x:v>
      </x:c>
      <x:c r="G126" s="59" t="str">
        <x:v>-</x:v>
      </x:c>
      <x:c r="H126" s="59" t="n">
        <x:f>ABS(K126)*$F$5</x:f>
        <x:v>0.0011065323245094917</x:v>
      </x:c>
      <x:c r="I126" s="58" t="str">
        <x:v>入力仕様</x:v>
      </x:c>
      <x:c r="J126" s="59" t="n">
        <x:f>1</x:f>
        <x:v>1</x:v>
      </x:c>
      <x:c r="K126" s="59" t="n">
        <x:f>K119*J126</x:f>
        <x:v>-0.00012366475555609176</x:v>
      </x:c>
      <x:c r="L126" s="58" t="str">
        <x:f>IF(K126&gt;0,"増加→総重量増",IF(K126&lt;0,"増加→総重量減","中立"))</x:f>
        <x:v>増加→総重量減</x:v>
      </x:c>
      <x:c r="M126" s="58" t="str">
        <x:v>設計対象</x:v>
      </x:c>
      <x:c r="N126" s="58" t="str"/>
      <x:c r="O126" s="229" t="n">
        <x:f>--(COUNTIF($B$5:$B$560,A126)=0)</x:f>
        <x:v>1</x:v>
      </x:c>
      <x:c r="P126" s="70" t="str">
        <x:f>IF(LEFT(E126,7)&lt;&gt;"Enable_","",IFERROR(IF(OR(ISNUMBER(SEARCH("=Enable",INDEX($I$5:$I$560,MATCH(B126,$A$5:$A$560,0)))),ISNUMBER(SEARCH("×Enable",INDEX($I$5:$I$560,MATCH(B126,$A$5:$A$560,0))))),1,""),""))</x:f>
      </x:c>
      <x:c r="Q126" t="n">
        <x:f>IF(E126="","",--(XMATCH(E126,$E$5:E126,0)=ROWS($E$5:E126)))</x:f>
        <x:v>1</x:v>
      </x:c>
      <x:c r="R126" t="n">
        <x:f>IF(Q126=1,SUM($Q$5:Q126),"")</x:f>
        <x:v>103</x:v>
      </x:c>
    </x:row>
    <x:row r="127">
      <x:c r="A127" s="58" t="str">
        <x:v>T123</x:v>
      </x:c>
      <x:c r="B127" s="58" t="str">
        <x:v>T108</x:v>
      </x:c>
      <x:c r="C127" s="58" t="n">
        <x:v>3</x:v>
      </x:c>
      <x:c r="D127" s="58" t="str">
        <x:v>導体密度</x:v>
      </x:c>
      <x:c r="E127" s="58" t="str">
        <x:v>rho_bus</x:v>
      </x:c>
      <x:c r="F127" s="59" t="n">
        <x:f>'01_入力仕様'!D65*((1-'01_入力仕様'!D224)+'01_入力仕様'!D224*'01_入力仕様'!D225)</x:f>
        <x:v>8960</x:v>
      </x:c>
      <x:c r="G127" s="59" t="str">
        <x:v>kg/m³</x:v>
      </x:c>
      <x:c r="H127" s="59" t="n">
        <x:f>ABS(K127)*$F$5</x:f>
        <x:v>0.0011065323245094917</x:v>
      </x:c>
      <x:c r="I127" s="58" t="str">
        <x:v>入力仕様</x:v>
      </x:c>
      <x:c r="J127" s="59" t="n">
        <x:f>1</x:f>
        <x:v>1</x:v>
      </x:c>
      <x:c r="K127" s="59" t="n">
        <x:f>K112*J127</x:f>
        <x:v>0.00012366475555609176</x:v>
      </x:c>
      <x:c r="L127" s="58" t="str">
        <x:f>IF(K127&gt;0,"増加→総重量増",IF(K127&lt;0,"増加→総重量減","中立"))</x:f>
        <x:v>増加→総重量増</x:v>
      </x:c>
      <x:c r="M127" s="58" t="str">
        <x:v>設計対象</x:v>
      </x:c>
      <x:c r="N127" s="58" t="str"/>
      <x:c r="O127" s="229" t="n">
        <x:f>--(COUNTIF($B$5:$B$560,A127)=0)</x:f>
        <x:v>0</x:v>
      </x:c>
      <x:c r="P127" s="70" t="str">
        <x:f>IF(LEFT(E127,7)&lt;&gt;"Enable_","",IFERROR(IF(OR(ISNUMBER(SEARCH("=Enable",INDEX($I$5:$I$560,MATCH(B127,$A$5:$A$560,0)))),ISNUMBER(SEARCH("×Enable",INDEX($I$5:$I$560,MATCH(B127,$A$5:$A$560,0))))),1,""),""))</x:f>
      </x:c>
      <x:c r="Q127" t="n">
        <x:f>IF(E127="","",--(XMATCH(E127,$E$5:E127,0)=ROWS($E$5:E127)))</x:f>
        <x:v>1</x:v>
      </x:c>
      <x:c r="R127" t="n">
        <x:f>IF(Q127=1,SUM($Q$5:Q127),"")</x:f>
        <x:v>104</x:v>
      </x:c>
    </x:row>
    <x:row r="128">
      <x:c r="A128" s="58" t="str">
        <x:v>T124</x:v>
      </x:c>
      <x:c r="B128" s="58" t="str">
        <x:v>T107</x:v>
      </x:c>
      <x:c r="C128" s="58" t="n">
        <x:v>2</x:v>
      </x:c>
      <x:c r="D128" s="58" t="str">
        <x:v>絶縁・支持係数</x:v>
      </x:c>
      <x:c r="E128" s="58" t="str">
        <x:v>K_bus</x:v>
      </x:c>
      <x:c r="F128" s="59" t="n">
        <x:f>'01_入力仕様'!D66</x:f>
        <x:v>1.18</x:v>
      </x:c>
      <x:c r="G128" s="59" t="str">
        <x:v>-</x:v>
      </x:c>
      <x:c r="H128" s="59" t="n">
        <x:f>ABS(K128)*$F$5</x:f>
        <x:v>0.0011065323245094917</x:v>
      </x:c>
      <x:c r="I128" s="58" t="str">
        <x:v>入力仕様</x:v>
      </x:c>
      <x:c r="J128" s="59" t="n">
        <x:f>1</x:f>
        <x:v>1</x:v>
      </x:c>
      <x:c r="K128" s="59" t="n">
        <x:f>K111*J128</x:f>
        <x:v>0.00012366475555609176</x:v>
      </x:c>
      <x:c r="L128" s="58" t="str">
        <x:f>IF(K128&gt;0,"増加→総重量増",IF(K128&lt;0,"増加→総重量減","中立"))</x:f>
        <x:v>増加→総重量増</x:v>
      </x:c>
      <x:c r="M128" s="58" t="str">
        <x:v>設計対象</x:v>
      </x:c>
      <x:c r="N128" s="58" t="str"/>
      <x:c r="O128" s="229" t="n">
        <x:f>--(COUNTIF($B$5:$B$560,A128)=0)</x:f>
        <x:v>1</x:v>
      </x:c>
      <x:c r="P128" s="70" t="str">
        <x:f>IF(LEFT(E128,7)&lt;&gt;"Enable_","",IFERROR(IF(OR(ISNUMBER(SEARCH("=Enable",INDEX($I$5:$I$560,MATCH(B128,$A$5:$A$560,0)))),ISNUMBER(SEARCH("×Enable",INDEX($I$5:$I$560,MATCH(B128,$A$5:$A$560,0))))),1,""),""))</x:f>
      </x:c>
      <x:c r="Q128" t="n">
        <x:f>IF(E128="","",--(XMATCH(E128,$E$5:E128,0)=ROWS($E$5:E128)))</x:f>
        <x:v>1</x:v>
      </x:c>
      <x:c r="R128" t="n">
        <x:f>IF(Q128=1,SUM($Q$5:Q128),"")</x:f>
        <x:v>105</x:v>
      </x:c>
    </x:row>
    <x:row r="129">
      <x:c r="A129" s="54" t="str">
        <x:v>T125</x:v>
      </x:c>
      <x:c r="B129" s="54" t="str">
        <x:v>T001</x:v>
      </x:c>
      <x:c r="C129" s="54" t="n">
        <x:v>1</x:v>
      </x:c>
      <x:c r="D129" s="54" t="str">
        <x:v>筐体重量</x:v>
      </x:c>
      <x:c r="E129" s="54" t="str">
        <x:v>M_case</x:v>
      </x:c>
      <x:c r="F129" s="55" t="n">
        <x:f>F130*F134*'01_入力仕様'!D71*F136</x:f>
        <x:v>2.1730976784000005</x:v>
      </x:c>
      <x:c r="G129" s="55" t="str">
        <x:v>kg</x:v>
      </x:c>
      <x:c r="H129" s="55" t="n">
        <x:f>ABS(K129)*$F$5</x:f>
        <x:v>2.1730976784000005</x:v>
      </x:c>
      <x:c r="I129" s="54" t="str">
        <x:v>M_case=A_case×t_case_eff×rho_case×K_case</x:v>
      </x:c>
      <x:c r="J129" s="55" t="n">
        <x:f>F129/F5</x:f>
        <x:v>0.24286284932342378</x:v>
      </x:c>
      <x:c r="K129" s="55" t="n">
        <x:f>K5*J129</x:f>
        <x:v>0.24286284932342378</x:v>
      </x:c>
      <x:c r="L129" s="54" t="str">
        <x:f>IF(K129&gt;0,"増加→総重量増",IF(K129&lt;0,"増加→総重量減","中立"))</x:f>
        <x:v>増加→総重量増</x:v>
      </x:c>
      <x:c r="M129" s="54" t="str">
        <x:v>設計対象</x:v>
      </x:c>
      <x:c r="N129" s="54" t="str"/>
      <x:c r="O129" s="229" t="n">
        <x:f>--(COUNTIF($B$5:$B$560,A129)=0)</x:f>
        <x:v>0</x:v>
      </x:c>
      <x:c r="P129" s="70" t="str">
        <x:f>IF(LEFT(E129,7)&lt;&gt;"Enable_","",IFERROR(IF(OR(ISNUMBER(SEARCH("=Enable",INDEX($I$5:$I$560,MATCH(B129,$A$5:$A$560,0)))),ISNUMBER(SEARCH("×Enable",INDEX($I$5:$I$560,MATCH(B129,$A$5:$A$560,0))))),1,""),""))</x:f>
      </x:c>
      <x:c r="Q129" t="n">
        <x:f>IF(E129="","",--(XMATCH(E129,$E$5:E129,0)=ROWS($E$5:E129)))</x:f>
        <x:v>1</x:v>
      </x:c>
      <x:c r="R129" t="n">
        <x:f>IF(Q129=1,SUM($Q$5:Q129),"")</x:f>
        <x:v>106</x:v>
      </x:c>
    </x:row>
    <x:row r="130">
      <x:c r="A130" s="62" t="str">
        <x:v>T126</x:v>
      </x:c>
      <x:c r="B130" s="62" t="str">
        <x:v>T125</x:v>
      </x:c>
      <x:c r="C130" s="62" t="n">
        <x:v>2</x:v>
      </x:c>
      <x:c r="D130" s="62" t="str">
        <x:v>表面積</x:v>
      </x:c>
      <x:c r="E130" s="62" t="str">
        <x:v>A_case</x:v>
      </x:c>
      <x:c r="F130" s="63" t="n">
        <x:f>2*('01_入力仕様'!D67*'01_入力仕様'!D68+'01_入力仕様'!D67*'01_入力仕様'!D69+'01_入力仕様'!D68*'01_入力仕様'!D69)</x:f>
        <x:v>0.495</x:v>
      </x:c>
      <x:c r="G130" s="63" t="str">
        <x:v>m²</x:v>
      </x:c>
      <x:c r="H130" s="63" t="n">
        <x:f>ABS(K130)*$F$5</x:f>
        <x:v>2.1730976784000005</x:v>
      </x:c>
      <x:c r="I130" s="62" t="str">
        <x:v>A_case=2(LW+LH+WH)</x:v>
      </x:c>
      <x:c r="J130" s="63" t="n">
        <x:f>1</x:f>
        <x:v>1</x:v>
      </x:c>
      <x:c r="K130" s="63" t="n">
        <x:f>K129*J130</x:f>
        <x:v>0.24286284932342378</x:v>
      </x:c>
      <x:c r="L130" s="62" t="str">
        <x:f>IF(K130&gt;0,"増加→総重量増",IF(K130&lt;0,"増加→総重量減","中立"))</x:f>
        <x:v>増加→総重量増</x:v>
      </x:c>
      <x:c r="M130" s="62" t="str">
        <x:v>設計対象</x:v>
      </x:c>
      <x:c r="N130" s="62" t="str"/>
      <x:c r="O130" s="229" t="n">
        <x:f>--(COUNTIF($B$5:$B$560,A130)=0)</x:f>
        <x:v>0</x:v>
      </x:c>
      <x:c r="P130" s="70" t="str">
        <x:f>IF(LEFT(E130,7)&lt;&gt;"Enable_","",IFERROR(IF(OR(ISNUMBER(SEARCH("=Enable",INDEX($I$5:$I$560,MATCH(B130,$A$5:$A$560,0)))),ISNUMBER(SEARCH("×Enable",INDEX($I$5:$I$560,MATCH(B130,$A$5:$A$560,0))))),1,""),""))</x:f>
      </x:c>
      <x:c r="Q130" t="n">
        <x:f>IF(E130="","",--(XMATCH(E130,$E$5:E130,0)=ROWS($E$5:E130)))</x:f>
        <x:v>1</x:v>
      </x:c>
      <x:c r="R130" t="n">
        <x:f>IF(Q130=1,SUM($Q$5:Q130),"")</x:f>
        <x:v>107</x:v>
      </x:c>
    </x:row>
    <x:row r="131">
      <x:c r="A131" s="58" t="str">
        <x:v>T127</x:v>
      </x:c>
      <x:c r="B131" s="58" t="str">
        <x:v>T126</x:v>
      </x:c>
      <x:c r="C131" s="58" t="n">
        <x:v>3</x:v>
      </x:c>
      <x:c r="D131" s="58" t="str">
        <x:v>長さ</x:v>
      </x:c>
      <x:c r="E131" s="58" t="str">
        <x:v>L_case</x:v>
      </x:c>
      <x:c r="F131" s="59" t="n">
        <x:f>'01_入力仕様'!D67</x:f>
        <x:v>0.45</x:v>
      </x:c>
      <x:c r="G131" s="59" t="str">
        <x:v>m</x:v>
      </x:c>
      <x:c r="H131" s="59" t="n">
        <x:f>ABS(K131)*$F$5</x:f>
        <x:v>1.7779890096000002</x:v>
      </x:c>
      <x:c r="I131" s="58" t="str">
        <x:v>入力仕様</x:v>
      </x:c>
      <x:c r="J131" s="59" t="n">
        <x:f>'01_入力仕様'!D67*('01_入力仕様'!D68+'01_入力仕様'!D69)/('01_入力仕様'!D67*'01_入力仕様'!D68+'01_入力仕様'!D67*'01_入力仕様'!D69+'01_入力仕様'!D68*'01_入力仕様'!D69)</x:f>
        <x:v>0.8181818181818181</x:v>
      </x:c>
      <x:c r="K131" s="59" t="n">
        <x:f>K130*J131</x:f>
        <x:v>0.1987059676282558</x:v>
      </x:c>
      <x:c r="L131" s="58" t="str">
        <x:f>IF(K131&gt;0,"増加→総重量増",IF(K131&lt;0,"増加→総重量減","中立"))</x:f>
        <x:v>増加→総重量増</x:v>
      </x:c>
      <x:c r="M131" s="58" t="str">
        <x:v>設計対象</x:v>
      </x:c>
      <x:c r="N131" s="58" t="str"/>
      <x:c r="O131" s="229" t="n">
        <x:f>--(COUNTIF($B$5:$B$560,A131)=0)</x:f>
        <x:v>1</x:v>
      </x:c>
      <x:c r="P131" s="70" t="str">
        <x:f>IF(LEFT(E131,7)&lt;&gt;"Enable_","",IFERROR(IF(OR(ISNUMBER(SEARCH("=Enable",INDEX($I$5:$I$560,MATCH(B131,$A$5:$A$560,0)))),ISNUMBER(SEARCH("×Enable",INDEX($I$5:$I$560,MATCH(B131,$A$5:$A$560,0))))),1,""),""))</x:f>
      </x:c>
      <x:c r="Q131" t="n">
        <x:f>IF(E131="","",--(XMATCH(E131,$E$5:E131,0)=ROWS($E$5:E131)))</x:f>
        <x:v>1</x:v>
      </x:c>
      <x:c r="R131" t="n">
        <x:f>IF(Q131=1,SUM($Q$5:Q131),"")</x:f>
        <x:v>108</x:v>
      </x:c>
    </x:row>
    <x:row r="132">
      <x:c r="A132" s="58" t="str">
        <x:v>T128</x:v>
      </x:c>
      <x:c r="B132" s="58" t="str">
        <x:v>T126</x:v>
      </x:c>
      <x:c r="C132" s="58" t="n">
        <x:v>3</x:v>
      </x:c>
      <x:c r="D132" s="58" t="str">
        <x:v>幅</x:v>
      </x:c>
      <x:c r="E132" s="58" t="str">
        <x:v>W_case</x:v>
      </x:c>
      <x:c r="F132" s="59" t="n">
        <x:f>'01_入力仕様'!D68</x:f>
        <x:v>0.3</x:v>
      </x:c>
      <x:c r="G132" s="59" t="str">
        <x:v>m</x:v>
      </x:c>
      <x:c r="H132" s="59" t="n">
        <x:f>ABS(K132)*$F$5</x:f>
        <x:v>1.5804346752000002</x:v>
      </x:c>
      <x:c r="I132" s="58" t="str">
        <x:v>入力仕様</x:v>
      </x:c>
      <x:c r="J132" s="59" t="n">
        <x:f>'01_入力仕様'!D68*('01_入力仕様'!D67+'01_入力仕様'!D69)/('01_入力仕様'!D67*'01_入力仕様'!D68+'01_入力仕様'!D67*'01_入力仕様'!D69+'01_入力仕様'!D68*'01_入力仕様'!D69)</x:f>
        <x:v>0.7272727272727273</x:v>
      </x:c>
      <x:c r="K132" s="59" t="n">
        <x:f>K130*J132</x:f>
        <x:v>0.17662752678067184</x:v>
      </x:c>
      <x:c r="L132" s="58" t="str">
        <x:f>IF(K132&gt;0,"増加→総重量増",IF(K132&lt;0,"増加→総重量減","中立"))</x:f>
        <x:v>増加→総重量増</x:v>
      </x:c>
      <x:c r="M132" s="58" t="str">
        <x:v>設計対象</x:v>
      </x:c>
      <x:c r="N132" s="58" t="str"/>
      <x:c r="O132" s="229" t="n">
        <x:f>--(COUNTIF($B$5:$B$560,A132)=0)</x:f>
        <x:v>1</x:v>
      </x:c>
      <x:c r="P132" s="70" t="str">
        <x:f>IF(LEFT(E132,7)&lt;&gt;"Enable_","",IFERROR(IF(OR(ISNUMBER(SEARCH("=Enable",INDEX($I$5:$I$560,MATCH(B132,$A$5:$A$560,0)))),ISNUMBER(SEARCH("×Enable",INDEX($I$5:$I$560,MATCH(B132,$A$5:$A$560,0))))),1,""),""))</x:f>
      </x:c>
      <x:c r="Q132" t="n">
        <x:f>IF(E132="","",--(XMATCH(E132,$E$5:E132,0)=ROWS($E$5:E132)))</x:f>
        <x:v>1</x:v>
      </x:c>
      <x:c r="R132" t="n">
        <x:f>IF(Q132=1,SUM($Q$5:Q132),"")</x:f>
        <x:v>109</x:v>
      </x:c>
    </x:row>
    <x:row r="133">
      <x:c r="A133" s="58" t="str">
        <x:v>T129</x:v>
      </x:c>
      <x:c r="B133" s="58" t="str">
        <x:v>T126</x:v>
      </x:c>
      <x:c r="C133" s="58" t="n">
        <x:v>3</x:v>
      </x:c>
      <x:c r="D133" s="58" t="str">
        <x:v>高さ</x:v>
      </x:c>
      <x:c r="E133" s="58" t="str">
        <x:v>H_case</x:v>
      </x:c>
      <x:c r="F133" s="59" t="n">
        <x:f>'01_入力仕様'!D69</x:f>
        <x:v>0.15</x:v>
      </x:c>
      <x:c r="G133" s="59" t="str">
        <x:v>m</x:v>
      </x:c>
      <x:c r="H133" s="59" t="n">
        <x:f>ABS(K133)*$F$5</x:f>
        <x:v>0.9877716720000003</x:v>
      </x:c>
      <x:c r="I133" s="58" t="str">
        <x:v>入力仕様</x:v>
      </x:c>
      <x:c r="J133" s="59" t="n">
        <x:f>'01_入力仕様'!D69*('01_入力仕様'!D67+'01_入力仕様'!D68)/('01_入力仕様'!D67*'01_入力仕様'!D68+'01_入力仕様'!D67*'01_入力仕様'!D69+'01_入力仕様'!D68*'01_入力仕様'!D69)</x:f>
        <x:v>0.45454545454545453</x:v>
      </x:c>
      <x:c r="K133" s="59" t="n">
        <x:f>K130*J133</x:f>
        <x:v>0.1103922042379199</x:v>
      </x:c>
      <x:c r="L133" s="58" t="str">
        <x:f>IF(K133&gt;0,"増加→総重量増",IF(K133&lt;0,"増加→総重量減","中立"))</x:f>
        <x:v>増加→総重量増</x:v>
      </x:c>
      <x:c r="M133" s="58" t="str">
        <x:v>設計対象</x:v>
      </x:c>
      <x:c r="N133" s="58" t="str"/>
      <x:c r="O133" s="229" t="n">
        <x:f>--(COUNTIF($B$5:$B$560,A133)=0)</x:f>
        <x:v>1</x:v>
      </x:c>
      <x:c r="P133" s="70" t="str">
        <x:f>IF(LEFT(E133,7)&lt;&gt;"Enable_","",IFERROR(IF(OR(ISNUMBER(SEARCH("=Enable",INDEX($I$5:$I$560,MATCH(B133,$A$5:$A$560,0)))),ISNUMBER(SEARCH("×Enable",INDEX($I$5:$I$560,MATCH(B133,$A$5:$A$560,0))))),1,""),""))</x:f>
      </x:c>
      <x:c r="Q133" t="n">
        <x:f>IF(E133="","",--(XMATCH(E133,$E$5:E133,0)=ROWS($E$5:E133)))</x:f>
        <x:v>1</x:v>
      </x:c>
      <x:c r="R133" t="n">
        <x:f>IF(Q133=1,SUM($Q$5:Q133),"")</x:f>
        <x:v>110</x:v>
      </x:c>
    </x:row>
    <x:row r="134">
      <x:c r="A134" s="58" t="str">
        <x:v>T130</x:v>
      </x:c>
      <x:c r="B134" s="58" t="str">
        <x:v>T125</x:v>
      </x:c>
      <x:c r="C134" s="58" t="n">
        <x:v>2</x:v>
      </x:c>
      <x:c r="D134" s="58" t="str">
        <x:v>板厚</x:v>
      </x:c>
      <x:c r="E134" s="58" t="str">
        <x:v>t_case_eff</x:v>
      </x:c>
      <x:c r="F134" s="59" t="n">
        <x:f>MAX(F257,F258)</x:f>
        <x:v>0.0018</x:v>
      </x:c>
      <x:c r="G134" s="59" t="str">
        <x:v>m</x:v>
      </x:c>
      <x:c r="H134" s="59" t="n">
        <x:f>ABS(K134)*$F$5</x:f>
        <x:v>2.1730976784000005</x:v>
      </x:c>
      <x:c r="I134" s="58" t="str">
        <x:v>t_case_eff=MAX(t_case,t_case_req)</x:v>
      </x:c>
      <x:c r="J134" s="59" t="n">
        <x:f>1</x:f>
        <x:v>1</x:v>
      </x:c>
      <x:c r="K134" s="59" t="n">
        <x:f>K129*J134</x:f>
        <x:v>0.24286284932342378</x:v>
      </x:c>
      <x:c r="L134" s="58" t="str">
        <x:f>IF(K134&gt;0,"増加→総重量増",IF(K134&lt;0,"増加→総重量減","中立"))</x:f>
        <x:v>増加→総重量増</x:v>
      </x:c>
      <x:c r="M134" s="58" t="str">
        <x:v>設計対象</x:v>
      </x:c>
      <x:c r="N134" s="58" t="str"/>
      <x:c r="O134" s="229" t="n">
        <x:f>--(COUNTIF($B$5:$B$560,A134)=0)</x:f>
        <x:v>0</x:v>
      </x:c>
      <x:c r="P134" s="70" t="str">
        <x:f>IF(LEFT(E134,7)&lt;&gt;"Enable_","",IFERROR(IF(OR(ISNUMBER(SEARCH("=Enable",INDEX($I$5:$I$560,MATCH(B134,$A$5:$A$560,0)))),ISNUMBER(SEARCH("×Enable",INDEX($I$5:$I$560,MATCH(B134,$A$5:$A$560,0))))),1,""),""))</x:f>
      </x:c>
      <x:c r="Q134" t="n">
        <x:f>IF(E134="","",--(XMATCH(E134,$E$5:E134,0)=ROWS($E$5:E134)))</x:f>
        <x:v>1</x:v>
      </x:c>
      <x:c r="R134" t="n">
        <x:f>IF(Q134=1,SUM($Q$5:Q134),"")</x:f>
        <x:v>111</x:v>
      </x:c>
    </x:row>
    <x:row r="135">
      <x:c r="A135" s="58" t="str">
        <x:v>T131</x:v>
      </x:c>
      <x:c r="B135" s="58" t="str">
        <x:v>T125</x:v>
      </x:c>
      <x:c r="C135" s="58" t="n">
        <x:v>2</x:v>
      </x:c>
      <x:c r="D135" s="58" t="str">
        <x:v>材料密度</x:v>
      </x:c>
      <x:c r="E135" s="58" t="str">
        <x:v>rho_case</x:v>
      </x:c>
      <x:c r="F135" s="59" t="n">
        <x:f>'01_入力仕様'!D71</x:f>
        <x:v>2700</x:v>
      </x:c>
      <x:c r="G135" s="59" t="str">
        <x:v>kg/m³</x:v>
      </x:c>
      <x:c r="H135" s="59" t="n">
        <x:f>ABS(K135)*$F$5</x:f>
        <x:v>2.1730976784000005</x:v>
      </x:c>
      <x:c r="I135" s="58" t="str">
        <x:v>入力仕様</x:v>
      </x:c>
      <x:c r="J135" s="59" t="n">
        <x:f>1</x:f>
        <x:v>1</x:v>
      </x:c>
      <x:c r="K135" s="59" t="n">
        <x:f>K129*J135</x:f>
        <x:v>0.24286284932342378</x:v>
      </x:c>
      <x:c r="L135" s="58" t="str">
        <x:f>IF(K135&gt;0,"増加→総重量増",IF(K135&lt;0,"増加→総重量減","中立"))</x:f>
        <x:v>増加→総重量増</x:v>
      </x:c>
      <x:c r="M135" s="58" t="str">
        <x:v>設計対象</x:v>
      </x:c>
      <x:c r="N135" s="58" t="str"/>
      <x:c r="O135" s="229" t="n">
        <x:f>--(COUNTIF($B$5:$B$560,A135)=0)</x:f>
        <x:v>1</x:v>
      </x:c>
      <x:c r="P135" s="70" t="str">
        <x:f>IF(LEFT(E135,7)&lt;&gt;"Enable_","",IFERROR(IF(OR(ISNUMBER(SEARCH("=Enable",INDEX($I$5:$I$560,MATCH(B135,$A$5:$A$560,0)))),ISNUMBER(SEARCH("×Enable",INDEX($I$5:$I$560,MATCH(B135,$A$5:$A$560,0))))),1,""),""))</x:f>
      </x:c>
      <x:c r="Q135" t="n">
        <x:f>IF(E135="","",--(XMATCH(E135,$E$5:E135,0)=ROWS($E$5:E135)))</x:f>
        <x:v>1</x:v>
      </x:c>
      <x:c r="R135" t="n">
        <x:f>IF(Q135=1,SUM($Q$5:Q135),"")</x:f>
        <x:v>112</x:v>
      </x:c>
    </x:row>
    <x:row r="136">
      <x:c r="A136" s="62" t="str">
        <x:v>T132</x:v>
      </x:c>
      <x:c r="B136" s="62" t="str">
        <x:v>T125</x:v>
      </x:c>
      <x:c r="C136" s="62" t="n">
        <x:v>2</x:v>
      </x:c>
      <x:c r="D136" s="62" t="str">
        <x:v>構造係数</x:v>
      </x:c>
      <x:c r="E136" s="62" t="str">
        <x:v>K_case</x:v>
      </x:c>
      <x:c r="F136" s="63" t="n">
        <x:f>(1-'01_入力仕様'!D72)*'01_入力仕様'!D73*'01_入力仕様'!D74</x:f>
        <x:v>0.9033120000000002</x:v>
      </x:c>
      <x:c r="G136" s="63" t="str">
        <x:v>-</x:v>
      </x:c>
      <x:c r="H136" s="63" t="n">
        <x:f>ABS(K136)*$F$5</x:f>
        <x:v>2.1730976784000005</x:v>
      </x:c>
      <x:c r="I136" s="62" t="str">
        <x:v>K_case=(1-r_open)×K_rib×K_mfg</x:v>
      </x:c>
      <x:c r="J136" s="63" t="n">
        <x:f>1</x:f>
        <x:v>1</x:v>
      </x:c>
      <x:c r="K136" s="63" t="n">
        <x:f>K129*J136</x:f>
        <x:v>0.24286284932342378</x:v>
      </x:c>
      <x:c r="L136" s="62" t="str">
        <x:f>IF(K136&gt;0,"増加→総重量増",IF(K136&lt;0,"増加→総重量減","中立"))</x:f>
        <x:v>増加→総重量増</x:v>
      </x:c>
      <x:c r="M136" s="62" t="str">
        <x:v>設計対象</x:v>
      </x:c>
      <x:c r="N136" s="62" t="str"/>
      <x:c r="O136" s="229" t="n">
        <x:f>--(COUNTIF($B$5:$B$560,A136)=0)</x:f>
        <x:v>0</x:v>
      </x:c>
      <x:c r="P136" s="70" t="str">
        <x:f>IF(LEFT(E136,7)&lt;&gt;"Enable_","",IFERROR(IF(OR(ISNUMBER(SEARCH("=Enable",INDEX($I$5:$I$560,MATCH(B136,$A$5:$A$560,0)))),ISNUMBER(SEARCH("×Enable",INDEX($I$5:$I$560,MATCH(B136,$A$5:$A$560,0))))),1,""),""))</x:f>
      </x:c>
      <x:c r="Q136" t="n">
        <x:f>IF(E136="","",--(XMATCH(E136,$E$5:E136,0)=ROWS($E$5:E136)))</x:f>
        <x:v>1</x:v>
      </x:c>
      <x:c r="R136" t="n">
        <x:f>IF(Q136=1,SUM($Q$5:Q136),"")</x:f>
        <x:v>113</x:v>
      </x:c>
    </x:row>
    <x:row r="137">
      <x:c r="A137" s="58" t="str">
        <x:v>T133</x:v>
      </x:c>
      <x:c r="B137" s="58" t="str">
        <x:v>T132</x:v>
      </x:c>
      <x:c r="C137" s="58" t="n">
        <x:v>3</x:v>
      </x:c>
      <x:c r="D137" s="58" t="str">
        <x:v>開口率</x:v>
      </x:c>
      <x:c r="E137" s="58" t="str">
        <x:v>r_open</x:v>
      </x:c>
      <x:c r="F137" s="59" t="n">
        <x:f>'01_入力仕様'!D72</x:f>
        <x:v>0.18</x:v>
      </x:c>
      <x:c r="G137" s="59" t="str">
        <x:v>-</x:v>
      </x:c>
      <x:c r="H137" s="59" t="n">
        <x:f>ABS(K137)*$F$5</x:f>
        <x:v>0.47702144160000004</x:v>
      </x:c>
      <x:c r="I137" s="58" t="str">
        <x:v>入力仕様</x:v>
      </x:c>
      <x:c r="J137" s="59" t="n">
        <x:f>-'01_入力仕様'!D72/(1-'01_入力仕様'!D72)</x:f>
        <x:v>-0.2195121951219512</x:v>
      </x:c>
      <x:c r="K137" s="59" t="n">
        <x:f>K136*J137</x:f>
        <x:v>-0.05331135716855643</x:v>
      </x:c>
      <x:c r="L137" s="58" t="str">
        <x:f>IF(K137&gt;0,"増加→総重量増",IF(K137&lt;0,"増加→総重量減","中立"))</x:f>
        <x:v>増加→総重量減</x:v>
      </x:c>
      <x:c r="M137" s="58" t="str">
        <x:v>設計対象</x:v>
      </x:c>
      <x:c r="N137" s="58" t="str"/>
      <x:c r="O137" s="229" t="n">
        <x:f>--(COUNTIF($B$5:$B$560,A137)=0)</x:f>
        <x:v>1</x:v>
      </x:c>
      <x:c r="P137" s="70" t="str">
        <x:f>IF(LEFT(E137,7)&lt;&gt;"Enable_","",IFERROR(IF(OR(ISNUMBER(SEARCH("=Enable",INDEX($I$5:$I$560,MATCH(B137,$A$5:$A$560,0)))),ISNUMBER(SEARCH("×Enable",INDEX($I$5:$I$560,MATCH(B137,$A$5:$A$560,0))))),1,""),""))</x:f>
      </x:c>
      <x:c r="Q137" t="n">
        <x:f>IF(E137="","",--(XMATCH(E137,$E$5:E137,0)=ROWS($E$5:E137)))</x:f>
        <x:v>1</x:v>
      </x:c>
      <x:c r="R137" t="n">
        <x:f>IF(Q137=1,SUM($Q$5:Q137),"")</x:f>
        <x:v>114</x:v>
      </x:c>
    </x:row>
    <x:row r="138">
      <x:c r="A138" s="58" t="str">
        <x:v>T134</x:v>
      </x:c>
      <x:c r="B138" s="58" t="str">
        <x:v>T132</x:v>
      </x:c>
      <x:c r="C138" s="58" t="n">
        <x:v>3</x:v>
      </x:c>
      <x:c r="D138" s="58" t="str">
        <x:v>リブ係数</x:v>
      </x:c>
      <x:c r="E138" s="58" t="str">
        <x:v>K_rib</x:v>
      </x:c>
      <x:c r="F138" s="59" t="n">
        <x:f>'01_入力仕様'!D73</x:f>
        <x:v>1.08</x:v>
      </x:c>
      <x:c r="G138" s="59" t="str">
        <x:v>-</x:v>
      </x:c>
      <x:c r="H138" s="59" t="n">
        <x:f>ABS(K138)*$F$5</x:f>
        <x:v>2.1730976784000005</x:v>
      </x:c>
      <x:c r="I138" s="58" t="str">
        <x:v>入力仕様</x:v>
      </x:c>
      <x:c r="J138" s="59" t="n">
        <x:f>1</x:f>
        <x:v>1</x:v>
      </x:c>
      <x:c r="K138" s="59" t="n">
        <x:f>K136*J138</x:f>
        <x:v>0.24286284932342378</x:v>
      </x:c>
      <x:c r="L138" s="58" t="str">
        <x:f>IF(K138&gt;0,"増加→総重量増",IF(K138&lt;0,"増加→総重量減","中立"))</x:f>
        <x:v>増加→総重量増</x:v>
      </x:c>
      <x:c r="M138" s="58" t="str">
        <x:v>設計対象</x:v>
      </x:c>
      <x:c r="N138" s="58" t="str"/>
      <x:c r="O138" s="229" t="n">
        <x:f>--(COUNTIF($B$5:$B$560,A138)=0)</x:f>
        <x:v>1</x:v>
      </x:c>
      <x:c r="P138" s="70" t="str">
        <x:f>IF(LEFT(E138,7)&lt;&gt;"Enable_","",IFERROR(IF(OR(ISNUMBER(SEARCH("=Enable",INDEX($I$5:$I$560,MATCH(B138,$A$5:$A$560,0)))),ISNUMBER(SEARCH("×Enable",INDEX($I$5:$I$560,MATCH(B138,$A$5:$A$560,0))))),1,""),""))</x:f>
      </x:c>
      <x:c r="Q138" t="n">
        <x:f>IF(E138="","",--(XMATCH(E138,$E$5:E138,0)=ROWS($E$5:E138)))</x:f>
        <x:v>1</x:v>
      </x:c>
      <x:c r="R138" t="n">
        <x:f>IF(Q138=1,SUM($Q$5:Q138),"")</x:f>
        <x:v>115</x:v>
      </x:c>
    </x:row>
    <x:row r="139">
      <x:c r="A139" s="58" t="str">
        <x:v>T135</x:v>
      </x:c>
      <x:c r="B139" s="58" t="str">
        <x:v>T132</x:v>
      </x:c>
      <x:c r="C139" s="58" t="n">
        <x:v>3</x:v>
      </x:c>
      <x:c r="D139" s="58" t="str">
        <x:v>製造余裕</x:v>
      </x:c>
      <x:c r="E139" s="58" t="str">
        <x:v>K_mfg</x:v>
      </x:c>
      <x:c r="F139" s="59" t="n">
        <x:f>'01_入力仕様'!D74</x:f>
        <x:v>1.02</x:v>
      </x:c>
      <x:c r="G139" s="59" t="str">
        <x:v>-</x:v>
      </x:c>
      <x:c r="H139" s="59" t="n">
        <x:f>ABS(K139)*$F$5</x:f>
        <x:v>2.1730976784000005</x:v>
      </x:c>
      <x:c r="I139" s="58" t="str">
        <x:v>入力仕様</x:v>
      </x:c>
      <x:c r="J139" s="59" t="n">
        <x:f>1</x:f>
        <x:v>1</x:v>
      </x:c>
      <x:c r="K139" s="59" t="n">
        <x:f>K136*J139</x:f>
        <x:v>0.24286284932342378</x:v>
      </x:c>
      <x:c r="L139" s="58" t="str">
        <x:f>IF(K139&gt;0,"増加→総重量増",IF(K139&lt;0,"増加→総重量減","中立"))</x:f>
        <x:v>増加→総重量増</x:v>
      </x:c>
      <x:c r="M139" s="58" t="str">
        <x:v>設計対象</x:v>
      </x:c>
      <x:c r="N139" s="58" t="str"/>
      <x:c r="O139" s="229" t="n">
        <x:f>--(COUNTIF($B$5:$B$560,A139)=0)</x:f>
        <x:v>1</x:v>
      </x:c>
      <x:c r="P139" s="70" t="str">
        <x:f>IF(LEFT(E139,7)&lt;&gt;"Enable_","",IFERROR(IF(OR(ISNUMBER(SEARCH("=Enable",INDEX($I$5:$I$560,MATCH(B139,$A$5:$A$560,0)))),ISNUMBER(SEARCH("×Enable",INDEX($I$5:$I$560,MATCH(B139,$A$5:$A$560,0))))),1,""),""))</x:f>
      </x:c>
      <x:c r="Q139" t="n">
        <x:f>IF(E139="","",--(XMATCH(E139,$E$5:E139,0)=ROWS($E$5:E139)))</x:f>
        <x:v>1</x:v>
      </x:c>
      <x:c r="R139" t="n">
        <x:f>IF(Q139=1,SUM($Q$5:Q139),"")</x:f>
        <x:v>116</x:v>
      </x:c>
    </x:row>
    <x:row r="140">
      <x:c r="A140" s="54" t="str">
        <x:v>T136</x:v>
      </x:c>
      <x:c r="B140" s="54" t="str">
        <x:v>T001</x:v>
      </x:c>
      <x:c r="C140" s="54" t="n">
        <x:v>1</x:v>
      </x:c>
      <x:c r="D140" s="54" t="str">
        <x:v>EMIフィルタ重量</x:v>
      </x:c>
      <x:c r="E140" s="54" t="str">
        <x:v>M_emi</x:v>
      </x:c>
      <x:c r="F140" s="55" t="n">
        <x:f>F141+F158+F312+F365+F368+F466</x:f>
        <x:v>0.33038290883675525</x:v>
      </x:c>
      <x:c r="G140" s="55" t="str">
        <x:v>kg</x:v>
      </x:c>
      <x:c r="H140" s="55" t="n">
        <x:f>ABS(K140)*$F$5</x:f>
        <x:v>0.3303829088367553</x:v>
      </x:c>
      <x:c r="I140" s="54" t="str">
        <x:v>M_emi=M_L+M_C+M_slew_emi+M_DPWM_penalty+M_CM_filter</x:v>
      </x:c>
      <x:c r="J140" s="55" t="n">
        <x:f>F140/F5</x:f>
        <x:v>0.03692320663051486</x:v>
      </x:c>
      <x:c r="K140" s="55" t="n">
        <x:f>K5*J140</x:f>
        <x:v>0.03692320663051486</x:v>
      </x:c>
      <x:c r="L140" s="54" t="str">
        <x:f>IF(K140&gt;0,"増加→総重量増",IF(K140&lt;0,"増加→総重量減","中立"))</x:f>
        <x:v>増加→総重量増</x:v>
      </x:c>
      <x:c r="M140" s="54" t="str">
        <x:v>設計対象</x:v>
      </x:c>
      <x:c r="N140" s="54" t="str"/>
      <x:c r="O140" s="229" t="n">
        <x:f>--(COUNTIF($B$5:$B$560,A140)=0)</x:f>
        <x:v>0</x:v>
      </x:c>
      <x:c r="P140" s="70" t="str">
        <x:f>IF(LEFT(E140,7)&lt;&gt;"Enable_","",IFERROR(IF(OR(ISNUMBER(SEARCH("=Enable",INDEX($I$5:$I$560,MATCH(B140,$A$5:$A$560,0)))),ISNUMBER(SEARCH("×Enable",INDEX($I$5:$I$560,MATCH(B140,$A$5:$A$560,0))))),1,""),""))</x:f>
      </x:c>
      <x:c r="Q140" t="n">
        <x:f>IF(E140="","",--(XMATCH(E140,$E$5:E140,0)=ROWS($E$5:E140)))</x:f>
        <x:v>1</x:v>
      </x:c>
      <x:c r="R140" t="n">
        <x:f>IF(Q140=1,SUM($Q$5:Q140),"")</x:f>
        <x:v>117</x:v>
      </x:c>
    </x:row>
    <x:row r="141">
      <x:c r="A141" s="54" t="str">
        <x:v>T137</x:v>
      </x:c>
      <x:c r="B141" s="54" t="str">
        <x:v>T136</x:v>
      </x:c>
      <x:c r="C141" s="54" t="n">
        <x:v>2</x:v>
      </x:c>
      <x:c r="D141" s="54" t="str">
        <x:v>インダクタ重量</x:v>
      </x:c>
      <x:c r="E141" s="54" t="str">
        <x:v>M_L</x:v>
      </x:c>
      <x:c r="F141" s="55" t="n">
        <x:f>'01_入力仕様'!D78*F143*(F154/1000)^2</x:f>
        <x:v>0.00037393441089378186</x:v>
      </x:c>
      <x:c r="G141" s="55" t="str">
        <x:v>kg</x:v>
      </x:c>
      <x:c r="H141" s="55" t="n">
        <x:f>ABS(K141)*$F$5</x:f>
        <x:v>0.0003739344108937819</x:v>
      </x:c>
      <x:c r="I141" s="54" t="str">
        <x:v>M_L=k_mL×L_dm×(I_phase/1000)²</x:v>
      </x:c>
      <x:c r="J141" s="55" t="n">
        <x:f>IF(F140=0,0,F141/F140)</x:f>
        <x:v>0.0011318212924826137</x:v>
      </x:c>
      <x:c r="K141" s="55" t="n">
        <x:f>K140*J141</x:f>
        <x:v>0.000041790471451151947</x:v>
      </x:c>
      <x:c r="L141" s="54" t="str">
        <x:f>IF(K141&gt;0,"増加→総重量増",IF(K141&lt;0,"増加→総重量減","中立"))</x:f>
        <x:v>増加→総重量増</x:v>
      </x:c>
      <x:c r="M141" s="54" t="str">
        <x:v>設計対象</x:v>
      </x:c>
      <x:c r="N141" s="54" t="str"/>
      <x:c r="O141" s="229" t="n">
        <x:f>--(COUNTIF($B$5:$B$560,A141)=0)</x:f>
        <x:v>0</x:v>
      </x:c>
      <x:c r="P141" s="70" t="str">
        <x:f>IF(LEFT(E141,7)&lt;&gt;"Enable_","",IFERROR(IF(OR(ISNUMBER(SEARCH("=Enable",INDEX($I$5:$I$560,MATCH(B141,$A$5:$A$560,0)))),ISNUMBER(SEARCH("×Enable",INDEX($I$5:$I$560,MATCH(B141,$A$5:$A$560,0))))),1,""),""))</x:f>
      </x:c>
      <x:c r="Q141" t="n">
        <x:f>IF(E141="","",--(XMATCH(E141,$E$5:E141,0)=ROWS($E$5:E141)))</x:f>
        <x:v>1</x:v>
      </x:c>
      <x:c r="R141" t="n">
        <x:f>IF(Q141=1,SUM($Q$5:Q141),"")</x:f>
        <x:v>118</x:v>
      </x:c>
    </x:row>
    <x:row r="142">
      <x:c r="A142" s="58" t="str">
        <x:v>T138</x:v>
      </x:c>
      <x:c r="B142" s="58" t="str">
        <x:v>T137</x:v>
      </x:c>
      <x:c r="C142" s="58" t="n">
        <x:v>3</x:v>
      </x:c>
      <x:c r="D142" s="58" t="str">
        <x:v>L重量係数</x:v>
      </x:c>
      <x:c r="E142" s="58" t="str">
        <x:v>k_mL</x:v>
      </x:c>
      <x:c r="F142" s="59" t="n">
        <x:f>(F268+F249)/2</x:f>
        <x:v>20.1</x:v>
      </x:c>
      <x:c r="G142" s="59" t="str">
        <x:v>kg/(H·kA²)</x:v>
      </x:c>
      <x:c r="H142" s="59" t="n">
        <x:f>ABS(K142)*$F$5</x:f>
        <x:v>0.0003739344108937819</x:v>
      </x:c>
      <x:c r="I142" s="58" t="str">
        <x:v>k_mL=(k_mL_input+k_mL_phys)/2</x:v>
      </x:c>
      <x:c r="J142" s="59" t="n">
        <x:f>1</x:f>
        <x:v>1</x:v>
      </x:c>
      <x:c r="K142" s="59" t="n">
        <x:f>K141*J142</x:f>
        <x:v>0.000041790471451151947</x:v>
      </x:c>
      <x:c r="L142" s="58" t="str">
        <x:f>IF(K142&gt;0,"増加→総重量増",IF(K142&lt;0,"増加→総重量減","中立"))</x:f>
        <x:v>増加→総重量増</x:v>
      </x:c>
      <x:c r="M142" s="58" t="str">
        <x:v>設計対象</x:v>
      </x:c>
      <x:c r="N142" s="58" t="str"/>
      <x:c r="O142" s="229" t="n">
        <x:f>--(COUNTIF($B$5:$B$560,A142)=0)</x:f>
        <x:v>0</x:v>
      </x:c>
      <x:c r="P142" s="70" t="str">
        <x:f>IF(LEFT(E142,7)&lt;&gt;"Enable_","",IFERROR(IF(OR(ISNUMBER(SEARCH("=Enable",INDEX($I$5:$I$560,MATCH(B142,$A$5:$A$560,0)))),ISNUMBER(SEARCH("×Enable",INDEX($I$5:$I$560,MATCH(B142,$A$5:$A$560,0))))),1,""),""))</x:f>
      </x:c>
      <x:c r="Q142" t="n">
        <x:f>IF(E142="","",--(XMATCH(E142,$E$5:E142,0)=ROWS($E$5:E142)))</x:f>
        <x:v>1</x:v>
      </x:c>
      <x:c r="R142" t="n">
        <x:f>IF(Q142=1,SUM($Q$5:Q142),"")</x:f>
        <x:v>119</x:v>
      </x:c>
    </x:row>
    <x:row r="143">
      <x:c r="A143" s="62" t="str">
        <x:v>T139</x:v>
      </x:c>
      <x:c r="B143" s="62" t="str">
        <x:v>T137</x:v>
      </x:c>
      <x:c r="C143" s="62" t="n">
        <x:v>3</x:v>
      </x:c>
      <x:c r="D143" s="62" t="str">
        <x:v>必要DMインダクタンス</x:v>
      </x:c>
      <x:c r="E143" s="62" t="str">
        <x:v>L_dm</x:v>
      </x:c>
      <x:c r="F143" s="63" t="n">
        <x:f>'01_入力仕様'!D75/(2*PI()*F145*F148)</x:f>
        <x:v>0.000381037182848386</x:v>
      </x:c>
      <x:c r="G143" s="63" t="str">
        <x:v>H</x:v>
      </x:c>
      <x:c r="H143" s="63" t="n">
        <x:f>ABS(K143)*$F$5</x:f>
        <x:v>0.0003739344108937819</x:v>
      </x:c>
      <x:c r="I143" s="62" t="str">
        <x:v>L_dm=V_noise/(2πf_cI_ripple)</x:v>
      </x:c>
      <x:c r="J143" s="63" t="n">
        <x:f>1</x:f>
        <x:v>1</x:v>
      </x:c>
      <x:c r="K143" s="63" t="n">
        <x:f>K141*J143</x:f>
        <x:v>0.000041790471451151947</x:v>
      </x:c>
      <x:c r="L143" s="62" t="str">
        <x:f>IF(K143&gt;0,"増加→総重量増",IF(K143&lt;0,"増加→総重量減","中立"))</x:f>
        <x:v>増加→総重量増</x:v>
      </x:c>
      <x:c r="M143" s="62" t="str">
        <x:v>設計対象</x:v>
      </x:c>
      <x:c r="N143" s="62" t="str"/>
      <x:c r="O143" s="229" t="n">
        <x:f>--(COUNTIF($B$5:$B$560,A143)=0)</x:f>
        <x:v>0</x:v>
      </x:c>
      <x:c r="P143" s="70" t="str">
        <x:f>IF(LEFT(E143,7)&lt;&gt;"Enable_","",IFERROR(IF(OR(ISNUMBER(SEARCH("=Enable",INDEX($I$5:$I$560,MATCH(B143,$A$5:$A$560,0)))),ISNUMBER(SEARCH("×Enable",INDEX($I$5:$I$560,MATCH(B143,$A$5:$A$560,0))))),1,""),""))</x:f>
      </x:c>
      <x:c r="Q143" t="n">
        <x:f>IF(E143="","",--(XMATCH(E143,$E$5:E143,0)=ROWS($E$5:E143)))</x:f>
        <x:v>1</x:v>
      </x:c>
      <x:c r="R143" t="n">
        <x:f>IF(Q143=1,SUM($Q$5:Q143),"")</x:f>
        <x:v>120</x:v>
      </x:c>
    </x:row>
    <x:row r="144">
      <x:c r="A144" s="58" t="str">
        <x:v>T140</x:v>
      </x:c>
      <x:c r="B144" s="58" t="str">
        <x:v>T139</x:v>
      </x:c>
      <x:c r="C144" s="58" t="n">
        <x:v>4</x:v>
      </x:c>
      <x:c r="D144" s="58" t="str">
        <x:v>ノイズ等価電圧</x:v>
      </x:c>
      <x:c r="E144" s="58" t="str">
        <x:v>V_noise</x:v>
      </x:c>
      <x:c r="F144" s="59" t="n">
        <x:f>'01_入力仕様'!D75</x:f>
        <x:v>60</x:v>
      </x:c>
      <x:c r="G144" s="59" t="str">
        <x:v>V</x:v>
      </x:c>
      <x:c r="H144" s="59" t="n">
        <x:f>ABS(K144)*$F$5</x:f>
        <x:v>0.0003739344108937819</x:v>
      </x:c>
      <x:c r="I144" s="58" t="str">
        <x:v>入力仕様</x:v>
      </x:c>
      <x:c r="J144" s="59" t="n">
        <x:f>1</x:f>
        <x:v>1</x:v>
      </x:c>
      <x:c r="K144" s="59" t="n">
        <x:f>K143*J144</x:f>
        <x:v>0.000041790471451151947</x:v>
      </x:c>
      <x:c r="L144" s="58" t="str">
        <x:f>IF(K144&gt;0,"増加→総重量増",IF(K144&lt;0,"増加→総重量減","中立"))</x:f>
        <x:v>増加→総重量増</x:v>
      </x:c>
      <x:c r="M144" s="58" t="str">
        <x:v>設計対象</x:v>
      </x:c>
      <x:c r="N144" s="58" t="str"/>
      <x:c r="O144" s="229" t="n">
        <x:f>--(COUNTIF($B$5:$B$560,A144)=0)</x:f>
        <x:v>1</x:v>
      </x:c>
      <x:c r="P144" s="70" t="str">
        <x:f>IF(LEFT(E144,7)&lt;&gt;"Enable_","",IFERROR(IF(OR(ISNUMBER(SEARCH("=Enable",INDEX($I$5:$I$560,MATCH(B144,$A$5:$A$560,0)))),ISNUMBER(SEARCH("×Enable",INDEX($I$5:$I$560,MATCH(B144,$A$5:$A$560,0))))),1,""),""))</x:f>
      </x:c>
      <x:c r="Q144" t="n">
        <x:f>IF(E144="","",--(XMATCH(E144,$E$5:E144,0)=ROWS($E$5:E144)))</x:f>
        <x:v>1</x:v>
      </x:c>
      <x:c r="R144" t="n">
        <x:f>IF(Q144=1,SUM($Q$5:Q144),"")</x:f>
        <x:v>121</x:v>
      </x:c>
    </x:row>
    <x:row r="145">
      <x:c r="A145" s="62" t="str">
        <x:v>T141</x:v>
      </x:c>
      <x:c r="B145" s="62" t="str">
        <x:v>T139</x:v>
      </x:c>
      <x:c r="C145" s="62" t="n">
        <x:v>4</x:v>
      </x:c>
      <x:c r="D145" s="62" t="str">
        <x:v>遮断周波数</x:v>
      </x:c>
      <x:c r="E145" s="62" t="str">
        <x:v>f_c</x:v>
      </x:c>
      <x:c r="F145" s="63" t="n">
        <x:f>'01_入力仕様'!D77*'01_入力仕様'!D10</x:f>
        <x:v>1600</x:v>
      </x:c>
      <x:c r="G145" s="63" t="str">
        <x:v>Hz</x:v>
      </x:c>
      <x:c r="H145" s="63" t="n">
        <x:f>ABS(K145)*$F$5</x:f>
        <x:v>0.0003739344108937819</x:v>
      </x:c>
      <x:c r="I145" s="62" t="str">
        <x:v>f_c=k_fc×f_sw</x:v>
      </x:c>
      <x:c r="J145" s="63" t="n">
        <x:f>-1</x:f>
        <x:v>-1</x:v>
      </x:c>
      <x:c r="K145" s="63" t="n">
        <x:f>K143*J145</x:f>
        <x:v>-0.000041790471451151947</x:v>
      </x:c>
      <x:c r="L145" s="62" t="str">
        <x:f>IF(K145&gt;0,"増加→総重量増",IF(K145&lt;0,"増加→総重量減","中立"))</x:f>
        <x:v>増加→総重量減</x:v>
      </x:c>
      <x:c r="M145" s="62" t="str">
        <x:v>設計対象</x:v>
      </x:c>
      <x:c r="N145" s="62" t="str"/>
      <x:c r="O145" s="229" t="n">
        <x:f>--(COUNTIF($B$5:$B$560,A145)=0)</x:f>
        <x:v>0</x:v>
      </x:c>
      <x:c r="P145" s="70" t="str">
        <x:f>IF(LEFT(E145,7)&lt;&gt;"Enable_","",IFERROR(IF(OR(ISNUMBER(SEARCH("=Enable",INDEX($I$5:$I$560,MATCH(B145,$A$5:$A$560,0)))),ISNUMBER(SEARCH("×Enable",INDEX($I$5:$I$560,MATCH(B145,$A$5:$A$560,0))))),1,""),""))</x:f>
      </x:c>
      <x:c r="Q145" t="n">
        <x:f>IF(E145="","",--(XMATCH(E145,$E$5:E145,0)=ROWS($E$5:E145)))</x:f>
        <x:v>1</x:v>
      </x:c>
      <x:c r="R145" t="n">
        <x:f>IF(Q145=1,SUM($Q$5:Q145),"")</x:f>
        <x:v>122</x:v>
      </x:c>
    </x:row>
    <x:row r="146">
      <x:c r="A146" s="58" t="str">
        <x:v>T142</x:v>
      </x:c>
      <x:c r="B146" s="58" t="str">
        <x:v>T141</x:v>
      </x:c>
      <x:c r="C146" s="58" t="n">
        <x:v>5</x:v>
      </x:c>
      <x:c r="D146" s="58" t="str">
        <x:v>遮断周波数係数</x:v>
      </x:c>
      <x:c r="E146" s="58" t="str">
        <x:v>k_fc</x:v>
      </x:c>
      <x:c r="F146" s="59" t="n">
        <x:f>'01_入力仕様'!D77</x:f>
        <x:v>0.1</x:v>
      </x:c>
      <x:c r="G146" s="59" t="str">
        <x:v>-</x:v>
      </x:c>
      <x:c r="H146" s="59" t="n">
        <x:f>ABS(K146)*$F$5</x:f>
        <x:v>0.0003739344108937819</x:v>
      </x:c>
      <x:c r="I146" s="58" t="str">
        <x:v>入力仕様</x:v>
      </x:c>
      <x:c r="J146" s="59" t="n">
        <x:f>1</x:f>
        <x:v>1</x:v>
      </x:c>
      <x:c r="K146" s="59" t="n">
        <x:f>K145*J146</x:f>
        <x:v>-0.000041790471451151947</x:v>
      </x:c>
      <x:c r="L146" s="58" t="str">
        <x:f>IF(K146&gt;0,"増加→総重量増",IF(K146&lt;0,"増加→総重量減","中立"))</x:f>
        <x:v>増加→総重量減</x:v>
      </x:c>
      <x:c r="M146" s="58" t="str">
        <x:v>設計対象</x:v>
      </x:c>
      <x:c r="N146" s="58" t="str"/>
      <x:c r="O146" s="229" t="n">
        <x:f>--(COUNTIF($B$5:$B$560,A146)=0)</x:f>
        <x:v>1</x:v>
      </x:c>
      <x:c r="P146" s="70" t="str">
        <x:f>IF(LEFT(E146,7)&lt;&gt;"Enable_","",IFERROR(IF(OR(ISNUMBER(SEARCH("=Enable",INDEX($I$5:$I$560,MATCH(B146,$A$5:$A$560,0)))),ISNUMBER(SEARCH("×Enable",INDEX($I$5:$I$560,MATCH(B146,$A$5:$A$560,0))))),1,""),""))</x:f>
      </x:c>
      <x:c r="Q146" t="n">
        <x:f>IF(E146="","",--(XMATCH(E146,$E$5:E146,0)=ROWS($E$5:E146)))</x:f>
        <x:v>1</x:v>
      </x:c>
      <x:c r="R146" t="n">
        <x:f>IF(Q146=1,SUM($Q$5:Q146),"")</x:f>
        <x:v>123</x:v>
      </x:c>
    </x:row>
    <x:row r="147">
      <x:c r="A147" s="58" t="str">
        <x:v>T143</x:v>
      </x:c>
      <x:c r="B147" s="58" t="str">
        <x:v>T141</x:v>
      </x:c>
      <x:c r="C147" s="58" t="n">
        <x:v>5</x:v>
      </x:c>
      <x:c r="D147" s="58" t="str">
        <x:v>スイッチング周波数</x:v>
      </x:c>
      <x:c r="E147" s="58" t="str">
        <x:v>f_sw</x:v>
      </x:c>
      <x:c r="F147" s="59" t="n">
        <x:f>'01_入力仕様'!D10</x:f>
        <x:v>16000</x:v>
      </x:c>
      <x:c r="G147" s="59" t="str">
        <x:v>Hz</x:v>
      </x:c>
      <x:c r="H147" s="59" t="n">
        <x:f>ABS(K147)*$F$5</x:f>
        <x:v>0.0003739344108937819</x:v>
      </x:c>
      <x:c r="I147" s="58" t="str">
        <x:v>入力仕様</x:v>
      </x:c>
      <x:c r="J147" s="59" t="n">
        <x:f>1</x:f>
        <x:v>1</x:v>
      </x:c>
      <x:c r="K147" s="59" t="n">
        <x:f>K145*J147</x:f>
        <x:v>-0.000041790471451151947</x:v>
      </x:c>
      <x:c r="L147" s="58" t="str">
        <x:f>IF(K147&gt;0,"増加→総重量増",IF(K147&lt;0,"増加→総重量減","中立"))</x:f>
        <x:v>増加→総重量減</x:v>
      </x:c>
      <x:c r="M147" s="58" t="str">
        <x:v>設計対象</x:v>
      </x:c>
      <x:c r="N147" s="58" t="str">
        <x:v>fsw↑→L重量↓</x:v>
      </x:c>
      <x:c r="O147" s="229" t="n">
        <x:f>--(COUNTIF($B$5:$B$560,A147)=0)</x:f>
        <x:v>1</x:v>
      </x:c>
      <x:c r="P147" s="70" t="str">
        <x:f>IF(LEFT(E147,7)&lt;&gt;"Enable_","",IFERROR(IF(OR(ISNUMBER(SEARCH("=Enable",INDEX($I$5:$I$560,MATCH(B147,$A$5:$A$560,0)))),ISNUMBER(SEARCH("×Enable",INDEX($I$5:$I$560,MATCH(B147,$A$5:$A$560,0))))),1,""),""))</x:f>
      </x:c>
      <x:c r="Q147" t="n">
        <x:f>IF(E147="","",--(XMATCH(E147,$E$5:E147,0)=ROWS($E$5:E147)))</x:f>
        <x:v>0</x:v>
      </x:c>
      <x:c r="R147" t="str">
        <x:f>IF(Q147=1,SUM($Q$5:Q147),"")</x:f>
      </x:c>
    </x:row>
    <x:row r="148">
      <x:c r="A148" s="62" t="str">
        <x:v>T144</x:v>
      </x:c>
      <x:c r="B148" s="62" t="str">
        <x:v>T139</x:v>
      </x:c>
      <x:c r="C148" s="62" t="n">
        <x:v>4</x:v>
      </x:c>
      <x:c r="D148" s="62" t="str">
        <x:v>許容電流リップル</x:v>
      </x:c>
      <x:c r="E148" s="62" t="str">
        <x:v>I_ripple</x:v>
      </x:c>
      <x:c r="F148" s="63" t="n">
        <x:f>'01_入力仕様'!D76*F150</x:f>
        <x:v>15.663327975844433</x:v>
      </x:c>
      <x:c r="G148" s="63" t="str">
        <x:v>A</x:v>
      </x:c>
      <x:c r="H148" s="63" t="n">
        <x:f>ABS(K148)*$F$5</x:f>
        <x:v>0.0003739344108937819</x:v>
      </x:c>
      <x:c r="I148" s="62" t="str">
        <x:v>I_ripple=r_Iemi×I_phase</x:v>
      </x:c>
      <x:c r="J148" s="63" t="n">
        <x:f>-1</x:f>
        <x:v>-1</x:v>
      </x:c>
      <x:c r="K148" s="63" t="n">
        <x:f>K143*J148</x:f>
        <x:v>-0.000041790471451151947</x:v>
      </x:c>
      <x:c r="L148" s="62" t="str">
        <x:f>IF(K148&gt;0,"増加→総重量増",IF(K148&lt;0,"増加→総重量減","中立"))</x:f>
        <x:v>増加→総重量減</x:v>
      </x:c>
      <x:c r="M148" s="62" t="str">
        <x:v>設計対象</x:v>
      </x:c>
      <x:c r="N148" s="62" t="str"/>
      <x:c r="O148" s="229" t="n">
        <x:f>--(COUNTIF($B$5:$B$560,A148)=0)</x:f>
        <x:v>0</x:v>
      </x:c>
      <x:c r="P148" s="70" t="str">
        <x:f>IF(LEFT(E148,7)&lt;&gt;"Enable_","",IFERROR(IF(OR(ISNUMBER(SEARCH("=Enable",INDEX($I$5:$I$560,MATCH(B148,$A$5:$A$560,0)))),ISNUMBER(SEARCH("×Enable",INDEX($I$5:$I$560,MATCH(B148,$A$5:$A$560,0))))),1,""),""))</x:f>
      </x:c>
      <x:c r="Q148" t="n">
        <x:f>IF(E148="","",--(XMATCH(E148,$E$5:E148,0)=ROWS($E$5:E148)))</x:f>
        <x:v>1</x:v>
      </x:c>
      <x:c r="R148" t="n">
        <x:f>IF(Q148=1,SUM($Q$5:Q148),"")</x:f>
        <x:v>124</x:v>
      </x:c>
    </x:row>
    <x:row r="149">
      <x:c r="A149" s="58" t="str">
        <x:v>T145</x:v>
      </x:c>
      <x:c r="B149" s="58" t="str">
        <x:v>T144</x:v>
      </x:c>
      <x:c r="C149" s="58" t="n">
        <x:v>5</x:v>
      </x:c>
      <x:c r="D149" s="58" t="str">
        <x:v>リップル率</x:v>
      </x:c>
      <x:c r="E149" s="58" t="str">
        <x:v>r_Iemi</x:v>
      </x:c>
      <x:c r="F149" s="59" t="n">
        <x:f>'01_入力仕様'!D76</x:f>
        <x:v>0.1</x:v>
      </x:c>
      <x:c r="G149" s="59" t="str">
        <x:v>-</x:v>
      </x:c>
      <x:c r="H149" s="59" t="n">
        <x:f>ABS(K149)*$F$5</x:f>
        <x:v>0.0003739344108937819</x:v>
      </x:c>
      <x:c r="I149" s="58" t="str">
        <x:v>入力仕様</x:v>
      </x:c>
      <x:c r="J149" s="59" t="n">
        <x:f>1</x:f>
        <x:v>1</x:v>
      </x:c>
      <x:c r="K149" s="59" t="n">
        <x:f>K148*J149</x:f>
        <x:v>-0.000041790471451151947</x:v>
      </x:c>
      <x:c r="L149" s="58" t="str">
        <x:f>IF(K149&gt;0,"増加→総重量増",IF(K149&lt;0,"増加→総重量減","中立"))</x:f>
        <x:v>増加→総重量減</x:v>
      </x:c>
      <x:c r="M149" s="58" t="str">
        <x:v>設計対象</x:v>
      </x:c>
      <x:c r="N149" s="58" t="str"/>
      <x:c r="O149" s="229" t="n">
        <x:f>--(COUNTIF($B$5:$B$560,A149)=0)</x:f>
        <x:v>1</x:v>
      </x:c>
      <x:c r="P149" s="70" t="str">
        <x:f>IF(LEFT(E149,7)&lt;&gt;"Enable_","",IFERROR(IF(OR(ISNUMBER(SEARCH("=Enable",INDEX($I$5:$I$560,MATCH(B149,$A$5:$A$560,0)))),ISNUMBER(SEARCH("×Enable",INDEX($I$5:$I$560,MATCH(B149,$A$5:$A$560,0))))),1,""),""))</x:f>
      </x:c>
      <x:c r="Q149" t="n">
        <x:f>IF(E149="","",--(XMATCH(E149,$E$5:E149,0)=ROWS($E$5:E149)))</x:f>
        <x:v>1</x:v>
      </x:c>
      <x:c r="R149" t="n">
        <x:f>IF(Q149=1,SUM($Q$5:Q149),"")</x:f>
        <x:v>125</x:v>
      </x:c>
    </x:row>
    <x:row r="150">
      <x:c r="A150" s="62" t="str">
        <x:v>T146</x:v>
      </x:c>
      <x:c r="B150" s="62" t="str">
        <x:v>T144</x:v>
      </x:c>
      <x:c r="C150" s="62" t="n">
        <x:v>5</x:v>
      </x:c>
      <x:c r="D150" s="62" t="str">
        <x:v>相電流</x:v>
      </x:c>
      <x:c r="E150" s="62" t="str">
        <x:v>I_phase</x:v>
      </x:c>
      <x:c r="F150" s="63" t="n">
        <x:f>'01_入力仕様'!D5*1000/(SQRT(3)*'01_入力仕様'!D7*'01_入力仕様'!D8*'01_入力仕様'!D9)</x:f>
        <x:v>156.63327975844433</x:v>
      </x:c>
      <x:c r="G150" s="63" t="str">
        <x:v>A</x:v>
      </x:c>
      <x:c r="H150" s="63" t="n">
        <x:f>ABS(K150)*$F$5</x:f>
        <x:v>0.0003739344108937819</x:v>
      </x:c>
      <x:c r="I150" s="62" t="str">
        <x:v>I_phase=P_out_const/(√3V_llPFeta)</x:v>
      </x:c>
      <x:c r="J150" s="63" t="n">
        <x:f>1</x:f>
        <x:v>1</x:v>
      </x:c>
      <x:c r="K150" s="63" t="n">
        <x:f>K148*J150</x:f>
        <x:v>-0.000041790471451151947</x:v>
      </x:c>
      <x:c r="L150" s="62" t="str">
        <x:f>IF(K150&gt;0,"増加→総重量増",IF(K150&lt;0,"増加→総重量減","中立"))</x:f>
        <x:v>増加→総重量減</x:v>
      </x:c>
      <x:c r="M150" s="62" t="str">
        <x:v>設計対象</x:v>
      </x:c>
      <x:c r="N150" s="62" t="str">
        <x:v>P_out固定要求</x:v>
      </x:c>
      <x:c r="O150" s="229" t="n">
        <x:f>--(COUNTIF($B$5:$B$560,A150)=0)</x:f>
        <x:v>0</x:v>
      </x:c>
      <x:c r="P150" s="70" t="str">
        <x:f>IF(LEFT(E150,7)&lt;&gt;"Enable_","",IFERROR(IF(OR(ISNUMBER(SEARCH("=Enable",INDEX($I$5:$I$560,MATCH(B150,$A$5:$A$560,0)))),ISNUMBER(SEARCH("×Enable",INDEX($I$5:$I$560,MATCH(B150,$A$5:$A$560,0))))),1,""),""))</x:f>
      </x:c>
      <x:c r="Q150" t="n">
        <x:f>IF(E150="","",--(XMATCH(E150,$E$5:E150,0)=ROWS($E$5:E150)))</x:f>
        <x:v>0</x:v>
      </x:c>
      <x:c r="R150" t="str">
        <x:f>IF(Q150=1,SUM($Q$5:Q150),"")</x:f>
      </x:c>
    </x:row>
    <x:row r="151">
      <x:c r="A151" s="58" t="str">
        <x:v>T147</x:v>
      </x:c>
      <x:c r="B151" s="58" t="str">
        <x:v>T146</x:v>
      </x:c>
      <x:c r="C151" s="58" t="n">
        <x:v>6</x:v>
      </x:c>
      <x:c r="D151" s="58" t="str">
        <x:v>線間電圧</x:v>
      </x:c>
      <x:c r="E151" s="58" t="str">
        <x:v>V_ll</x:v>
      </x:c>
      <x:c r="F151" s="59" t="n">
        <x:f>'01_入力仕様'!D7</x:f>
        <x:v>400</x:v>
      </x:c>
      <x:c r="G151" s="59" t="str">
        <x:v>V</x:v>
      </x:c>
      <x:c r="H151" s="59" t="n">
        <x:f>ABS(K151)*$F$5</x:f>
        <x:v>0.0003739344108937819</x:v>
      </x:c>
      <x:c r="I151" s="58" t="str">
        <x:v>入力仕様</x:v>
      </x:c>
      <x:c r="J151" s="59" t="n">
        <x:f>-1</x:f>
        <x:v>-1</x:v>
      </x:c>
      <x:c r="K151" s="59" t="n">
        <x:f>K150*J151</x:f>
        <x:v>0.000041790471451151947</x:v>
      </x:c>
      <x:c r="L151" s="58" t="str">
        <x:f>IF(K151&gt;0,"増加→総重量増",IF(K151&lt;0,"増加→総重量減","中立"))</x:f>
        <x:v>増加→総重量増</x:v>
      </x:c>
      <x:c r="M151" s="58" t="str">
        <x:v>設計対象</x:v>
      </x:c>
      <x:c r="N151" s="58" t="str"/>
      <x:c r="O151" s="229" t="n">
        <x:f>--(COUNTIF($B$5:$B$560,A151)=0)</x:f>
        <x:v>1</x:v>
      </x:c>
      <x:c r="P151" s="70" t="str">
        <x:f>IF(LEFT(E151,7)&lt;&gt;"Enable_","",IFERROR(IF(OR(ISNUMBER(SEARCH("=Enable",INDEX($I$5:$I$560,MATCH(B151,$A$5:$A$560,0)))),ISNUMBER(SEARCH("×Enable",INDEX($I$5:$I$560,MATCH(B151,$A$5:$A$560,0))))),1,""),""))</x:f>
      </x:c>
      <x:c r="Q151" t="n">
        <x:f>IF(E151="","",--(XMATCH(E151,$E$5:E151,0)=ROWS($E$5:E151)))</x:f>
        <x:v>0</x:v>
      </x:c>
      <x:c r="R151" t="str">
        <x:f>IF(Q151=1,SUM($Q$5:Q151),"")</x:f>
      </x:c>
    </x:row>
    <x:row r="152">
      <x:c r="A152" s="58" t="str">
        <x:v>T148</x:v>
      </x:c>
      <x:c r="B152" s="58" t="str">
        <x:v>T146</x:v>
      </x:c>
      <x:c r="C152" s="58" t="n">
        <x:v>6</x:v>
      </x:c>
      <x:c r="D152" s="58" t="str">
        <x:v>力率</x:v>
      </x:c>
      <x:c r="E152" s="58" t="str">
        <x:v>PF</x:v>
      </x:c>
      <x:c r="F152" s="59" t="n">
        <x:f>'01_入力仕様'!D8</x:f>
        <x:v>0.95</x:v>
      </x:c>
      <x:c r="G152" s="59" t="str">
        <x:v>-</x:v>
      </x:c>
      <x:c r="H152" s="59" t="n">
        <x:f>ABS(K152)*$F$5</x:f>
        <x:v>0.0003739344108937819</x:v>
      </x:c>
      <x:c r="I152" s="58" t="str">
        <x:v>入力仕様</x:v>
      </x:c>
      <x:c r="J152" s="59" t="n">
        <x:f>-1</x:f>
        <x:v>-1</x:v>
      </x:c>
      <x:c r="K152" s="59" t="n">
        <x:f>K150*J152</x:f>
        <x:v>0.000041790471451151947</x:v>
      </x:c>
      <x:c r="L152" s="58" t="str">
        <x:f>IF(K152&gt;0,"増加→総重量増",IF(K152&lt;0,"増加→総重量減","中立"))</x:f>
        <x:v>増加→総重量増</x:v>
      </x:c>
      <x:c r="M152" s="58" t="str">
        <x:v>設計対象</x:v>
      </x:c>
      <x:c r="N152" s="58" t="str"/>
      <x:c r="O152" s="229" t="n">
        <x:f>--(COUNTIF($B$5:$B$560,A152)=0)</x:f>
        <x:v>1</x:v>
      </x:c>
      <x:c r="P152" s="70" t="str">
        <x:f>IF(LEFT(E152,7)&lt;&gt;"Enable_","",IFERROR(IF(OR(ISNUMBER(SEARCH("=Enable",INDEX($I$5:$I$560,MATCH(B152,$A$5:$A$560,0)))),ISNUMBER(SEARCH("×Enable",INDEX($I$5:$I$560,MATCH(B152,$A$5:$A$560,0))))),1,""),""))</x:f>
      </x:c>
      <x:c r="Q152" t="n">
        <x:f>IF(E152="","",--(XMATCH(E152,$E$5:E152,0)=ROWS($E$5:E152)))</x:f>
        <x:v>0</x:v>
      </x:c>
      <x:c r="R152" t="str">
        <x:f>IF(Q152=1,SUM($Q$5:Q152),"")</x:f>
      </x:c>
    </x:row>
    <x:row r="153">
      <x:c r="A153" s="58" t="str">
        <x:v>T149</x:v>
      </x:c>
      <x:c r="B153" s="58" t="str">
        <x:v>T146</x:v>
      </x:c>
      <x:c r="C153" s="58" t="n">
        <x:v>6</x:v>
      </x:c>
      <x:c r="D153" s="58" t="str">
        <x:v>効率</x:v>
      </x:c>
      <x:c r="E153" s="58" t="str">
        <x:v>eta</x:v>
      </x:c>
      <x:c r="F153" s="59" t="n">
        <x:f>'01_入力仕様'!D9</x:f>
        <x:v>0.97</x:v>
      </x:c>
      <x:c r="G153" s="59" t="str">
        <x:v>-</x:v>
      </x:c>
      <x:c r="H153" s="59" t="n">
        <x:f>ABS(K153)*$F$5</x:f>
        <x:v>0.0003739344108937819</x:v>
      </x:c>
      <x:c r="I153" s="58" t="str">
        <x:v>入力仕様</x:v>
      </x:c>
      <x:c r="J153" s="59" t="n">
        <x:f>-1</x:f>
        <x:v>-1</x:v>
      </x:c>
      <x:c r="K153" s="59" t="n">
        <x:f>K150*J153</x:f>
        <x:v>0.000041790471451151947</x:v>
      </x:c>
      <x:c r="L153" s="58" t="str">
        <x:f>IF(K153&gt;0,"増加→総重量増",IF(K153&lt;0,"増加→総重量減","中立"))</x:f>
        <x:v>増加→総重量増</x:v>
      </x:c>
      <x:c r="M153" s="58" t="str">
        <x:v>設計対象</x:v>
      </x:c>
      <x:c r="N153" s="58" t="str"/>
      <x:c r="O153" s="229" t="n">
        <x:f>--(COUNTIF($B$5:$B$560,A153)=0)</x:f>
        <x:v>1</x:v>
      </x:c>
      <x:c r="P153" s="70" t="str">
        <x:f>IF(LEFT(E153,7)&lt;&gt;"Enable_","",IFERROR(IF(OR(ISNUMBER(SEARCH("=Enable",INDEX($I$5:$I$560,MATCH(B153,$A$5:$A$560,0)))),ISNUMBER(SEARCH("×Enable",INDEX($I$5:$I$560,MATCH(B153,$A$5:$A$560,0))))),1,""),""))</x:f>
      </x:c>
      <x:c r="Q153" t="n">
        <x:f>IF(E153="","",--(XMATCH(E153,$E$5:E153,0)=ROWS($E$5:E153)))</x:f>
        <x:v>0</x:v>
      </x:c>
      <x:c r="R153" t="str">
        <x:f>IF(Q153=1,SUM($Q$5:Q153),"")</x:f>
      </x:c>
    </x:row>
    <x:row r="154">
      <x:c r="A154" s="62" t="str">
        <x:v>T150</x:v>
      </x:c>
      <x:c r="B154" s="62" t="str">
        <x:v>T137</x:v>
      </x:c>
      <x:c r="C154" s="62" t="n">
        <x:v>3</x:v>
      </x:c>
      <x:c r="D154" s="62" t="str">
        <x:v>相電流</x:v>
      </x:c>
      <x:c r="E154" s="62" t="str">
        <x:v>I_phase</x:v>
      </x:c>
      <x:c r="F154" s="63" t="n">
        <x:f>'01_入力仕様'!D5*1000/(SQRT(3)*'01_入力仕様'!D7*'01_入力仕様'!D8*'01_入力仕様'!D9)</x:f>
        <x:v>156.63327975844433</x:v>
      </x:c>
      <x:c r="G154" s="63" t="str">
        <x:v>A</x:v>
      </x:c>
      <x:c r="H154" s="63" t="n">
        <x:f>ABS(K154)*$F$5</x:f>
        <x:v>0.0007478688217875638</x:v>
      </x:c>
      <x:c r="I154" s="62" t="str">
        <x:v>I_phase=P_out_const/(√3V_llPFeta)</x:v>
      </x:c>
      <x:c r="J154" s="63" t="n">
        <x:f>2</x:f>
        <x:v>2</x:v>
      </x:c>
      <x:c r="K154" s="63" t="n">
        <x:f>K141*J154</x:f>
        <x:v>0.00008358094290230389</x:v>
      </x:c>
      <x:c r="L154" s="62" t="str">
        <x:f>IF(K154&gt;0,"増加→総重量増",IF(K154&lt;0,"増加→総重量減","中立"))</x:f>
        <x:v>増加→総重量増</x:v>
      </x:c>
      <x:c r="M154" s="62" t="str">
        <x:v>設計対象</x:v>
      </x:c>
      <x:c r="N154" s="62" t="str">
        <x:v>P_out固定要求</x:v>
      </x:c>
      <x:c r="O154" s="229" t="n">
        <x:f>--(COUNTIF($B$5:$B$560,A154)=0)</x:f>
        <x:v>0</x:v>
      </x:c>
      <x:c r="P154" s="70" t="str">
        <x:f>IF(LEFT(E154,7)&lt;&gt;"Enable_","",IFERROR(IF(OR(ISNUMBER(SEARCH("=Enable",INDEX($I$5:$I$560,MATCH(B154,$A$5:$A$560,0)))),ISNUMBER(SEARCH("×Enable",INDEX($I$5:$I$560,MATCH(B154,$A$5:$A$560,0))))),1,""),""))</x:f>
      </x:c>
      <x:c r="Q154" t="n">
        <x:f>IF(E154="","",--(XMATCH(E154,$E$5:E154,0)=ROWS($E$5:E154)))</x:f>
        <x:v>0</x:v>
      </x:c>
      <x:c r="R154" t="str">
        <x:f>IF(Q154=1,SUM($Q$5:Q154),"")</x:f>
      </x:c>
    </x:row>
    <x:row r="155">
      <x:c r="A155" s="58" t="str">
        <x:v>T151</x:v>
      </x:c>
      <x:c r="B155" s="58" t="str">
        <x:v>T150</x:v>
      </x:c>
      <x:c r="C155" s="58" t="n">
        <x:v>4</x:v>
      </x:c>
      <x:c r="D155" s="58" t="str">
        <x:v>線間電圧</x:v>
      </x:c>
      <x:c r="E155" s="58" t="str">
        <x:v>V_ll</x:v>
      </x:c>
      <x:c r="F155" s="59" t="n">
        <x:f>'01_入力仕様'!D7</x:f>
        <x:v>400</x:v>
      </x:c>
      <x:c r="G155" s="59" t="str">
        <x:v>V</x:v>
      </x:c>
      <x:c r="H155" s="59" t="n">
        <x:f>ABS(K155)*$F$5</x:f>
        <x:v>0.0007478688217875638</x:v>
      </x:c>
      <x:c r="I155" s="58" t="str">
        <x:v>入力仕様</x:v>
      </x:c>
      <x:c r="J155" s="59" t="n">
        <x:f>-1</x:f>
        <x:v>-1</x:v>
      </x:c>
      <x:c r="K155" s="59" t="n">
        <x:f>K154*J155</x:f>
        <x:v>-0.00008358094290230389</x:v>
      </x:c>
      <x:c r="L155" s="58" t="str">
        <x:f>IF(K155&gt;0,"増加→総重量増",IF(K155&lt;0,"増加→総重量減","中立"))</x:f>
        <x:v>増加→総重量減</x:v>
      </x:c>
      <x:c r="M155" s="58" t="str">
        <x:v>設計対象</x:v>
      </x:c>
      <x:c r="N155" s="58" t="str"/>
      <x:c r="O155" s="229" t="n">
        <x:f>--(COUNTIF($B$5:$B$560,A155)=0)</x:f>
        <x:v>1</x:v>
      </x:c>
      <x:c r="P155" s="70" t="str">
        <x:f>IF(LEFT(E155,7)&lt;&gt;"Enable_","",IFERROR(IF(OR(ISNUMBER(SEARCH("=Enable",INDEX($I$5:$I$560,MATCH(B155,$A$5:$A$560,0)))),ISNUMBER(SEARCH("×Enable",INDEX($I$5:$I$560,MATCH(B155,$A$5:$A$560,0))))),1,""),""))</x:f>
      </x:c>
      <x:c r="Q155" t="n">
        <x:f>IF(E155="","",--(XMATCH(E155,$E$5:E155,0)=ROWS($E$5:E155)))</x:f>
        <x:v>0</x:v>
      </x:c>
      <x:c r="R155" t="str">
        <x:f>IF(Q155=1,SUM($Q$5:Q155),"")</x:f>
      </x:c>
    </x:row>
    <x:row r="156">
      <x:c r="A156" s="58" t="str">
        <x:v>T152</x:v>
      </x:c>
      <x:c r="B156" s="58" t="str">
        <x:v>T150</x:v>
      </x:c>
      <x:c r="C156" s="58" t="n">
        <x:v>4</x:v>
      </x:c>
      <x:c r="D156" s="58" t="str">
        <x:v>力率</x:v>
      </x:c>
      <x:c r="E156" s="58" t="str">
        <x:v>PF</x:v>
      </x:c>
      <x:c r="F156" s="59" t="n">
        <x:f>'01_入力仕様'!D8</x:f>
        <x:v>0.95</x:v>
      </x:c>
      <x:c r="G156" s="59" t="str">
        <x:v>-</x:v>
      </x:c>
      <x:c r="H156" s="59" t="n">
        <x:f>ABS(K156)*$F$5</x:f>
        <x:v>0.0007478688217875638</x:v>
      </x:c>
      <x:c r="I156" s="58" t="str">
        <x:v>入力仕様</x:v>
      </x:c>
      <x:c r="J156" s="59" t="n">
        <x:f>-1</x:f>
        <x:v>-1</x:v>
      </x:c>
      <x:c r="K156" s="59" t="n">
        <x:f>K154*J156</x:f>
        <x:v>-0.00008358094290230389</x:v>
      </x:c>
      <x:c r="L156" s="58" t="str">
        <x:f>IF(K156&gt;0,"増加→総重量増",IF(K156&lt;0,"増加→総重量減","中立"))</x:f>
        <x:v>増加→総重量減</x:v>
      </x:c>
      <x:c r="M156" s="58" t="str">
        <x:v>設計対象</x:v>
      </x:c>
      <x:c r="N156" s="58" t="str"/>
      <x:c r="O156" s="229" t="n">
        <x:f>--(COUNTIF($B$5:$B$560,A156)=0)</x:f>
        <x:v>1</x:v>
      </x:c>
      <x:c r="P156" s="70" t="str">
        <x:f>IF(LEFT(E156,7)&lt;&gt;"Enable_","",IFERROR(IF(OR(ISNUMBER(SEARCH("=Enable",INDEX($I$5:$I$560,MATCH(B156,$A$5:$A$560,0)))),ISNUMBER(SEARCH("×Enable",INDEX($I$5:$I$560,MATCH(B156,$A$5:$A$560,0))))),1,""),""))</x:f>
      </x:c>
      <x:c r="Q156" t="n">
        <x:f>IF(E156="","",--(XMATCH(E156,$E$5:E156,0)=ROWS($E$5:E156)))</x:f>
        <x:v>0</x:v>
      </x:c>
      <x:c r="R156" t="str">
        <x:f>IF(Q156=1,SUM($Q$5:Q156),"")</x:f>
      </x:c>
    </x:row>
    <x:row r="157">
      <x:c r="A157" s="58" t="str">
        <x:v>T153</x:v>
      </x:c>
      <x:c r="B157" s="58" t="str">
        <x:v>T150</x:v>
      </x:c>
      <x:c r="C157" s="58" t="n">
        <x:v>4</x:v>
      </x:c>
      <x:c r="D157" s="58" t="str">
        <x:v>効率</x:v>
      </x:c>
      <x:c r="E157" s="58" t="str">
        <x:v>eta</x:v>
      </x:c>
      <x:c r="F157" s="59" t="n">
        <x:f>'01_入力仕様'!D9</x:f>
        <x:v>0.97</x:v>
      </x:c>
      <x:c r="G157" s="59" t="str">
        <x:v>-</x:v>
      </x:c>
      <x:c r="H157" s="59" t="n">
        <x:f>ABS(K157)*$F$5</x:f>
        <x:v>0.0007478688217875638</x:v>
      </x:c>
      <x:c r="I157" s="58" t="str">
        <x:v>入力仕様</x:v>
      </x:c>
      <x:c r="J157" s="59" t="n">
        <x:f>-1</x:f>
        <x:v>-1</x:v>
      </x:c>
      <x:c r="K157" s="59" t="n">
        <x:f>K154*J157</x:f>
        <x:v>-0.00008358094290230389</x:v>
      </x:c>
      <x:c r="L157" s="58" t="str">
        <x:f>IF(K157&gt;0,"増加→総重量増",IF(K157&lt;0,"増加→総重量減","中立"))</x:f>
        <x:v>増加→総重量減</x:v>
      </x:c>
      <x:c r="M157" s="58" t="str">
        <x:v>設計対象</x:v>
      </x:c>
      <x:c r="N157" s="58" t="str"/>
      <x:c r="O157" s="229" t="n">
        <x:f>--(COUNTIF($B$5:$B$560,A157)=0)</x:f>
        <x:v>1</x:v>
      </x:c>
      <x:c r="P157" s="70" t="str">
        <x:f>IF(LEFT(E157,7)&lt;&gt;"Enable_","",IFERROR(IF(OR(ISNUMBER(SEARCH("=Enable",INDEX($I$5:$I$560,MATCH(B157,$A$5:$A$560,0)))),ISNUMBER(SEARCH("×Enable",INDEX($I$5:$I$560,MATCH(B157,$A$5:$A$560,0))))),1,""),""))</x:f>
      </x:c>
      <x:c r="Q157" t="n">
        <x:f>IF(E157="","",--(XMATCH(E157,$E$5:E157,0)=ROWS($E$5:E157)))</x:f>
        <x:v>0</x:v>
      </x:c>
      <x:c r="R157" t="str">
        <x:f>IF(Q157=1,SUM($Q$5:Q157),"")</x:f>
      </x:c>
    </x:row>
    <x:row r="158">
      <x:c r="A158" s="54" t="str">
        <x:v>T154</x:v>
      </x:c>
      <x:c r="B158" s="54" t="str">
        <x:v>T136</x:v>
      </x:c>
      <x:c r="C158" s="54" t="n">
        <x:v>2</x:v>
      </x:c>
      <x:c r="D158" s="54" t="str">
        <x:v>コンデンサ重量</x:v>
      </x:c>
      <x:c r="E158" s="54" t="str">
        <x:v>M_C</x:v>
      </x:c>
      <x:c r="F158" s="55" t="n">
        <x:f>'01_入力仕様'!D81*F160*('01_入力仕様'!D6/1000)^2</x:f>
        <x:v>0.00000897442586145077</x:v>
      </x:c>
      <x:c r="G158" s="55" t="str">
        <x:v>kg</x:v>
      </x:c>
      <x:c r="H158" s="55" t="n">
        <x:f>ABS(K158)*$F$5</x:f>
        <x:v>0.000008974425861450771</x:v>
      </x:c>
      <x:c r="I158" s="54" t="str">
        <x:v>M_C=k_mC×C_dm×(V_dc/1000)²</x:v>
      </x:c>
      <x:c r="J158" s="55" t="n">
        <x:f>IF(F140=0,0,F158/F140)</x:f>
        <x:v>0.000027163711019582743</x:v>
      </x:c>
      <x:c r="K158" s="55" t="n">
        <x:f>K140*J158</x:f>
        <x:v>0.0000010029713148276472</x:v>
      </x:c>
      <x:c r="L158" s="54" t="str">
        <x:f>IF(K158&gt;0,"増加→総重量増",IF(K158&lt;0,"増加→総重量減","中立"))</x:f>
        <x:v>増加→総重量増</x:v>
      </x:c>
      <x:c r="M158" s="54" t="str">
        <x:v>設計対象</x:v>
      </x:c>
      <x:c r="N158" s="54" t="str"/>
      <x:c r="O158" s="229" t="n">
        <x:f>--(COUNTIF($B$5:$B$560,A158)=0)</x:f>
        <x:v>0</x:v>
      </x:c>
      <x:c r="P158" s="70" t="str">
        <x:f>IF(LEFT(E158,7)&lt;&gt;"Enable_","",IFERROR(IF(OR(ISNUMBER(SEARCH("=Enable",INDEX($I$5:$I$560,MATCH(B158,$A$5:$A$560,0)))),ISNUMBER(SEARCH("×Enable",INDEX($I$5:$I$560,MATCH(B158,$A$5:$A$560,0))))),1,""),""))</x:f>
      </x:c>
      <x:c r="Q158" t="n">
        <x:f>IF(E158="","",--(XMATCH(E158,$E$5:E158,0)=ROWS($E$5:E158)))</x:f>
        <x:v>1</x:v>
      </x:c>
      <x:c r="R158" t="n">
        <x:f>IF(Q158=1,SUM($Q$5:Q158),"")</x:f>
        <x:v>126</x:v>
      </x:c>
    </x:row>
    <x:row r="159">
      <x:c r="A159" s="58" t="str">
        <x:v>T155</x:v>
      </x:c>
      <x:c r="B159" s="58" t="str">
        <x:v>T154</x:v>
      </x:c>
      <x:c r="C159" s="58" t="n">
        <x:v>3</x:v>
      </x:c>
      <x:c r="D159" s="58" t="str">
        <x:v>C重量係数</x:v>
      </x:c>
      <x:c r="E159" s="58" t="str">
        <x:v>k_mC</x:v>
      </x:c>
      <x:c r="F159" s="59" t="n">
        <x:f>'01_入力仕様'!D81</x:f>
        <x:v>0.18</x:v>
      </x:c>
      <x:c r="G159" s="59" t="str">
        <x:v>kg/(F·kV²)</x:v>
      </x:c>
      <x:c r="H159" s="59" t="n">
        <x:f>ABS(K159)*$F$5</x:f>
        <x:v>0.000008974425861450771</x:v>
      </x:c>
      <x:c r="I159" s="58" t="str">
        <x:v>入力仕様</x:v>
      </x:c>
      <x:c r="J159" s="59" t="n">
        <x:f>1</x:f>
        <x:v>1</x:v>
      </x:c>
      <x:c r="K159" s="59" t="n">
        <x:f>K158*J159</x:f>
        <x:v>0.0000010029713148276472</x:v>
      </x:c>
      <x:c r="L159" s="58" t="str">
        <x:f>IF(K159&gt;0,"増加→総重量増",IF(K159&lt;0,"増加→総重量減","中立"))</x:f>
        <x:v>増加→総重量増</x:v>
      </x:c>
      <x:c r="M159" s="58" t="str">
        <x:v>設計対象</x:v>
      </x:c>
      <x:c r="N159" s="58" t="str"/>
      <x:c r="O159" s="229" t="n">
        <x:f>--(COUNTIF($B$5:$B$560,A159)=0)</x:f>
        <x:v>1</x:v>
      </x:c>
      <x:c r="P159" s="70" t="str">
        <x:f>IF(LEFT(E159,7)&lt;&gt;"Enable_","",IFERROR(IF(OR(ISNUMBER(SEARCH("=Enable",INDEX($I$5:$I$560,MATCH(B159,$A$5:$A$560,0)))),ISNUMBER(SEARCH("×Enable",INDEX($I$5:$I$560,MATCH(B159,$A$5:$A$560,0))))),1,""),""))</x:f>
      </x:c>
      <x:c r="Q159" t="n">
        <x:f>IF(E159="","",--(XMATCH(E159,$E$5:E159,0)=ROWS($E$5:E159)))</x:f>
        <x:v>1</x:v>
      </x:c>
      <x:c r="R159" t="n">
        <x:f>IF(Q159=1,SUM($Q$5:Q159),"")</x:f>
        <x:v>127</x:v>
      </x:c>
    </x:row>
    <x:row r="160">
      <x:c r="A160" s="62" t="str">
        <x:v>T156</x:v>
      </x:c>
      <x:c r="B160" s="62" t="str">
        <x:v>T154</x:v>
      </x:c>
      <x:c r="C160" s="62" t="n">
        <x:v>3</x:v>
      </x:c>
      <x:c r="D160" s="62" t="str">
        <x:v>必要DM容量</x:v>
      </x:c>
      <x:c r="E160" s="62" t="str">
        <x:v>C_dm</x:v>
      </x:c>
      <x:c r="F160" s="63" t="n">
        <x:f>F161/(2*PI()*F167*F170)</x:f>
        <x:v>0.00007790300226953791</x:v>
      </x:c>
      <x:c r="G160" s="63" t="str">
        <x:v>F</x:v>
      </x:c>
      <x:c r="H160" s="63" t="n">
        <x:f>ABS(K160)*$F$5</x:f>
        <x:v>0.000008974425861450771</x:v>
      </x:c>
      <x:c r="I160" s="62" t="str">
        <x:v>C_dm=I_noise/(2πf_cV_ripple)</x:v>
      </x:c>
      <x:c r="J160" s="63" t="n">
        <x:f>1</x:f>
        <x:v>1</x:v>
      </x:c>
      <x:c r="K160" s="63" t="n">
        <x:f>K158*J160</x:f>
        <x:v>0.0000010029713148276472</x:v>
      </x:c>
      <x:c r="L160" s="62" t="str">
        <x:f>IF(K160&gt;0,"増加→総重量増",IF(K160&lt;0,"増加→総重量減","中立"))</x:f>
        <x:v>増加→総重量増</x:v>
      </x:c>
      <x:c r="M160" s="62" t="str">
        <x:v>設計対象</x:v>
      </x:c>
      <x:c r="N160" s="62" t="str"/>
      <x:c r="O160" s="229" t="n">
        <x:f>--(COUNTIF($B$5:$B$560,A160)=0)</x:f>
        <x:v>0</x:v>
      </x:c>
      <x:c r="P160" s="70" t="str">
        <x:f>IF(LEFT(E160,7)&lt;&gt;"Enable_","",IFERROR(IF(OR(ISNUMBER(SEARCH("=Enable",INDEX($I$5:$I$560,MATCH(B160,$A$5:$A$560,0)))),ISNUMBER(SEARCH("×Enable",INDEX($I$5:$I$560,MATCH(B160,$A$5:$A$560,0))))),1,""),""))</x:f>
      </x:c>
      <x:c r="Q160" t="n">
        <x:f>IF(E160="","",--(XMATCH(E160,$E$5:E160,0)=ROWS($E$5:E160)))</x:f>
        <x:v>1</x:v>
      </x:c>
      <x:c r="R160" t="n">
        <x:f>IF(Q160=1,SUM($Q$5:Q160),"")</x:f>
        <x:v>128</x:v>
      </x:c>
    </x:row>
    <x:row r="161">
      <x:c r="A161" s="62" t="str">
        <x:v>T157</x:v>
      </x:c>
      <x:c r="B161" s="62" t="str">
        <x:v>T156</x:v>
      </x:c>
      <x:c r="C161" s="62" t="n">
        <x:v>4</x:v>
      </x:c>
      <x:c r="D161" s="62" t="str">
        <x:v>ノイズ電流</x:v>
      </x:c>
      <x:c r="E161" s="62" t="str">
        <x:v>I_noise</x:v>
      </x:c>
      <x:c r="F161" s="63" t="n">
        <x:f>'01_入力仕様'!D79*F163</x:f>
        <x:v>12.530662380675547</x:v>
      </x:c>
      <x:c r="G161" s="63" t="str">
        <x:v>A</x:v>
      </x:c>
      <x:c r="H161" s="63" t="n">
        <x:f>ABS(K161)*$F$5</x:f>
        <x:v>0.000008974425861450771</x:v>
      </x:c>
      <x:c r="I161" s="62" t="str">
        <x:v>I_noise=r_noise×I_phase</x:v>
      </x:c>
      <x:c r="J161" s="63" t="n">
        <x:f>1</x:f>
        <x:v>1</x:v>
      </x:c>
      <x:c r="K161" s="63" t="n">
        <x:f>K160*J161</x:f>
        <x:v>0.0000010029713148276472</x:v>
      </x:c>
      <x:c r="L161" s="62" t="str">
        <x:f>IF(K161&gt;0,"増加→総重量増",IF(K161&lt;0,"増加→総重量減","中立"))</x:f>
        <x:v>増加→総重量増</x:v>
      </x:c>
      <x:c r="M161" s="62" t="str">
        <x:v>設計対象</x:v>
      </x:c>
      <x:c r="N161" s="62" t="str"/>
      <x:c r="O161" s="229" t="n">
        <x:f>--(COUNTIF($B$5:$B$560,A161)=0)</x:f>
        <x:v>0</x:v>
      </x:c>
      <x:c r="P161" s="70" t="str">
        <x:f>IF(LEFT(E161,7)&lt;&gt;"Enable_","",IFERROR(IF(OR(ISNUMBER(SEARCH("=Enable",INDEX($I$5:$I$560,MATCH(B161,$A$5:$A$560,0)))),ISNUMBER(SEARCH("×Enable",INDEX($I$5:$I$560,MATCH(B161,$A$5:$A$560,0))))),1,""),""))</x:f>
      </x:c>
      <x:c r="Q161" t="n">
        <x:f>IF(E161="","",--(XMATCH(E161,$E$5:E161,0)=ROWS($E$5:E161)))</x:f>
        <x:v>1</x:v>
      </x:c>
      <x:c r="R161" t="n">
        <x:f>IF(Q161=1,SUM($Q$5:Q161),"")</x:f>
        <x:v>129</x:v>
      </x:c>
    </x:row>
    <x:row r="162">
      <x:c r="A162" s="58" t="str">
        <x:v>T158</x:v>
      </x:c>
      <x:c r="B162" s="58" t="str">
        <x:v>T157</x:v>
      </x:c>
      <x:c r="C162" s="58" t="n">
        <x:v>5</x:v>
      </x:c>
      <x:c r="D162" s="58" t="str">
        <x:v>ノイズ電流係数</x:v>
      </x:c>
      <x:c r="E162" s="58" t="str">
        <x:v>r_noise</x:v>
      </x:c>
      <x:c r="F162" s="59" t="n">
        <x:f>'01_入力仕様'!D79</x:f>
        <x:v>0.08</x:v>
      </x:c>
      <x:c r="G162" s="59" t="str">
        <x:v>-</x:v>
      </x:c>
      <x:c r="H162" s="59" t="n">
        <x:f>ABS(K162)*$F$5</x:f>
        <x:v>0.000008974425861450771</x:v>
      </x:c>
      <x:c r="I162" s="58" t="str">
        <x:v>入力仕様</x:v>
      </x:c>
      <x:c r="J162" s="59" t="n">
        <x:f>1</x:f>
        <x:v>1</x:v>
      </x:c>
      <x:c r="K162" s="59" t="n">
        <x:f>K161*J162</x:f>
        <x:v>0.0000010029713148276472</x:v>
      </x:c>
      <x:c r="L162" s="58" t="str">
        <x:f>IF(K162&gt;0,"増加→総重量増",IF(K162&lt;0,"増加→総重量減","中立"))</x:f>
        <x:v>増加→総重量増</x:v>
      </x:c>
      <x:c r="M162" s="58" t="str">
        <x:v>設計対象</x:v>
      </x:c>
      <x:c r="N162" s="58" t="str"/>
      <x:c r="O162" s="229" t="n">
        <x:f>--(COUNTIF($B$5:$B$560,A162)=0)</x:f>
        <x:v>1</x:v>
      </x:c>
      <x:c r="P162" s="70" t="str">
        <x:f>IF(LEFT(E162,7)&lt;&gt;"Enable_","",IFERROR(IF(OR(ISNUMBER(SEARCH("=Enable",INDEX($I$5:$I$560,MATCH(B162,$A$5:$A$560,0)))),ISNUMBER(SEARCH("×Enable",INDEX($I$5:$I$560,MATCH(B162,$A$5:$A$560,0))))),1,""),""))</x:f>
      </x:c>
      <x:c r="Q162" t="n">
        <x:f>IF(E162="","",--(XMATCH(E162,$E$5:E162,0)=ROWS($E$5:E162)))</x:f>
        <x:v>1</x:v>
      </x:c>
      <x:c r="R162" t="n">
        <x:f>IF(Q162=1,SUM($Q$5:Q162),"")</x:f>
        <x:v>130</x:v>
      </x:c>
    </x:row>
    <x:row r="163">
      <x:c r="A163" s="62" t="str">
        <x:v>T159</x:v>
      </x:c>
      <x:c r="B163" s="62" t="str">
        <x:v>T157</x:v>
      </x:c>
      <x:c r="C163" s="62" t="n">
        <x:v>5</x:v>
      </x:c>
      <x:c r="D163" s="62" t="str">
        <x:v>相電流</x:v>
      </x:c>
      <x:c r="E163" s="62" t="str">
        <x:v>I_phase</x:v>
      </x:c>
      <x:c r="F163" s="63" t="n">
        <x:f>'01_入力仕様'!D5*1000/(SQRT(3)*'01_入力仕様'!D7*'01_入力仕様'!D8*'01_入力仕様'!D9)</x:f>
        <x:v>156.63327975844433</x:v>
      </x:c>
      <x:c r="G163" s="63" t="str">
        <x:v>A</x:v>
      </x:c>
      <x:c r="H163" s="63" t="n">
        <x:f>ABS(K163)*$F$5</x:f>
        <x:v>0.000008974425861450771</x:v>
      </x:c>
      <x:c r="I163" s="62" t="str">
        <x:v>I_phase=P_out_const/(√3V_llPFeta)</x:v>
      </x:c>
      <x:c r="J163" s="63" t="n">
        <x:f>1</x:f>
        <x:v>1</x:v>
      </x:c>
      <x:c r="K163" s="63" t="n">
        <x:f>K161*J163</x:f>
        <x:v>0.0000010029713148276472</x:v>
      </x:c>
      <x:c r="L163" s="62" t="str">
        <x:f>IF(K163&gt;0,"増加→総重量増",IF(K163&lt;0,"増加→総重量減","中立"))</x:f>
        <x:v>増加→総重量増</x:v>
      </x:c>
      <x:c r="M163" s="62" t="str">
        <x:v>設計対象</x:v>
      </x:c>
      <x:c r="N163" s="62" t="str">
        <x:v>P_out固定要求</x:v>
      </x:c>
      <x:c r="O163" s="229" t="n">
        <x:f>--(COUNTIF($B$5:$B$560,A163)=0)</x:f>
        <x:v>0</x:v>
      </x:c>
      <x:c r="P163" s="70" t="str">
        <x:f>IF(LEFT(E163,7)&lt;&gt;"Enable_","",IFERROR(IF(OR(ISNUMBER(SEARCH("=Enable",INDEX($I$5:$I$560,MATCH(B163,$A$5:$A$560,0)))),ISNUMBER(SEARCH("×Enable",INDEX($I$5:$I$560,MATCH(B163,$A$5:$A$560,0))))),1,""),""))</x:f>
      </x:c>
      <x:c r="Q163" t="n">
        <x:f>IF(E163="","",--(XMATCH(E163,$E$5:E163,0)=ROWS($E$5:E163)))</x:f>
        <x:v>0</x:v>
      </x:c>
      <x:c r="R163" t="str">
        <x:f>IF(Q163=1,SUM($Q$5:Q163),"")</x:f>
      </x:c>
    </x:row>
    <x:row r="164">
      <x:c r="A164" s="58" t="str">
        <x:v>T160</x:v>
      </x:c>
      <x:c r="B164" s="58" t="str">
        <x:v>T159</x:v>
      </x:c>
      <x:c r="C164" s="58" t="n">
        <x:v>6</x:v>
      </x:c>
      <x:c r="D164" s="58" t="str">
        <x:v>線間電圧</x:v>
      </x:c>
      <x:c r="E164" s="58" t="str">
        <x:v>V_ll</x:v>
      </x:c>
      <x:c r="F164" s="59" t="n">
        <x:f>'01_入力仕様'!D7</x:f>
        <x:v>400</x:v>
      </x:c>
      <x:c r="G164" s="59" t="str">
        <x:v>V</x:v>
      </x:c>
      <x:c r="H164" s="59" t="n">
        <x:f>ABS(K164)*$F$5</x:f>
        <x:v>0.000008974425861450771</x:v>
      </x:c>
      <x:c r="I164" s="58" t="str">
        <x:v>入力仕様</x:v>
      </x:c>
      <x:c r="J164" s="59" t="n">
        <x:f>-1</x:f>
        <x:v>-1</x:v>
      </x:c>
      <x:c r="K164" s="59" t="n">
        <x:f>K163*J164</x:f>
        <x:v>-0.0000010029713148276472</x:v>
      </x:c>
      <x:c r="L164" s="58" t="str">
        <x:f>IF(K164&gt;0,"増加→総重量増",IF(K164&lt;0,"増加→総重量減","中立"))</x:f>
        <x:v>増加→総重量減</x:v>
      </x:c>
      <x:c r="M164" s="58" t="str">
        <x:v>設計対象</x:v>
      </x:c>
      <x:c r="N164" s="58" t="str"/>
      <x:c r="O164" s="229" t="n">
        <x:f>--(COUNTIF($B$5:$B$560,A164)=0)</x:f>
        <x:v>1</x:v>
      </x:c>
      <x:c r="P164" s="70" t="str">
        <x:f>IF(LEFT(E164,7)&lt;&gt;"Enable_","",IFERROR(IF(OR(ISNUMBER(SEARCH("=Enable",INDEX($I$5:$I$560,MATCH(B164,$A$5:$A$560,0)))),ISNUMBER(SEARCH("×Enable",INDEX($I$5:$I$560,MATCH(B164,$A$5:$A$560,0))))),1,""),""))</x:f>
      </x:c>
      <x:c r="Q164" t="n">
        <x:f>IF(E164="","",--(XMATCH(E164,$E$5:E164,0)=ROWS($E$5:E164)))</x:f>
        <x:v>0</x:v>
      </x:c>
      <x:c r="R164" t="str">
        <x:f>IF(Q164=1,SUM($Q$5:Q164),"")</x:f>
      </x:c>
    </x:row>
    <x:row r="165">
      <x:c r="A165" s="58" t="str">
        <x:v>T161</x:v>
      </x:c>
      <x:c r="B165" s="58" t="str">
        <x:v>T159</x:v>
      </x:c>
      <x:c r="C165" s="58" t="n">
        <x:v>6</x:v>
      </x:c>
      <x:c r="D165" s="58" t="str">
        <x:v>力率</x:v>
      </x:c>
      <x:c r="E165" s="58" t="str">
        <x:v>PF</x:v>
      </x:c>
      <x:c r="F165" s="59" t="n">
        <x:f>'01_入力仕様'!D8</x:f>
        <x:v>0.95</x:v>
      </x:c>
      <x:c r="G165" s="59" t="str">
        <x:v>-</x:v>
      </x:c>
      <x:c r="H165" s="59" t="n">
        <x:f>ABS(K165)*$F$5</x:f>
        <x:v>0.000008974425861450771</x:v>
      </x:c>
      <x:c r="I165" s="58" t="str">
        <x:v>入力仕様</x:v>
      </x:c>
      <x:c r="J165" s="59" t="n">
        <x:f>-1</x:f>
        <x:v>-1</x:v>
      </x:c>
      <x:c r="K165" s="59" t="n">
        <x:f>K163*J165</x:f>
        <x:v>-0.0000010029713148276472</x:v>
      </x:c>
      <x:c r="L165" s="58" t="str">
        <x:f>IF(K165&gt;0,"増加→総重量増",IF(K165&lt;0,"増加→総重量減","中立"))</x:f>
        <x:v>増加→総重量減</x:v>
      </x:c>
      <x:c r="M165" s="58" t="str">
        <x:v>設計対象</x:v>
      </x:c>
      <x:c r="N165" s="58" t="str"/>
      <x:c r="O165" s="229" t="n">
        <x:f>--(COUNTIF($B$5:$B$560,A165)=0)</x:f>
        <x:v>1</x:v>
      </x:c>
      <x:c r="P165" s="70" t="str">
        <x:f>IF(LEFT(E165,7)&lt;&gt;"Enable_","",IFERROR(IF(OR(ISNUMBER(SEARCH("=Enable",INDEX($I$5:$I$560,MATCH(B165,$A$5:$A$560,0)))),ISNUMBER(SEARCH("×Enable",INDEX($I$5:$I$560,MATCH(B165,$A$5:$A$560,0))))),1,""),""))</x:f>
      </x:c>
      <x:c r="Q165" t="n">
        <x:f>IF(E165="","",--(XMATCH(E165,$E$5:E165,0)=ROWS($E$5:E165)))</x:f>
        <x:v>0</x:v>
      </x:c>
      <x:c r="R165" t="str">
        <x:f>IF(Q165=1,SUM($Q$5:Q165),"")</x:f>
      </x:c>
    </x:row>
    <x:row r="166">
      <x:c r="A166" s="58" t="str">
        <x:v>T162</x:v>
      </x:c>
      <x:c r="B166" s="58" t="str">
        <x:v>T159</x:v>
      </x:c>
      <x:c r="C166" s="58" t="n">
        <x:v>6</x:v>
      </x:c>
      <x:c r="D166" s="58" t="str">
        <x:v>効率</x:v>
      </x:c>
      <x:c r="E166" s="58" t="str">
        <x:v>eta</x:v>
      </x:c>
      <x:c r="F166" s="59" t="n">
        <x:f>'01_入力仕様'!D9</x:f>
        <x:v>0.97</x:v>
      </x:c>
      <x:c r="G166" s="59" t="str">
        <x:v>-</x:v>
      </x:c>
      <x:c r="H166" s="59" t="n">
        <x:f>ABS(K166)*$F$5</x:f>
        <x:v>0.000008974425861450771</x:v>
      </x:c>
      <x:c r="I166" s="58" t="str">
        <x:v>入力仕様</x:v>
      </x:c>
      <x:c r="J166" s="59" t="n">
        <x:f>-1</x:f>
        <x:v>-1</x:v>
      </x:c>
      <x:c r="K166" s="59" t="n">
        <x:f>K163*J166</x:f>
        <x:v>-0.0000010029713148276472</x:v>
      </x:c>
      <x:c r="L166" s="58" t="str">
        <x:f>IF(K166&gt;0,"増加→総重量増",IF(K166&lt;0,"増加→総重量減","中立"))</x:f>
        <x:v>増加→総重量減</x:v>
      </x:c>
      <x:c r="M166" s="58" t="str">
        <x:v>設計対象</x:v>
      </x:c>
      <x:c r="N166" s="58" t="str"/>
      <x:c r="O166" s="229" t="n">
        <x:f>--(COUNTIF($B$5:$B$560,A166)=0)</x:f>
        <x:v>1</x:v>
      </x:c>
      <x:c r="P166" s="70" t="str">
        <x:f>IF(LEFT(E166,7)&lt;&gt;"Enable_","",IFERROR(IF(OR(ISNUMBER(SEARCH("=Enable",INDEX($I$5:$I$560,MATCH(B166,$A$5:$A$560,0)))),ISNUMBER(SEARCH("×Enable",INDEX($I$5:$I$560,MATCH(B166,$A$5:$A$560,0))))),1,""),""))</x:f>
      </x:c>
      <x:c r="Q166" t="n">
        <x:f>IF(E166="","",--(XMATCH(E166,$E$5:E166,0)=ROWS($E$5:E166)))</x:f>
        <x:v>0</x:v>
      </x:c>
      <x:c r="R166" t="str">
        <x:f>IF(Q166=1,SUM($Q$5:Q166),"")</x:f>
      </x:c>
    </x:row>
    <x:row r="167">
      <x:c r="A167" s="62" t="str">
        <x:v>T163</x:v>
      </x:c>
      <x:c r="B167" s="62" t="str">
        <x:v>T156</x:v>
      </x:c>
      <x:c r="C167" s="62" t="n">
        <x:v>4</x:v>
      </x:c>
      <x:c r="D167" s="62" t="str">
        <x:v>遮断周波数</x:v>
      </x:c>
      <x:c r="E167" s="62" t="str">
        <x:v>f_c</x:v>
      </x:c>
      <x:c r="F167" s="63" t="n">
        <x:f>'01_入力仕様'!D77*'01_入力仕様'!D10</x:f>
        <x:v>1600</x:v>
      </x:c>
      <x:c r="G167" s="63" t="str">
        <x:v>Hz</x:v>
      </x:c>
      <x:c r="H167" s="63" t="n">
        <x:f>ABS(K167)*$F$5</x:f>
        <x:v>0.000008974425861450771</x:v>
      </x:c>
      <x:c r="I167" s="62" t="str">
        <x:v>f_c=k_fc×f_sw</x:v>
      </x:c>
      <x:c r="J167" s="63" t="n">
        <x:f>-1</x:f>
        <x:v>-1</x:v>
      </x:c>
      <x:c r="K167" s="63" t="n">
        <x:f>K160*J167</x:f>
        <x:v>-0.0000010029713148276472</x:v>
      </x:c>
      <x:c r="L167" s="62" t="str">
        <x:f>IF(K167&gt;0,"増加→総重量増",IF(K167&lt;0,"増加→総重量減","中立"))</x:f>
        <x:v>増加→総重量減</x:v>
      </x:c>
      <x:c r="M167" s="62" t="str">
        <x:v>設計対象</x:v>
      </x:c>
      <x:c r="N167" s="62" t="str"/>
      <x:c r="O167" s="229" t="n">
        <x:f>--(COUNTIF($B$5:$B$560,A167)=0)</x:f>
        <x:v>0</x:v>
      </x:c>
      <x:c r="P167" s="70" t="str">
        <x:f>IF(LEFT(E167,7)&lt;&gt;"Enable_","",IFERROR(IF(OR(ISNUMBER(SEARCH("=Enable",INDEX($I$5:$I$560,MATCH(B167,$A$5:$A$560,0)))),ISNUMBER(SEARCH("×Enable",INDEX($I$5:$I$560,MATCH(B167,$A$5:$A$560,0))))),1,""),""))</x:f>
      </x:c>
      <x:c r="Q167" t="n">
        <x:f>IF(E167="","",--(XMATCH(E167,$E$5:E167,0)=ROWS($E$5:E167)))</x:f>
        <x:v>0</x:v>
      </x:c>
      <x:c r="R167" t="str">
        <x:f>IF(Q167=1,SUM($Q$5:Q167),"")</x:f>
      </x:c>
    </x:row>
    <x:row r="168">
      <x:c r="A168" s="58" t="str">
        <x:v>T164</x:v>
      </x:c>
      <x:c r="B168" s="58" t="str">
        <x:v>T163</x:v>
      </x:c>
      <x:c r="C168" s="58" t="n">
        <x:v>5</x:v>
      </x:c>
      <x:c r="D168" s="58" t="str">
        <x:v>遮断周波数係数</x:v>
      </x:c>
      <x:c r="E168" s="58" t="str">
        <x:v>k_fc</x:v>
      </x:c>
      <x:c r="F168" s="59" t="n">
        <x:f>'01_入力仕様'!D77</x:f>
        <x:v>0.1</x:v>
      </x:c>
      <x:c r="G168" s="59" t="str">
        <x:v>-</x:v>
      </x:c>
      <x:c r="H168" s="59" t="n">
        <x:f>ABS(K168)*$F$5</x:f>
        <x:v>0.000008974425861450771</x:v>
      </x:c>
      <x:c r="I168" s="58" t="str">
        <x:v>入力仕様</x:v>
      </x:c>
      <x:c r="J168" s="59" t="n">
        <x:f>1</x:f>
        <x:v>1</x:v>
      </x:c>
      <x:c r="K168" s="59" t="n">
        <x:f>K167*J168</x:f>
        <x:v>-0.0000010029713148276472</x:v>
      </x:c>
      <x:c r="L168" s="58" t="str">
        <x:f>IF(K168&gt;0,"増加→総重量増",IF(K168&lt;0,"増加→総重量減","中立"))</x:f>
        <x:v>増加→総重量減</x:v>
      </x:c>
      <x:c r="M168" s="58" t="str">
        <x:v>設計対象</x:v>
      </x:c>
      <x:c r="N168" s="58" t="str"/>
      <x:c r="O168" s="229" t="n">
        <x:f>--(COUNTIF($B$5:$B$560,A168)=0)</x:f>
        <x:v>1</x:v>
      </x:c>
      <x:c r="P168" s="70" t="str">
        <x:f>IF(LEFT(E168,7)&lt;&gt;"Enable_","",IFERROR(IF(OR(ISNUMBER(SEARCH("=Enable",INDEX($I$5:$I$560,MATCH(B168,$A$5:$A$560,0)))),ISNUMBER(SEARCH("×Enable",INDEX($I$5:$I$560,MATCH(B168,$A$5:$A$560,0))))),1,""),""))</x:f>
      </x:c>
      <x:c r="Q168" t="n">
        <x:f>IF(E168="","",--(XMATCH(E168,$E$5:E168,0)=ROWS($E$5:E168)))</x:f>
        <x:v>0</x:v>
      </x:c>
      <x:c r="R168" t="str">
        <x:f>IF(Q168=1,SUM($Q$5:Q168),"")</x:f>
      </x:c>
    </x:row>
    <x:row r="169">
      <x:c r="A169" s="58" t="str">
        <x:v>T165</x:v>
      </x:c>
      <x:c r="B169" s="58" t="str">
        <x:v>T163</x:v>
      </x:c>
      <x:c r="C169" s="58" t="n">
        <x:v>5</x:v>
      </x:c>
      <x:c r="D169" s="58" t="str">
        <x:v>スイッチング周波数</x:v>
      </x:c>
      <x:c r="E169" s="58" t="str">
        <x:v>f_sw</x:v>
      </x:c>
      <x:c r="F169" s="59" t="n">
        <x:f>'01_入力仕様'!D10</x:f>
        <x:v>16000</x:v>
      </x:c>
      <x:c r="G169" s="59" t="str">
        <x:v>Hz</x:v>
      </x:c>
      <x:c r="H169" s="59" t="n">
        <x:f>ABS(K169)*$F$5</x:f>
        <x:v>0.000008974425861450771</x:v>
      </x:c>
      <x:c r="I169" s="58" t="str">
        <x:v>入力仕様</x:v>
      </x:c>
      <x:c r="J169" s="59" t="n">
        <x:f>1</x:f>
        <x:v>1</x:v>
      </x:c>
      <x:c r="K169" s="59" t="n">
        <x:f>K167*J169</x:f>
        <x:v>-0.0000010029713148276472</x:v>
      </x:c>
      <x:c r="L169" s="58" t="str">
        <x:f>IF(K169&gt;0,"増加→総重量増",IF(K169&lt;0,"増加→総重量減","中立"))</x:f>
        <x:v>増加→総重量減</x:v>
      </x:c>
      <x:c r="M169" s="58" t="str">
        <x:v>設計対象</x:v>
      </x:c>
      <x:c r="N169" s="58" t="str">
        <x:v>fsw↑→C重量↓</x:v>
      </x:c>
      <x:c r="O169" s="229" t="n">
        <x:f>--(COUNTIF($B$5:$B$560,A169)=0)</x:f>
        <x:v>1</x:v>
      </x:c>
      <x:c r="P169" s="70" t="str">
        <x:f>IF(LEFT(E169,7)&lt;&gt;"Enable_","",IFERROR(IF(OR(ISNUMBER(SEARCH("=Enable",INDEX($I$5:$I$560,MATCH(B169,$A$5:$A$560,0)))),ISNUMBER(SEARCH("×Enable",INDEX($I$5:$I$560,MATCH(B169,$A$5:$A$560,0))))),1,""),""))</x:f>
      </x:c>
      <x:c r="Q169" t="n">
        <x:f>IF(E169="","",--(XMATCH(E169,$E$5:E169,0)=ROWS($E$5:E169)))</x:f>
        <x:v>0</x:v>
      </x:c>
      <x:c r="R169" t="str">
        <x:f>IF(Q169=1,SUM($Q$5:Q169),"")</x:f>
      </x:c>
    </x:row>
    <x:row r="170">
      <x:c r="A170" s="62" t="str">
        <x:v>T166</x:v>
      </x:c>
      <x:c r="B170" s="62" t="str">
        <x:v>T156</x:v>
      </x:c>
      <x:c r="C170" s="62" t="n">
        <x:v>4</x:v>
      </x:c>
      <x:c r="D170" s="62" t="str">
        <x:v>許容電圧リップル</x:v>
      </x:c>
      <x:c r="E170" s="62" t="str">
        <x:v>V_ripple</x:v>
      </x:c>
      <x:c r="F170" s="63" t="n">
        <x:f>'01_入力仕様'!D80*'01_入力仕様'!D6</x:f>
        <x:v>16</x:v>
      </x:c>
      <x:c r="G170" s="63" t="str">
        <x:v>V</x:v>
      </x:c>
      <x:c r="H170" s="63" t="n">
        <x:f>ABS(K170)*$F$5</x:f>
        <x:v>0.000008974425861450771</x:v>
      </x:c>
      <x:c r="I170" s="62" t="str">
        <x:v>V_ripple=r_Vemi×V_dc</x:v>
      </x:c>
      <x:c r="J170" s="63" t="n">
        <x:f>-1</x:f>
        <x:v>-1</x:v>
      </x:c>
      <x:c r="K170" s="63" t="n">
        <x:f>K160*J170</x:f>
        <x:v>-0.0000010029713148276472</x:v>
      </x:c>
      <x:c r="L170" s="62" t="str">
        <x:f>IF(K170&gt;0,"増加→総重量増",IF(K170&lt;0,"増加→総重量減","中立"))</x:f>
        <x:v>増加→総重量減</x:v>
      </x:c>
      <x:c r="M170" s="62" t="str">
        <x:v>設計対象</x:v>
      </x:c>
      <x:c r="N170" s="62" t="str"/>
      <x:c r="O170" s="229" t="n">
        <x:f>--(COUNTIF($B$5:$B$560,A170)=0)</x:f>
        <x:v>0</x:v>
      </x:c>
      <x:c r="P170" s="70" t="str">
        <x:f>IF(LEFT(E170,7)&lt;&gt;"Enable_","",IFERROR(IF(OR(ISNUMBER(SEARCH("=Enable",INDEX($I$5:$I$560,MATCH(B170,$A$5:$A$560,0)))),ISNUMBER(SEARCH("×Enable",INDEX($I$5:$I$560,MATCH(B170,$A$5:$A$560,0))))),1,""),""))</x:f>
      </x:c>
      <x:c r="Q170" t="n">
        <x:f>IF(E170="","",--(XMATCH(E170,$E$5:E170,0)=ROWS($E$5:E170)))</x:f>
        <x:v>1</x:v>
      </x:c>
      <x:c r="R170" t="n">
        <x:f>IF(Q170=1,SUM($Q$5:Q170),"")</x:f>
        <x:v>131</x:v>
      </x:c>
    </x:row>
    <x:row r="171">
      <x:c r="A171" s="58" t="str">
        <x:v>T167</x:v>
      </x:c>
      <x:c r="B171" s="58" t="str">
        <x:v>T166</x:v>
      </x:c>
      <x:c r="C171" s="58" t="n">
        <x:v>5</x:v>
      </x:c>
      <x:c r="D171" s="58" t="str">
        <x:v>許容電圧リップル率</x:v>
      </x:c>
      <x:c r="E171" s="58" t="str">
        <x:v>r_Vemi</x:v>
      </x:c>
      <x:c r="F171" s="59" t="n">
        <x:f>'01_入力仕様'!D80</x:f>
        <x:v>0.02</x:v>
      </x:c>
      <x:c r="G171" s="59" t="str">
        <x:v>-</x:v>
      </x:c>
      <x:c r="H171" s="59" t="n">
        <x:f>ABS(K171)*$F$5</x:f>
        <x:v>0.000008974425861450771</x:v>
      </x:c>
      <x:c r="I171" s="58" t="str">
        <x:v>入力仕様</x:v>
      </x:c>
      <x:c r="J171" s="59" t="n">
        <x:f>1</x:f>
        <x:v>1</x:v>
      </x:c>
      <x:c r="K171" s="59" t="n">
        <x:f>K170*J171</x:f>
        <x:v>-0.0000010029713148276472</x:v>
      </x:c>
      <x:c r="L171" s="58" t="str">
        <x:f>IF(K171&gt;0,"増加→総重量増",IF(K171&lt;0,"増加→総重量減","中立"))</x:f>
        <x:v>増加→総重量減</x:v>
      </x:c>
      <x:c r="M171" s="58" t="str">
        <x:v>設計対象</x:v>
      </x:c>
      <x:c r="N171" s="58" t="str"/>
      <x:c r="O171" s="229" t="n">
        <x:f>--(COUNTIF($B$5:$B$560,A171)=0)</x:f>
        <x:v>1</x:v>
      </x:c>
      <x:c r="P171" s="70" t="str">
        <x:f>IF(LEFT(E171,7)&lt;&gt;"Enable_","",IFERROR(IF(OR(ISNUMBER(SEARCH("=Enable",INDEX($I$5:$I$560,MATCH(B171,$A$5:$A$560,0)))),ISNUMBER(SEARCH("×Enable",INDEX($I$5:$I$560,MATCH(B171,$A$5:$A$560,0))))),1,""),""))</x:f>
      </x:c>
      <x:c r="Q171" t="n">
        <x:f>IF(E171="","",--(XMATCH(E171,$E$5:E171,0)=ROWS($E$5:E171)))</x:f>
        <x:v>1</x:v>
      </x:c>
      <x:c r="R171" t="n">
        <x:f>IF(Q171=1,SUM($Q$5:Q171),"")</x:f>
        <x:v>132</x:v>
      </x:c>
    </x:row>
    <x:row r="172">
      <x:c r="A172" s="58" t="str">
        <x:v>T168</x:v>
      </x:c>
      <x:c r="B172" s="58" t="str">
        <x:v>T166</x:v>
      </x:c>
      <x:c r="C172" s="58" t="n">
        <x:v>5</x:v>
      </x:c>
      <x:c r="D172" s="58" t="str">
        <x:v>DCバス電圧</x:v>
      </x:c>
      <x:c r="E172" s="58" t="str">
        <x:v>V_dc</x:v>
      </x:c>
      <x:c r="F172" s="59" t="n">
        <x:f>'01_入力仕様'!D6</x:f>
        <x:v>800</x:v>
      </x:c>
      <x:c r="G172" s="59" t="str">
        <x:v>V</x:v>
      </x:c>
      <x:c r="H172" s="59" t="n">
        <x:f>ABS(K172)*$F$5</x:f>
        <x:v>0.000008974425861450771</x:v>
      </x:c>
      <x:c r="I172" s="58" t="str">
        <x:v>入力仕様</x:v>
      </x:c>
      <x:c r="J172" s="59" t="n">
        <x:f>1</x:f>
        <x:v>1</x:v>
      </x:c>
      <x:c r="K172" s="59" t="n">
        <x:f>K170*J172</x:f>
        <x:v>-0.0000010029713148276472</x:v>
      </x:c>
      <x:c r="L172" s="58" t="str">
        <x:f>IF(K172&gt;0,"増加→総重量増",IF(K172&lt;0,"増加→総重量減","中立"))</x:f>
        <x:v>増加→総重量減</x:v>
      </x:c>
      <x:c r="M172" s="58" t="str">
        <x:v>設計対象</x:v>
      </x:c>
      <x:c r="N172" s="58" t="str"/>
      <x:c r="O172" s="229" t="n">
        <x:f>--(COUNTIF($B$5:$B$560,A172)=0)</x:f>
        <x:v>1</x:v>
      </x:c>
      <x:c r="P172" s="70" t="str">
        <x:f>IF(LEFT(E172,7)&lt;&gt;"Enable_","",IFERROR(IF(OR(ISNUMBER(SEARCH("=Enable",INDEX($I$5:$I$560,MATCH(B172,$A$5:$A$560,0)))),ISNUMBER(SEARCH("×Enable",INDEX($I$5:$I$560,MATCH(B172,$A$5:$A$560,0))))),1,""),""))</x:f>
      </x:c>
      <x:c r="Q172" t="n">
        <x:f>IF(E172="","",--(XMATCH(E172,$E$5:E172,0)=ROWS($E$5:E172)))</x:f>
        <x:v>0</x:v>
      </x:c>
      <x:c r="R172" t="str">
        <x:f>IF(Q172=1,SUM($Q$5:Q172),"")</x:f>
      </x:c>
    </x:row>
    <x:row r="173">
      <x:c r="A173" s="58" t="str">
        <x:v>T169</x:v>
      </x:c>
      <x:c r="B173" s="58" t="str">
        <x:v>T154</x:v>
      </x:c>
      <x:c r="C173" s="58" t="n">
        <x:v>3</x:v>
      </x:c>
      <x:c r="D173" s="58" t="str">
        <x:v>DCバス電圧</x:v>
      </x:c>
      <x:c r="E173" s="58" t="str">
        <x:v>V_dc</x:v>
      </x:c>
      <x:c r="F173" s="59" t="n">
        <x:f>'01_入力仕様'!D6</x:f>
        <x:v>800</x:v>
      </x:c>
      <x:c r="G173" s="59" t="str">
        <x:v>V</x:v>
      </x:c>
      <x:c r="H173" s="59" t="n">
        <x:f>ABS(K173)*$F$5</x:f>
        <x:v>0.000017948851722901542</x:v>
      </x:c>
      <x:c r="I173" s="58" t="str">
        <x:v>入力仕様</x:v>
      </x:c>
      <x:c r="J173" s="59" t="n">
        <x:f>2</x:f>
        <x:v>2</x:v>
      </x:c>
      <x:c r="K173" s="59" t="n">
        <x:f>K158*J173</x:f>
        <x:v>0.0000020059426296552944</x:v>
      </x:c>
      <x:c r="L173" s="58" t="str">
        <x:f>IF(K173&gt;0,"増加→総重量増",IF(K173&lt;0,"増加→総重量減","中立"))</x:f>
        <x:v>増加→総重量増</x:v>
      </x:c>
      <x:c r="M173" s="58" t="str">
        <x:v>設計対象</x:v>
      </x:c>
      <x:c r="N173" s="58" t="str">
        <x:v>V²重量増</x:v>
      </x:c>
      <x:c r="O173" s="229" t="n">
        <x:f>--(COUNTIF($B$5:$B$560,A173)=0)</x:f>
        <x:v>1</x:v>
      </x:c>
      <x:c r="P173" s="70" t="str">
        <x:f>IF(LEFT(E173,7)&lt;&gt;"Enable_","",IFERROR(IF(OR(ISNUMBER(SEARCH("=Enable",INDEX($I$5:$I$560,MATCH(B173,$A$5:$A$560,0)))),ISNUMBER(SEARCH("×Enable",INDEX($I$5:$I$560,MATCH(B173,$A$5:$A$560,0))))),1,""),""))</x:f>
      </x:c>
      <x:c r="Q173" t="n">
        <x:f>IF(E173="","",--(XMATCH(E173,$E$5:E173,0)=ROWS($E$5:E173)))</x:f>
        <x:v>0</x:v>
      </x:c>
      <x:c r="R173" t="str">
        <x:f>IF(Q173=1,SUM($Q$5:Q173),"")</x:f>
      </x:c>
    </x:row>
    <x:row r="174">
      <x:c r="A174" s="54" t="str">
        <x:v>T170</x:v>
      </x:c>
      <x:c r="B174" s="54" t="str">
        <x:v>T001</x:v>
      </x:c>
      <x:c r="C174" s="54" t="n">
        <x:v>1</x:v>
      </x:c>
      <x:c r="D174" s="54" t="str">
        <x:v>制御・ゲート回路重量</x:v>
      </x:c>
      <x:c r="E174" s="54" t="str">
        <x:v>m_ctrl</x:v>
      </x:c>
      <x:c r="F174" s="55" t="n">
        <x:f>F270+F275+'01_入力仕様'!D133</x:f>
        <x:v>0.4192</x:v>
      </x:c>
      <x:c r="G174" s="55" t="str">
        <x:v>kg</x:v>
      </x:c>
      <x:c r="H174" s="55" t="n">
        <x:f>ABS(K174)*$F$5</x:f>
        <x:v>0.4192</x:v>
      </x:c>
      <x:c r="I174" s="54" t="str">
        <x:v>M_ctrl=m_ctrl_pcb+m_gate+m_aux_supply</x:v>
      </x:c>
      <x:c r="J174" s="55" t="n">
        <x:f>F174/F5</x:f>
        <x:v>0.04684930063122524</x:v>
      </x:c>
      <x:c r="K174" s="55" t="n">
        <x:f>K5*J174</x:f>
        <x:v>0.04684930063122524</x:v>
      </x:c>
      <x:c r="L174" s="54" t="str">
        <x:f>IF(K174&gt;0,"増加→総重量増",IF(K174&lt;0,"増加→総重量減","中立"))</x:f>
        <x:v>増加→総重量増</x:v>
      </x:c>
      <x:c r="M174" s="54" t="str">
        <x:v>設計対象</x:v>
      </x:c>
      <x:c r="N174" s="54" t="str"/>
      <x:c r="O174" s="229" t="n">
        <x:f>--(COUNTIF($B$5:$B$560,A174)=0)</x:f>
        <x:v>0</x:v>
      </x:c>
      <x:c r="P174" s="70" t="str">
        <x:f>IF(LEFT(E174,7)&lt;&gt;"Enable_","",IFERROR(IF(OR(ISNUMBER(SEARCH("=Enable",INDEX($I$5:$I$560,MATCH(B174,$A$5:$A$560,0)))),ISNUMBER(SEARCH("×Enable",INDEX($I$5:$I$560,MATCH(B174,$A$5:$A$560,0))))),1,""),""))</x:f>
      </x:c>
      <x:c r="Q174" t="n">
        <x:f>IF(E174="","",--(XMATCH(E174,$E$5:E174,0)=ROWS($E$5:E174)))</x:f>
        <x:v>1</x:v>
      </x:c>
      <x:c r="R174" t="n">
        <x:f>IF(Q174=1,SUM($Q$5:Q174),"")</x:f>
        <x:v>133</x:v>
      </x:c>
    </x:row>
    <x:row r="175">
      <x:c r="A175" s="54" t="str">
        <x:v>T171</x:v>
      </x:c>
      <x:c r="B175" s="54" t="str">
        <x:v>T001</x:v>
      </x:c>
      <x:c r="C175" s="54" t="n">
        <x:v>1</x:v>
      </x:c>
      <x:c r="D175" s="54" t="str">
        <x:v>センサ重量</x:v>
      </x:c>
      <x:c r="E175" s="54" t="str">
        <x:v>m_sensor</x:v>
      </x:c>
      <x:c r="F175" s="55" t="n">
        <x:f>F279+F282+F285+F288+F490+F492</x:f>
        <x:v>0.31500000000000006</x:v>
      </x:c>
      <x:c r="G175" s="55" t="str">
        <x:v>kg</x:v>
      </x:c>
      <x:c r="H175" s="55" t="n">
        <x:f>ABS(K175)*$F$5</x:f>
        <x:v>0.31500000000000006</x:v>
      </x:c>
      <x:c r="I175" s="54" t="str">
        <x:v>M_sensor=m_isens+m_vsens+m_tsens+m_harness+M_CSA+M_sensor_option</x:v>
      </x:c>
      <x:c r="J175" s="55" t="n">
        <x:f>F175/F5</x:f>
        <x:v>0.035204030770123934</x:v>
      </x:c>
      <x:c r="K175" s="55" t="n">
        <x:f>K5*J175</x:f>
        <x:v>0.035204030770123934</x:v>
      </x:c>
      <x:c r="L175" s="54" t="str">
        <x:f>IF(K175&gt;0,"増加→総重量増",IF(K175&lt;0,"増加→総重量減","中立"))</x:f>
        <x:v>増加→総重量増</x:v>
      </x:c>
      <x:c r="M175" s="54" t="str">
        <x:v>設計対象</x:v>
      </x:c>
      <x:c r="N175" s="54" t="str"/>
      <x:c r="O175" s="229" t="n">
        <x:f>--(COUNTIF($B$5:$B$560,A175)=0)</x:f>
        <x:v>0</x:v>
      </x:c>
      <x:c r="P175" s="70" t="str">
        <x:f>IF(LEFT(E175,7)&lt;&gt;"Enable_","",IFERROR(IF(OR(ISNUMBER(SEARCH("=Enable",INDEX($I$5:$I$560,MATCH(B175,$A$5:$A$560,0)))),ISNUMBER(SEARCH("×Enable",INDEX($I$5:$I$560,MATCH(B175,$A$5:$A$560,0))))),1,""),""))</x:f>
      </x:c>
      <x:c r="Q175" t="n">
        <x:f>IF(E175="","",--(XMATCH(E175,$E$5:E175,0)=ROWS($E$5:E175)))</x:f>
        <x:v>1</x:v>
      </x:c>
      <x:c r="R175" t="n">
        <x:f>IF(Q175=1,SUM($Q$5:Q175),"")</x:f>
        <x:v>134</x:v>
      </x:c>
    </x:row>
    <x:row r="176">
      <x:c r="A176" s="54" t="str">
        <x:v>T172</x:v>
      </x:c>
      <x:c r="B176" s="54" t="str">
        <x:v>T001</x:v>
      </x:c>
      <x:c r="C176" s="54" t="n">
        <x:v>1</x:v>
      </x:c>
      <x:c r="D176" s="54" t="str">
        <x:v>端子・コネクタ重量</x:v>
      </x:c>
      <x:c r="E176" s="54" t="str">
        <x:v>m_conn</x:v>
      </x:c>
      <x:c r="F176" s="55" t="n">
        <x:f>F289+F292+'01_入力仕様'!D145+'01_入力仕様'!D146</x:f>
        <x:v>0.42000000000000004</x:v>
      </x:c>
      <x:c r="G176" s="55" t="str">
        <x:v>kg</x:v>
      </x:c>
      <x:c r="H176" s="55" t="n">
        <x:f>ABS(K176)*$F$5</x:f>
        <x:v>0.42000000000000004</x:v>
      </x:c>
      <x:c r="I176" s="54" t="str">
        <x:v>M_conn=m_conn_dc+m_conn_ac+m_conn_sig+m_conn_support</x:v>
      </x:c>
      <x:c r="J176" s="55" t="n">
        <x:f>F176/F5</x:f>
        <x:v>0.046938707693498574</x:v>
      </x:c>
      <x:c r="K176" s="55" t="n">
        <x:f>K5*J176</x:f>
        <x:v>0.046938707693498574</x:v>
      </x:c>
      <x:c r="L176" s="54" t="str">
        <x:f>IF(K176&gt;0,"増加→総重量増",IF(K176&lt;0,"増加→総重量減","中立"))</x:f>
        <x:v>増加→総重量増</x:v>
      </x:c>
      <x:c r="M176" s="54" t="str">
        <x:v>設計対象</x:v>
      </x:c>
      <x:c r="N176" s="54" t="str"/>
      <x:c r="O176" s="229" t="n">
        <x:f>--(COUNTIF($B$5:$B$560,A176)=0)</x:f>
        <x:v>0</x:v>
      </x:c>
      <x:c r="P176" s="70" t="str">
        <x:f>IF(LEFT(E176,7)&lt;&gt;"Enable_","",IFERROR(IF(OR(ISNUMBER(SEARCH("=Enable",INDEX($I$5:$I$560,MATCH(B176,$A$5:$A$560,0)))),ISNUMBER(SEARCH("×Enable",INDEX($I$5:$I$560,MATCH(B176,$A$5:$A$560,0))))),1,""),""))</x:f>
      </x:c>
      <x:c r="Q176" t="n">
        <x:f>IF(E176="","",--(XMATCH(E176,$E$5:E176,0)=ROWS($E$5:E176)))</x:f>
        <x:v>1</x:v>
      </x:c>
      <x:c r="R176" t="n">
        <x:f>IF(Q176=1,SUM($Q$5:Q176),"")</x:f>
        <x:v>135</x:v>
      </x:c>
    </x:row>
    <x:row r="177">
      <x:c r="A177" s="54" t="str">
        <x:v>T173</x:v>
      </x:c>
      <x:c r="B177" s="54" t="str">
        <x:v>T001</x:v>
      </x:c>
      <x:c r="C177" s="54" t="n">
        <x:v>1</x:v>
      </x:c>
      <x:c r="D177" s="54" t="str">
        <x:v>その他固定重量</x:v>
      </x:c>
      <x:c r="E177" s="54" t="str">
        <x:v>m_other</x:v>
      </x:c>
      <x:c r="F177" s="55" t="n">
        <x:f>'01_入力仕様'!D147+'01_入力仕様'!D148+'01_入力仕様'!D149</x:f>
        <x:v>0.5</x:v>
      </x:c>
      <x:c r="G177" s="55" t="str">
        <x:v>kg</x:v>
      </x:c>
      <x:c r="H177" s="55" t="n">
        <x:f>ABS(K177)*$F$5</x:f>
        <x:v>0.5</x:v>
      </x:c>
      <x:c r="I177" s="54" t="str">
        <x:v>M_other=m_fastener+m_insulation+m_harness</x:v>
      </x:c>
      <x:c r="J177" s="55" t="n">
        <x:f>F177/F5</x:f>
        <x:v>0.055879413920831636</x:v>
      </x:c>
      <x:c r="K177" s="55" t="n">
        <x:f>K5*J177</x:f>
        <x:v>0.055879413920831636</x:v>
      </x:c>
      <x:c r="L177" s="54" t="str">
        <x:f>IF(K177&gt;0,"増加→総重量増",IF(K177&lt;0,"増加→総重量減","中立"))</x:f>
        <x:v>増加→総重量増</x:v>
      </x:c>
      <x:c r="M177" s="54" t="str">
        <x:v>設計対象</x:v>
      </x:c>
      <x:c r="N177" s="54" t="str"/>
      <x:c r="O177" s="229" t="n">
        <x:f>--(COUNTIF($B$5:$B$560,A177)=0)</x:f>
        <x:v>0</x:v>
      </x:c>
      <x:c r="P177" s="70" t="str">
        <x:f>IF(LEFT(E177,7)&lt;&gt;"Enable_","",IFERROR(IF(OR(ISNUMBER(SEARCH("=Enable",INDEX($I$5:$I$560,MATCH(B177,$A$5:$A$560,0)))),ISNUMBER(SEARCH("×Enable",INDEX($I$5:$I$560,MATCH(B177,$A$5:$A$560,0))))),1,""),""))</x:f>
      </x:c>
      <x:c r="Q177" t="n">
        <x:f>IF(E177="","",--(XMATCH(E177,$E$5:E177,0)=ROWS($E$5:E177)))</x:f>
        <x:v>1</x:v>
      </x:c>
      <x:c r="R177" t="n">
        <x:f>IF(Q177=1,SUM($Q$5:Q177),"")</x:f>
        <x:v>136</x:v>
      </x:c>
    </x:row>
    <x:row r="178">
      <x:c r="A178" s="54" t="str">
        <x:v>T174</x:v>
      </x:c>
      <x:c r="B178" s="54" t="str">
        <x:v>T002</x:v>
      </x:c>
      <x:c r="C178" s="54" t="n">
        <x:v>2</x:v>
      </x:c>
      <x:c r="D178" s="54" t="str">
        <x:v>並列化関連重量</x:v>
      </x:c>
      <x:c r="E178" s="54" t="str">
        <x:v>M_parallel</x:v>
      </x:c>
      <x:c r="F178" s="55" t="n">
        <x:f>'01_入力仕様'!D13*'01_入力仕様'!D86*'01_入力仕様'!D87</x:f>
        <x:v>0.6300000000000001</x:v>
      </x:c>
      <x:c r="G178" s="55" t="str">
        <x:v>kg</x:v>
      </x:c>
      <x:c r="H178" s="55" t="n">
        <x:f>ABS(K178)*$F$5</x:f>
        <x:v>0.6300000000000001</x:v>
      </x:c>
      <x:c r="I178" s="54" t="str">
        <x:v>M_parallel=N_mod×N_parallel×m_parallel_unit</x:v>
      </x:c>
      <x:c r="J178" s="55" t="n">
        <x:f>F178/F6</x:f>
        <x:v>0.44474069636732183</x:v>
      </x:c>
      <x:c r="K178" s="55" t="n">
        <x:f>K6*J178</x:f>
        <x:v>0.07040806154024787</x:v>
      </x:c>
      <x:c r="L178" s="54" t="str">
        <x:f>IF(K178&gt;0,"増加→総重量増",IF(K178&lt;0,"増加→総重量減","中立"))</x:f>
        <x:v>増加→総重量増</x:v>
      </x:c>
      <x:c r="M178" s="54" t="str">
        <x:v>設計対象</x:v>
      </x:c>
      <x:c r="N178" s="54" t="str">
        <x:v>並列化に伴う追加チップ/ゲート/端子等の等価重量</x:v>
      </x:c>
      <x:c r="O178" s="229" t="n">
        <x:f>--(COUNTIF($B$5:$B$560,A178)=0)</x:f>
        <x:v>0</x:v>
      </x:c>
      <x:c r="P178" s="70" t="str">
        <x:f>IF(LEFT(E178,7)&lt;&gt;"Enable_","",IFERROR(IF(OR(ISNUMBER(SEARCH("=Enable",INDEX($I$5:$I$560,MATCH(B178,$A$5:$A$560,0)))),ISNUMBER(SEARCH("×Enable",INDEX($I$5:$I$560,MATCH(B178,$A$5:$A$560,0))))),1,""),""))</x:f>
      </x:c>
      <x:c r="Q178" t="n">
        <x:f>IF(E178="","",--(XMATCH(E178,$E$5:E178,0)=ROWS($E$5:E178)))</x:f>
        <x:v>1</x:v>
      </x:c>
      <x:c r="R178" t="n">
        <x:f>IF(Q178=1,SUM($Q$5:Q178),"")</x:f>
        <x:v>137</x:v>
      </x:c>
    </x:row>
    <x:row r="179">
      <x:c r="A179" s="58" t="str">
        <x:v>T175</x:v>
      </x:c>
      <x:c r="B179" s="58" t="str">
        <x:v>T174</x:v>
      </x:c>
      <x:c r="C179" s="58" t="n">
        <x:v>3</x:v>
      </x:c>
      <x:c r="D179" s="58" t="str">
        <x:v>モジュール個数</x:v>
      </x:c>
      <x:c r="E179" s="58" t="str">
        <x:v>N_mod</x:v>
      </x:c>
      <x:c r="F179" s="59" t="n">
        <x:f>'01_入力仕様'!D13</x:f>
        <x:v>6</x:v>
      </x:c>
      <x:c r="G179" s="59" t="str">
        <x:v>個</x:v>
      </x:c>
      <x:c r="H179" s="59" t="n">
        <x:f>ABS(K179)*$F$5</x:f>
        <x:v>0.6300000000000001</x:v>
      </x:c>
      <x:c r="I179" s="58" t="str">
        <x:v>入力仕様</x:v>
      </x:c>
      <x:c r="J179" s="59" t="n">
        <x:f>1</x:f>
        <x:v>1</x:v>
      </x:c>
      <x:c r="K179" s="59" t="n">
        <x:f>K178*J179</x:f>
        <x:v>0.07040806154024787</x:v>
      </x:c>
      <x:c r="L179" s="58" t="str">
        <x:f>IF(K179&gt;0,"増加→総重量増",IF(K179&lt;0,"増加→総重量減","中立"))</x:f>
        <x:v>増加→総重量増</x:v>
      </x:c>
      <x:c r="M179" s="58" t="str">
        <x:v>設計対象</x:v>
      </x:c>
      <x:c r="N179" s="58" t="str"/>
      <x:c r="O179" s="229" t="n">
        <x:f>--(COUNTIF($B$5:$B$560,A179)=0)</x:f>
        <x:v>1</x:v>
      </x:c>
      <x:c r="P179" s="70" t="str">
        <x:f>IF(LEFT(E179,7)&lt;&gt;"Enable_","",IFERROR(IF(OR(ISNUMBER(SEARCH("=Enable",INDEX($I$5:$I$560,MATCH(B179,$A$5:$A$560,0)))),ISNUMBER(SEARCH("×Enable",INDEX($I$5:$I$560,MATCH(B179,$A$5:$A$560,0))))),1,""),""))</x:f>
      </x:c>
      <x:c r="Q179" t="n">
        <x:f>IF(E179="","",--(XMATCH(E179,$E$5:E179,0)=ROWS($E$5:E179)))</x:f>
        <x:v>0</x:v>
      </x:c>
      <x:c r="R179" t="str">
        <x:f>IF(Q179=1,SUM($Q$5:Q179),"")</x:f>
      </x:c>
    </x:row>
    <x:row r="180">
      <x:c r="A180" s="58" t="str">
        <x:v>T176</x:v>
      </x:c>
      <x:c r="B180" s="58" t="str">
        <x:v>T174</x:v>
      </x:c>
      <x:c r="C180" s="58" t="n">
        <x:v>3</x:v>
      </x:c>
      <x:c r="D180" s="58" t="str">
        <x:v>並列数</x:v>
      </x:c>
      <x:c r="E180" s="58" t="str">
        <x:v>N_parallel</x:v>
      </x:c>
      <x:c r="F180" s="59" t="n">
        <x:f>'01_入力仕様'!D86</x:f>
        <x:v>3</x:v>
      </x:c>
      <x:c r="G180" s="59" t="str">
        <x:v>-</x:v>
      </x:c>
      <x:c r="H180" s="59" t="n">
        <x:f>ABS(K180)*$F$5</x:f>
        <x:v>0.6300000000000001</x:v>
      </x:c>
      <x:c r="I180" s="58" t="str">
        <x:v>入力仕様</x:v>
      </x:c>
      <x:c r="J180" s="59" t="n">
        <x:f>1</x:f>
        <x:v>1</x:v>
      </x:c>
      <x:c r="K180" s="59" t="n">
        <x:f>K178*J180</x:f>
        <x:v>0.07040806154024787</x:v>
      </x:c>
      <x:c r="L180" s="58" t="str">
        <x:f>IF(K180&gt;0,"増加→総重量増",IF(K180&lt;0,"増加→総重量減","中立"))</x:f>
        <x:v>増加→総重量増</x:v>
      </x:c>
      <x:c r="M180" s="58" t="str">
        <x:v>設計対象</x:v>
      </x:c>
      <x:c r="N180" s="58" t="str">
        <x:v>並列数増→重量増</x:v>
      </x:c>
      <x:c r="O180" s="229" t="n">
        <x:f>--(COUNTIF($B$5:$B$560,A180)=0)</x:f>
        <x:v>1</x:v>
      </x:c>
      <x:c r="P180" s="70" t="str">
        <x:f>IF(LEFT(E180,7)&lt;&gt;"Enable_","",IFERROR(IF(OR(ISNUMBER(SEARCH("=Enable",INDEX($I$5:$I$560,MATCH(B180,$A$5:$A$560,0)))),ISNUMBER(SEARCH("×Enable",INDEX($I$5:$I$560,MATCH(B180,$A$5:$A$560,0))))),1,""),""))</x:f>
      </x:c>
      <x:c r="Q180" t="n">
        <x:f>IF(E180="","",--(XMATCH(E180,$E$5:E180,0)=ROWS($E$5:E180)))</x:f>
        <x:v>1</x:v>
      </x:c>
      <x:c r="R180" t="n">
        <x:f>IF(Q180=1,SUM($Q$5:Q180),"")</x:f>
        <x:v>138</x:v>
      </x:c>
    </x:row>
    <x:row r="181">
      <x:c r="A181" s="58" t="str">
        <x:v>T177</x:v>
      </x:c>
      <x:c r="B181" s="58" t="str">
        <x:v>T174</x:v>
      </x:c>
      <x:c r="C181" s="58" t="n">
        <x:v>3</x:v>
      </x:c>
      <x:c r="D181" s="58" t="str">
        <x:v>並列1系統重量</x:v>
      </x:c>
      <x:c r="E181" s="58" t="str">
        <x:v>m_parallel_unit</x:v>
      </x:c>
      <x:c r="F181" s="59" t="n">
        <x:f>'01_入力仕様'!D87</x:f>
        <x:v>0.035</x:v>
      </x:c>
      <x:c r="G181" s="59" t="str">
        <x:v>kg/系統</x:v>
      </x:c>
      <x:c r="H181" s="59" t="n">
        <x:f>ABS(K181)*$F$5</x:f>
        <x:v>0.6300000000000001</x:v>
      </x:c>
      <x:c r="I181" s="58" t="str">
        <x:v>入力仕様</x:v>
      </x:c>
      <x:c r="J181" s="59" t="n">
        <x:f>1</x:f>
        <x:v>1</x:v>
      </x:c>
      <x:c r="K181" s="59" t="n">
        <x:f>K178*J181</x:f>
        <x:v>0.07040806154024787</x:v>
      </x:c>
      <x:c r="L181" s="58" t="str">
        <x:f>IF(K181&gt;0,"増加→総重量増",IF(K181&lt;0,"増加→総重量減","中立"))</x:f>
        <x:v>増加→総重量増</x:v>
      </x:c>
      <x:c r="M181" s="58" t="str">
        <x:v>設計対象</x:v>
      </x:c>
      <x:c r="N181" s="58" t="str"/>
      <x:c r="O181" s="229" t="n">
        <x:f>--(COUNTIF($B$5:$B$560,A181)=0)</x:f>
        <x:v>1</x:v>
      </x:c>
      <x:c r="P181" s="70" t="str">
        <x:f>IF(LEFT(E181,7)&lt;&gt;"Enable_","",IFERROR(IF(OR(ISNUMBER(SEARCH("=Enable",INDEX($I$5:$I$560,MATCH(B181,$A$5:$A$560,0)))),ISNUMBER(SEARCH("×Enable",INDEX($I$5:$I$560,MATCH(B181,$A$5:$A$560,0))))),1,""),""))</x:f>
      </x:c>
      <x:c r="Q181" t="n">
        <x:f>IF(E181="","",--(XMATCH(E181,$E$5:E181,0)=ROWS($E$5:E181)))</x:f>
        <x:v>1</x:v>
      </x:c>
      <x:c r="R181" t="n">
        <x:f>IF(Q181=1,SUM($Q$5:Q181),"")</x:f>
        <x:v>139</x:v>
      </x:c>
    </x:row>
    <x:row r="182">
      <x:c r="A182" s="58" t="str">
        <x:v>T178</x:v>
      </x:c>
      <x:c r="B182" s="58" t="str">
        <x:v>T040</x:v>
      </x:c>
      <x:c r="C182" s="58" t="n">
        <x:v>7</x:v>
      </x:c>
      <x:c r="D182" s="58" t="str">
        <x:v>並列数</x:v>
      </x:c>
      <x:c r="E182" s="58" t="str">
        <x:v>N_parallel</x:v>
      </x:c>
      <x:c r="F182" s="59" t="n">
        <x:f>'01_入力仕様'!D86</x:f>
        <x:v>3</x:v>
      </x:c>
      <x:c r="G182" s="59" t="str">
        <x:v>-</x:v>
      </x:c>
      <x:c r="H182" s="59" t="n">
        <x:f>ABS(K182)*$F$5</x:f>
        <x:v>0.0005759754530960755</x:v>
      </x:c>
      <x:c r="I182" s="58" t="str">
        <x:v>入力仕様</x:v>
      </x:c>
      <x:c r="J182" s="59" t="n">
        <x:f>-1</x:f>
        <x:v>-1</x:v>
      </x:c>
      <x:c r="K182" s="59" t="n">
        <x:f>K44*J182</x:f>
        <x:v>-0.00006437034150358829</x:v>
      </x:c>
      <x:c r="L182" s="58" t="str">
        <x:f>IF(K182&gt;0,"増加→総重量増",IF(K182&lt;0,"増加→総重量減","中立"))</x:f>
        <x:v>増加→総重量減</x:v>
      </x:c>
      <x:c r="M182" s="58" t="str">
        <x:v>設計対象</x:v>
      </x:c>
      <x:c r="N182" s="58" t="str">
        <x:v>並列数増→等価Ron低下</x:v>
      </x:c>
      <x:c r="O182" s="229" t="n">
        <x:f>--(COUNTIF($B$5:$B$560,A182)=0)</x:f>
        <x:v>1</x:v>
      </x:c>
      <x:c r="P182" s="70" t="str">
        <x:f>IF(LEFT(E182,7)&lt;&gt;"Enable_","",IFERROR(IF(OR(ISNUMBER(SEARCH("=Enable",INDEX($I$5:$I$560,MATCH(B182,$A$5:$A$560,0)))),ISNUMBER(SEARCH("×Enable",INDEX($I$5:$I$560,MATCH(B182,$A$5:$A$560,0))))),1,""),""))</x:f>
      </x:c>
      <x:c r="Q182" t="n">
        <x:f>IF(E182="","",--(XMATCH(E182,$E$5:E182,0)=ROWS($E$5:E182)))</x:f>
        <x:v>0</x:v>
      </x:c>
      <x:c r="R182" t="str">
        <x:f>IF(Q182=1,SUM($Q$5:Q182),"")</x:f>
      </x:c>
    </x:row>
    <x:row r="183">
      <x:c r="A183" s="62" t="str">
        <x:v>T179</x:v>
      </x:c>
      <x:c r="B183" s="62" t="str">
        <x:v>T064</x:v>
      </x:c>
      <x:c r="C183" s="62" t="n">
        <x:v>6</x:v>
      </x:c>
      <x:c r="D183" s="62" t="str">
        <x:v>ソフトスイッチング損失係数</x:v>
      </x:c>
      <x:c r="E183" s="62" t="str">
        <x:v>k_ss_eff</x:v>
      </x:c>
      <x:c r="F183" s="63" t="n">
        <x:f>1-'01_入力仕様'!D88*(1-'01_入力仕様'!D89)</x:f>
        <x:v>1</x:v>
      </x:c>
      <x:c r="G183" s="63" t="str">
        <x:v>-</x:v>
      </x:c>
      <x:c r="H183" s="63" t="n">
        <x:f>ABS(K183)*$F$5</x:f>
        <x:v>0.06724822027023014</x:v>
      </x:c>
      <x:c r="I183" s="62" t="str">
        <x:v>k_ss_eff=1-Enable_SS×(1-k_ss_residual)</x:v>
      </x:c>
      <x:c r="J183" s="63" t="n">
        <x:f>1</x:f>
        <x:v>1</x:v>
      </x:c>
      <x:c r="K183" s="63" t="n">
        <x:f>K68*J183</x:f>
        <x:v>0.007515582271838901</x:v>
      </x:c>
      <x:c r="L183" s="62" t="str">
        <x:f>IF(K183&gt;0,"増加→総重量増",IF(K183&lt;0,"増加→総重量減","中立"))</x:f>
        <x:v>増加→総重量増</x:v>
      </x:c>
      <x:c r="M183" s="62" t="str">
        <x:v>設計対象</x:v>
      </x:c>
      <x:c r="N183" s="62" t="str">
        <x:v>0/1技術選択</x:v>
      </x:c>
      <x:c r="O183" s="229" t="n">
        <x:f>--(COUNTIF($B$5:$B$560,A183)=0)</x:f>
        <x:v>0</x:v>
      </x:c>
      <x:c r="P183" s="70" t="str">
        <x:f>IF(LEFT(E183,7)&lt;&gt;"Enable_","",IFERROR(IF(OR(ISNUMBER(SEARCH("=Enable",INDEX($I$5:$I$560,MATCH(B183,$A$5:$A$560,0)))),ISNUMBER(SEARCH("×Enable",INDEX($I$5:$I$560,MATCH(B183,$A$5:$A$560,0))))),1,""),""))</x:f>
      </x:c>
      <x:c r="Q183" t="n">
        <x:f>IF(E183="","",--(XMATCH(E183,$E$5:E183,0)=ROWS($E$5:E183)))</x:f>
        <x:v>1</x:v>
      </x:c>
      <x:c r="R183" t="n">
        <x:f>IF(Q183=1,SUM($Q$5:Q183),"")</x:f>
        <x:v>140</x:v>
      </x:c>
    </x:row>
    <x:row r="184">
      <x:c r="A184" s="58" t="str">
        <x:v>T180</x:v>
      </x:c>
      <x:c r="B184" s="58" t="str">
        <x:v>T179</x:v>
      </x:c>
      <x:c r="C184" s="58" t="n">
        <x:v>7</x:v>
      </x:c>
      <x:c r="D184" s="58" t="str">
        <x:v>ソフトスイッチング有効</x:v>
      </x:c>
      <x:c r="E184" s="58" t="str">
        <x:v>Enable_SS</x:v>
      </x:c>
      <x:c r="F184" s="59" t="n">
        <x:f>'01_入力仕様'!D88</x:f>
        <x:v>0</x:v>
      </x:c>
      <x:c r="G184" s="59" t="str">
        <x:v>0/1</x:v>
      </x:c>
      <x:c r="H184" s="59" t="n">
        <x:f>ABS(K184)*$F$5</x:f>
        <x:v>0</x:v>
      </x:c>
      <x:c r="I184" s="58" t="str">
        <x:v>入力仕様</x:v>
      </x:c>
      <x:c r="J184" s="59" t="n">
        <x:f>0</x:f>
        <x:v>0</x:v>
      </x:c>
      <x:c r="K184" s="59" t="n">
        <x:f>K183*J184</x:f>
        <x:v>0</x:v>
      </x:c>
      <x:c r="L184" s="58" t="str">
        <x:f>IF(K184&gt;0,"増加→総重量増",IF(K184&lt;0,"増加→総重量減","中立"))</x:f>
        <x:v>中立</x:v>
      </x:c>
      <x:c r="M184" s="58" t="str">
        <x:v>設計対象</x:v>
      </x:c>
      <x:c r="N184" s="58" t="str">
        <x:v>0→1採用差分。通常の微分感度ではなく技術採用時の損失低減等価重量。</x:v>
      </x:c>
      <x:c r="O184" s="229" t="n">
        <x:f>--(COUNTIF($B$5:$B$560,A184)=0)</x:f>
        <x:v>1</x:v>
      </x:c>
      <x:c r="P184" s="70" t="str">
        <x:f>IF(LEFT(E184,7)&lt;&gt;"Enable_","",IFERROR(IF(OR(ISNUMBER(SEARCH("=Enable",INDEX($I$5:$I$560,MATCH(B184,$A$5:$A$560,0)))),ISNUMBER(SEARCH("×Enable",INDEX($I$5:$I$560,MATCH(B184,$A$5:$A$560,0))))),1,""),""))</x:f>
      </x:c>
      <x:c r="Q184" t="n">
        <x:f>IF(E184="","",--(XMATCH(E184,$E$5:E184,0)=ROWS($E$5:E184)))</x:f>
        <x:v>1</x:v>
      </x:c>
      <x:c r="R184" t="n">
        <x:f>IF(Q184=1,SUM($Q$5:Q184),"")</x:f>
        <x:v>141</x:v>
      </x:c>
    </x:row>
    <x:row r="185">
      <x:c r="A185" s="58" t="str">
        <x:v>T181</x:v>
      </x:c>
      <x:c r="B185" s="58" t="str">
        <x:v>T179</x:v>
      </x:c>
      <x:c r="C185" s="58" t="n">
        <x:v>7</x:v>
      </x:c>
      <x:c r="D185" s="58" t="str">
        <x:v>有効時損失残存率</x:v>
      </x:c>
      <x:c r="E185" s="58" t="str">
        <x:v>k_ss_residual</x:v>
      </x:c>
      <x:c r="F185" s="59" t="n">
        <x:f>'01_入力仕様'!D89</x:f>
        <x:v>0.25</x:v>
      </x:c>
      <x:c r="G185" s="59" t="str">
        <x:v>-</x:v>
      </x:c>
      <x:c r="H185" s="59" t="n">
        <x:f>ABS(K185)*$F$5</x:f>
        <x:v>0</x:v>
      </x:c>
      <x:c r="I185" s="58" t="str">
        <x:v>入力仕様</x:v>
      </x:c>
      <x:c r="J185" s="59" t="n">
        <x:f>IF(F183=0,0,'01_入力仕様'!D88*'01_入力仕様'!D89/F183)</x:f>
        <x:v>0</x:v>
      </x:c>
      <x:c r="K185" s="59" t="n">
        <x:f>K183*J185</x:f>
        <x:v>0</x:v>
      </x:c>
      <x:c r="L185" s="58" t="str">
        <x:f>IF(K185&gt;0,"増加→総重量増",IF(K185&lt;0,"増加→総重量減","中立"))</x:f>
        <x:v>中立</x:v>
      </x:c>
      <x:c r="M185" s="58" t="str">
        <x:v>設計対象</x:v>
      </x:c>
      <x:c r="N185" s="58" t="str">
        <x:v>小さいほどソフトスイッチング効果大</x:v>
      </x:c>
      <x:c r="O185" s="229" t="n">
        <x:f>--(COUNTIF($B$5:$B$560,A185)=0)</x:f>
        <x:v>1</x:v>
      </x:c>
      <x:c r="P185" s="70" t="str">
        <x:f>IF(LEFT(E185,7)&lt;&gt;"Enable_","",IFERROR(IF(OR(ISNUMBER(SEARCH("=Enable",INDEX($I$5:$I$560,MATCH(B185,$A$5:$A$560,0)))),ISNUMBER(SEARCH("×Enable",INDEX($I$5:$I$560,MATCH(B185,$A$5:$A$560,0))))),1,""),""))</x:f>
      </x:c>
      <x:c r="Q185" t="n">
        <x:f>IF(E185="","",--(XMATCH(E185,$E$5:E185,0)=ROWS($E$5:E185)))</x:f>
        <x:v>1</x:v>
      </x:c>
      <x:c r="R185" t="n">
        <x:f>IF(Q185=1,SUM($Q$5:Q185),"")</x:f>
        <x:v>142</x:v>
      </x:c>
    </x:row>
    <x:row r="186">
      <x:c r="A186" s="54" t="str">
        <x:v>T182</x:v>
      </x:c>
      <x:c r="B186" s="54" t="str">
        <x:v>T001</x:v>
      </x:c>
      <x:c r="C186" s="54" t="n">
        <x:v>1</x:v>
      </x:c>
      <x:c r="D186" s="54" t="str">
        <x:v>ソフトスイッチング追加回路重量</x:v>
      </x:c>
      <x:c r="E186" s="54" t="str">
        <x:v>M_ss</x:v>
      </x:c>
      <x:c r="F186" s="55" t="n">
        <x:f>'01_入力仕様'!D88*(F188+F191+'01_入力仕様'!D96)</x:f>
        <x:v>0</x:v>
      </x:c>
      <x:c r="G186" s="55" t="str">
        <x:v>kg</x:v>
      </x:c>
      <x:c r="H186" s="55" t="n">
        <x:f>ABS(K186)*$F$5</x:f>
        <x:v>0</x:v>
      </x:c>
      <x:c r="I186" s="54" t="str">
        <x:v>M_ss=Enable_SS×(M_aux_ss+M_res_ss+m_ctrl_ss)</x:v>
      </x:c>
      <x:c r="J186" s="55" t="n">
        <x:f>F186/F5</x:f>
        <x:v>0</x:v>
      </x:c>
      <x:c r="K186" s="55" t="n">
        <x:f>K5*J186</x:f>
        <x:v>0</x:v>
      </x:c>
      <x:c r="L186" s="54" t="str">
        <x:f>IF(K186&gt;0,"増加→総重量増",IF(K186&lt;0,"増加→総重量減","中立"))</x:f>
        <x:v>中立</x:v>
      </x:c>
      <x:c r="M186" s="54" t="str">
        <x:v>設計対象</x:v>
      </x:c>
      <x:c r="N186" s="54" t="str">
        <x:v>有効時のみ追加される回路重量</x:v>
      </x:c>
      <x:c r="O186" s="229" t="n">
        <x:f>--(COUNTIF($B$5:$B$560,A186)=0)</x:f>
        <x:v>0</x:v>
      </x:c>
      <x:c r="P186" s="70" t="str">
        <x:f>IF(LEFT(E186,7)&lt;&gt;"Enable_","",IFERROR(IF(OR(ISNUMBER(SEARCH("=Enable",INDEX($I$5:$I$560,MATCH(B186,$A$5:$A$560,0)))),ISNUMBER(SEARCH("×Enable",INDEX($I$5:$I$560,MATCH(B186,$A$5:$A$560,0))))),1,""),""))</x:f>
      </x:c>
      <x:c r="Q186" t="n">
        <x:f>IF(E186="","",--(XMATCH(E186,$E$5:E186,0)=ROWS($E$5:E186)))</x:f>
        <x:v>1</x:v>
      </x:c>
      <x:c r="R186" t="n">
        <x:f>IF(Q186=1,SUM($Q$5:Q186),"")</x:f>
        <x:v>143</x:v>
      </x:c>
    </x:row>
    <x:row r="187">
      <x:c r="A187" s="58" t="str">
        <x:v>T183</x:v>
      </x:c>
      <x:c r="B187" s="58" t="str">
        <x:v>T182</x:v>
      </x:c>
      <x:c r="C187" s="58" t="n">
        <x:v>2</x:v>
      </x:c>
      <x:c r="D187" s="58" t="str">
        <x:v>ソフトスイッチング有効</x:v>
      </x:c>
      <x:c r="E187" s="58" t="str">
        <x:v>Enable_SS</x:v>
      </x:c>
      <x:c r="F187" s="59" t="n">
        <x:f>'01_入力仕様'!D88</x:f>
        <x:v>0</x:v>
      </x:c>
      <x:c r="G187" s="59" t="str">
        <x:v>0/1</x:v>
      </x:c>
      <x:c r="H187" s="59" t="n">
        <x:f>ABS(K187)*$F$5</x:f>
        <x:v>0</x:v>
      </x:c>
      <x:c r="I187" s="58" t="str">
        <x:v>入力仕様</x:v>
      </x:c>
      <x:c r="J187" s="59" t="n">
        <x:f>0</x:f>
        <x:v>0</x:v>
      </x:c>
      <x:c r="K187" s="59" t="n">
        <x:f>K186*J187</x:f>
        <x:v>0</x:v>
      </x:c>
      <x:c r="L187" s="58" t="str">
        <x:f>IF(K187&gt;0,"増加→総重量増",IF(K187&lt;0,"増加→総重量減","中立"))</x:f>
        <x:v>中立</x:v>
      </x:c>
      <x:c r="M187" s="58" t="str">
        <x:v>設計対象</x:v>
      </x:c>
      <x:c r="N187" s="58" t="str">
        <x:v>0→1採用差分。追加回路重量の等価重量。</x:v>
      </x:c>
      <x:c r="O187" s="229" t="n">
        <x:f>--(COUNTIF($B$5:$B$560,A187)=0)</x:f>
        <x:v>1</x:v>
      </x:c>
      <x:c r="P187" s="70" t="n">
        <x:f>IF(LEFT(E187,7)&lt;&gt;"Enable_","",IFERROR(IF(OR(ISNUMBER(SEARCH("=Enable",INDEX($I$5:$I$560,MATCH(B187,$A$5:$A$560,0)))),ISNUMBER(SEARCH("×Enable",INDEX($I$5:$I$560,MATCH(B187,$A$5:$A$560,0))))),1,""),""))</x:f>
        <x:v>1</x:v>
      </x:c>
      <x:c r="Q187" t="n">
        <x:f>IF(E187="","",--(XMATCH(E187,$E$5:E187,0)=ROWS($E$5:E187)))</x:f>
        <x:v>0</x:v>
      </x:c>
      <x:c r="R187" t="str">
        <x:f>IF(Q187=1,SUM($Q$5:Q187),"")</x:f>
      </x:c>
    </x:row>
    <x:row r="188">
      <x:c r="A188" s="54" t="str">
        <x:v>T184</x:v>
      </x:c>
      <x:c r="B188" s="54" t="str">
        <x:v>T182</x:v>
      </x:c>
      <x:c r="C188" s="54" t="n">
        <x:v>2</x:v>
      </x:c>
      <x:c r="D188" s="54" t="str">
        <x:v>補助スイッチ重量</x:v>
      </x:c>
      <x:c r="E188" s="54" t="str">
        <x:v>M_aux_ss</x:v>
      </x:c>
      <x:c r="F188" s="55" t="n">
        <x:f>'01_入力仕様'!D90*'01_入力仕様'!D91</x:f>
        <x:v>0.09</x:v>
      </x:c>
      <x:c r="G188" s="55" t="str">
        <x:v>kg</x:v>
      </x:c>
      <x:c r="H188" s="55" t="n">
        <x:f>ABS(K188)*$F$5</x:f>
        <x:v>0</x:v>
      </x:c>
      <x:c r="I188" s="54" t="str">
        <x:v>M_aux_ss=N_aux_ss×m_aux_ss</x:v>
      </x:c>
      <x:c r="J188" s="55" t="n">
        <x:f>IF((F188+F191+'01_入力仕様'!D96)=0,0,F188/(F188+F191+'01_入力仕様'!D96))</x:f>
        <x:v>0.5293990346802195</x:v>
      </x:c>
      <x:c r="K188" s="55" t="n">
        <x:f>K186*J188</x:f>
        <x:v>0</x:v>
      </x:c>
      <x:c r="L188" s="54" t="str">
        <x:f>IF(K188&gt;0,"増加→総重量増",IF(K188&lt;0,"増加→総重量減","中立"))</x:f>
        <x:v>中立</x:v>
      </x:c>
      <x:c r="M188" s="54" t="str">
        <x:v>設計対象</x:v>
      </x:c>
      <x:c r="N188" s="54" t="str"/>
      <x:c r="O188" s="229" t="n">
        <x:f>--(COUNTIF($B$5:$B$560,A188)=0)</x:f>
        <x:v>0</x:v>
      </x:c>
      <x:c r="P188" s="70" t="str">
        <x:f>IF(LEFT(E188,7)&lt;&gt;"Enable_","",IFERROR(IF(OR(ISNUMBER(SEARCH("=Enable",INDEX($I$5:$I$560,MATCH(B188,$A$5:$A$560,0)))),ISNUMBER(SEARCH("×Enable",INDEX($I$5:$I$560,MATCH(B188,$A$5:$A$560,0))))),1,""),""))</x:f>
      </x:c>
      <x:c r="Q188" t="n">
        <x:f>IF(E188="","",--(XMATCH(E188,$E$5:E188,0)=ROWS($E$5:E188)))</x:f>
        <x:v>1</x:v>
      </x:c>
      <x:c r="R188" t="n">
        <x:f>IF(Q188=1,SUM($Q$5:Q188),"")</x:f>
        <x:v>144</x:v>
      </x:c>
    </x:row>
    <x:row r="189">
      <x:c r="A189" s="58" t="str">
        <x:v>T185</x:v>
      </x:c>
      <x:c r="B189" s="58" t="str">
        <x:v>T184</x:v>
      </x:c>
      <x:c r="C189" s="58" t="n">
        <x:v>3</x:v>
      </x:c>
      <x:c r="D189" s="58" t="str">
        <x:v>補助スイッチ数</x:v>
      </x:c>
      <x:c r="E189" s="58" t="str">
        <x:v>N_aux_ss</x:v>
      </x:c>
      <x:c r="F189" s="59" t="n">
        <x:f>'01_入力仕様'!D90</x:f>
        <x:v>2</x:v>
      </x:c>
      <x:c r="G189" s="59" t="str">
        <x:v>個</x:v>
      </x:c>
      <x:c r="H189" s="59" t="n">
        <x:f>ABS(K189)*$F$5</x:f>
        <x:v>0</x:v>
      </x:c>
      <x:c r="I189" s="58" t="str">
        <x:v>入力仕様</x:v>
      </x:c>
      <x:c r="J189" s="59" t="n">
        <x:f>1</x:f>
        <x:v>1</x:v>
      </x:c>
      <x:c r="K189" s="59" t="n">
        <x:f>K188*J189</x:f>
        <x:v>0</x:v>
      </x:c>
      <x:c r="L189" s="58" t="str">
        <x:f>IF(K189&gt;0,"増加→総重量増",IF(K189&lt;0,"増加→総重量減","中立"))</x:f>
        <x:v>中立</x:v>
      </x:c>
      <x:c r="M189" s="58" t="str">
        <x:v>設計対象</x:v>
      </x:c>
      <x:c r="N189" s="58" t="str"/>
      <x:c r="O189" s="229" t="n">
        <x:f>--(COUNTIF($B$5:$B$560,A189)=0)</x:f>
        <x:v>1</x:v>
      </x:c>
      <x:c r="P189" s="70" t="str">
        <x:f>IF(LEFT(E189,7)&lt;&gt;"Enable_","",IFERROR(IF(OR(ISNUMBER(SEARCH("=Enable",INDEX($I$5:$I$560,MATCH(B189,$A$5:$A$560,0)))),ISNUMBER(SEARCH("×Enable",INDEX($I$5:$I$560,MATCH(B189,$A$5:$A$560,0))))),1,""),""))</x:f>
      </x:c>
      <x:c r="Q189" t="n">
        <x:f>IF(E189="","",--(XMATCH(E189,$E$5:E189,0)=ROWS($E$5:E189)))</x:f>
        <x:v>1</x:v>
      </x:c>
      <x:c r="R189" t="n">
        <x:f>IF(Q189=1,SUM($Q$5:Q189),"")</x:f>
        <x:v>145</x:v>
      </x:c>
    </x:row>
    <x:row r="190">
      <x:c r="A190" s="58" t="str">
        <x:v>T186</x:v>
      </x:c>
      <x:c r="B190" s="58" t="str">
        <x:v>T184</x:v>
      </x:c>
      <x:c r="C190" s="58" t="n">
        <x:v>3</x:v>
      </x:c>
      <x:c r="D190" s="58" t="str">
        <x:v>補助スイッチ単体重量</x:v>
      </x:c>
      <x:c r="E190" s="58" t="str">
        <x:v>m_aux_ss</x:v>
      </x:c>
      <x:c r="F190" s="59" t="n">
        <x:f>'01_入力仕様'!D91</x:f>
        <x:v>0.045</x:v>
      </x:c>
      <x:c r="G190" s="59" t="str">
        <x:v>kg/個</x:v>
      </x:c>
      <x:c r="H190" s="59" t="n">
        <x:f>ABS(K190)*$F$5</x:f>
        <x:v>0</x:v>
      </x:c>
      <x:c r="I190" s="58" t="str">
        <x:v>入力仕様</x:v>
      </x:c>
      <x:c r="J190" s="59" t="n">
        <x:f>1</x:f>
        <x:v>1</x:v>
      </x:c>
      <x:c r="K190" s="59" t="n">
        <x:f>K188*J190</x:f>
        <x:v>0</x:v>
      </x:c>
      <x:c r="L190" s="58" t="str">
        <x:f>IF(K190&gt;0,"増加→総重量増",IF(K190&lt;0,"増加→総重量減","中立"))</x:f>
        <x:v>中立</x:v>
      </x:c>
      <x:c r="M190" s="58" t="str">
        <x:v>設計対象</x:v>
      </x:c>
      <x:c r="N190" s="58" t="str"/>
      <x:c r="O190" s="229" t="n">
        <x:f>--(COUNTIF($B$5:$B$560,A190)=0)</x:f>
        <x:v>1</x:v>
      </x:c>
      <x:c r="P190" s="70" t="str">
        <x:f>IF(LEFT(E190,7)&lt;&gt;"Enable_","",IFERROR(IF(OR(ISNUMBER(SEARCH("=Enable",INDEX($I$5:$I$560,MATCH(B190,$A$5:$A$560,0)))),ISNUMBER(SEARCH("×Enable",INDEX($I$5:$I$560,MATCH(B190,$A$5:$A$560,0))))),1,""),""))</x:f>
      </x:c>
      <x:c r="Q190" t="n">
        <x:f>IF(E190="","",--(XMATCH(E190,$E$5:E190,0)=ROWS($E$5:E190)))</x:f>
        <x:v>0</x:v>
      </x:c>
      <x:c r="R190" t="str">
        <x:f>IF(Q190=1,SUM($Q$5:Q190),"")</x:f>
      </x:c>
    </x:row>
    <x:row r="191">
      <x:c r="A191" s="54" t="str">
        <x:v>T187</x:v>
      </x:c>
      <x:c r="B191" s="54" t="str">
        <x:v>T182</x:v>
      </x:c>
      <x:c r="C191" s="54" t="n">
        <x:v>2</x:v>
      </x:c>
      <x:c r="D191" s="54" t="str">
        <x:v>共振部品重量</x:v>
      </x:c>
      <x:c r="E191" s="54" t="str">
        <x:v>M_res_ss</x:v>
      </x:c>
      <x:c r="F191" s="55" t="n">
        <x:f>F192+F206</x:f>
        <x:v>0.000004087850979890824</x:v>
      </x:c>
      <x:c r="G191" s="55" t="str">
        <x:v>kg</x:v>
      </x:c>
      <x:c r="H191" s="55" t="n">
        <x:f>ABS(K191)*$F$5</x:f>
        <x:v>0</x:v>
      </x:c>
      <x:c r="I191" s="54" t="str">
        <x:v>M_res_ss=m_Lr+m_Cr</x:v>
      </x:c>
      <x:c r="J191" s="55" t="n">
        <x:f>IF((F188+F191+'01_入力仕様'!D96)=0,0,F191/(F188+F191+'01_入力仕様'!D96))</x:f>
        <x:v>0.000024045604029675467</x:v>
      </x:c>
      <x:c r="K191" s="55" t="n">
        <x:f>K186*J191</x:f>
        <x:v>0</x:v>
      </x:c>
      <x:c r="L191" s="54" t="str">
        <x:f>IF(K191&gt;0,"増加→総重量増",IF(K191&lt;0,"増加→総重量減","中立"))</x:f>
        <x:v>中立</x:v>
      </x:c>
      <x:c r="M191" s="54" t="str">
        <x:v>設計対象</x:v>
      </x:c>
      <x:c r="N191" s="54" t="str"/>
      <x:c r="O191" s="229" t="n">
        <x:f>--(COUNTIF($B$5:$B$560,A191)=0)</x:f>
        <x:v>0</x:v>
      </x:c>
      <x:c r="P191" s="70" t="str">
        <x:f>IF(LEFT(E191,7)&lt;&gt;"Enable_","",IFERROR(IF(OR(ISNUMBER(SEARCH("=Enable",INDEX($I$5:$I$560,MATCH(B191,$A$5:$A$560,0)))),ISNUMBER(SEARCH("×Enable",INDEX($I$5:$I$560,MATCH(B191,$A$5:$A$560,0))))),1,""),""))</x:f>
      </x:c>
      <x:c r="Q191" t="n">
        <x:f>IF(E191="","",--(XMATCH(E191,$E$5:E191,0)=ROWS($E$5:E191)))</x:f>
        <x:v>1</x:v>
      </x:c>
      <x:c r="R191" t="n">
        <x:f>IF(Q191=1,SUM($Q$5:Q191),"")</x:f>
        <x:v>146</x:v>
      </x:c>
    </x:row>
    <x:row r="192">
      <x:c r="A192" s="54" t="str">
        <x:v>T188</x:v>
      </x:c>
      <x:c r="B192" s="54" t="str">
        <x:v>T187</x:v>
      </x:c>
      <x:c r="C192" s="54" t="n">
        <x:v>3</x:v>
      </x:c>
      <x:c r="D192" s="54" t="str">
        <x:v>共振インダクタ重量</x:v>
      </x:c>
      <x:c r="E192" s="54" t="str">
        <x:v>m_Lr</x:v>
      </x:c>
      <x:c r="F192" s="55" t="n">
        <x:f>'01_入力仕様'!D94*F194*(F202/1000)^2</x:f>
        <x:v>0.000004038491637652845</x:v>
      </x:c>
      <x:c r="G192" s="55" t="str">
        <x:v>kg</x:v>
      </x:c>
      <x:c r="H192" s="55" t="n">
        <x:f>ABS(K192)*$F$5</x:f>
        <x:v>0</x:v>
      </x:c>
      <x:c r="I192" s="54" t="str">
        <x:v>m_Lr=k_mLr×L_r×(I_phase/1000)^2</x:v>
      </x:c>
      <x:c r="J192" s="55" t="n">
        <x:f>IF(F191=0,0,F192/F191)</x:f>
        <x:v>0.9879253567508233</x:v>
      </x:c>
      <x:c r="K192" s="55" t="n">
        <x:f>K191*J192</x:f>
        <x:v>0</x:v>
      </x:c>
      <x:c r="L192" s="54" t="str">
        <x:f>IF(K192&gt;0,"増加→総重量増",IF(K192&lt;0,"増加→総重量減","中立"))</x:f>
        <x:v>中立</x:v>
      </x:c>
      <x:c r="M192" s="54" t="str">
        <x:v>設計対象</x:v>
      </x:c>
      <x:c r="N192" s="54" t="str"/>
      <x:c r="O192" s="229" t="n">
        <x:f>--(COUNTIF($B$5:$B$560,A192)=0)</x:f>
        <x:v>0</x:v>
      </x:c>
      <x:c r="P192" s="70" t="str">
        <x:f>IF(LEFT(E192,7)&lt;&gt;"Enable_","",IFERROR(IF(OR(ISNUMBER(SEARCH("=Enable",INDEX($I$5:$I$560,MATCH(B192,$A$5:$A$560,0)))),ISNUMBER(SEARCH("×Enable",INDEX($I$5:$I$560,MATCH(B192,$A$5:$A$560,0))))),1,""),""))</x:f>
      </x:c>
      <x:c r="Q192" t="n">
        <x:f>IF(E192="","",--(XMATCH(E192,$E$5:E192,0)=ROWS($E$5:E192)))</x:f>
        <x:v>1</x:v>
      </x:c>
      <x:c r="R192" t="n">
        <x:f>IF(Q192=1,SUM($Q$5:Q192),"")</x:f>
        <x:v>147</x:v>
      </x:c>
    </x:row>
    <x:row r="193">
      <x:c r="A193" s="58" t="str">
        <x:v>T189</x:v>
      </x:c>
      <x:c r="B193" s="58" t="str">
        <x:v>T188</x:v>
      </x:c>
      <x:c r="C193" s="58" t="n">
        <x:v>4</x:v>
      </x:c>
      <x:c r="D193" s="58" t="str">
        <x:v>L重量係数</x:v>
      </x:c>
      <x:c r="E193" s="58" t="str">
        <x:v>k_mLr</x:v>
      </x:c>
      <x:c r="F193" s="59" t="n">
        <x:f>'01_入力仕様'!D94</x:f>
        <x:v>18</x:v>
      </x:c>
      <x:c r="G193" s="59" t="str">
        <x:v>kg/(H·kA²)</x:v>
      </x:c>
      <x:c r="H193" s="59" t="n">
        <x:f>ABS(K193)*$F$5</x:f>
        <x:v>0</x:v>
      </x:c>
      <x:c r="I193" s="58" t="str">
        <x:v>入力仕様</x:v>
      </x:c>
      <x:c r="J193" s="59" t="n">
        <x:f>1</x:f>
        <x:v>1</x:v>
      </x:c>
      <x:c r="K193" s="59" t="n">
        <x:f>K192*J193</x:f>
        <x:v>0</x:v>
      </x:c>
      <x:c r="L193" s="58" t="str">
        <x:f>IF(K193&gt;0,"増加→総重量増",IF(K193&lt;0,"増加→総重量減","中立"))</x:f>
        <x:v>中立</x:v>
      </x:c>
      <x:c r="M193" s="58" t="str">
        <x:v>設計対象</x:v>
      </x:c>
      <x:c r="N193" s="58" t="str"/>
      <x:c r="O193" s="229" t="n">
        <x:f>--(COUNTIF($B$5:$B$560,A193)=0)</x:f>
        <x:v>1</x:v>
      </x:c>
      <x:c r="P193" s="70" t="str">
        <x:f>IF(LEFT(E193,7)&lt;&gt;"Enable_","",IFERROR(IF(OR(ISNUMBER(SEARCH("=Enable",INDEX($I$5:$I$560,MATCH(B193,$A$5:$A$560,0)))),ISNUMBER(SEARCH("×Enable",INDEX($I$5:$I$560,MATCH(B193,$A$5:$A$560,0))))),1,""),""))</x:f>
      </x:c>
      <x:c r="Q193" t="n">
        <x:f>IF(E193="","",--(XMATCH(E193,$E$5:E193,0)=ROWS($E$5:E193)))</x:f>
        <x:v>1</x:v>
      </x:c>
      <x:c r="R193" t="n">
        <x:f>IF(Q193=1,SUM($Q$5:Q193),"")</x:f>
        <x:v>148</x:v>
      </x:c>
    </x:row>
    <x:row r="194">
      <x:c r="A194" s="62" t="str">
        <x:v>T190</x:v>
      </x:c>
      <x:c r="B194" s="62" t="str">
        <x:v>T188</x:v>
      </x:c>
      <x:c r="C194" s="62" t="n">
        <x:v>4</x:v>
      </x:c>
      <x:c r="D194" s="62" t="str">
        <x:v>共振インダクタンス</x:v>
      </x:c>
      <x:c r="E194" s="62" t="str">
        <x:v>L_r</x:v>
      </x:c>
      <x:c r="F194" s="63" t="n">
        <x:f>'01_入力仕様'!D92*'01_入力仕様'!D6/(2*PI()*'01_入力仕様'!D10*F198)</x:f>
        <x:v>0.000009144892388361265</x:v>
      </x:c>
      <x:c r="G194" s="63" t="str">
        <x:v>H</x:v>
      </x:c>
      <x:c r="H194" s="63" t="n">
        <x:f>ABS(K194)*$F$5</x:f>
        <x:v>0</x:v>
      </x:c>
      <x:c r="I194" s="62" t="str">
        <x:v>L_r=k_Lr×V_dc/(2πf_sw I_phase)</x:v>
      </x:c>
      <x:c r="J194" s="63" t="n">
        <x:f>1</x:f>
        <x:v>1</x:v>
      </x:c>
      <x:c r="K194" s="63" t="n">
        <x:f>K192*J194</x:f>
        <x:v>0</x:v>
      </x:c>
      <x:c r="L194" s="62" t="str">
        <x:f>IF(K194&gt;0,"増加→総重量増",IF(K194&lt;0,"増加→総重量減","中立"))</x:f>
        <x:v>中立</x:v>
      </x:c>
      <x:c r="M194" s="62" t="str">
        <x:v>設計対象</x:v>
      </x:c>
      <x:c r="N194" s="62" t="str"/>
      <x:c r="O194" s="229" t="n">
        <x:f>--(COUNTIF($B$5:$B$560,A194)=0)</x:f>
        <x:v>0</x:v>
      </x:c>
      <x:c r="P194" s="70" t="str">
        <x:f>IF(LEFT(E194,7)&lt;&gt;"Enable_","",IFERROR(IF(OR(ISNUMBER(SEARCH("=Enable",INDEX($I$5:$I$560,MATCH(B194,$A$5:$A$560,0)))),ISNUMBER(SEARCH("×Enable",INDEX($I$5:$I$560,MATCH(B194,$A$5:$A$560,0))))),1,""),""))</x:f>
      </x:c>
      <x:c r="Q194" t="n">
        <x:f>IF(E194="","",--(XMATCH(E194,$E$5:E194,0)=ROWS($E$5:E194)))</x:f>
        <x:v>1</x:v>
      </x:c>
      <x:c r="R194" t="n">
        <x:f>IF(Q194=1,SUM($Q$5:Q194),"")</x:f>
        <x:v>149</x:v>
      </x:c>
    </x:row>
    <x:row r="195">
      <x:c r="A195" s="58" t="str">
        <x:v>T191</x:v>
      </x:c>
      <x:c r="B195" s="58" t="str">
        <x:v>T190</x:v>
      </x:c>
      <x:c r="C195" s="58" t="n">
        <x:v>5</x:v>
      </x:c>
      <x:c r="D195" s="58" t="str">
        <x:v>共振L設計係数</x:v>
      </x:c>
      <x:c r="E195" s="58" t="str">
        <x:v>k_Lr</x:v>
      </x:c>
      <x:c r="F195" s="59" t="n">
        <x:f>'01_入力仕様'!D92</x:f>
        <x:v>0.18</x:v>
      </x:c>
      <x:c r="G195" s="59" t="str">
        <x:v>-</x:v>
      </x:c>
      <x:c r="H195" s="59" t="n">
        <x:f>ABS(K195)*$F$5</x:f>
        <x:v>0</x:v>
      </x:c>
      <x:c r="I195" s="58" t="str">
        <x:v>入力仕様</x:v>
      </x:c>
      <x:c r="J195" s="59" t="n">
        <x:f>1</x:f>
        <x:v>1</x:v>
      </x:c>
      <x:c r="K195" s="59" t="n">
        <x:f>K194*J195</x:f>
        <x:v>0</x:v>
      </x:c>
      <x:c r="L195" s="58" t="str">
        <x:f>IF(K195&gt;0,"増加→総重量増",IF(K195&lt;0,"増加→総重量減","中立"))</x:f>
        <x:v>中立</x:v>
      </x:c>
      <x:c r="M195" s="58" t="str">
        <x:v>設計対象</x:v>
      </x:c>
      <x:c r="N195" s="58" t="str"/>
      <x:c r="O195" s="229" t="n">
        <x:f>--(COUNTIF($B$5:$B$560,A195)=0)</x:f>
        <x:v>1</x:v>
      </x:c>
      <x:c r="P195" s="70" t="str">
        <x:f>IF(LEFT(E195,7)&lt;&gt;"Enable_","",IFERROR(IF(OR(ISNUMBER(SEARCH("=Enable",INDEX($I$5:$I$560,MATCH(B195,$A$5:$A$560,0)))),ISNUMBER(SEARCH("×Enable",INDEX($I$5:$I$560,MATCH(B195,$A$5:$A$560,0))))),1,""),""))</x:f>
      </x:c>
      <x:c r="Q195" t="n">
        <x:f>IF(E195="","",--(XMATCH(E195,$E$5:E195,0)=ROWS($E$5:E195)))</x:f>
        <x:v>1</x:v>
      </x:c>
      <x:c r="R195" t="n">
        <x:f>IF(Q195=1,SUM($Q$5:Q195),"")</x:f>
        <x:v>150</x:v>
      </x:c>
    </x:row>
    <x:row r="196">
      <x:c r="A196" s="58" t="str">
        <x:v>T192</x:v>
      </x:c>
      <x:c r="B196" s="58" t="str">
        <x:v>T190</x:v>
      </x:c>
      <x:c r="C196" s="58" t="n">
        <x:v>5</x:v>
      </x:c>
      <x:c r="D196" s="58" t="str">
        <x:v>DCバス電圧</x:v>
      </x:c>
      <x:c r="E196" s="58" t="str">
        <x:v>V_dc</x:v>
      </x:c>
      <x:c r="F196" s="59" t="n">
        <x:f>'01_入力仕様'!D6</x:f>
        <x:v>800</x:v>
      </x:c>
      <x:c r="G196" s="59" t="str">
        <x:v>V</x:v>
      </x:c>
      <x:c r="H196" s="59" t="n">
        <x:f>ABS(K196)*$F$5</x:f>
        <x:v>0</x:v>
      </x:c>
      <x:c r="I196" s="58" t="str">
        <x:v>入力仕様</x:v>
      </x:c>
      <x:c r="J196" s="59" t="n">
        <x:f>1</x:f>
        <x:v>1</x:v>
      </x:c>
      <x:c r="K196" s="59" t="n">
        <x:f>K194*J196</x:f>
        <x:v>0</x:v>
      </x:c>
      <x:c r="L196" s="58" t="str">
        <x:f>IF(K196&gt;0,"増加→総重量増",IF(K196&lt;0,"増加→総重量減","中立"))</x:f>
        <x:v>中立</x:v>
      </x:c>
      <x:c r="M196" s="58" t="str">
        <x:v>設計対象</x:v>
      </x:c>
      <x:c r="N196" s="58" t="str"/>
      <x:c r="O196" s="229" t="n">
        <x:f>--(COUNTIF($B$5:$B$560,A196)=0)</x:f>
        <x:v>1</x:v>
      </x:c>
      <x:c r="P196" s="70" t="str">
        <x:f>IF(LEFT(E196,7)&lt;&gt;"Enable_","",IFERROR(IF(OR(ISNUMBER(SEARCH("=Enable",INDEX($I$5:$I$560,MATCH(B196,$A$5:$A$560,0)))),ISNUMBER(SEARCH("×Enable",INDEX($I$5:$I$560,MATCH(B196,$A$5:$A$560,0))))),1,""),""))</x:f>
      </x:c>
      <x:c r="Q196" t="n">
        <x:f>IF(E196="","",--(XMATCH(E196,$E$5:E196,0)=ROWS($E$5:E196)))</x:f>
        <x:v>0</x:v>
      </x:c>
      <x:c r="R196" t="str">
        <x:f>IF(Q196=1,SUM($Q$5:Q196),"")</x:f>
      </x:c>
    </x:row>
    <x:row r="197">
      <x:c r="A197" s="58" t="str">
        <x:v>T193</x:v>
      </x:c>
      <x:c r="B197" s="58" t="str">
        <x:v>T190</x:v>
      </x:c>
      <x:c r="C197" s="58" t="n">
        <x:v>5</x:v>
      </x:c>
      <x:c r="D197" s="58" t="str">
        <x:v>スイッチング周波数</x:v>
      </x:c>
      <x:c r="E197" s="58" t="str">
        <x:v>f_sw</x:v>
      </x:c>
      <x:c r="F197" s="59" t="n">
        <x:f>'01_入力仕様'!D10</x:f>
        <x:v>16000</x:v>
      </x:c>
      <x:c r="G197" s="59" t="str">
        <x:v>Hz</x:v>
      </x:c>
      <x:c r="H197" s="59" t="n">
        <x:f>ABS(K197)*$F$5</x:f>
        <x:v>0</x:v>
      </x:c>
      <x:c r="I197" s="58" t="str">
        <x:v>入力仕様</x:v>
      </x:c>
      <x:c r="J197" s="59" t="n">
        <x:f>-1</x:f>
        <x:v>-1</x:v>
      </x:c>
      <x:c r="K197" s="59" t="n">
        <x:f>K194*J197</x:f>
        <x:v>0</x:v>
      </x:c>
      <x:c r="L197" s="58" t="str">
        <x:f>IF(K197&gt;0,"増加→総重量増",IF(K197&lt;0,"増加→総重量減","中立"))</x:f>
        <x:v>中立</x:v>
      </x:c>
      <x:c r="M197" s="58" t="str">
        <x:v>設計対象</x:v>
      </x:c>
      <x:c r="N197" s="58" t="str"/>
      <x:c r="O197" s="229" t="n">
        <x:f>--(COUNTIF($B$5:$B$560,A197)=0)</x:f>
        <x:v>1</x:v>
      </x:c>
      <x:c r="P197" s="70" t="str">
        <x:f>IF(LEFT(E197,7)&lt;&gt;"Enable_","",IFERROR(IF(OR(ISNUMBER(SEARCH("=Enable",INDEX($I$5:$I$560,MATCH(B197,$A$5:$A$560,0)))),ISNUMBER(SEARCH("×Enable",INDEX($I$5:$I$560,MATCH(B197,$A$5:$A$560,0))))),1,""),""))</x:f>
      </x:c>
      <x:c r="Q197" t="n">
        <x:f>IF(E197="","",--(XMATCH(E197,$E$5:E197,0)=ROWS($E$5:E197)))</x:f>
        <x:v>0</x:v>
      </x:c>
      <x:c r="R197" t="str">
        <x:f>IF(Q197=1,SUM($Q$5:Q197),"")</x:f>
      </x:c>
    </x:row>
    <x:row r="198">
      <x:c r="A198" s="62" t="str">
        <x:v>T194</x:v>
      </x:c>
      <x:c r="B198" s="62" t="str">
        <x:v>T190</x:v>
      </x:c>
      <x:c r="C198" s="62" t="n">
        <x:v>5</x:v>
      </x:c>
      <x:c r="D198" s="62" t="str">
        <x:v>相電流</x:v>
      </x:c>
      <x:c r="E198" s="62" t="str">
        <x:v>I_phase</x:v>
      </x:c>
      <x:c r="F198" s="63" t="n">
        <x:f>'01_入力仕様'!D5*1000/(SQRT(3)*'01_入力仕様'!D7*'01_入力仕様'!D8*'01_入力仕様'!D9)</x:f>
        <x:v>156.63327975844433</x:v>
      </x:c>
      <x:c r="G198" s="63" t="str">
        <x:v>A</x:v>
      </x:c>
      <x:c r="H198" s="63" t="n">
        <x:f>ABS(K198)*$F$5</x:f>
        <x:v>0</x:v>
      </x:c>
      <x:c r="I198" s="62" t="str">
        <x:v>I_phase=P_out_const/(√3V_llPFeta)</x:v>
      </x:c>
      <x:c r="J198" s="63" t="n">
        <x:f>-1</x:f>
        <x:v>-1</x:v>
      </x:c>
      <x:c r="K198" s="63" t="n">
        <x:f>K194*J198</x:f>
        <x:v>0</x:v>
      </x:c>
      <x:c r="L198" s="62" t="str">
        <x:f>IF(K198&gt;0,"増加→総重量増",IF(K198&lt;0,"増加→総重量減","中立"))</x:f>
        <x:v>中立</x:v>
      </x:c>
      <x:c r="M198" s="62" t="str">
        <x:v>設計対象</x:v>
      </x:c>
      <x:c r="N198" s="62" t="str">
        <x:v>P_out固定要求</x:v>
      </x:c>
      <x:c r="O198" s="229" t="n">
        <x:f>--(COUNTIF($B$5:$B$560,A198)=0)</x:f>
        <x:v>0</x:v>
      </x:c>
      <x:c r="P198" s="70" t="str">
        <x:f>IF(LEFT(E198,7)&lt;&gt;"Enable_","",IFERROR(IF(OR(ISNUMBER(SEARCH("=Enable",INDEX($I$5:$I$560,MATCH(B198,$A$5:$A$560,0)))),ISNUMBER(SEARCH("×Enable",INDEX($I$5:$I$560,MATCH(B198,$A$5:$A$560,0))))),1,""),""))</x:f>
      </x:c>
      <x:c r="Q198" t="n">
        <x:f>IF(E198="","",--(XMATCH(E198,$E$5:E198,0)=ROWS($E$5:E198)))</x:f>
        <x:v>0</x:v>
      </x:c>
      <x:c r="R198" t="str">
        <x:f>IF(Q198=1,SUM($Q$5:Q198),"")</x:f>
      </x:c>
    </x:row>
    <x:row r="199">
      <x:c r="A199" s="58" t="str">
        <x:v>T195</x:v>
      </x:c>
      <x:c r="B199" s="58" t="str">
        <x:v>T194</x:v>
      </x:c>
      <x:c r="C199" s="58" t="n">
        <x:v>6</x:v>
      </x:c>
      <x:c r="D199" s="58" t="str">
        <x:v>線間電圧</x:v>
      </x:c>
      <x:c r="E199" s="58" t="str">
        <x:v>V_ll</x:v>
      </x:c>
      <x:c r="F199" s="59" t="n">
        <x:f>'01_入力仕様'!D7</x:f>
        <x:v>400</x:v>
      </x:c>
      <x:c r="G199" s="59" t="str">
        <x:v>V</x:v>
      </x:c>
      <x:c r="H199" s="59" t="n">
        <x:f>ABS(K199)*$F$5</x:f>
        <x:v>0</x:v>
      </x:c>
      <x:c r="I199" s="58" t="str">
        <x:v>入力仕様</x:v>
      </x:c>
      <x:c r="J199" s="59" t="n">
        <x:f>-1</x:f>
        <x:v>-1</x:v>
      </x:c>
      <x:c r="K199" s="59" t="n">
        <x:f>K198*J199</x:f>
        <x:v>0</x:v>
      </x:c>
      <x:c r="L199" s="58" t="str">
        <x:f>IF(K199&gt;0,"増加→総重量増",IF(K199&lt;0,"増加→総重量減","中立"))</x:f>
        <x:v>中立</x:v>
      </x:c>
      <x:c r="M199" s="58" t="str">
        <x:v>設計対象</x:v>
      </x:c>
      <x:c r="N199" s="58" t="str"/>
      <x:c r="O199" s="229" t="n">
        <x:f>--(COUNTIF($B$5:$B$560,A199)=0)</x:f>
        <x:v>1</x:v>
      </x:c>
      <x:c r="P199" s="70" t="str">
        <x:f>IF(LEFT(E199,7)&lt;&gt;"Enable_","",IFERROR(IF(OR(ISNUMBER(SEARCH("=Enable",INDEX($I$5:$I$560,MATCH(B199,$A$5:$A$560,0)))),ISNUMBER(SEARCH("×Enable",INDEX($I$5:$I$560,MATCH(B199,$A$5:$A$560,0))))),1,""),""))</x:f>
      </x:c>
      <x:c r="Q199" t="n">
        <x:f>IF(E199="","",--(XMATCH(E199,$E$5:E199,0)=ROWS($E$5:E199)))</x:f>
        <x:v>0</x:v>
      </x:c>
      <x:c r="R199" t="str">
        <x:f>IF(Q199=1,SUM($Q$5:Q199),"")</x:f>
      </x:c>
    </x:row>
    <x:row r="200">
      <x:c r="A200" s="58" t="str">
        <x:v>T196</x:v>
      </x:c>
      <x:c r="B200" s="58" t="str">
        <x:v>T194</x:v>
      </x:c>
      <x:c r="C200" s="58" t="n">
        <x:v>6</x:v>
      </x:c>
      <x:c r="D200" s="58" t="str">
        <x:v>力率</x:v>
      </x:c>
      <x:c r="E200" s="58" t="str">
        <x:v>PF</x:v>
      </x:c>
      <x:c r="F200" s="59" t="n">
        <x:f>'01_入力仕様'!D8</x:f>
        <x:v>0.95</x:v>
      </x:c>
      <x:c r="G200" s="59" t="str">
        <x:v>-</x:v>
      </x:c>
      <x:c r="H200" s="59" t="n">
        <x:f>ABS(K200)*$F$5</x:f>
        <x:v>0</x:v>
      </x:c>
      <x:c r="I200" s="58" t="str">
        <x:v>入力仕様</x:v>
      </x:c>
      <x:c r="J200" s="59" t="n">
        <x:f>-1</x:f>
        <x:v>-1</x:v>
      </x:c>
      <x:c r="K200" s="59" t="n">
        <x:f>K198*J200</x:f>
        <x:v>0</x:v>
      </x:c>
      <x:c r="L200" s="58" t="str">
        <x:f>IF(K200&gt;0,"増加→総重量増",IF(K200&lt;0,"増加→総重量減","中立"))</x:f>
        <x:v>中立</x:v>
      </x:c>
      <x:c r="M200" s="58" t="str">
        <x:v>設計対象</x:v>
      </x:c>
      <x:c r="N200" s="58" t="str"/>
      <x:c r="O200" s="229" t="n">
        <x:f>--(COUNTIF($B$5:$B$560,A200)=0)</x:f>
        <x:v>1</x:v>
      </x:c>
      <x:c r="P200" s="70" t="str">
        <x:f>IF(LEFT(E200,7)&lt;&gt;"Enable_","",IFERROR(IF(OR(ISNUMBER(SEARCH("=Enable",INDEX($I$5:$I$560,MATCH(B200,$A$5:$A$560,0)))),ISNUMBER(SEARCH("×Enable",INDEX($I$5:$I$560,MATCH(B200,$A$5:$A$560,0))))),1,""),""))</x:f>
      </x:c>
      <x:c r="Q200" t="n">
        <x:f>IF(E200="","",--(XMATCH(E200,$E$5:E200,0)=ROWS($E$5:E200)))</x:f>
        <x:v>0</x:v>
      </x:c>
      <x:c r="R200" t="str">
        <x:f>IF(Q200=1,SUM($Q$5:Q200),"")</x:f>
      </x:c>
    </x:row>
    <x:row r="201">
      <x:c r="A201" s="58" t="str">
        <x:v>T197</x:v>
      </x:c>
      <x:c r="B201" s="58" t="str">
        <x:v>T194</x:v>
      </x:c>
      <x:c r="C201" s="58" t="n">
        <x:v>6</x:v>
      </x:c>
      <x:c r="D201" s="58" t="str">
        <x:v>効率</x:v>
      </x:c>
      <x:c r="E201" s="58" t="str">
        <x:v>eta</x:v>
      </x:c>
      <x:c r="F201" s="59" t="n">
        <x:f>'01_入力仕様'!D9</x:f>
        <x:v>0.97</x:v>
      </x:c>
      <x:c r="G201" s="59" t="str">
        <x:v>-</x:v>
      </x:c>
      <x:c r="H201" s="59" t="n">
        <x:f>ABS(K201)*$F$5</x:f>
        <x:v>0</x:v>
      </x:c>
      <x:c r="I201" s="58" t="str">
        <x:v>入力仕様</x:v>
      </x:c>
      <x:c r="J201" s="59" t="n">
        <x:f>-1</x:f>
        <x:v>-1</x:v>
      </x:c>
      <x:c r="K201" s="59" t="n">
        <x:f>K198*J201</x:f>
        <x:v>0</x:v>
      </x:c>
      <x:c r="L201" s="58" t="str">
        <x:f>IF(K201&gt;0,"増加→総重量増",IF(K201&lt;0,"増加→総重量減","中立"))</x:f>
        <x:v>中立</x:v>
      </x:c>
      <x:c r="M201" s="58" t="str">
        <x:v>設計対象</x:v>
      </x:c>
      <x:c r="N201" s="58" t="str"/>
      <x:c r="O201" s="229" t="n">
        <x:f>--(COUNTIF($B$5:$B$560,A201)=0)</x:f>
        <x:v>1</x:v>
      </x:c>
      <x:c r="P201" s="70" t="str">
        <x:f>IF(LEFT(E201,7)&lt;&gt;"Enable_","",IFERROR(IF(OR(ISNUMBER(SEARCH("=Enable",INDEX($I$5:$I$560,MATCH(B201,$A$5:$A$560,0)))),ISNUMBER(SEARCH("×Enable",INDEX($I$5:$I$560,MATCH(B201,$A$5:$A$560,0))))),1,""),""))</x:f>
      </x:c>
      <x:c r="Q201" t="n">
        <x:f>IF(E201="","",--(XMATCH(E201,$E$5:E201,0)=ROWS($E$5:E201)))</x:f>
        <x:v>0</x:v>
      </x:c>
      <x:c r="R201" t="str">
        <x:f>IF(Q201=1,SUM($Q$5:Q201),"")</x:f>
      </x:c>
    </x:row>
    <x:row r="202">
      <x:c r="A202" s="62" t="str">
        <x:v>T198</x:v>
      </x:c>
      <x:c r="B202" s="62" t="str">
        <x:v>T188</x:v>
      </x:c>
      <x:c r="C202" s="62" t="n">
        <x:v>4</x:v>
      </x:c>
      <x:c r="D202" s="62" t="str">
        <x:v>相電流</x:v>
      </x:c>
      <x:c r="E202" s="62" t="str">
        <x:v>I_phase</x:v>
      </x:c>
      <x:c r="F202" s="63" t="n">
        <x:f>'01_入力仕様'!D5*1000/(SQRT(3)*'01_入力仕様'!D7*'01_入力仕様'!D8*'01_入力仕様'!D9)</x:f>
        <x:v>156.63327975844433</x:v>
      </x:c>
      <x:c r="G202" s="63" t="str">
        <x:v>A</x:v>
      </x:c>
      <x:c r="H202" s="63" t="n">
        <x:f>ABS(K202)*$F$5</x:f>
        <x:v>0</x:v>
      </x:c>
      <x:c r="I202" s="62" t="str">
        <x:v>I_phase=P_out_const/(√3V_llPFeta)</x:v>
      </x:c>
      <x:c r="J202" s="63" t="n">
        <x:f>2</x:f>
        <x:v>2</x:v>
      </x:c>
      <x:c r="K202" s="63" t="n">
        <x:f>K192*J202</x:f>
        <x:v>0</x:v>
      </x:c>
      <x:c r="L202" s="62" t="str">
        <x:f>IF(K202&gt;0,"増加→総重量増",IF(K202&lt;0,"増加→総重量減","中立"))</x:f>
        <x:v>中立</x:v>
      </x:c>
      <x:c r="M202" s="62" t="str">
        <x:v>設計対象</x:v>
      </x:c>
      <x:c r="N202" s="62" t="str">
        <x:v>P_out固定要求</x:v>
      </x:c>
      <x:c r="O202" s="229" t="n">
        <x:f>--(COUNTIF($B$5:$B$560,A202)=0)</x:f>
        <x:v>0</x:v>
      </x:c>
      <x:c r="P202" s="70" t="str">
        <x:f>IF(LEFT(E202,7)&lt;&gt;"Enable_","",IFERROR(IF(OR(ISNUMBER(SEARCH("=Enable",INDEX($I$5:$I$560,MATCH(B202,$A$5:$A$560,0)))),ISNUMBER(SEARCH("×Enable",INDEX($I$5:$I$560,MATCH(B202,$A$5:$A$560,0))))),1,""),""))</x:f>
      </x:c>
      <x:c r="Q202" t="n">
        <x:f>IF(E202="","",--(XMATCH(E202,$E$5:E202,0)=ROWS($E$5:E202)))</x:f>
        <x:v>0</x:v>
      </x:c>
      <x:c r="R202" t="str">
        <x:f>IF(Q202=1,SUM($Q$5:Q202),"")</x:f>
      </x:c>
    </x:row>
    <x:row r="203">
      <x:c r="A203" s="58" t="str">
        <x:v>T199</x:v>
      </x:c>
      <x:c r="B203" s="58" t="str">
        <x:v>T198</x:v>
      </x:c>
      <x:c r="C203" s="58" t="n">
        <x:v>5</x:v>
      </x:c>
      <x:c r="D203" s="58" t="str">
        <x:v>線間電圧</x:v>
      </x:c>
      <x:c r="E203" s="58" t="str">
        <x:v>V_ll</x:v>
      </x:c>
      <x:c r="F203" s="59" t="n">
        <x:f>'01_入力仕様'!D7</x:f>
        <x:v>400</x:v>
      </x:c>
      <x:c r="G203" s="59" t="str">
        <x:v>V</x:v>
      </x:c>
      <x:c r="H203" s="59" t="n">
        <x:f>ABS(K203)*$F$5</x:f>
        <x:v>0</x:v>
      </x:c>
      <x:c r="I203" s="58" t="str">
        <x:v>入力仕様</x:v>
      </x:c>
      <x:c r="J203" s="59" t="n">
        <x:f>-1</x:f>
        <x:v>-1</x:v>
      </x:c>
      <x:c r="K203" s="59" t="n">
        <x:f>K202*J203</x:f>
        <x:v>0</x:v>
      </x:c>
      <x:c r="L203" s="58" t="str">
        <x:f>IF(K203&gt;0,"増加→総重量増",IF(K203&lt;0,"増加→総重量減","中立"))</x:f>
        <x:v>中立</x:v>
      </x:c>
      <x:c r="M203" s="58" t="str">
        <x:v>設計対象</x:v>
      </x:c>
      <x:c r="N203" s="58" t="str"/>
      <x:c r="O203" s="229" t="n">
        <x:f>--(COUNTIF($B$5:$B$560,A203)=0)</x:f>
        <x:v>1</x:v>
      </x:c>
      <x:c r="P203" s="70" t="str">
        <x:f>IF(LEFT(E203,7)&lt;&gt;"Enable_","",IFERROR(IF(OR(ISNUMBER(SEARCH("=Enable",INDEX($I$5:$I$560,MATCH(B203,$A$5:$A$560,0)))),ISNUMBER(SEARCH("×Enable",INDEX($I$5:$I$560,MATCH(B203,$A$5:$A$560,0))))),1,""),""))</x:f>
      </x:c>
      <x:c r="Q203" t="n">
        <x:f>IF(E203="","",--(XMATCH(E203,$E$5:E203,0)=ROWS($E$5:E203)))</x:f>
        <x:v>0</x:v>
      </x:c>
      <x:c r="R203" t="str">
        <x:f>IF(Q203=1,SUM($Q$5:Q203),"")</x:f>
      </x:c>
    </x:row>
    <x:row r="204">
      <x:c r="A204" s="58" t="str">
        <x:v>T200</x:v>
      </x:c>
      <x:c r="B204" s="58" t="str">
        <x:v>T198</x:v>
      </x:c>
      <x:c r="C204" s="58" t="n">
        <x:v>5</x:v>
      </x:c>
      <x:c r="D204" s="58" t="str">
        <x:v>力率</x:v>
      </x:c>
      <x:c r="E204" s="58" t="str">
        <x:v>PF</x:v>
      </x:c>
      <x:c r="F204" s="59" t="n">
        <x:f>'01_入力仕様'!D8</x:f>
        <x:v>0.95</x:v>
      </x:c>
      <x:c r="G204" s="59" t="str">
        <x:v>-</x:v>
      </x:c>
      <x:c r="H204" s="59" t="n">
        <x:f>ABS(K204)*$F$5</x:f>
        <x:v>0</x:v>
      </x:c>
      <x:c r="I204" s="58" t="str">
        <x:v>入力仕様</x:v>
      </x:c>
      <x:c r="J204" s="59" t="n">
        <x:f>-1</x:f>
        <x:v>-1</x:v>
      </x:c>
      <x:c r="K204" s="59" t="n">
        <x:f>K202*J204</x:f>
        <x:v>0</x:v>
      </x:c>
      <x:c r="L204" s="58" t="str">
        <x:f>IF(K204&gt;0,"増加→総重量増",IF(K204&lt;0,"増加→総重量減","中立"))</x:f>
        <x:v>中立</x:v>
      </x:c>
      <x:c r="M204" s="58" t="str">
        <x:v>設計対象</x:v>
      </x:c>
      <x:c r="N204" s="58" t="str"/>
      <x:c r="O204" s="229" t="n">
        <x:f>--(COUNTIF($B$5:$B$560,A204)=0)</x:f>
        <x:v>1</x:v>
      </x:c>
      <x:c r="P204" s="70" t="str">
        <x:f>IF(LEFT(E204,7)&lt;&gt;"Enable_","",IFERROR(IF(OR(ISNUMBER(SEARCH("=Enable",INDEX($I$5:$I$560,MATCH(B204,$A$5:$A$560,0)))),ISNUMBER(SEARCH("×Enable",INDEX($I$5:$I$560,MATCH(B204,$A$5:$A$560,0))))),1,""),""))</x:f>
      </x:c>
      <x:c r="Q204" t="n">
        <x:f>IF(E204="","",--(XMATCH(E204,$E$5:E204,0)=ROWS($E$5:E204)))</x:f>
        <x:v>0</x:v>
      </x:c>
      <x:c r="R204" t="str">
        <x:f>IF(Q204=1,SUM($Q$5:Q204),"")</x:f>
      </x:c>
    </x:row>
    <x:row r="205">
      <x:c r="A205" s="58" t="str">
        <x:v>T201</x:v>
      </x:c>
      <x:c r="B205" s="58" t="str">
        <x:v>T198</x:v>
      </x:c>
      <x:c r="C205" s="58" t="n">
        <x:v>5</x:v>
      </x:c>
      <x:c r="D205" s="58" t="str">
        <x:v>効率</x:v>
      </x:c>
      <x:c r="E205" s="58" t="str">
        <x:v>eta</x:v>
      </x:c>
      <x:c r="F205" s="59" t="n">
        <x:f>'01_入力仕様'!D9</x:f>
        <x:v>0.97</x:v>
      </x:c>
      <x:c r="G205" s="59" t="str">
        <x:v>-</x:v>
      </x:c>
      <x:c r="H205" s="59" t="n">
        <x:f>ABS(K205)*$F$5</x:f>
        <x:v>0</x:v>
      </x:c>
      <x:c r="I205" s="58" t="str">
        <x:v>入力仕様</x:v>
      </x:c>
      <x:c r="J205" s="59" t="n">
        <x:f>-1</x:f>
        <x:v>-1</x:v>
      </x:c>
      <x:c r="K205" s="59" t="n">
        <x:f>K202*J205</x:f>
        <x:v>0</x:v>
      </x:c>
      <x:c r="L205" s="58" t="str">
        <x:f>IF(K205&gt;0,"増加→総重量増",IF(K205&lt;0,"増加→総重量減","中立"))</x:f>
        <x:v>中立</x:v>
      </x:c>
      <x:c r="M205" s="58" t="str">
        <x:v>設計対象</x:v>
      </x:c>
      <x:c r="N205" s="58" t="str"/>
      <x:c r="O205" s="229" t="n">
        <x:f>--(COUNTIF($B$5:$B$560,A205)=0)</x:f>
        <x:v>1</x:v>
      </x:c>
      <x:c r="P205" s="70" t="str">
        <x:f>IF(LEFT(E205,7)&lt;&gt;"Enable_","",IFERROR(IF(OR(ISNUMBER(SEARCH("=Enable",INDEX($I$5:$I$560,MATCH(B205,$A$5:$A$560,0)))),ISNUMBER(SEARCH("×Enable",INDEX($I$5:$I$560,MATCH(B205,$A$5:$A$560,0))))),1,""),""))</x:f>
      </x:c>
      <x:c r="Q205" t="n">
        <x:f>IF(E205="","",--(XMATCH(E205,$E$5:E205,0)=ROWS($E$5:E205)))</x:f>
        <x:v>0</x:v>
      </x:c>
      <x:c r="R205" t="str">
        <x:f>IF(Q205=1,SUM($Q$5:Q205),"")</x:f>
      </x:c>
    </x:row>
    <x:row r="206">
      <x:c r="A206" s="54" t="str">
        <x:v>T202</x:v>
      </x:c>
      <x:c r="B206" s="54" t="str">
        <x:v>T187</x:v>
      </x:c>
      <x:c r="C206" s="54" t="n">
        <x:v>3</x:v>
      </x:c>
      <x:c r="D206" s="54" t="str">
        <x:v>共振コンデンサ重量</x:v>
      </x:c>
      <x:c r="E206" s="54" t="str">
        <x:v>m_Cr</x:v>
      </x:c>
      <x:c r="F206" s="55" t="n">
        <x:f>'01_入力仕様'!D95*F208*('01_入力仕様'!D6/1000)^2</x:f>
        <x:v>4.935934223797923e-8</x:v>
      </x:c>
      <x:c r="G206" s="55" t="str">
        <x:v>kg</x:v>
      </x:c>
      <x:c r="H206" s="55" t="n">
        <x:f>ABS(K206)*$F$5</x:f>
        <x:v>0</x:v>
      </x:c>
      <x:c r="I206" s="54" t="str">
        <x:v>m_Cr=k_mCr×C_r×(V_dc/1000)^2</x:v>
      </x:c>
      <x:c r="J206" s="55" t="n">
        <x:f>IF(F191=0,0,F206/F191)</x:f>
        <x:v>0.012074643249176733</x:v>
      </x:c>
      <x:c r="K206" s="55" t="n">
        <x:f>K191*J206</x:f>
        <x:v>0</x:v>
      </x:c>
      <x:c r="L206" s="54" t="str">
        <x:f>IF(K206&gt;0,"増加→総重量増",IF(K206&lt;0,"増加→総重量減","中立"))</x:f>
        <x:v>中立</x:v>
      </x:c>
      <x:c r="M206" s="54" t="str">
        <x:v>設計対象</x:v>
      </x:c>
      <x:c r="N206" s="54" t="str"/>
      <x:c r="O206" s="229" t="n">
        <x:f>--(COUNTIF($B$5:$B$560,A206)=0)</x:f>
        <x:v>0</x:v>
      </x:c>
      <x:c r="P206" s="70" t="str">
        <x:f>IF(LEFT(E206,7)&lt;&gt;"Enable_","",IFERROR(IF(OR(ISNUMBER(SEARCH("=Enable",INDEX($I$5:$I$560,MATCH(B206,$A$5:$A$560,0)))),ISNUMBER(SEARCH("×Enable",INDEX($I$5:$I$560,MATCH(B206,$A$5:$A$560,0))))),1,""),""))</x:f>
      </x:c>
      <x:c r="Q206" t="n">
        <x:f>IF(E206="","",--(XMATCH(E206,$E$5:E206,0)=ROWS($E$5:E206)))</x:f>
        <x:v>1</x:v>
      </x:c>
      <x:c r="R206" t="n">
        <x:f>IF(Q206=1,SUM($Q$5:Q206),"")</x:f>
        <x:v>151</x:v>
      </x:c>
    </x:row>
    <x:row r="207">
      <x:c r="A207" s="58" t="str">
        <x:v>T203</x:v>
      </x:c>
      <x:c r="B207" s="58" t="str">
        <x:v>T202</x:v>
      </x:c>
      <x:c r="C207" s="58" t="n">
        <x:v>4</x:v>
      </x:c>
      <x:c r="D207" s="58" t="str">
        <x:v>C重量係数</x:v>
      </x:c>
      <x:c r="E207" s="58" t="str">
        <x:v>k_mCr</x:v>
      </x:c>
      <x:c r="F207" s="59" t="n">
        <x:f>'01_入力仕様'!D95</x:f>
        <x:v>0.22</x:v>
      </x:c>
      <x:c r="G207" s="59" t="str">
        <x:v>kg/(F·kV²)</x:v>
      </x:c>
      <x:c r="H207" s="59" t="n">
        <x:f>ABS(K207)*$F$5</x:f>
        <x:v>0</x:v>
      </x:c>
      <x:c r="I207" s="58" t="str">
        <x:v>入力仕様</x:v>
      </x:c>
      <x:c r="J207" s="59" t="n">
        <x:f>1</x:f>
        <x:v>1</x:v>
      </x:c>
      <x:c r="K207" s="59" t="n">
        <x:f>K206*J207</x:f>
        <x:v>0</x:v>
      </x:c>
      <x:c r="L207" s="58" t="str">
        <x:f>IF(K207&gt;0,"増加→総重量増",IF(K207&lt;0,"増加→総重量減","中立"))</x:f>
        <x:v>中立</x:v>
      </x:c>
      <x:c r="M207" s="58" t="str">
        <x:v>設計対象</x:v>
      </x:c>
      <x:c r="N207" s="58" t="str"/>
      <x:c r="O207" s="229" t="n">
        <x:f>--(COUNTIF($B$5:$B$560,A207)=0)</x:f>
        <x:v>1</x:v>
      </x:c>
      <x:c r="P207" s="70" t="str">
        <x:f>IF(LEFT(E207,7)&lt;&gt;"Enable_","",IFERROR(IF(OR(ISNUMBER(SEARCH("=Enable",INDEX($I$5:$I$560,MATCH(B207,$A$5:$A$560,0)))),ISNUMBER(SEARCH("×Enable",INDEX($I$5:$I$560,MATCH(B207,$A$5:$A$560,0))))),1,""),""))</x:f>
      </x:c>
      <x:c r="Q207" t="n">
        <x:f>IF(E207="","",--(XMATCH(E207,$E$5:E207,0)=ROWS($E$5:E207)))</x:f>
        <x:v>1</x:v>
      </x:c>
      <x:c r="R207" t="n">
        <x:f>IF(Q207=1,SUM($Q$5:Q207),"")</x:f>
        <x:v>152</x:v>
      </x:c>
    </x:row>
    <x:row r="208">
      <x:c r="A208" s="62" t="str">
        <x:v>T204</x:v>
      </x:c>
      <x:c r="B208" s="62" t="str">
        <x:v>T202</x:v>
      </x:c>
      <x:c r="C208" s="62" t="n">
        <x:v>4</x:v>
      </x:c>
      <x:c r="D208" s="62" t="str">
        <x:v>共振容量</x:v>
      </x:c>
      <x:c r="E208" s="62" t="str">
        <x:v>C_r</x:v>
      </x:c>
      <x:c r="F208" s="63" t="n">
        <x:f>'01_入力仕様'!D93*F210/(2*PI()*'01_入力仕様'!D10*'01_入力仕様'!D6)</x:f>
        <x:v>3.505635102129206e-7</x:v>
      </x:c>
      <x:c r="G208" s="63" t="str">
        <x:v>F</x:v>
      </x:c>
      <x:c r="H208" s="63" t="n">
        <x:f>ABS(K208)*$F$5</x:f>
        <x:v>0</x:v>
      </x:c>
      <x:c r="I208" s="62" t="str">
        <x:v>C_r=k_Cr×I_phase/(2πf_sw V_dc)</x:v>
      </x:c>
      <x:c r="J208" s="63" t="n">
        <x:f>1</x:f>
        <x:v>1</x:v>
      </x:c>
      <x:c r="K208" s="63" t="n">
        <x:f>K206*J208</x:f>
        <x:v>0</x:v>
      </x:c>
      <x:c r="L208" s="62" t="str">
        <x:f>IF(K208&gt;0,"増加→総重量増",IF(K208&lt;0,"増加→総重量減","中立"))</x:f>
        <x:v>中立</x:v>
      </x:c>
      <x:c r="M208" s="62" t="str">
        <x:v>設計対象</x:v>
      </x:c>
      <x:c r="N208" s="62" t="str"/>
      <x:c r="O208" s="229" t="n">
        <x:f>--(COUNTIF($B$5:$B$560,A208)=0)</x:f>
        <x:v>0</x:v>
      </x:c>
      <x:c r="P208" s="70" t="str">
        <x:f>IF(LEFT(E208,7)&lt;&gt;"Enable_","",IFERROR(IF(OR(ISNUMBER(SEARCH("=Enable",INDEX($I$5:$I$560,MATCH(B208,$A$5:$A$560,0)))),ISNUMBER(SEARCH("×Enable",INDEX($I$5:$I$560,MATCH(B208,$A$5:$A$560,0))))),1,""),""))</x:f>
      </x:c>
      <x:c r="Q208" t="n">
        <x:f>IF(E208="","",--(XMATCH(E208,$E$5:E208,0)=ROWS($E$5:E208)))</x:f>
        <x:v>1</x:v>
      </x:c>
      <x:c r="R208" t="n">
        <x:f>IF(Q208=1,SUM($Q$5:Q208),"")</x:f>
        <x:v>153</x:v>
      </x:c>
    </x:row>
    <x:row r="209">
      <x:c r="A209" s="58" t="str">
        <x:v>T205</x:v>
      </x:c>
      <x:c r="B209" s="58" t="str">
        <x:v>T204</x:v>
      </x:c>
      <x:c r="C209" s="58" t="n">
        <x:v>5</x:v>
      </x:c>
      <x:c r="D209" s="58" t="str">
        <x:v>共振C設計係数</x:v>
      </x:c>
      <x:c r="E209" s="58" t="str">
        <x:v>k_Cr</x:v>
      </x:c>
      <x:c r="F209" s="59" t="n">
        <x:f>'01_入力仕様'!D93</x:f>
        <x:v>0.18</x:v>
      </x:c>
      <x:c r="G209" s="59" t="str">
        <x:v>-</x:v>
      </x:c>
      <x:c r="H209" s="59" t="n">
        <x:f>ABS(K209)*$F$5</x:f>
        <x:v>0</x:v>
      </x:c>
      <x:c r="I209" s="58" t="str">
        <x:v>入力仕様</x:v>
      </x:c>
      <x:c r="J209" s="59" t="n">
        <x:f>1</x:f>
        <x:v>1</x:v>
      </x:c>
      <x:c r="K209" s="59" t="n">
        <x:f>K208*J209</x:f>
        <x:v>0</x:v>
      </x:c>
      <x:c r="L209" s="58" t="str">
        <x:f>IF(K209&gt;0,"増加→総重量増",IF(K209&lt;0,"増加→総重量減","中立"))</x:f>
        <x:v>中立</x:v>
      </x:c>
      <x:c r="M209" s="58" t="str">
        <x:v>設計対象</x:v>
      </x:c>
      <x:c r="N209" s="58" t="str"/>
      <x:c r="O209" s="229" t="n">
        <x:f>--(COUNTIF($B$5:$B$560,A209)=0)</x:f>
        <x:v>1</x:v>
      </x:c>
      <x:c r="P209" s="70" t="str">
        <x:f>IF(LEFT(E209,7)&lt;&gt;"Enable_","",IFERROR(IF(OR(ISNUMBER(SEARCH("=Enable",INDEX($I$5:$I$560,MATCH(B209,$A$5:$A$560,0)))),ISNUMBER(SEARCH("×Enable",INDEX($I$5:$I$560,MATCH(B209,$A$5:$A$560,0))))),1,""),""))</x:f>
      </x:c>
      <x:c r="Q209" t="n">
        <x:f>IF(E209="","",--(XMATCH(E209,$E$5:E209,0)=ROWS($E$5:E209)))</x:f>
        <x:v>1</x:v>
      </x:c>
      <x:c r="R209" t="n">
        <x:f>IF(Q209=1,SUM($Q$5:Q209),"")</x:f>
        <x:v>154</x:v>
      </x:c>
    </x:row>
    <x:row r="210">
      <x:c r="A210" s="62" t="str">
        <x:v>T206</x:v>
      </x:c>
      <x:c r="B210" s="62" t="str">
        <x:v>T204</x:v>
      </x:c>
      <x:c r="C210" s="62" t="n">
        <x:v>5</x:v>
      </x:c>
      <x:c r="D210" s="62" t="str">
        <x:v>相電流</x:v>
      </x:c>
      <x:c r="E210" s="62" t="str">
        <x:v>I_phase</x:v>
      </x:c>
      <x:c r="F210" s="63" t="n">
        <x:f>'01_入力仕様'!D5*1000/(SQRT(3)*'01_入力仕様'!D7*'01_入力仕様'!D8*'01_入力仕様'!D9)</x:f>
        <x:v>156.63327975844433</x:v>
      </x:c>
      <x:c r="G210" s="63" t="str">
        <x:v>A</x:v>
      </x:c>
      <x:c r="H210" s="63" t="n">
        <x:f>ABS(K210)*$F$5</x:f>
        <x:v>0</x:v>
      </x:c>
      <x:c r="I210" s="62" t="str">
        <x:v>I_phase=P_out_const/(√3V_llPFeta)</x:v>
      </x:c>
      <x:c r="J210" s="63" t="n">
        <x:f>1</x:f>
        <x:v>1</x:v>
      </x:c>
      <x:c r="K210" s="63" t="n">
        <x:f>K208*J210</x:f>
        <x:v>0</x:v>
      </x:c>
      <x:c r="L210" s="62" t="str">
        <x:f>IF(K210&gt;0,"増加→総重量増",IF(K210&lt;0,"増加→総重量減","中立"))</x:f>
        <x:v>中立</x:v>
      </x:c>
      <x:c r="M210" s="62" t="str">
        <x:v>設計対象</x:v>
      </x:c>
      <x:c r="N210" s="62" t="str">
        <x:v>P_out固定要求</x:v>
      </x:c>
      <x:c r="O210" s="229" t="n">
        <x:f>--(COUNTIF($B$5:$B$560,A210)=0)</x:f>
        <x:v>0</x:v>
      </x:c>
      <x:c r="P210" s="70" t="str">
        <x:f>IF(LEFT(E210,7)&lt;&gt;"Enable_","",IFERROR(IF(OR(ISNUMBER(SEARCH("=Enable",INDEX($I$5:$I$560,MATCH(B210,$A$5:$A$560,0)))),ISNUMBER(SEARCH("×Enable",INDEX($I$5:$I$560,MATCH(B210,$A$5:$A$560,0))))),1,""),""))</x:f>
      </x:c>
      <x:c r="Q210" t="n">
        <x:f>IF(E210="","",--(XMATCH(E210,$E$5:E210,0)=ROWS($E$5:E210)))</x:f>
        <x:v>0</x:v>
      </x:c>
      <x:c r="R210" t="str">
        <x:f>IF(Q210=1,SUM($Q$5:Q210),"")</x:f>
      </x:c>
    </x:row>
    <x:row r="211">
      <x:c r="A211" s="58" t="str">
        <x:v>T207</x:v>
      </x:c>
      <x:c r="B211" s="58" t="str">
        <x:v>T206</x:v>
      </x:c>
      <x:c r="C211" s="58" t="n">
        <x:v>6</x:v>
      </x:c>
      <x:c r="D211" s="58" t="str">
        <x:v>線間電圧</x:v>
      </x:c>
      <x:c r="E211" s="58" t="str">
        <x:v>V_ll</x:v>
      </x:c>
      <x:c r="F211" s="59" t="n">
        <x:f>'01_入力仕様'!D7</x:f>
        <x:v>400</x:v>
      </x:c>
      <x:c r="G211" s="59" t="str">
        <x:v>V</x:v>
      </x:c>
      <x:c r="H211" s="59" t="n">
        <x:f>ABS(K211)*$F$5</x:f>
        <x:v>0</x:v>
      </x:c>
      <x:c r="I211" s="58" t="str">
        <x:v>入力仕様</x:v>
      </x:c>
      <x:c r="J211" s="59" t="n">
        <x:f>-1</x:f>
        <x:v>-1</x:v>
      </x:c>
      <x:c r="K211" s="59" t="n">
        <x:f>K210*J211</x:f>
        <x:v>0</x:v>
      </x:c>
      <x:c r="L211" s="58" t="str">
        <x:f>IF(K211&gt;0,"増加→総重量増",IF(K211&lt;0,"増加→総重量減","中立"))</x:f>
        <x:v>中立</x:v>
      </x:c>
      <x:c r="M211" s="58" t="str">
        <x:v>設計対象</x:v>
      </x:c>
      <x:c r="N211" s="58" t="str"/>
      <x:c r="O211" s="229" t="n">
        <x:f>--(COUNTIF($B$5:$B$560,A211)=0)</x:f>
        <x:v>1</x:v>
      </x:c>
      <x:c r="P211" s="70" t="str">
        <x:f>IF(LEFT(E211,7)&lt;&gt;"Enable_","",IFERROR(IF(OR(ISNUMBER(SEARCH("=Enable",INDEX($I$5:$I$560,MATCH(B211,$A$5:$A$560,0)))),ISNUMBER(SEARCH("×Enable",INDEX($I$5:$I$560,MATCH(B211,$A$5:$A$560,0))))),1,""),""))</x:f>
      </x:c>
      <x:c r="Q211" t="n">
        <x:f>IF(E211="","",--(XMATCH(E211,$E$5:E211,0)=ROWS($E$5:E211)))</x:f>
        <x:v>0</x:v>
      </x:c>
      <x:c r="R211" t="str">
        <x:f>IF(Q211=1,SUM($Q$5:Q211),"")</x:f>
      </x:c>
    </x:row>
    <x:row r="212">
      <x:c r="A212" s="58" t="str">
        <x:v>T208</x:v>
      </x:c>
      <x:c r="B212" s="58" t="str">
        <x:v>T206</x:v>
      </x:c>
      <x:c r="C212" s="58" t="n">
        <x:v>6</x:v>
      </x:c>
      <x:c r="D212" s="58" t="str">
        <x:v>力率</x:v>
      </x:c>
      <x:c r="E212" s="58" t="str">
        <x:v>PF</x:v>
      </x:c>
      <x:c r="F212" s="59" t="n">
        <x:f>'01_入力仕様'!D8</x:f>
        <x:v>0.95</x:v>
      </x:c>
      <x:c r="G212" s="59" t="str">
        <x:v>-</x:v>
      </x:c>
      <x:c r="H212" s="59" t="n">
        <x:f>ABS(K212)*$F$5</x:f>
        <x:v>0</x:v>
      </x:c>
      <x:c r="I212" s="58" t="str">
        <x:v>入力仕様</x:v>
      </x:c>
      <x:c r="J212" s="59" t="n">
        <x:f>-1</x:f>
        <x:v>-1</x:v>
      </x:c>
      <x:c r="K212" s="59" t="n">
        <x:f>K210*J212</x:f>
        <x:v>0</x:v>
      </x:c>
      <x:c r="L212" s="58" t="str">
        <x:f>IF(K212&gt;0,"増加→総重量増",IF(K212&lt;0,"増加→総重量減","中立"))</x:f>
        <x:v>中立</x:v>
      </x:c>
      <x:c r="M212" s="58" t="str">
        <x:v>設計対象</x:v>
      </x:c>
      <x:c r="N212" s="58" t="str"/>
      <x:c r="O212" s="229" t="n">
        <x:f>--(COUNTIF($B$5:$B$560,A212)=0)</x:f>
        <x:v>1</x:v>
      </x:c>
      <x:c r="P212" s="70" t="str">
        <x:f>IF(LEFT(E212,7)&lt;&gt;"Enable_","",IFERROR(IF(OR(ISNUMBER(SEARCH("=Enable",INDEX($I$5:$I$560,MATCH(B212,$A$5:$A$560,0)))),ISNUMBER(SEARCH("×Enable",INDEX($I$5:$I$560,MATCH(B212,$A$5:$A$560,0))))),1,""),""))</x:f>
      </x:c>
      <x:c r="Q212" t="n">
        <x:f>IF(E212="","",--(XMATCH(E212,$E$5:E212,0)=ROWS($E$5:E212)))</x:f>
        <x:v>0</x:v>
      </x:c>
      <x:c r="R212" t="str">
        <x:f>IF(Q212=1,SUM($Q$5:Q212),"")</x:f>
      </x:c>
    </x:row>
    <x:row r="213">
      <x:c r="A213" s="58" t="str">
        <x:v>T209</x:v>
      </x:c>
      <x:c r="B213" s="58" t="str">
        <x:v>T206</x:v>
      </x:c>
      <x:c r="C213" s="58" t="n">
        <x:v>6</x:v>
      </x:c>
      <x:c r="D213" s="58" t="str">
        <x:v>効率</x:v>
      </x:c>
      <x:c r="E213" s="58" t="str">
        <x:v>eta</x:v>
      </x:c>
      <x:c r="F213" s="59" t="n">
        <x:f>'01_入力仕様'!D9</x:f>
        <x:v>0.97</x:v>
      </x:c>
      <x:c r="G213" s="59" t="str">
        <x:v>-</x:v>
      </x:c>
      <x:c r="H213" s="59" t="n">
        <x:f>ABS(K213)*$F$5</x:f>
        <x:v>0</x:v>
      </x:c>
      <x:c r="I213" s="58" t="str">
        <x:v>入力仕様</x:v>
      </x:c>
      <x:c r="J213" s="59" t="n">
        <x:f>-1</x:f>
        <x:v>-1</x:v>
      </x:c>
      <x:c r="K213" s="59" t="n">
        <x:f>K210*J213</x:f>
        <x:v>0</x:v>
      </x:c>
      <x:c r="L213" s="58" t="str">
        <x:f>IF(K213&gt;0,"増加→総重量増",IF(K213&lt;0,"増加→総重量減","中立"))</x:f>
        <x:v>中立</x:v>
      </x:c>
      <x:c r="M213" s="58" t="str">
        <x:v>設計対象</x:v>
      </x:c>
      <x:c r="N213" s="58" t="str"/>
      <x:c r="O213" s="229" t="n">
        <x:f>--(COUNTIF($B$5:$B$560,A213)=0)</x:f>
        <x:v>1</x:v>
      </x:c>
      <x:c r="P213" s="70" t="str">
        <x:f>IF(LEFT(E213,7)&lt;&gt;"Enable_","",IFERROR(IF(OR(ISNUMBER(SEARCH("=Enable",INDEX($I$5:$I$560,MATCH(B213,$A$5:$A$560,0)))),ISNUMBER(SEARCH("×Enable",INDEX($I$5:$I$560,MATCH(B213,$A$5:$A$560,0))))),1,""),""))</x:f>
      </x:c>
      <x:c r="Q213" t="n">
        <x:f>IF(E213="","",--(XMATCH(E213,$E$5:E213,0)=ROWS($E$5:E213)))</x:f>
        <x:v>0</x:v>
      </x:c>
      <x:c r="R213" t="str">
        <x:f>IF(Q213=1,SUM($Q$5:Q213),"")</x:f>
      </x:c>
    </x:row>
    <x:row r="214">
      <x:c r="A214" s="58" t="str">
        <x:v>T210</x:v>
      </x:c>
      <x:c r="B214" s="58" t="str">
        <x:v>T204</x:v>
      </x:c>
      <x:c r="C214" s="58" t="n">
        <x:v>5</x:v>
      </x:c>
      <x:c r="D214" s="58" t="str">
        <x:v>スイッチング周波数</x:v>
      </x:c>
      <x:c r="E214" s="58" t="str">
        <x:v>f_sw</x:v>
      </x:c>
      <x:c r="F214" s="59" t="n">
        <x:f>'01_入力仕様'!D10</x:f>
        <x:v>16000</x:v>
      </x:c>
      <x:c r="G214" s="59" t="str">
        <x:v>Hz</x:v>
      </x:c>
      <x:c r="H214" s="59" t="n">
        <x:f>ABS(K214)*$F$5</x:f>
        <x:v>0</x:v>
      </x:c>
      <x:c r="I214" s="58" t="str">
        <x:v>入力仕様</x:v>
      </x:c>
      <x:c r="J214" s="59" t="n">
        <x:f>-1</x:f>
        <x:v>-1</x:v>
      </x:c>
      <x:c r="K214" s="59" t="n">
        <x:f>K208*J214</x:f>
        <x:v>0</x:v>
      </x:c>
      <x:c r="L214" s="58" t="str">
        <x:f>IF(K214&gt;0,"増加→総重量増",IF(K214&lt;0,"増加→総重量減","中立"))</x:f>
        <x:v>中立</x:v>
      </x:c>
      <x:c r="M214" s="58" t="str">
        <x:v>設計対象</x:v>
      </x:c>
      <x:c r="N214" s="58" t="str"/>
      <x:c r="O214" s="229" t="n">
        <x:f>--(COUNTIF($B$5:$B$560,A214)=0)</x:f>
        <x:v>1</x:v>
      </x:c>
      <x:c r="P214" s="70" t="str">
        <x:f>IF(LEFT(E214,7)&lt;&gt;"Enable_","",IFERROR(IF(OR(ISNUMBER(SEARCH("=Enable",INDEX($I$5:$I$560,MATCH(B214,$A$5:$A$560,0)))),ISNUMBER(SEARCH("×Enable",INDEX($I$5:$I$560,MATCH(B214,$A$5:$A$560,0))))),1,""),""))</x:f>
      </x:c>
      <x:c r="Q214" t="n">
        <x:f>IF(E214="","",--(XMATCH(E214,$E$5:E214,0)=ROWS($E$5:E214)))</x:f>
        <x:v>0</x:v>
      </x:c>
      <x:c r="R214" t="str">
        <x:f>IF(Q214=1,SUM($Q$5:Q214),"")</x:f>
      </x:c>
    </x:row>
    <x:row r="215">
      <x:c r="A215" s="58" t="str">
        <x:v>T211</x:v>
      </x:c>
      <x:c r="B215" s="58" t="str">
        <x:v>T204</x:v>
      </x:c>
      <x:c r="C215" s="58" t="n">
        <x:v>5</x:v>
      </x:c>
      <x:c r="D215" s="58" t="str">
        <x:v>DCバス電圧</x:v>
      </x:c>
      <x:c r="E215" s="58" t="str">
        <x:v>V_dc</x:v>
      </x:c>
      <x:c r="F215" s="59" t="n">
        <x:f>'01_入力仕様'!D6</x:f>
        <x:v>800</x:v>
      </x:c>
      <x:c r="G215" s="59" t="str">
        <x:v>V</x:v>
      </x:c>
      <x:c r="H215" s="59" t="n">
        <x:f>ABS(K215)*$F$5</x:f>
        <x:v>0</x:v>
      </x:c>
      <x:c r="I215" s="58" t="str">
        <x:v>入力仕様</x:v>
      </x:c>
      <x:c r="J215" s="59" t="n">
        <x:f>-1</x:f>
        <x:v>-1</x:v>
      </x:c>
      <x:c r="K215" s="59" t="n">
        <x:f>K208*J215</x:f>
        <x:v>0</x:v>
      </x:c>
      <x:c r="L215" s="58" t="str">
        <x:f>IF(K215&gt;0,"増加→総重量増",IF(K215&lt;0,"増加→総重量減","中立"))</x:f>
        <x:v>中立</x:v>
      </x:c>
      <x:c r="M215" s="58" t="str">
        <x:v>設計対象</x:v>
      </x:c>
      <x:c r="N215" s="58" t="str"/>
      <x:c r="O215" s="229" t="n">
        <x:f>--(COUNTIF($B$5:$B$560,A215)=0)</x:f>
        <x:v>1</x:v>
      </x:c>
      <x:c r="P215" s="70" t="str">
        <x:f>IF(LEFT(E215,7)&lt;&gt;"Enable_","",IFERROR(IF(OR(ISNUMBER(SEARCH("=Enable",INDEX($I$5:$I$560,MATCH(B215,$A$5:$A$560,0)))),ISNUMBER(SEARCH("×Enable",INDEX($I$5:$I$560,MATCH(B215,$A$5:$A$560,0))))),1,""),""))</x:f>
      </x:c>
      <x:c r="Q215" t="n">
        <x:f>IF(E215="","",--(XMATCH(E215,$E$5:E215,0)=ROWS($E$5:E215)))</x:f>
        <x:v>0</x:v>
      </x:c>
      <x:c r="R215" t="str">
        <x:f>IF(Q215=1,SUM($Q$5:Q215),"")</x:f>
      </x:c>
    </x:row>
    <x:row r="216">
      <x:c r="A216" s="58" t="str">
        <x:v>T212</x:v>
      </x:c>
      <x:c r="B216" s="58" t="str">
        <x:v>T202</x:v>
      </x:c>
      <x:c r="C216" s="58" t="n">
        <x:v>4</x:v>
      </x:c>
      <x:c r="D216" s="58" t="str">
        <x:v>DCバス電圧</x:v>
      </x:c>
      <x:c r="E216" s="58" t="str">
        <x:v>V_dc</x:v>
      </x:c>
      <x:c r="F216" s="59" t="n">
        <x:f>'01_入力仕様'!D6</x:f>
        <x:v>800</x:v>
      </x:c>
      <x:c r="G216" s="59" t="str">
        <x:v>V</x:v>
      </x:c>
      <x:c r="H216" s="59" t="n">
        <x:f>ABS(K216)*$F$5</x:f>
        <x:v>0</x:v>
      </x:c>
      <x:c r="I216" s="58" t="str">
        <x:v>入力仕様</x:v>
      </x:c>
      <x:c r="J216" s="59" t="n">
        <x:f>2</x:f>
        <x:v>2</x:v>
      </x:c>
      <x:c r="K216" s="59" t="n">
        <x:f>K206*J216</x:f>
        <x:v>0</x:v>
      </x:c>
      <x:c r="L216" s="58" t="str">
        <x:f>IF(K216&gt;0,"増加→総重量増",IF(K216&lt;0,"増加→総重量減","中立"))</x:f>
        <x:v>中立</x:v>
      </x:c>
      <x:c r="M216" s="58" t="str">
        <x:v>設計対象</x:v>
      </x:c>
      <x:c r="N216" s="58" t="str"/>
      <x:c r="O216" s="229" t="n">
        <x:f>--(COUNTIF($B$5:$B$560,A216)=0)</x:f>
        <x:v>1</x:v>
      </x:c>
      <x:c r="P216" s="70" t="str">
        <x:f>IF(LEFT(E216,7)&lt;&gt;"Enable_","",IFERROR(IF(OR(ISNUMBER(SEARCH("=Enable",INDEX($I$5:$I$560,MATCH(B216,$A$5:$A$560,0)))),ISNUMBER(SEARCH("×Enable",INDEX($I$5:$I$560,MATCH(B216,$A$5:$A$560,0))))),1,""),""))</x:f>
      </x:c>
      <x:c r="Q216" t="n">
        <x:f>IF(E216="","",--(XMATCH(E216,$E$5:E216,0)=ROWS($E$5:E216)))</x:f>
        <x:v>0</x:v>
      </x:c>
      <x:c r="R216" t="str">
        <x:f>IF(Q216=1,SUM($Q$5:Q216),"")</x:f>
      </x:c>
    </x:row>
    <x:row r="217">
      <x:c r="A217" s="58" t="str">
        <x:v>T213</x:v>
      </x:c>
      <x:c r="B217" s="58" t="str">
        <x:v>T182</x:v>
      </x:c>
      <x:c r="C217" s="58" t="n">
        <x:v>2</x:v>
      </x:c>
      <x:c r="D217" s="58" t="str">
        <x:v>追加制御回路重量</x:v>
      </x:c>
      <x:c r="E217" s="58" t="str">
        <x:v>m_ctrl_ss</x:v>
      </x:c>
      <x:c r="F217" s="59" t="n">
        <x:f>'01_入力仕様'!D96</x:f>
        <x:v>0.08</x:v>
      </x:c>
      <x:c r="G217" s="59" t="str">
        <x:v>kg</x:v>
      </x:c>
      <x:c r="H217" s="59" t="n">
        <x:f>ABS(K217)*$F$5</x:f>
        <x:v>0</x:v>
      </x:c>
      <x:c r="I217" s="58" t="str">
        <x:v>入力仕様</x:v>
      </x:c>
      <x:c r="J217" s="59" t="n">
        <x:f>IF((F188+F191+'01_入力仕様'!D96)=0,0,'01_入力仕様'!D96/(F188+F191+'01_入力仕様'!D96))</x:f>
        <x:v>0.4705769197157507</x:v>
      </x:c>
      <x:c r="K217" s="59" t="n">
        <x:f>K186*J217</x:f>
        <x:v>0</x:v>
      </x:c>
      <x:c r="L217" s="58" t="str">
        <x:f>IF(K217&gt;0,"増加→総重量増",IF(K217&lt;0,"増加→総重量減","中立"))</x:f>
        <x:v>中立</x:v>
      </x:c>
      <x:c r="M217" s="58" t="str">
        <x:v>設計対象</x:v>
      </x:c>
      <x:c r="N217" s="58" t="str"/>
      <x:c r="O217" s="229" t="n">
        <x:f>--(COUNTIF($B$5:$B$560,A217)=0)</x:f>
        <x:v>1</x:v>
      </x:c>
      <x:c r="P217" s="70" t="str">
        <x:f>IF(LEFT(E217,7)&lt;&gt;"Enable_","",IFERROR(IF(OR(ISNUMBER(SEARCH("=Enable",INDEX($I$5:$I$560,MATCH(B217,$A$5:$A$560,0)))),ISNUMBER(SEARCH("×Enable",INDEX($I$5:$I$560,MATCH(B217,$A$5:$A$560,0))))),1,""),""))</x:f>
      </x:c>
      <x:c r="Q217" t="n">
        <x:f>IF(E217="","",--(XMATCH(E217,$E$5:E217,0)=ROWS($E$5:E217)))</x:f>
        <x:v>1</x:v>
      </x:c>
      <x:c r="R217" t="n">
        <x:f>IF(Q217=1,SUM($Q$5:Q217),"")</x:f>
        <x:v>155</x:v>
      </x:c>
    </x:row>
    <x:row r="218">
      <x:c r="A218" s="58" t="str">
        <x:v>T214</x:v>
      </x:c>
      <x:c r="B218" s="58" t="str">
        <x:v>T022</x:v>
      </x:c>
      <x:c r="C218" s="58" t="n">
        <x:v>5</x:v>
      </x:c>
      <x:c r="D218" s="58" t="str">
        <x:v>DBC長さ</x:v>
      </x:c>
      <x:c r="E218" s="58" t="str">
        <x:v>L_dbc</x:v>
      </x:c>
      <x:c r="F218" s="59" t="n">
        <x:f>'01_入力仕様'!D97</x:f>
        <x:v>0.07</x:v>
      </x:c>
      <x:c r="G218" s="59" t="str">
        <x:v>m</x:v>
      </x:c>
      <x:c r="H218" s="59" t="n">
        <x:f>ABS(K218)*$F$5</x:f>
        <x:v>0.092736</x:v>
      </x:c>
      <x:c r="I218" s="58" t="str">
        <x:v>入力仕様</x:v>
      </x:c>
      <x:c r="J218" s="59" t="n">
        <x:f>1</x:f>
        <x:v>1</x:v>
      </x:c>
      <x:c r="K218" s="59" t="n">
        <x:f>K26*J218</x:f>
        <x:v>0.010364066658724485</x:v>
      </x:c>
      <x:c r="L218" s="58" t="str">
        <x:f>IF(K218&gt;0,"増加→総重量増",IF(K218&lt;0,"増加→総重量減","中立"))</x:f>
        <x:v>増加→総重量増</x:v>
      </x:c>
      <x:c r="M218" s="58" t="str">
        <x:v>設計対象</x:v>
      </x:c>
      <x:c r="N218" s="58" t="str"/>
      <x:c r="O218" s="229" t="n">
        <x:f>--(COUNTIF($B$5:$B$560,A218)=0)</x:f>
        <x:v>1</x:v>
      </x:c>
      <x:c r="P218" s="70" t="str">
        <x:f>IF(LEFT(E218,7)&lt;&gt;"Enable_","",IFERROR(IF(OR(ISNUMBER(SEARCH("=Enable",INDEX($I$5:$I$560,MATCH(B218,$A$5:$A$560,0)))),ISNUMBER(SEARCH("×Enable",INDEX($I$5:$I$560,MATCH(B218,$A$5:$A$560,0))))),1,""),""))</x:f>
      </x:c>
      <x:c r="Q218" t="n">
        <x:f>IF(E218="","",--(XMATCH(E218,$E$5:E218,0)=ROWS($E$5:E218)))</x:f>
        <x:v>1</x:v>
      </x:c>
      <x:c r="R218" t="n">
        <x:f>IF(Q218=1,SUM($Q$5:Q218),"")</x:f>
        <x:v>156</x:v>
      </x:c>
    </x:row>
    <x:row r="219">
      <x:c r="A219" s="58" t="str">
        <x:v>T215</x:v>
      </x:c>
      <x:c r="B219" s="58" t="str">
        <x:v>T022</x:v>
      </x:c>
      <x:c r="C219" s="58" t="n">
        <x:v>5</x:v>
      </x:c>
      <x:c r="D219" s="58" t="str">
        <x:v>DBC幅</x:v>
      </x:c>
      <x:c r="E219" s="58" t="str">
        <x:v>W_dbc</x:v>
      </x:c>
      <x:c r="F219" s="59" t="n">
        <x:f>'01_入力仕様'!D98</x:f>
        <x:v>0.06</x:v>
      </x:c>
      <x:c r="G219" s="59" t="str">
        <x:v>m</x:v>
      </x:c>
      <x:c r="H219" s="59" t="n">
        <x:f>ABS(K219)*$F$5</x:f>
        <x:v>0.092736</x:v>
      </x:c>
      <x:c r="I219" s="58" t="str">
        <x:v>入力仕様</x:v>
      </x:c>
      <x:c r="J219" s="59" t="n">
        <x:f>1</x:f>
        <x:v>1</x:v>
      </x:c>
      <x:c r="K219" s="59" t="n">
        <x:f>K26*J219</x:f>
        <x:v>0.010364066658724485</x:v>
      </x:c>
      <x:c r="L219" s="58" t="str">
        <x:f>IF(K219&gt;0,"増加→総重量増",IF(K219&lt;0,"増加→総重量減","中立"))</x:f>
        <x:v>増加→総重量増</x:v>
      </x:c>
      <x:c r="M219" s="58" t="str">
        <x:v>設計対象</x:v>
      </x:c>
      <x:c r="N219" s="58" t="str"/>
      <x:c r="O219" s="229" t="n">
        <x:f>--(COUNTIF($B$5:$B$560,A219)=0)</x:f>
        <x:v>1</x:v>
      </x:c>
      <x:c r="P219" s="70" t="str">
        <x:f>IF(LEFT(E219,7)&lt;&gt;"Enable_","",IFERROR(IF(OR(ISNUMBER(SEARCH("=Enable",INDEX($I$5:$I$560,MATCH(B219,$A$5:$A$560,0)))),ISNUMBER(SEARCH("×Enable",INDEX($I$5:$I$560,MATCH(B219,$A$5:$A$560,0))))),1,""),""))</x:f>
      </x:c>
      <x:c r="Q219" t="n">
        <x:f>IF(E219="","",--(XMATCH(E219,$E$5:E219,0)=ROWS($E$5:E219)))</x:f>
        <x:v>1</x:v>
      </x:c>
      <x:c r="R219" t="n">
        <x:f>IF(Q219=1,SUM($Q$5:Q219),"")</x:f>
        <x:v>157</x:v>
      </x:c>
    </x:row>
    <x:row r="220">
      <x:c r="A220" s="58" t="str">
        <x:v>T216</x:v>
      </x:c>
      <x:c r="B220" s="58" t="str">
        <x:v>T023</x:v>
      </x:c>
      <x:c r="C220" s="58" t="n">
        <x:v>5</x:v>
      </x:c>
      <x:c r="D220" s="58" t="str">
        <x:v>上銅厚</x:v>
      </x:c>
      <x:c r="E220" s="58" t="str">
        <x:v>t_cu_top</x:v>
      </x:c>
      <x:c r="F220" s="59" t="n">
        <x:f>'01_入力仕様'!D99</x:f>
        <x:v>0.3</x:v>
      </x:c>
      <x:c r="G220" s="59" t="str">
        <x:v>mm</x:v>
      </x:c>
      <x:c r="H220" s="59" t="n">
        <x:f>ABS(K220)*$F$5</x:f>
        <x:v>0.030240000000000003</x:v>
      </x:c>
      <x:c r="I220" s="58" t="str">
        <x:v>入力仕様</x:v>
      </x:c>
      <x:c r="J220" s="59" t="n">
        <x:f>'01_入力仕様'!D99/F27</x:f>
        <x:v>0.32608695652173914</x:v>
      </x:c>
      <x:c r="K220" s="59" t="n">
        <x:f>K27*J220</x:f>
        <x:v>0.0033795869539318974</x:v>
      </x:c>
      <x:c r="L220" s="58" t="str">
        <x:f>IF(K220&gt;0,"増加→総重量増",IF(K220&lt;0,"増加→総重量減","中立"))</x:f>
        <x:v>増加→総重量増</x:v>
      </x:c>
      <x:c r="M220" s="58" t="str">
        <x:v>設計対象</x:v>
      </x:c>
      <x:c r="N220" s="58" t="str"/>
      <x:c r="O220" s="229" t="n">
        <x:f>--(COUNTIF($B$5:$B$560,A220)=0)</x:f>
        <x:v>1</x:v>
      </x:c>
      <x:c r="P220" s="70" t="str">
        <x:f>IF(LEFT(E220,7)&lt;&gt;"Enable_","",IFERROR(IF(OR(ISNUMBER(SEARCH("=Enable",INDEX($I$5:$I$560,MATCH(B220,$A$5:$A$560,0)))),ISNUMBER(SEARCH("×Enable",INDEX($I$5:$I$560,MATCH(B220,$A$5:$A$560,0))))),1,""),""))</x:f>
      </x:c>
      <x:c r="Q220" t="n">
        <x:f>IF(E220="","",--(XMATCH(E220,$E$5:E220,0)=ROWS($E$5:E220)))</x:f>
        <x:v>1</x:v>
      </x:c>
      <x:c r="R220" t="n">
        <x:f>IF(Q220=1,SUM($Q$5:Q220),"")</x:f>
        <x:v>158</x:v>
      </x:c>
    </x:row>
    <x:row r="221">
      <x:c r="A221" s="58" t="str">
        <x:v>T217</x:v>
      </x:c>
      <x:c r="B221" s="58" t="str">
        <x:v>T023</x:v>
      </x:c>
      <x:c r="C221" s="58" t="n">
        <x:v>5</x:v>
      </x:c>
      <x:c r="D221" s="58" t="str">
        <x:v>セラミック厚</x:v>
      </x:c>
      <x:c r="E221" s="58" t="str">
        <x:v>t_cer</x:v>
      </x:c>
      <x:c r="F221" s="59" t="n">
        <x:f>'01_入力仕様'!D100</x:f>
        <x:v>0.32</x:v>
      </x:c>
      <x:c r="G221" s="59" t="str">
        <x:v>mm</x:v>
      </x:c>
      <x:c r="H221" s="59" t="n">
        <x:f>ABS(K221)*$F$5</x:f>
        <x:v>0.032256</x:v>
      </x:c>
      <x:c r="I221" s="58" t="str">
        <x:v>入力仕様</x:v>
      </x:c>
      <x:c r="J221" s="59" t="n">
        <x:f>'01_入力仕様'!D100/F27</x:f>
        <x:v>0.3478260869565218</x:v>
      </x:c>
      <x:c r="K221" s="59" t="n">
        <x:f>K27*J221</x:f>
        <x:v>0.0036048927508606906</x:v>
      </x:c>
      <x:c r="L221" s="58" t="str">
        <x:f>IF(K221&gt;0,"増加→総重量増",IF(K221&lt;0,"増加→総重量減","中立"))</x:f>
        <x:v>増加→総重量増</x:v>
      </x:c>
      <x:c r="M221" s="58" t="str">
        <x:v>設計対象</x:v>
      </x:c>
      <x:c r="N221" s="58" t="str"/>
      <x:c r="O221" s="229" t="n">
        <x:f>--(COUNTIF($B$5:$B$560,A221)=0)</x:f>
        <x:v>1</x:v>
      </x:c>
      <x:c r="P221" s="70" t="str">
        <x:f>IF(LEFT(E221,7)&lt;&gt;"Enable_","",IFERROR(IF(OR(ISNUMBER(SEARCH("=Enable",INDEX($I$5:$I$560,MATCH(B221,$A$5:$A$560,0)))),ISNUMBER(SEARCH("×Enable",INDEX($I$5:$I$560,MATCH(B221,$A$5:$A$560,0))))),1,""),""))</x:f>
      </x:c>
      <x:c r="Q221" t="n">
        <x:f>IF(E221="","",--(XMATCH(E221,$E$5:E221,0)=ROWS($E$5:E221)))</x:f>
        <x:v>1</x:v>
      </x:c>
      <x:c r="R221" t="n">
        <x:f>IF(Q221=1,SUM($Q$5:Q221),"")</x:f>
        <x:v>159</x:v>
      </x:c>
    </x:row>
    <x:row r="222">
      <x:c r="A222" s="58" t="str">
        <x:v>T218</x:v>
      </x:c>
      <x:c r="B222" s="58" t="str">
        <x:v>T023</x:v>
      </x:c>
      <x:c r="C222" s="58" t="n">
        <x:v>5</x:v>
      </x:c>
      <x:c r="D222" s="58" t="str">
        <x:v>下銅厚</x:v>
      </x:c>
      <x:c r="E222" s="58" t="str">
        <x:v>t_cu_bot</x:v>
      </x:c>
      <x:c r="F222" s="59" t="n">
        <x:f>'01_入力仕様'!D101</x:f>
        <x:v>0.3</x:v>
      </x:c>
      <x:c r="G222" s="59" t="str">
        <x:v>mm</x:v>
      </x:c>
      <x:c r="H222" s="59" t="n">
        <x:f>ABS(K222)*$F$5</x:f>
        <x:v>0.030240000000000003</x:v>
      </x:c>
      <x:c r="I222" s="58" t="str">
        <x:v>入力仕様</x:v>
      </x:c>
      <x:c r="J222" s="59" t="n">
        <x:f>'01_入力仕様'!D101/F27</x:f>
        <x:v>0.32608695652173914</x:v>
      </x:c>
      <x:c r="K222" s="59" t="n">
        <x:f>K27*J222</x:f>
        <x:v>0.0033795869539318974</x:v>
      </x:c>
      <x:c r="L222" s="58" t="str">
        <x:f>IF(K222&gt;0,"増加→総重量増",IF(K222&lt;0,"増加→総重量減","中立"))</x:f>
        <x:v>増加→総重量増</x:v>
      </x:c>
      <x:c r="M222" s="58" t="str">
        <x:v>設計対象</x:v>
      </x:c>
      <x:c r="N222" s="58" t="str"/>
      <x:c r="O222" s="229" t="n">
        <x:f>--(COUNTIF($B$5:$B$560,A222)=0)</x:f>
        <x:v>1</x:v>
      </x:c>
      <x:c r="P222" s="70" t="str">
        <x:f>IF(LEFT(E222,7)&lt;&gt;"Enable_","",IFERROR(IF(OR(ISNUMBER(SEARCH("=Enable",INDEX($I$5:$I$560,MATCH(B222,$A$5:$A$560,0)))),ISNUMBER(SEARCH("×Enable",INDEX($I$5:$I$560,MATCH(B222,$A$5:$A$560,0))))),1,""),""))</x:f>
      </x:c>
      <x:c r="Q222" t="n">
        <x:f>IF(E222="","",--(XMATCH(E222,$E$5:E222,0)=ROWS($E$5:E222)))</x:f>
        <x:v>1</x:v>
      </x:c>
      <x:c r="R222" t="n">
        <x:f>IF(Q222=1,SUM($Q$5:Q222),"")</x:f>
        <x:v>160</x:v>
      </x:c>
    </x:row>
    <x:row r="223">
      <x:c r="A223" s="58" t="str">
        <x:v>T219</x:v>
      </x:c>
      <x:c r="B223" s="58" t="str">
        <x:v>T024</x:v>
      </x:c>
      <x:c r="C223" s="58" t="n">
        <x:v>5</x:v>
      </x:c>
      <x:c r="D223" s="58" t="str">
        <x:v>銅密度</x:v>
      </x:c>
      <x:c r="E223" s="58" t="str">
        <x:v>rho_cu</x:v>
      </x:c>
      <x:c r="F223" s="59" t="n">
        <x:f>'01_入力仕様'!D102</x:f>
        <x:v>8960</x:v>
      </x:c>
      <x:c r="G223" s="59" t="str">
        <x:v>kg/m³</x:v>
      </x:c>
      <x:c r="H223" s="59" t="n">
        <x:f>ABS(K223)*$F$5</x:f>
        <x:v>0.07766524426719841</x:v>
      </x:c>
      <x:c r="I223" s="58" t="str">
        <x:v>入力仕様</x:v>
      </x:c>
      <x:c r="J223" s="59" t="n">
        <x:f>'01_入力仕様'!D102*('01_入力仕様'!D99+'01_入力仕様'!D101)/('01_入力仕様'!D102*('01_入力仕様'!D99+'01_入力仕様'!D101)+'01_入力仕様'!D103*'01_入力仕様'!D100)</x:f>
        <x:v>0.8374875373878365</x:v>
      </x:c>
      <x:c r="K223" s="59" t="n">
        <x:f>K28*J223</x:f>
        <x:v>0.008679776663338553</x:v>
      </x:c>
      <x:c r="L223" s="58" t="str">
        <x:f>IF(K223&gt;0,"増加→総重量増",IF(K223&lt;0,"増加→総重量減","中立"))</x:f>
        <x:v>増加→総重量増</x:v>
      </x:c>
      <x:c r="M223" s="58" t="str">
        <x:v>設計対象</x:v>
      </x:c>
      <x:c r="N223" s="58" t="str"/>
      <x:c r="O223" s="229" t="n">
        <x:f>--(COUNTIF($B$5:$B$560,A223)=0)</x:f>
        <x:v>1</x:v>
      </x:c>
      <x:c r="P223" s="70" t="str">
        <x:f>IF(LEFT(E223,7)&lt;&gt;"Enable_","",IFERROR(IF(OR(ISNUMBER(SEARCH("=Enable",INDEX($I$5:$I$560,MATCH(B223,$A$5:$A$560,0)))),ISNUMBER(SEARCH("×Enable",INDEX($I$5:$I$560,MATCH(B223,$A$5:$A$560,0))))),1,""),""))</x:f>
      </x:c>
      <x:c r="Q223" t="n">
        <x:f>IF(E223="","",--(XMATCH(E223,$E$5:E223,0)=ROWS($E$5:E223)))</x:f>
        <x:v>1</x:v>
      </x:c>
      <x:c r="R223" t="n">
        <x:f>IF(Q223=1,SUM($Q$5:Q223),"")</x:f>
        <x:v>161</x:v>
      </x:c>
    </x:row>
    <x:row r="224">
      <x:c r="A224" s="58" t="str">
        <x:v>T220</x:v>
      </x:c>
      <x:c r="B224" s="58" t="str">
        <x:v>T024</x:v>
      </x:c>
      <x:c r="C224" s="58" t="n">
        <x:v>5</x:v>
      </x:c>
      <x:c r="D224" s="58" t="str">
        <x:v>セラミック密度</x:v>
      </x:c>
      <x:c r="E224" s="58" t="str">
        <x:v>rho_cer</x:v>
      </x:c>
      <x:c r="F224" s="59" t="n">
        <x:f>'01_入力仕様'!D103</x:f>
        <x:v>3260</x:v>
      </x:c>
      <x:c r="G224" s="59" t="str">
        <x:v>kg/m³</x:v>
      </x:c>
      <x:c r="H224" s="59" t="n">
        <x:f>ABS(K224)*$F$5</x:f>
        <x:v>0.015070755732801595</x:v>
      </x:c>
      <x:c r="I224" s="58" t="str">
        <x:v>入力仕様</x:v>
      </x:c>
      <x:c r="J224" s="59" t="n">
        <x:f>'01_入力仕様'!D103*'01_入力仕様'!D100/('01_入力仕様'!D102*('01_入力仕様'!D99+'01_入力仕様'!D101)+'01_入力仕様'!D103*'01_入力仕様'!D100)</x:f>
        <x:v>0.1625124626121635</x:v>
      </x:c>
      <x:c r="K224" s="59" t="n">
        <x:f>K28*J224</x:f>
        <x:v>0.0016842899953859332</x:v>
      </x:c>
      <x:c r="L224" s="58" t="str">
        <x:f>IF(K224&gt;0,"増加→総重量増",IF(K224&lt;0,"増加→総重量減","中立"))</x:f>
        <x:v>増加→総重量増</x:v>
      </x:c>
      <x:c r="M224" s="58" t="str">
        <x:v>設計対象</x:v>
      </x:c>
      <x:c r="N224" s="58" t="str"/>
      <x:c r="O224" s="229" t="n">
        <x:f>--(COUNTIF($B$5:$B$560,A224)=0)</x:f>
        <x:v>1</x:v>
      </x:c>
      <x:c r="P224" s="70" t="str">
        <x:f>IF(LEFT(E224,7)&lt;&gt;"Enable_","",IFERROR(IF(OR(ISNUMBER(SEARCH("=Enable",INDEX($I$5:$I$560,MATCH(B224,$A$5:$A$560,0)))),ISNUMBER(SEARCH("×Enable",INDEX($I$5:$I$560,MATCH(B224,$A$5:$A$560,0))))),1,""),""))</x:f>
      </x:c>
      <x:c r="Q224" t="n">
        <x:f>IF(E224="","",--(XMATCH(E224,$E$5:E224,0)=ROWS($E$5:E224)))</x:f>
        <x:v>1</x:v>
      </x:c>
      <x:c r="R224" t="n">
        <x:f>IF(Q224=1,SUM($Q$5:Q224),"")</x:f>
        <x:v>162</x:v>
      </x:c>
    </x:row>
    <x:row r="225">
      <x:c r="A225" s="62" t="str">
        <x:v>T221</x:v>
      </x:c>
      <x:c r="B225" s="62" t="str">
        <x:v>T024</x:v>
      </x:c>
      <x:c r="C225" s="62" t="n">
        <x:v>5</x:v>
      </x:c>
      <x:c r="D225" s="62" t="str">
        <x:v>層厚構成</x:v>
      </x:c>
      <x:c r="E225" s="62" t="str">
        <x:v>t_dbc</x:v>
      </x:c>
      <x:c r="F225" s="63" t="n">
        <x:f>'01_入力仕様'!D99+'01_入力仕様'!D100+'01_入力仕様'!D101</x:f>
        <x:v>0.9199999999999999</x:v>
      </x:c>
      <x:c r="G225" s="63" t="str">
        <x:v>mm</x:v>
      </x:c>
      <x:c r="H225" s="63" t="n">
        <x:f>ABS(K225)*$F$5</x:f>
        <x:v>0.092736</x:v>
      </x:c>
      <x:c r="I225" s="62" t="str">
        <x:v>t_dbc=t_cu_top+t_cer+t_cu_bot</x:v>
      </x:c>
      <x:c r="J225" s="63" t="n">
        <x:f>-1</x:f>
        <x:v>-1</x:v>
      </x:c>
      <x:c r="K225" s="63" t="n">
        <x:f>K28*J225</x:f>
        <x:v>-0.010364066658724485</x:v>
      </x:c>
      <x:c r="L225" s="62" t="str">
        <x:f>IF(K225&gt;0,"増加→総重量増",IF(K225&lt;0,"増加→総重量減","中立"))</x:f>
        <x:v>増加→総重量減</x:v>
      </x:c>
      <x:c r="M225" s="62" t="str">
        <x:v>設計対象</x:v>
      </x:c>
      <x:c r="N225" s="62" t="str"/>
      <x:c r="O225" s="229" t="n">
        <x:f>--(COUNTIF($B$5:$B$560,A225)=0)</x:f>
        <x:v>0</x:v>
      </x:c>
      <x:c r="P225" s="70" t="str">
        <x:f>IF(LEFT(E225,7)&lt;&gt;"Enable_","",IFERROR(IF(OR(ISNUMBER(SEARCH("=Enable",INDEX($I$5:$I$560,MATCH(B225,$A$5:$A$560,0)))),ISNUMBER(SEARCH("×Enable",INDEX($I$5:$I$560,MATCH(B225,$A$5:$A$560,0))))),1,""),""))</x:f>
      </x:c>
      <x:c r="Q225" t="n">
        <x:f>IF(E225="","",--(XMATCH(E225,$E$5:E225,0)=ROWS($E$5:E225)))</x:f>
        <x:v>0</x:v>
      </x:c>
      <x:c r="R225" t="str">
        <x:f>IF(Q225=1,SUM($Q$5:Q225),"")</x:f>
      </x:c>
    </x:row>
    <x:row r="226">
      <x:c r="A226" s="58" t="str">
        <x:v>T222</x:v>
      </x:c>
      <x:c r="B226" s="58" t="str">
        <x:v>T221</x:v>
      </x:c>
      <x:c r="C226" s="58" t="n">
        <x:v>6</x:v>
      </x:c>
      <x:c r="D226" s="58" t="str">
        <x:v>上銅厚</x:v>
      </x:c>
      <x:c r="E226" s="58" t="str">
        <x:v>t_cu_top</x:v>
      </x:c>
      <x:c r="F226" s="59" t="n">
        <x:f>'01_入力仕様'!D99</x:f>
        <x:v>0.3</x:v>
      </x:c>
      <x:c r="G226" s="59" t="str">
        <x:v>mm</x:v>
      </x:c>
      <x:c r="H226" s="59" t="n">
        <x:f>ABS(K226)*$F$5</x:f>
        <x:v>0.030240000000000003</x:v>
      </x:c>
      <x:c r="I226" s="58" t="str">
        <x:v>入力仕様</x:v>
      </x:c>
      <x:c r="J226" s="59" t="n">
        <x:f>'01_入力仕様'!D99/F225</x:f>
        <x:v>0.32608695652173914</x:v>
      </x:c>
      <x:c r="K226" s="59" t="n">
        <x:f>K225*J226</x:f>
        <x:v>-0.0033795869539318974</x:v>
      </x:c>
      <x:c r="L226" s="58" t="str">
        <x:f>IF(K226&gt;0,"増加→総重量増",IF(K226&lt;0,"増加→総重量減","中立"))</x:f>
        <x:v>増加→総重量減</x:v>
      </x:c>
      <x:c r="M226" s="58" t="str">
        <x:v>設計対象</x:v>
      </x:c>
      <x:c r="N226" s="58" t="str"/>
      <x:c r="O226" s="229" t="n">
        <x:f>--(COUNTIF($B$5:$B$560,A226)=0)</x:f>
        <x:v>1</x:v>
      </x:c>
      <x:c r="P226" s="70" t="str">
        <x:f>IF(LEFT(E226,7)&lt;&gt;"Enable_","",IFERROR(IF(OR(ISNUMBER(SEARCH("=Enable",INDEX($I$5:$I$560,MATCH(B226,$A$5:$A$560,0)))),ISNUMBER(SEARCH("×Enable",INDEX($I$5:$I$560,MATCH(B226,$A$5:$A$560,0))))),1,""),""))</x:f>
      </x:c>
      <x:c r="Q226" t="n">
        <x:f>IF(E226="","",--(XMATCH(E226,$E$5:E226,0)=ROWS($E$5:E226)))</x:f>
        <x:v>0</x:v>
      </x:c>
      <x:c r="R226" t="str">
        <x:f>IF(Q226=1,SUM($Q$5:Q226),"")</x:f>
      </x:c>
    </x:row>
    <x:row r="227">
      <x:c r="A227" s="58" t="str">
        <x:v>T223</x:v>
      </x:c>
      <x:c r="B227" s="58" t="str">
        <x:v>T221</x:v>
      </x:c>
      <x:c r="C227" s="58" t="n">
        <x:v>6</x:v>
      </x:c>
      <x:c r="D227" s="58" t="str">
        <x:v>セラミック厚</x:v>
      </x:c>
      <x:c r="E227" s="58" t="str">
        <x:v>t_cer</x:v>
      </x:c>
      <x:c r="F227" s="59" t="n">
        <x:f>'01_入力仕様'!D100</x:f>
        <x:v>0.32</x:v>
      </x:c>
      <x:c r="G227" s="59" t="str">
        <x:v>mm</x:v>
      </x:c>
      <x:c r="H227" s="59" t="n">
        <x:f>ABS(K227)*$F$5</x:f>
        <x:v>0.032256</x:v>
      </x:c>
      <x:c r="I227" s="58" t="str">
        <x:v>入力仕様</x:v>
      </x:c>
      <x:c r="J227" s="59" t="n">
        <x:f>'01_入力仕様'!D100/F225</x:f>
        <x:v>0.3478260869565218</x:v>
      </x:c>
      <x:c r="K227" s="59" t="n">
        <x:f>K225*J227</x:f>
        <x:v>-0.0036048927508606906</x:v>
      </x:c>
      <x:c r="L227" s="58" t="str">
        <x:f>IF(K227&gt;0,"増加→総重量増",IF(K227&lt;0,"増加→総重量減","中立"))</x:f>
        <x:v>増加→総重量減</x:v>
      </x:c>
      <x:c r="M227" s="58" t="str">
        <x:v>設計対象</x:v>
      </x:c>
      <x:c r="N227" s="58" t="str"/>
      <x:c r="O227" s="229" t="n">
        <x:f>--(COUNTIF($B$5:$B$560,A227)=0)</x:f>
        <x:v>1</x:v>
      </x:c>
      <x:c r="P227" s="70" t="str">
        <x:f>IF(LEFT(E227,7)&lt;&gt;"Enable_","",IFERROR(IF(OR(ISNUMBER(SEARCH("=Enable",INDEX($I$5:$I$560,MATCH(B227,$A$5:$A$560,0)))),ISNUMBER(SEARCH("×Enable",INDEX($I$5:$I$560,MATCH(B227,$A$5:$A$560,0))))),1,""),""))</x:f>
      </x:c>
      <x:c r="Q227" t="n">
        <x:f>IF(E227="","",--(XMATCH(E227,$E$5:E227,0)=ROWS($E$5:E227)))</x:f>
        <x:v>0</x:v>
      </x:c>
      <x:c r="R227" t="str">
        <x:f>IF(Q227=1,SUM($Q$5:Q227),"")</x:f>
      </x:c>
    </x:row>
    <x:row r="228">
      <x:c r="A228" s="58" t="str">
        <x:v>T224</x:v>
      </x:c>
      <x:c r="B228" s="58" t="str">
        <x:v>T221</x:v>
      </x:c>
      <x:c r="C228" s="58" t="n">
        <x:v>6</x:v>
      </x:c>
      <x:c r="D228" s="58" t="str">
        <x:v>下銅厚</x:v>
      </x:c>
      <x:c r="E228" s="58" t="str">
        <x:v>t_cu_bot</x:v>
      </x:c>
      <x:c r="F228" s="59" t="n">
        <x:f>'01_入力仕様'!D101</x:f>
        <x:v>0.3</x:v>
      </x:c>
      <x:c r="G228" s="59" t="str">
        <x:v>mm</x:v>
      </x:c>
      <x:c r="H228" s="59" t="n">
        <x:f>ABS(K228)*$F$5</x:f>
        <x:v>0.030240000000000003</x:v>
      </x:c>
      <x:c r="I228" s="58" t="str">
        <x:v>入力仕様</x:v>
      </x:c>
      <x:c r="J228" s="59" t="n">
        <x:f>'01_入力仕様'!D101/F225</x:f>
        <x:v>0.32608695652173914</x:v>
      </x:c>
      <x:c r="K228" s="59" t="n">
        <x:f>K225*J228</x:f>
        <x:v>-0.0033795869539318974</x:v>
      </x:c>
      <x:c r="L228" s="58" t="str">
        <x:f>IF(K228&gt;0,"増加→総重量増",IF(K228&lt;0,"増加→総重量減","中立"))</x:f>
        <x:v>増加→総重量減</x:v>
      </x:c>
      <x:c r="M228" s="58" t="str">
        <x:v>設計対象</x:v>
      </x:c>
      <x:c r="N228" s="58" t="str"/>
      <x:c r="O228" s="229" t="n">
        <x:f>--(COUNTIF($B$5:$B$560,A228)=0)</x:f>
        <x:v>1</x:v>
      </x:c>
      <x:c r="P228" s="70" t="str">
        <x:f>IF(LEFT(E228,7)&lt;&gt;"Enable_","",IFERROR(IF(OR(ISNUMBER(SEARCH("=Enable",INDEX($I$5:$I$560,MATCH(B228,$A$5:$A$560,0)))),ISNUMBER(SEARCH("×Enable",INDEX($I$5:$I$560,MATCH(B228,$A$5:$A$560,0))))),1,""),""))</x:f>
      </x:c>
      <x:c r="Q228" t="n">
        <x:f>IF(E228="","",--(XMATCH(E228,$E$5:E228,0)=ROWS($E$5:E228)))</x:f>
        <x:v>0</x:v>
      </x:c>
      <x:c r="R228" t="str">
        <x:f>IF(Q228=1,SUM($Q$5:Q228),"")</x:f>
      </x:c>
    </x:row>
    <x:row r="229">
      <x:c r="A229" s="58" t="str">
        <x:v>T225</x:v>
      </x:c>
      <x:c r="B229" s="58" t="str">
        <x:v>T026</x:v>
      </x:c>
      <x:c r="C229" s="58" t="n">
        <x:v>5</x:v>
      </x:c>
      <x:c r="D229" s="58" t="str">
        <x:v>ベース長さ</x:v>
      </x:c>
      <x:c r="E229" s="58" t="str">
        <x:v>L_base</x:v>
      </x:c>
      <x:c r="F229" s="59" t="n">
        <x:f>'01_入力仕様'!D104</x:f>
        <x:v>0.08</x:v>
      </x:c>
      <x:c r="G229" s="59" t="str">
        <x:v>m</x:v>
      </x:c>
      <x:c r="H229" s="59" t="n">
        <x:f>ABS(K229)*$F$5</x:f>
        <x:v>0.24300000000000002</x:v>
      </x:c>
      <x:c r="I229" s="58" t="str">
        <x:v>入力仕様</x:v>
      </x:c>
      <x:c r="J229" s="59" t="n">
        <x:f>1</x:f>
        <x:v>1</x:v>
      </x:c>
      <x:c r="K229" s="59" t="n">
        <x:f>K30*J229</x:f>
        <x:v>0.027157395165524175</x:v>
      </x:c>
      <x:c r="L229" s="58" t="str">
        <x:f>IF(K229&gt;0,"増加→総重量増",IF(K229&lt;0,"増加→総重量減","中立"))</x:f>
        <x:v>増加→総重量増</x:v>
      </x:c>
      <x:c r="M229" s="58" t="str">
        <x:v>設計対象</x:v>
      </x:c>
      <x:c r="N229" s="58" t="str"/>
      <x:c r="O229" s="229" t="n">
        <x:f>--(COUNTIF($B$5:$B$560,A229)=0)</x:f>
        <x:v>1</x:v>
      </x:c>
      <x:c r="P229" s="70" t="str">
        <x:f>IF(LEFT(E229,7)&lt;&gt;"Enable_","",IFERROR(IF(OR(ISNUMBER(SEARCH("=Enable",INDEX($I$5:$I$560,MATCH(B229,$A$5:$A$560,0)))),ISNUMBER(SEARCH("×Enable",INDEX($I$5:$I$560,MATCH(B229,$A$5:$A$560,0))))),1,""),""))</x:f>
      </x:c>
      <x:c r="Q229" t="n">
        <x:f>IF(E229="","",--(XMATCH(E229,$E$5:E229,0)=ROWS($E$5:E229)))</x:f>
        <x:v>1</x:v>
      </x:c>
      <x:c r="R229" t="n">
        <x:f>IF(Q229=1,SUM($Q$5:Q229),"")</x:f>
        <x:v>163</x:v>
      </x:c>
    </x:row>
    <x:row r="230">
      <x:c r="A230" s="58" t="str">
        <x:v>T226</x:v>
      </x:c>
      <x:c r="B230" s="58" t="str">
        <x:v>T026</x:v>
      </x:c>
      <x:c r="C230" s="58" t="n">
        <x:v>5</x:v>
      </x:c>
      <x:c r="D230" s="58" t="str">
        <x:v>ベース幅</x:v>
      </x:c>
      <x:c r="E230" s="58" t="str">
        <x:v>W_base</x:v>
      </x:c>
      <x:c r="F230" s="59" t="n">
        <x:f>'01_入力仕様'!D105</x:f>
        <x:v>0.065</x:v>
      </x:c>
      <x:c r="G230" s="59" t="str">
        <x:v>m</x:v>
      </x:c>
      <x:c r="H230" s="59" t="n">
        <x:f>ABS(K230)*$F$5</x:f>
        <x:v>0.24300000000000002</x:v>
      </x:c>
      <x:c r="I230" s="58" t="str">
        <x:v>入力仕様</x:v>
      </x:c>
      <x:c r="J230" s="59" t="n">
        <x:f>1</x:f>
        <x:v>1</x:v>
      </x:c>
      <x:c r="K230" s="59" t="n">
        <x:f>K30*J230</x:f>
        <x:v>0.027157395165524175</x:v>
      </x:c>
      <x:c r="L230" s="58" t="str">
        <x:f>IF(K230&gt;0,"増加→総重量増",IF(K230&lt;0,"増加→総重量減","中立"))</x:f>
        <x:v>増加→総重量増</x:v>
      </x:c>
      <x:c r="M230" s="58" t="str">
        <x:v>設計対象</x:v>
      </x:c>
      <x:c r="N230" s="58" t="str"/>
      <x:c r="O230" s="229" t="n">
        <x:f>--(COUNTIF($B$5:$B$560,A230)=0)</x:f>
        <x:v>1</x:v>
      </x:c>
      <x:c r="P230" s="70" t="str">
        <x:f>IF(LEFT(E230,7)&lt;&gt;"Enable_","",IFERROR(IF(OR(ISNUMBER(SEARCH("=Enable",INDEX($I$5:$I$560,MATCH(B230,$A$5:$A$560,0)))),ISNUMBER(SEARCH("×Enable",INDEX($I$5:$I$560,MATCH(B230,$A$5:$A$560,0))))),1,""),""))</x:f>
      </x:c>
      <x:c r="Q230" t="n">
        <x:f>IF(E230="","",--(XMATCH(E230,$E$5:E230,0)=ROWS($E$5:E230)))</x:f>
        <x:v>1</x:v>
      </x:c>
      <x:c r="R230" t="n">
        <x:f>IF(Q230=1,SUM($Q$5:Q230),"")</x:f>
        <x:v>164</x:v>
      </x:c>
    </x:row>
    <x:row r="231">
      <x:c r="A231" s="62" t="str">
        <x:v>T227</x:v>
      </x:c>
      <x:c r="B231" s="62" t="str">
        <x:v>T027</x:v>
      </x:c>
      <x:c r="C231" s="62" t="n">
        <x:v>5</x:v>
      </x:c>
      <x:c r="D231" s="62" t="str">
        <x:v>必要ベース厚さ</x:v>
      </x:c>
      <x:c r="E231" s="62" t="str">
        <x:v>t_base_req</x:v>
      </x:c>
      <x:c r="F231" s="63" t="n">
        <x:f>'01_入力仕様'!D108*'01_入力仕様'!D104*SQRT('01_入力仕様'!D106/'01_入力仕様'!D107)*50</x:f>
        <x:v>4.8</x:v>
      </x:c>
      <x:c r="G231" s="63" t="str">
        <x:v>mm</x:v>
      </x:c>
      <x:c r="H231" s="63" t="n">
        <x:f>ABS(K231)*$F$5</x:f>
        <x:v>0.24300000000000002</x:v>
      </x:c>
      <x:c r="I231" s="62" t="str">
        <x:v>t_base_req=K_base_sf×L_base×SQRT(p_base/sigma_base)×50</x:v>
      </x:c>
      <x:c r="J231" s="63" t="n">
        <x:f>IF(F231&gt;F269,1,0)</x:f>
        <x:v>1</x:v>
      </x:c>
      <x:c r="K231" s="63" t="n">
        <x:f>K31*J231</x:f>
        <x:v>0.027157395165524175</x:v>
      </x:c>
      <x:c r="L231" s="62" t="str">
        <x:f>IF(K231&gt;0,"増加→総重量増",IF(K231&lt;0,"増加→総重量減","中立"))</x:f>
        <x:v>増加→総重量増</x:v>
      </x:c>
      <x:c r="M231" s="62" t="str">
        <x:v>設計対象</x:v>
      </x:c>
      <x:c r="N231" s="62" t="str">
        <x:v>簡易機械モデル</x:v>
      </x:c>
      <x:c r="O231" s="229" t="n">
        <x:f>--(COUNTIF($B$5:$B$560,A231)=0)</x:f>
        <x:v>0</x:v>
      </x:c>
      <x:c r="P231" s="70" t="str">
        <x:f>IF(LEFT(E231,7)&lt;&gt;"Enable_","",IFERROR(IF(OR(ISNUMBER(SEARCH("=Enable",INDEX($I$5:$I$560,MATCH(B231,$A$5:$A$560,0)))),ISNUMBER(SEARCH("×Enable",INDEX($I$5:$I$560,MATCH(B231,$A$5:$A$560,0))))),1,""),""))</x:f>
      </x:c>
      <x:c r="Q231" t="n">
        <x:f>IF(E231="","",--(XMATCH(E231,$E$5:E231,0)=ROWS($E$5:E231)))</x:f>
        <x:v>1</x:v>
      </x:c>
      <x:c r="R231" t="n">
        <x:f>IF(Q231=1,SUM($Q$5:Q231),"")</x:f>
        <x:v>165</x:v>
      </x:c>
    </x:row>
    <x:row r="232">
      <x:c r="A232" s="58" t="str">
        <x:v>T228</x:v>
      </x:c>
      <x:c r="B232" s="58" t="str">
        <x:v>T227</x:v>
      </x:c>
      <x:c r="C232" s="58" t="n">
        <x:v>6</x:v>
      </x:c>
      <x:c r="D232" s="58" t="str">
        <x:v>厚さ安全係数</x:v>
      </x:c>
      <x:c r="E232" s="58" t="str">
        <x:v>K_base_sf</x:v>
      </x:c>
      <x:c r="F232" s="59" t="n">
        <x:f>'01_入力仕様'!D108</x:f>
        <x:v>1.2</x:v>
      </x:c>
      <x:c r="G232" s="59" t="str">
        <x:v>-</x:v>
      </x:c>
      <x:c r="H232" s="59" t="n">
        <x:f>ABS(K232)*$F$5</x:f>
        <x:v>0.24300000000000002</x:v>
      </x:c>
      <x:c r="I232" s="58" t="str">
        <x:v>入力仕様</x:v>
      </x:c>
      <x:c r="J232" s="59" t="n">
        <x:f>1</x:f>
        <x:v>1</x:v>
      </x:c>
      <x:c r="K232" s="59" t="n">
        <x:f>K231*J232</x:f>
        <x:v>0.027157395165524175</x:v>
      </x:c>
      <x:c r="L232" s="58" t="str">
        <x:f>IF(K232&gt;0,"増加→総重量増",IF(K232&lt;0,"増加→総重量減","中立"))</x:f>
        <x:v>増加→総重量増</x:v>
      </x:c>
      <x:c r="M232" s="58" t="str">
        <x:v>設計対象</x:v>
      </x:c>
      <x:c r="N232" s="58" t="str"/>
      <x:c r="O232" s="229" t="n">
        <x:f>--(COUNTIF($B$5:$B$560,A232)=0)</x:f>
        <x:v>1</x:v>
      </x:c>
      <x:c r="P232" s="70" t="str">
        <x:f>IF(LEFT(E232,7)&lt;&gt;"Enable_","",IFERROR(IF(OR(ISNUMBER(SEARCH("=Enable",INDEX($I$5:$I$560,MATCH(B232,$A$5:$A$560,0)))),ISNUMBER(SEARCH("×Enable",INDEX($I$5:$I$560,MATCH(B232,$A$5:$A$560,0))))),1,""),""))</x:f>
      </x:c>
      <x:c r="Q232" t="n">
        <x:f>IF(E232="","",--(XMATCH(E232,$E$5:E232,0)=ROWS($E$5:E232)))</x:f>
        <x:v>1</x:v>
      </x:c>
      <x:c r="R232" t="n">
        <x:f>IF(Q232=1,SUM($Q$5:Q232),"")</x:f>
        <x:v>166</x:v>
      </x:c>
    </x:row>
    <x:row r="233">
      <x:c r="A233" s="58" t="str">
        <x:v>T229</x:v>
      </x:c>
      <x:c r="B233" s="58" t="str">
        <x:v>T227</x:v>
      </x:c>
      <x:c r="C233" s="58" t="n">
        <x:v>6</x:v>
      </x:c>
      <x:c r="D233" s="58" t="str">
        <x:v>ベース長さ</x:v>
      </x:c>
      <x:c r="E233" s="58" t="str">
        <x:v>L_base</x:v>
      </x:c>
      <x:c r="F233" s="59" t="n">
        <x:f>'01_入力仕様'!D104</x:f>
        <x:v>0.08</x:v>
      </x:c>
      <x:c r="G233" s="59" t="str">
        <x:v>m</x:v>
      </x:c>
      <x:c r="H233" s="59" t="n">
        <x:f>ABS(K233)*$F$5</x:f>
        <x:v>0.24300000000000002</x:v>
      </x:c>
      <x:c r="I233" s="58" t="str">
        <x:v>入力仕様</x:v>
      </x:c>
      <x:c r="J233" s="59" t="n">
        <x:f>1</x:f>
        <x:v>1</x:v>
      </x:c>
      <x:c r="K233" s="59" t="n">
        <x:f>K231*J233</x:f>
        <x:v>0.027157395165524175</x:v>
      </x:c>
      <x:c r="L233" s="58" t="str">
        <x:f>IF(K233&gt;0,"増加→総重量増",IF(K233&lt;0,"増加→総重量減","中立"))</x:f>
        <x:v>増加→総重量増</x:v>
      </x:c>
      <x:c r="M233" s="58" t="str">
        <x:v>設計対象</x:v>
      </x:c>
      <x:c r="N233" s="58" t="str"/>
      <x:c r="O233" s="229" t="n">
        <x:f>--(COUNTIF($B$5:$B$560,A233)=0)</x:f>
        <x:v>1</x:v>
      </x:c>
      <x:c r="P233" s="70" t="str">
        <x:f>IF(LEFT(E233,7)&lt;&gt;"Enable_","",IFERROR(IF(OR(ISNUMBER(SEARCH("=Enable",INDEX($I$5:$I$560,MATCH(B233,$A$5:$A$560,0)))),ISNUMBER(SEARCH("×Enable",INDEX($I$5:$I$560,MATCH(B233,$A$5:$A$560,0))))),1,""),""))</x:f>
      </x:c>
      <x:c r="Q233" t="n">
        <x:f>IF(E233="","",--(XMATCH(E233,$E$5:E233,0)=ROWS($E$5:E233)))</x:f>
        <x:v>0</x:v>
      </x:c>
      <x:c r="R233" t="str">
        <x:f>IF(Q233=1,SUM($Q$5:Q233),"")</x:f>
      </x:c>
    </x:row>
    <x:row r="234">
      <x:c r="A234" s="58" t="str">
        <x:v>T230</x:v>
      </x:c>
      <x:c r="B234" s="58" t="str">
        <x:v>T227</x:v>
      </x:c>
      <x:c r="C234" s="58" t="n">
        <x:v>6</x:v>
      </x:c>
      <x:c r="D234" s="58" t="str">
        <x:v>機械荷重係数</x:v>
      </x:c>
      <x:c r="E234" s="58" t="str">
        <x:v>p_base</x:v>
      </x:c>
      <x:c r="F234" s="59" t="n">
        <x:f>'01_入力仕様'!D106</x:f>
        <x:v>1</x:v>
      </x:c>
      <x:c r="G234" s="59" t="str">
        <x:v>-</x:v>
      </x:c>
      <x:c r="H234" s="59" t="n">
        <x:f>ABS(K234)*$F$5</x:f>
        <x:v>0.12150000000000001</x:v>
      </x:c>
      <x:c r="I234" s="58" t="str">
        <x:v>入力仕様</x:v>
      </x:c>
      <x:c r="J234" s="59" t="n">
        <x:f>0.5</x:f>
        <x:v>0.5</x:v>
      </x:c>
      <x:c r="K234" s="59" t="n">
        <x:f>K231*J234</x:f>
        <x:v>0.013578697582762088</x:v>
      </x:c>
      <x:c r="L234" s="58" t="str">
        <x:f>IF(K234&gt;0,"増加→総重量増",IF(K234&lt;0,"増加→総重量減","中立"))</x:f>
        <x:v>増加→総重量増</x:v>
      </x:c>
      <x:c r="M234" s="58" t="str">
        <x:v>設計対象</x:v>
      </x:c>
      <x:c r="N234" s="58" t="str"/>
      <x:c r="O234" s="229" t="n">
        <x:f>--(COUNTIF($B$5:$B$560,A234)=0)</x:f>
        <x:v>1</x:v>
      </x:c>
      <x:c r="P234" s="70" t="str">
        <x:f>IF(LEFT(E234,7)&lt;&gt;"Enable_","",IFERROR(IF(OR(ISNUMBER(SEARCH("=Enable",INDEX($I$5:$I$560,MATCH(B234,$A$5:$A$560,0)))),ISNUMBER(SEARCH("×Enable",INDEX($I$5:$I$560,MATCH(B234,$A$5:$A$560,0))))),1,""),""))</x:f>
      </x:c>
      <x:c r="Q234" t="n">
        <x:f>IF(E234="","",--(XMATCH(E234,$E$5:E234,0)=ROWS($E$5:E234)))</x:f>
        <x:v>1</x:v>
      </x:c>
      <x:c r="R234" t="n">
        <x:f>IF(Q234=1,SUM($Q$5:Q234),"")</x:f>
        <x:v>167</x:v>
      </x:c>
    </x:row>
    <x:row r="235">
      <x:c r="A235" s="58" t="str">
        <x:v>T231</x:v>
      </x:c>
      <x:c r="B235" s="58" t="str">
        <x:v>T227</x:v>
      </x:c>
      <x:c r="C235" s="58" t="n">
        <x:v>6</x:v>
      </x:c>
      <x:c r="D235" s="58" t="str">
        <x:v>許容応力係数</x:v>
      </x:c>
      <x:c r="E235" s="58" t="str">
        <x:v>sigma_base</x:v>
      </x:c>
      <x:c r="F235" s="59" t="n">
        <x:f>'01_入力仕様'!D107</x:f>
        <x:v>1</x:v>
      </x:c>
      <x:c r="G235" s="59" t="str">
        <x:v>-</x:v>
      </x:c>
      <x:c r="H235" s="59" t="n">
        <x:f>ABS(K235)*$F$5</x:f>
        <x:v>0.12150000000000001</x:v>
      </x:c>
      <x:c r="I235" s="58" t="str">
        <x:v>入力仕様</x:v>
      </x:c>
      <x:c r="J235" s="59" t="n">
        <x:f>-0.5</x:f>
        <x:v>-0.5</x:v>
      </x:c>
      <x:c r="K235" s="59" t="n">
        <x:f>K231*J235</x:f>
        <x:v>-0.013578697582762088</x:v>
      </x:c>
      <x:c r="L235" s="58" t="str">
        <x:f>IF(K235&gt;0,"増加→総重量増",IF(K235&lt;0,"増加→総重量減","中立"))</x:f>
        <x:v>増加→総重量減</x:v>
      </x:c>
      <x:c r="M235" s="58" t="str">
        <x:v>設計対象</x:v>
      </x:c>
      <x:c r="N235" s="58" t="str"/>
      <x:c r="O235" s="229" t="n">
        <x:f>--(COUNTIF($B$5:$B$560,A235)=0)</x:f>
        <x:v>1</x:v>
      </x:c>
      <x:c r="P235" s="70" t="str">
        <x:f>IF(LEFT(E235,7)&lt;&gt;"Enable_","",IFERROR(IF(OR(ISNUMBER(SEARCH("=Enable",INDEX($I$5:$I$560,MATCH(B235,$A$5:$A$560,0)))),ISNUMBER(SEARCH("×Enable",INDEX($I$5:$I$560,MATCH(B235,$A$5:$A$560,0))))),1,""),""))</x:f>
      </x:c>
      <x:c r="Q235" t="n">
        <x:f>IF(E235="","",--(XMATCH(E235,$E$5:E235,0)=ROWS($E$5:E235)))</x:f>
        <x:v>1</x:v>
      </x:c>
      <x:c r="R235" t="n">
        <x:f>IF(Q235=1,SUM($Q$5:Q235),"")</x:f>
        <x:v>168</x:v>
      </x:c>
    </x:row>
    <x:row r="236">
      <x:c r="A236" s="62" t="str">
        <x:v>T232</x:v>
      </x:c>
      <x:c r="B236" s="62" t="str">
        <x:v>T102</x:v>
      </x:c>
      <x:c r="C236" s="62" t="n">
        <x:v>5</x:v>
      </x:c>
      <x:c r="D236" s="62" t="str">
        <x:v>誘電体物理エネルギー密度</x:v>
      </x:c>
      <x:c r="E236" s="62" t="str">
        <x:v>e_cap_phys</x:v>
      </x:c>
      <x:c r="F236" s="63" t="n">
        <x:f>0.5*'01_入力仕様'!D109*'01_入力仕様'!D110*F239^2*'01_入力仕様'!D114/'01_入力仕様'!D113</x:f>
        <x:v>234.37822620535715</x:v>
      </x:c>
      <x:c r="G236" s="63" t="str">
        <x:v>J/kg</x:v>
      </x:c>
      <x:c r="H236" s="63" t="n">
        <x:f>ABS(K236)*$F$5</x:f>
        <x:v>0.1299466370981019</x:v>
      </x:c>
      <x:c r="I236" s="62" t="str">
        <x:v>e_cap_phys=0.5×eps0×eps_r×E_work_cap²×k_vol_cap/rho_die</x:v>
      </x:c>
      <x:c r="J236" s="63" t="n">
        <x:f>F236/(('01_入力仕様'!D54*'01_入力仕様'!D55)+F236)</x:f>
        <x:v>0.11520877641446906</x:v>
      </x:c>
      <x:c r="K236" s="63" t="n">
        <x:f>K106*J236</x:f>
        <x:v>-0.014522683844049863</x:v>
      </x:c>
      <x:c r="L236" s="62" t="str">
        <x:f>IF(K236&gt;0,"増加→総重量増",IF(K236&lt;0,"増加→総重量減","中立"))</x:f>
        <x:v>増加→総重量減</x:v>
      </x:c>
      <x:c r="M236" s="62" t="str">
        <x:v>設計対象</x:v>
      </x:c>
      <x:c r="N236" s="62" t="str"/>
      <x:c r="O236" s="229" t="n">
        <x:f>--(COUNTIF($B$5:$B$560,A236)=0)</x:f>
        <x:v>0</x:v>
      </x:c>
      <x:c r="P236" s="70" t="str">
        <x:f>IF(LEFT(E236,7)&lt;&gt;"Enable_","",IFERROR(IF(OR(ISNUMBER(SEARCH("=Enable",INDEX($I$5:$I$560,MATCH(B236,$A$5:$A$560,0)))),ISNUMBER(SEARCH("×Enable",INDEX($I$5:$I$560,MATCH(B236,$A$5:$A$560,0))))),1,""),""))</x:f>
      </x:c>
      <x:c r="Q236" t="n">
        <x:f>IF(E236="","",--(XMATCH(E236,$E$5:E236,0)=ROWS($E$5:E236)))</x:f>
        <x:v>1</x:v>
      </x:c>
      <x:c r="R236" t="n">
        <x:f>IF(Q236=1,SUM($Q$5:Q236),"")</x:f>
        <x:v>169</x:v>
      </x:c>
    </x:row>
    <x:row r="237">
      <x:c r="A237" s="66" t="str">
        <x:v>T233</x:v>
      </x:c>
      <x:c r="B237" s="66" t="str">
        <x:v>T232</x:v>
      </x:c>
      <x:c r="C237" s="66" t="n">
        <x:v>6</x:v>
      </x:c>
      <x:c r="D237" s="66" t="str">
        <x:v>真空誘電率</x:v>
      </x:c>
      <x:c r="E237" s="66" t="str">
        <x:v>eps0</x:v>
      </x:c>
      <x:c r="F237" s="67" t="n">
        <x:f>'01_入力仕様'!D109</x:f>
        <x:v>8.854e-12</x:v>
      </x:c>
      <x:c r="G237" s="67" t="str">
        <x:v>F/m</x:v>
      </x:c>
      <x:c r="H237" s="67" t="n">
        <x:f>ABS(K237)*$F$5</x:f>
        <x:v>0</x:v>
      </x:c>
      <x:c r="I237" s="66" t="str">
        <x:v>固定定数</x:v>
      </x:c>
      <x:c r="J237" s="67" t="n">
        <x:f>0</x:f>
        <x:v>0</x:v>
      </x:c>
      <x:c r="K237" s="67" t="n">
        <x:f>K236*J237</x:f>
        <x:v>0</x:v>
      </x:c>
      <x:c r="L237" s="66" t="str">
        <x:f>IF(K237&gt;0,"増加→総重量増",IF(K237&lt;0,"増加→総重量減","中立"))</x:f>
        <x:v>中立</x:v>
      </x:c>
      <x:c r="M237" s="66" t="str">
        <x:v>設計対象</x:v>
      </x:c>
      <x:c r="N237" s="66" t="str">
        <x:v>感度対象外</x:v>
      </x:c>
      <x:c r="O237" s="229" t="n">
        <x:f>--(COUNTIF($B$5:$B$560,A237)=0)</x:f>
        <x:v>1</x:v>
      </x:c>
      <x:c r="P237" s="70" t="str">
        <x:f>IF(LEFT(E237,7)&lt;&gt;"Enable_","",IFERROR(IF(OR(ISNUMBER(SEARCH("=Enable",INDEX($I$5:$I$560,MATCH(B237,$A$5:$A$560,0)))),ISNUMBER(SEARCH("×Enable",INDEX($I$5:$I$560,MATCH(B237,$A$5:$A$560,0))))),1,""),""))</x:f>
      </x:c>
      <x:c r="Q237" t="n">
        <x:f>IF(E237="","",--(XMATCH(E237,$E$5:E237,0)=ROWS($E$5:E237)))</x:f>
        <x:v>1</x:v>
      </x:c>
      <x:c r="R237" t="n">
        <x:f>IF(Q237=1,SUM($Q$5:Q237),"")</x:f>
        <x:v>170</x:v>
      </x:c>
    </x:row>
    <x:row r="238">
      <x:c r="A238" s="58" t="str">
        <x:v>T234</x:v>
      </x:c>
      <x:c r="B238" s="58" t="str">
        <x:v>T232</x:v>
      </x:c>
      <x:c r="C238" s="58" t="n">
        <x:v>6</x:v>
      </x:c>
      <x:c r="D238" s="58" t="str">
        <x:v>比誘電率</x:v>
      </x:c>
      <x:c r="E238" s="58" t="str">
        <x:v>eps_r</x:v>
      </x:c>
      <x:c r="F238" s="59" t="n">
        <x:f>'01_入力仕様'!D110</x:f>
        <x:v>2.2</x:v>
      </x:c>
      <x:c r="G238" s="59" t="str">
        <x:v>-</x:v>
      </x:c>
      <x:c r="H238" s="59" t="n">
        <x:f>ABS(K238)*$F$5</x:f>
        <x:v>0.1299466370981019</x:v>
      </x:c>
      <x:c r="I238" s="58" t="str">
        <x:v>入力仕様</x:v>
      </x:c>
      <x:c r="J238" s="59" t="n">
        <x:f>1</x:f>
        <x:v>1</x:v>
      </x:c>
      <x:c r="K238" s="59" t="n">
        <x:f>K236*J238</x:f>
        <x:v>-0.014522683844049863</x:v>
      </x:c>
      <x:c r="L238" s="58" t="str">
        <x:f>IF(K238&gt;0,"増加→総重量増",IF(K238&lt;0,"増加→総重量減","中立"))</x:f>
        <x:v>増加→総重量減</x:v>
      </x:c>
      <x:c r="M238" s="58" t="str">
        <x:v>設計対象</x:v>
      </x:c>
      <x:c r="N238" s="58" t="str"/>
      <x:c r="O238" s="229" t="n">
        <x:f>--(COUNTIF($B$5:$B$560,A238)=0)</x:f>
        <x:v>1</x:v>
      </x:c>
      <x:c r="P238" s="70" t="str">
        <x:f>IF(LEFT(E238,7)&lt;&gt;"Enable_","",IFERROR(IF(OR(ISNUMBER(SEARCH("=Enable",INDEX($I$5:$I$560,MATCH(B238,$A$5:$A$560,0)))),ISNUMBER(SEARCH("×Enable",INDEX($I$5:$I$560,MATCH(B238,$A$5:$A$560,0))))),1,""),""))</x:f>
      </x:c>
      <x:c r="Q238" t="n">
        <x:f>IF(E238="","",--(XMATCH(E238,$E$5:E238,0)=ROWS($E$5:E238)))</x:f>
        <x:v>1</x:v>
      </x:c>
      <x:c r="R238" t="n">
        <x:f>IF(Q238=1,SUM($Q$5:Q238),"")</x:f>
        <x:v>171</x:v>
      </x:c>
    </x:row>
    <x:row r="239">
      <x:c r="A239" s="62" t="str">
        <x:v>T235</x:v>
      </x:c>
      <x:c r="B239" s="62" t="str">
        <x:v>T232</x:v>
      </x:c>
      <x:c r="C239" s="62" t="n">
        <x:v>6</x:v>
      </x:c>
      <x:c r="D239" s="62" t="str">
        <x:v>使用電界</x:v>
      </x:c>
      <x:c r="E239" s="62" t="str">
        <x:v>E_work_cap</x:v>
      </x:c>
      <x:c r="F239" s="63" t="n">
        <x:f>'01_入力仕様'!D112*'01_入力仕様'!D111</x:f>
        <x:v>247500000</x:v>
      </x:c>
      <x:c r="G239" s="63" t="str">
        <x:v>V/m</x:v>
      </x:c>
      <x:c r="H239" s="63" t="n">
        <x:f>ABS(K239)*$F$5</x:f>
        <x:v>0.2598932741962038</x:v>
      </x:c>
      <x:c r="I239" s="62" t="str">
        <x:v>E_work_cap=k_Ecap×E_break_cap</x:v>
      </x:c>
      <x:c r="J239" s="63" t="n">
        <x:f>2</x:f>
        <x:v>2</x:v>
      </x:c>
      <x:c r="K239" s="63" t="n">
        <x:f>K236*J239</x:f>
        <x:v>-0.029045367688099726</x:v>
      </x:c>
      <x:c r="L239" s="62" t="str">
        <x:f>IF(K239&gt;0,"増加→総重量増",IF(K239&lt;0,"増加→総重量減","中立"))</x:f>
        <x:v>増加→総重量減</x:v>
      </x:c>
      <x:c r="M239" s="62" t="str">
        <x:v>設計対象</x:v>
      </x:c>
      <x:c r="N239" s="62" t="str"/>
      <x:c r="O239" s="229" t="n">
        <x:f>--(COUNTIF($B$5:$B$560,A239)=0)</x:f>
        <x:v>0</x:v>
      </x:c>
      <x:c r="P239" s="70" t="str">
        <x:f>IF(LEFT(E239,7)&lt;&gt;"Enable_","",IFERROR(IF(OR(ISNUMBER(SEARCH("=Enable",INDEX($I$5:$I$560,MATCH(B239,$A$5:$A$560,0)))),ISNUMBER(SEARCH("×Enable",INDEX($I$5:$I$560,MATCH(B239,$A$5:$A$560,0))))),1,""),""))</x:f>
      </x:c>
      <x:c r="Q239" t="n">
        <x:f>IF(E239="","",--(XMATCH(E239,$E$5:E239,0)=ROWS($E$5:E239)))</x:f>
        <x:v>1</x:v>
      </x:c>
      <x:c r="R239" t="n">
        <x:f>IF(Q239=1,SUM($Q$5:Q239),"")</x:f>
        <x:v>172</x:v>
      </x:c>
    </x:row>
    <x:row r="240">
      <x:c r="A240" s="58" t="str">
        <x:v>T236</x:v>
      </x:c>
      <x:c r="B240" s="58" t="str">
        <x:v>T235</x:v>
      </x:c>
      <x:c r="C240" s="58" t="n">
        <x:v>7</x:v>
      </x:c>
      <x:c r="D240" s="58" t="str">
        <x:v>電界利用率</x:v>
      </x:c>
      <x:c r="E240" s="58" t="str">
        <x:v>k_Ecap</x:v>
      </x:c>
      <x:c r="F240" s="59" t="n">
        <x:f>'01_入力仕様'!D112</x:f>
        <x:v>0.45</x:v>
      </x:c>
      <x:c r="G240" s="59" t="str">
        <x:v>-</x:v>
      </x:c>
      <x:c r="H240" s="59" t="n">
        <x:f>ABS(K240)*$F$5</x:f>
        <x:v>0.2598932741962038</x:v>
      </x:c>
      <x:c r="I240" s="58" t="str">
        <x:v>入力仕様</x:v>
      </x:c>
      <x:c r="J240" s="59" t="n">
        <x:f>1</x:f>
        <x:v>1</x:v>
      </x:c>
      <x:c r="K240" s="59" t="n">
        <x:f>K239*J240</x:f>
        <x:v>-0.029045367688099726</x:v>
      </x:c>
      <x:c r="L240" s="58" t="str">
        <x:f>IF(K240&gt;0,"増加→総重量増",IF(K240&lt;0,"増加→総重量減","中立"))</x:f>
        <x:v>増加→総重量減</x:v>
      </x:c>
      <x:c r="M240" s="58" t="str">
        <x:v>設計対象</x:v>
      </x:c>
      <x:c r="N240" s="58" t="str"/>
      <x:c r="O240" s="229" t="n">
        <x:f>--(COUNTIF($B$5:$B$560,A240)=0)</x:f>
        <x:v>1</x:v>
      </x:c>
      <x:c r="P240" s="70" t="str">
        <x:f>IF(LEFT(E240,7)&lt;&gt;"Enable_","",IFERROR(IF(OR(ISNUMBER(SEARCH("=Enable",INDEX($I$5:$I$560,MATCH(B240,$A$5:$A$560,0)))),ISNUMBER(SEARCH("×Enable",INDEX($I$5:$I$560,MATCH(B240,$A$5:$A$560,0))))),1,""),""))</x:f>
      </x:c>
      <x:c r="Q240" t="n">
        <x:f>IF(E240="","",--(XMATCH(E240,$E$5:E240,0)=ROWS($E$5:E240)))</x:f>
        <x:v>1</x:v>
      </x:c>
      <x:c r="R240" t="n">
        <x:f>IF(Q240=1,SUM($Q$5:Q240),"")</x:f>
        <x:v>173</x:v>
      </x:c>
    </x:row>
    <x:row r="241">
      <x:c r="A241" s="58" t="str">
        <x:v>T237</x:v>
      </x:c>
      <x:c r="B241" s="58" t="str">
        <x:v>T235</x:v>
      </x:c>
      <x:c r="C241" s="58" t="n">
        <x:v>7</x:v>
      </x:c>
      <x:c r="D241" s="58" t="str">
        <x:v>破壊電界</x:v>
      </x:c>
      <x:c r="E241" s="58" t="str">
        <x:v>E_break_cap</x:v>
      </x:c>
      <x:c r="F241" s="59" t="n">
        <x:f>'01_入力仕様'!D111</x:f>
        <x:v>550000000</x:v>
      </x:c>
      <x:c r="G241" s="59" t="str">
        <x:v>V/m</x:v>
      </x:c>
      <x:c r="H241" s="59" t="n">
        <x:f>ABS(K241)*$F$5</x:f>
        <x:v>0.2598932741962038</x:v>
      </x:c>
      <x:c r="I241" s="58" t="str">
        <x:v>入力仕様</x:v>
      </x:c>
      <x:c r="J241" s="59" t="n">
        <x:f>1</x:f>
        <x:v>1</x:v>
      </x:c>
      <x:c r="K241" s="59" t="n">
        <x:f>K239*J241</x:f>
        <x:v>-0.029045367688099726</x:v>
      </x:c>
      <x:c r="L241" s="58" t="str">
        <x:f>IF(K241&gt;0,"増加→総重量増",IF(K241&lt;0,"増加→総重量減","中立"))</x:f>
        <x:v>増加→総重量減</x:v>
      </x:c>
      <x:c r="M241" s="58" t="str">
        <x:v>設計対象</x:v>
      </x:c>
      <x:c r="N241" s="58" t="str"/>
      <x:c r="O241" s="229" t="n">
        <x:f>--(COUNTIF($B$5:$B$560,A241)=0)</x:f>
        <x:v>1</x:v>
      </x:c>
      <x:c r="P241" s="70" t="str">
        <x:f>IF(LEFT(E241,7)&lt;&gt;"Enable_","",IFERROR(IF(OR(ISNUMBER(SEARCH("=Enable",INDEX($I$5:$I$560,MATCH(B241,$A$5:$A$560,0)))),ISNUMBER(SEARCH("×Enable",INDEX($I$5:$I$560,MATCH(B241,$A$5:$A$560,0))))),1,""),""))</x:f>
      </x:c>
      <x:c r="Q241" t="n">
        <x:f>IF(E241="","",--(XMATCH(E241,$E$5:E241,0)=ROWS($E$5:E241)))</x:f>
        <x:v>1</x:v>
      </x:c>
      <x:c r="R241" t="n">
        <x:f>IF(Q241=1,SUM($Q$5:Q241),"")</x:f>
        <x:v>174</x:v>
      </x:c>
    </x:row>
    <x:row r="242">
      <x:c r="A242" s="58" t="str">
        <x:v>T238</x:v>
      </x:c>
      <x:c r="B242" s="58" t="str">
        <x:v>T232</x:v>
      </x:c>
      <x:c r="C242" s="58" t="n">
        <x:v>6</x:v>
      </x:c>
      <x:c r="D242" s="58" t="str">
        <x:v>体積利用率</x:v>
      </x:c>
      <x:c r="E242" s="58" t="str">
        <x:v>k_vol_cap</x:v>
      </x:c>
      <x:c r="F242" s="59" t="n">
        <x:f>'01_入力仕様'!D114</x:f>
        <x:v>0.55</x:v>
      </x:c>
      <x:c r="G242" s="59" t="str">
        <x:v>-</x:v>
      </x:c>
      <x:c r="H242" s="59" t="n">
        <x:f>ABS(K242)*$F$5</x:f>
        <x:v>0.1299466370981019</x:v>
      </x:c>
      <x:c r="I242" s="58" t="str">
        <x:v>入力仕様</x:v>
      </x:c>
      <x:c r="J242" s="59" t="n">
        <x:f>1</x:f>
        <x:v>1</x:v>
      </x:c>
      <x:c r="K242" s="59" t="n">
        <x:f>K236*J242</x:f>
        <x:v>-0.014522683844049863</x:v>
      </x:c>
      <x:c r="L242" s="58" t="str">
        <x:f>IF(K242&gt;0,"増加→総重量増",IF(K242&lt;0,"増加→総重量減","中立"))</x:f>
        <x:v>増加→総重量減</x:v>
      </x:c>
      <x:c r="M242" s="58" t="str">
        <x:v>設計対象</x:v>
      </x:c>
      <x:c r="N242" s="58" t="str"/>
      <x:c r="O242" s="229" t="n">
        <x:f>--(COUNTIF($B$5:$B$560,A242)=0)</x:f>
        <x:v>1</x:v>
      </x:c>
      <x:c r="P242" s="70" t="str">
        <x:f>IF(LEFT(E242,7)&lt;&gt;"Enable_","",IFERROR(IF(OR(ISNUMBER(SEARCH("=Enable",INDEX($I$5:$I$560,MATCH(B242,$A$5:$A$560,0)))),ISNUMBER(SEARCH("×Enable",INDEX($I$5:$I$560,MATCH(B242,$A$5:$A$560,0))))),1,""),""))</x:f>
      </x:c>
      <x:c r="Q242" t="n">
        <x:f>IF(E242="","",--(XMATCH(E242,$E$5:E242,0)=ROWS($E$5:E242)))</x:f>
        <x:v>1</x:v>
      </x:c>
      <x:c r="R242" t="n">
        <x:f>IF(Q242=1,SUM($Q$5:Q242),"")</x:f>
        <x:v>175</x:v>
      </x:c>
    </x:row>
    <x:row r="243">
      <x:c r="A243" s="58" t="str">
        <x:v>T239</x:v>
      </x:c>
      <x:c r="B243" s="58" t="str">
        <x:v>T232</x:v>
      </x:c>
      <x:c r="C243" s="58" t="n">
        <x:v>6</x:v>
      </x:c>
      <x:c r="D243" s="58" t="str">
        <x:v>誘電体密度</x:v>
      </x:c>
      <x:c r="E243" s="58" t="str">
        <x:v>rho_die</x:v>
      </x:c>
      <x:c r="F243" s="59" t="n">
        <x:f>'01_入力仕様'!D113</x:f>
        <x:v>1400</x:v>
      </x:c>
      <x:c r="G243" s="59" t="str">
        <x:v>kg/m³</x:v>
      </x:c>
      <x:c r="H243" s="59" t="n">
        <x:f>ABS(K243)*$F$5</x:f>
        <x:v>0.1299466370981019</x:v>
      </x:c>
      <x:c r="I243" s="58" t="str">
        <x:v>入力仕様</x:v>
      </x:c>
      <x:c r="J243" s="59" t="n">
        <x:f>-1</x:f>
        <x:v>-1</x:v>
      </x:c>
      <x:c r="K243" s="59" t="n">
        <x:f>K236*J243</x:f>
        <x:v>0.014522683844049863</x:v>
      </x:c>
      <x:c r="L243" s="58" t="str">
        <x:f>IF(K243&gt;0,"増加→総重量増",IF(K243&lt;0,"増加→総重量減","中立"))</x:f>
        <x:v>増加→総重量増</x:v>
      </x:c>
      <x:c r="M243" s="58" t="str">
        <x:v>設計対象</x:v>
      </x:c>
      <x:c r="N243" s="58" t="str"/>
      <x:c r="O243" s="229" t="n">
        <x:f>--(COUNTIF($B$5:$B$560,A243)=0)</x:f>
        <x:v>1</x:v>
      </x:c>
      <x:c r="P243" s="70" t="str">
        <x:f>IF(LEFT(E243,7)&lt;&gt;"Enable_","",IFERROR(IF(OR(ISNUMBER(SEARCH("=Enable",INDEX($I$5:$I$560,MATCH(B243,$A$5:$A$560,0)))),ISNUMBER(SEARCH("×Enable",INDEX($I$5:$I$560,MATCH(B243,$A$5:$A$560,0))))),1,""),""))</x:f>
      </x:c>
      <x:c r="Q243" t="n">
        <x:f>IF(E243="","",--(XMATCH(E243,$E$5:E243,0)=ROWS($E$5:E243)))</x:f>
        <x:v>1</x:v>
      </x:c>
      <x:c r="R243" t="n">
        <x:f>IF(Q243=1,SUM($Q$5:Q243),"")</x:f>
        <x:v>176</x:v>
      </x:c>
    </x:row>
    <x:row r="244">
      <x:c r="A244" s="62" t="str">
        <x:v>T240</x:v>
      </x:c>
      <x:c r="B244" s="62" t="str">
        <x:v>T115</x:v>
      </x:c>
      <x:c r="C244" s="62" t="n">
        <x:v>5</x:v>
      </x:c>
      <x:c r="D244" s="62" t="str">
        <x:v>物理基準電流密度</x:v>
      </x:c>
      <x:c r="E244" s="62" t="str">
        <x:v>J_bus_phys</x:v>
      </x:c>
      <x:c r="F244" s="63" t="n">
        <x:f>SQRT('01_入力仕様'!D120*'01_入力仕様'!D122*'01_入力仕様'!D61/('01_入力仕様'!D121*((1-'01_入力仕様'!D224)+'01_入力仕様'!D224*'01_入力仕様'!D226)))*1E-3</x:f>
        <x:v>5906.244232186184</x:v>
      </x:c>
      <x:c r="G244" s="63" t="str">
        <x:v>A/mm²</x:v>
      </x:c>
      <x:c r="H244" s="63" t="n">
        <x:f>ABS(K244)*$F$5</x:f>
        <x:v>0.0011057834334105528</x:v>
      </x:c>
      <x:c r="I244" s="62" t="str">
        <x:v>J_bus_phys=SQRT(h_bus×k_sav_bus×dTref/rho_e_bus_eff)×1E-3</x:v>
      </x:c>
      <x:c r="J244" s="63" t="n">
        <x:f>F244/('01_入力仕様'!D58+F244)</x:f>
        <x:v>0.9993232090176212</x:v>
      </x:c>
      <x:c r="K244" s="63" t="n">
        <x:f>K119*J244</x:f>
        <x:v>-0.0001235810603646933</x:v>
      </x:c>
      <x:c r="L244" s="62" t="str">
        <x:f>IF(K244&gt;0,"増加→総重量増",IF(K244&lt;0,"増加→総重量減","中立"))</x:f>
        <x:v>増加→総重量減</x:v>
      </x:c>
      <x:c r="M244" s="62" t="str">
        <x:v>設計対象</x:v>
      </x:c>
      <x:c r="N244" s="62" t="str">
        <x:v>簡易熱平衡モデル</x:v>
      </x:c>
      <x:c r="O244" s="229" t="n">
        <x:f>--(COUNTIF($B$5:$B$560,A244)=0)</x:f>
        <x:v>0</x:v>
      </x:c>
      <x:c r="P244" s="70" t="str">
        <x:f>IF(LEFT(E244,7)&lt;&gt;"Enable_","",IFERROR(IF(OR(ISNUMBER(SEARCH("=Enable",INDEX($I$5:$I$560,MATCH(B244,$A$5:$A$560,0)))),ISNUMBER(SEARCH("×Enable",INDEX($I$5:$I$560,MATCH(B244,$A$5:$A$560,0))))),1,""),""))</x:f>
      </x:c>
      <x:c r="Q244" t="n">
        <x:f>IF(E244="","",--(XMATCH(E244,$E$5:E244,0)=ROWS($E$5:E244)))</x:f>
        <x:v>1</x:v>
      </x:c>
      <x:c r="R244" t="n">
        <x:f>IF(Q244=1,SUM($Q$5:Q244),"")</x:f>
        <x:v>177</x:v>
      </x:c>
    </x:row>
    <x:row r="245">
      <x:c r="A245" s="58" t="str">
        <x:v>T241</x:v>
      </x:c>
      <x:c r="B245" s="58" t="str">
        <x:v>T240</x:v>
      </x:c>
      <x:c r="C245" s="58" t="n">
        <x:v>6</x:v>
      </x:c>
      <x:c r="D245" s="58" t="str">
        <x:v>熱伝達係数</x:v>
      </x:c>
      <x:c r="E245" s="58" t="str">
        <x:v>h_bus</x:v>
      </x:c>
      <x:c r="F245" s="59" t="n">
        <x:f>'01_入力仕様'!D120</x:f>
        <x:v>20</x:v>
      </x:c>
      <x:c r="G245" s="59" t="str">
        <x:v>W/(m²K)</x:v>
      </x:c>
      <x:c r="H245" s="59" t="n">
        <x:f>ABS(K245)*$F$5</x:f>
        <x:v>0.0005528917167052764</x:v>
      </x:c>
      <x:c r="I245" s="58" t="str">
        <x:v>入力仕様</x:v>
      </x:c>
      <x:c r="J245" s="59" t="n">
        <x:f>0.5</x:f>
        <x:v>0.5</x:v>
      </x:c>
      <x:c r="K245" s="59" t="n">
        <x:f>K244*J245</x:f>
        <x:v>-0.00006179053018234665</x:v>
      </x:c>
      <x:c r="L245" s="58" t="str">
        <x:f>IF(K245&gt;0,"増加→総重量増",IF(K245&lt;0,"増加→総重量減","中立"))</x:f>
        <x:v>増加→総重量減</x:v>
      </x:c>
      <x:c r="M245" s="58" t="str">
        <x:v>設計対象</x:v>
      </x:c>
      <x:c r="N245" s="58" t="str"/>
      <x:c r="O245" s="229" t="n">
        <x:f>--(COUNTIF($B$5:$B$560,A245)=0)</x:f>
        <x:v>1</x:v>
      </x:c>
      <x:c r="P245" s="70" t="str">
        <x:f>IF(LEFT(E245,7)&lt;&gt;"Enable_","",IFERROR(IF(OR(ISNUMBER(SEARCH("=Enable",INDEX($I$5:$I$560,MATCH(B245,$A$5:$A$560,0)))),ISNUMBER(SEARCH("×Enable",INDEX($I$5:$I$560,MATCH(B245,$A$5:$A$560,0))))),1,""),""))</x:f>
      </x:c>
      <x:c r="Q245" t="n">
        <x:f>IF(E245="","",--(XMATCH(E245,$E$5:E245,0)=ROWS($E$5:E245)))</x:f>
        <x:v>1</x:v>
      </x:c>
      <x:c r="R245" t="n">
        <x:f>IF(Q245=1,SUM($Q$5:Q245),"")</x:f>
        <x:v>178</x:v>
      </x:c>
    </x:row>
    <x:row r="246">
      <x:c r="A246" s="58" t="str">
        <x:v>T242</x:v>
      </x:c>
      <x:c r="B246" s="58" t="str">
        <x:v>T240</x:v>
      </x:c>
      <x:c r="C246" s="58" t="n">
        <x:v>6</x:v>
      </x:c>
      <x:c r="D246" s="58" t="str">
        <x:v>表面積/体積係数</x:v>
      </x:c>
      <x:c r="E246" s="58" t="str">
        <x:v>k_sav_bus</x:v>
      </x:c>
      <x:c r="F246" s="59" t="n">
        <x:f>'01_入力仕様'!D122</x:f>
        <x:v>500</x:v>
      </x:c>
      <x:c r="G246" s="59" t="str">
        <x:v>1/m</x:v>
      </x:c>
      <x:c r="H246" s="59" t="n">
        <x:f>ABS(K246)*$F$5</x:f>
        <x:v>0.0005528917167052764</x:v>
      </x:c>
      <x:c r="I246" s="58" t="str">
        <x:v>入力仕様</x:v>
      </x:c>
      <x:c r="J246" s="59" t="n">
        <x:f>0.5</x:f>
        <x:v>0.5</x:v>
      </x:c>
      <x:c r="K246" s="59" t="n">
        <x:f>K244*J246</x:f>
        <x:v>-0.00006179053018234665</x:v>
      </x:c>
      <x:c r="L246" s="58" t="str">
        <x:f>IF(K246&gt;0,"増加→総重量増",IF(K246&lt;0,"増加→総重量減","中立"))</x:f>
        <x:v>増加→総重量減</x:v>
      </x:c>
      <x:c r="M246" s="58" t="str">
        <x:v>設計対象</x:v>
      </x:c>
      <x:c r="N246" s="58" t="str"/>
      <x:c r="O246" s="229" t="n">
        <x:f>--(COUNTIF($B$5:$B$560,A246)=0)</x:f>
        <x:v>1</x:v>
      </x:c>
      <x:c r="P246" s="70" t="str">
        <x:f>IF(LEFT(E246,7)&lt;&gt;"Enable_","",IFERROR(IF(OR(ISNUMBER(SEARCH("=Enable",INDEX($I$5:$I$560,MATCH(B246,$A$5:$A$560,0)))),ISNUMBER(SEARCH("×Enable",INDEX($I$5:$I$560,MATCH(B246,$A$5:$A$560,0))))),1,""),""))</x:f>
      </x:c>
      <x:c r="Q246" t="n">
        <x:f>IF(E246="","",--(XMATCH(E246,$E$5:E246,0)=ROWS($E$5:E246)))</x:f>
        <x:v>1</x:v>
      </x:c>
      <x:c r="R246" t="n">
        <x:f>IF(Q246=1,SUM($Q$5:Q246),"")</x:f>
        <x:v>179</x:v>
      </x:c>
    </x:row>
    <x:row r="247">
      <x:c r="A247" s="58" t="str">
        <x:v>T243</x:v>
      </x:c>
      <x:c r="B247" s="58" t="str">
        <x:v>T240</x:v>
      </x:c>
      <x:c r="C247" s="58" t="n">
        <x:v>6</x:v>
      </x:c>
      <x:c r="D247" s="58" t="str">
        <x:v>基準温度上昇</x:v>
      </x:c>
      <x:c r="E247" s="58" t="str">
        <x:v>dT_bus_ref</x:v>
      </x:c>
      <x:c r="F247" s="59" t="n">
        <x:f>'01_入力仕様'!D61</x:f>
        <x:v>60</x:v>
      </x:c>
      <x:c r="G247" s="59" t="str">
        <x:v>K</x:v>
      </x:c>
      <x:c r="H247" s="59" t="n">
        <x:f>ABS(K247)*$F$5</x:f>
        <x:v>0.0005528917167052764</x:v>
      </x:c>
      <x:c r="I247" s="58" t="str">
        <x:v>入力仕様</x:v>
      </x:c>
      <x:c r="J247" s="59" t="n">
        <x:f>0.5</x:f>
        <x:v>0.5</x:v>
      </x:c>
      <x:c r="K247" s="59" t="n">
        <x:f>K244*J247</x:f>
        <x:v>-0.00006179053018234665</x:v>
      </x:c>
      <x:c r="L247" s="58" t="str">
        <x:f>IF(K247&gt;0,"増加→総重量増",IF(K247&lt;0,"増加→総重量減","中立"))</x:f>
        <x:v>増加→総重量減</x:v>
      </x:c>
      <x:c r="M247" s="58" t="str">
        <x:v>設計対象</x:v>
      </x:c>
      <x:c r="N247" s="58" t="str"/>
      <x:c r="O247" s="229" t="n">
        <x:f>--(COUNTIF($B$5:$B$560,A247)=0)</x:f>
        <x:v>1</x:v>
      </x:c>
      <x:c r="P247" s="70" t="str">
        <x:f>IF(LEFT(E247,7)&lt;&gt;"Enable_","",IFERROR(IF(OR(ISNUMBER(SEARCH("=Enable",INDEX($I$5:$I$560,MATCH(B247,$A$5:$A$560,0)))),ISNUMBER(SEARCH("×Enable",INDEX($I$5:$I$560,MATCH(B247,$A$5:$A$560,0))))),1,""),""))</x:f>
      </x:c>
      <x:c r="Q247" t="n">
        <x:f>IF(E247="","",--(XMATCH(E247,$E$5:E247,0)=ROWS($E$5:E247)))</x:f>
        <x:v>0</x:v>
      </x:c>
      <x:c r="R247" t="str">
        <x:f>IF(Q247=1,SUM($Q$5:Q247),"")</x:f>
      </x:c>
    </x:row>
    <x:row r="248">
      <x:c r="A248" s="58" t="str">
        <x:v>T244</x:v>
      </x:c>
      <x:c r="B248" s="58" t="str">
        <x:v>T240</x:v>
      </x:c>
      <x:c r="C248" s="58" t="n">
        <x:v>6</x:v>
      </x:c>
      <x:c r="D248" s="58" t="str">
        <x:v>導体抵抗率</x:v>
      </x:c>
      <x:c r="E248" s="58" t="str">
        <x:v>rho_e_bus</x:v>
      </x:c>
      <x:c r="F248" s="59" t="n">
        <x:f>'01_入力仕様'!D121</x:f>
        <x:v>1.72e-8</x:v>
      </x:c>
      <x:c r="G248" s="59" t="str">
        <x:v>Ωm</x:v>
      </x:c>
      <x:c r="H248" s="59" t="n">
        <x:f>ABS(K248)*$F$5</x:f>
        <x:v>0.0005528917167052764</x:v>
      </x:c>
      <x:c r="I248" s="58" t="str">
        <x:v>入力仕様</x:v>
      </x:c>
      <x:c r="J248" s="59" t="n">
        <x:f>-0.5</x:f>
        <x:v>-0.5</x:v>
      </x:c>
      <x:c r="K248" s="59" t="n">
        <x:f>K244*J248</x:f>
        <x:v>0.00006179053018234665</x:v>
      </x:c>
      <x:c r="L248" s="58" t="str">
        <x:f>IF(K248&gt;0,"増加→総重量増",IF(K248&lt;0,"増加→総重量減","中立"))</x:f>
        <x:v>増加→総重量増</x:v>
      </x:c>
      <x:c r="M248" s="58" t="str">
        <x:v>設計対象</x:v>
      </x:c>
      <x:c r="N248" s="58" t="str"/>
      <x:c r="O248" s="229" t="n">
        <x:f>--(COUNTIF($B$5:$B$560,A248)=0)</x:f>
        <x:v>1</x:v>
      </x:c>
      <x:c r="P248" s="70" t="str">
        <x:f>IF(LEFT(E248,7)&lt;&gt;"Enable_","",IFERROR(IF(OR(ISNUMBER(SEARCH("=Enable",INDEX($I$5:$I$560,MATCH(B248,$A$5:$A$560,0)))),ISNUMBER(SEARCH("×Enable",INDEX($I$5:$I$560,MATCH(B248,$A$5:$A$560,0))))),1,""),""))</x:f>
      </x:c>
      <x:c r="Q248" t="n">
        <x:f>IF(E248="","",--(XMATCH(E248,$E$5:E248,0)=ROWS($E$5:E248)))</x:f>
        <x:v>1</x:v>
      </x:c>
      <x:c r="R248" t="n">
        <x:f>IF(Q248=1,SUM($Q$5:Q248),"")</x:f>
        <x:v>180</x:v>
      </x:c>
    </x:row>
    <x:row r="249">
      <x:c r="A249" s="62" t="str">
        <x:v>T245</x:v>
      </x:c>
      <x:c r="B249" s="62" t="str">
        <x:v>T138</x:v>
      </x:c>
      <x:c r="C249" s="62" t="n">
        <x:v>4</x:v>
      </x:c>
      <x:c r="D249" s="62" t="str">
        <x:v>物理L重量係数</x:v>
      </x:c>
      <x:c r="E249" s="62" t="str">
        <x:v>k_mL_phys</x:v>
      </x:c>
      <x:c r="F249" s="63" t="n">
        <x:f>'01_入力仕様'!D126/('01_入力仕様'!D123^2*'01_入力仕様'!D124*'01_入力仕様'!D125)*1E-6</x:f>
        <x:v>0.19999999999999998</x:v>
      </x:c>
      <x:c r="G249" s="63" t="str">
        <x:v>kg/(H·kA²)</x:v>
      </x:c>
      <x:c r="H249" s="63" t="n">
        <x:f>ABS(K249)*$F$5</x:f>
        <x:v>0.0000018603702034516511</x:v>
      </x:c>
      <x:c r="I249" s="62" t="str">
        <x:v>k_mL_phys=rho_L_eq/(B_max²×k_mu_core×k_fill_L)×1E-6</x:v>
      </x:c>
      <x:c r="J249" s="63" t="n">
        <x:f>F249/(F268+F249)</x:f>
        <x:v>0.004975124378109452</x:v>
      </x:c>
      <x:c r="K249" s="63" t="n">
        <x:f>K142*J249</x:f>
        <x:v>2.0791279328931314e-7</x:v>
      </x:c>
      <x:c r="L249" s="62" t="str">
        <x:f>IF(K249&gt;0,"増加→総重量増",IF(K249&lt;0,"増加→総重量減","中立"))</x:f>
        <x:v>増加→総重量増</x:v>
      </x:c>
      <x:c r="M249" s="62" t="str">
        <x:v>設計対象</x:v>
      </x:c>
      <x:c r="N249" s="62" t="str">
        <x:v>簡易磁気エネルギー密度モデル</x:v>
      </x:c>
      <x:c r="O249" s="229" t="n">
        <x:f>--(COUNTIF($B$5:$B$560,A249)=0)</x:f>
        <x:v>0</x:v>
      </x:c>
      <x:c r="P249" s="70" t="str">
        <x:f>IF(LEFT(E249,7)&lt;&gt;"Enable_","",IFERROR(IF(OR(ISNUMBER(SEARCH("=Enable",INDEX($I$5:$I$560,MATCH(B249,$A$5:$A$560,0)))),ISNUMBER(SEARCH("×Enable",INDEX($I$5:$I$560,MATCH(B249,$A$5:$A$560,0))))),1,""),""))</x:f>
      </x:c>
      <x:c r="Q249" t="n">
        <x:f>IF(E249="","",--(XMATCH(E249,$E$5:E249,0)=ROWS($E$5:E249)))</x:f>
        <x:v>1</x:v>
      </x:c>
      <x:c r="R249" t="n">
        <x:f>IF(Q249=1,SUM($Q$5:Q249),"")</x:f>
        <x:v>181</x:v>
      </x:c>
    </x:row>
    <x:row r="250">
      <x:c r="A250" s="58" t="str">
        <x:v>T246</x:v>
      </x:c>
      <x:c r="B250" s="58" t="str">
        <x:v>T245</x:v>
      </x:c>
      <x:c r="C250" s="58" t="n">
        <x:v>5</x:v>
      </x:c>
      <x:c r="D250" s="58" t="str">
        <x:v>コア/銅等価密度</x:v>
      </x:c>
      <x:c r="E250" s="58" t="str">
        <x:v>rho_L_eq</x:v>
      </x:c>
      <x:c r="F250" s="59" t="n">
        <x:f>'01_入力仕様'!D126</x:f>
        <x:v>5000</x:v>
      </x:c>
      <x:c r="G250" s="59" t="str">
        <x:v>kg/m³</x:v>
      </x:c>
      <x:c r="H250" s="59" t="n">
        <x:f>ABS(K250)*$F$5</x:f>
        <x:v>0.0000018603702034516511</x:v>
      </x:c>
      <x:c r="I250" s="58" t="str">
        <x:v>入力仕様</x:v>
      </x:c>
      <x:c r="J250" s="59" t="n">
        <x:f>1</x:f>
        <x:v>1</x:v>
      </x:c>
      <x:c r="K250" s="59" t="n">
        <x:f>K249*J250</x:f>
        <x:v>2.0791279328931314e-7</x:v>
      </x:c>
      <x:c r="L250" s="58" t="str">
        <x:f>IF(K250&gt;0,"増加→総重量増",IF(K250&lt;0,"増加→総重量減","中立"))</x:f>
        <x:v>増加→総重量増</x:v>
      </x:c>
      <x:c r="M250" s="58" t="str">
        <x:v>設計対象</x:v>
      </x:c>
      <x:c r="N250" s="58" t="str"/>
      <x:c r="O250" s="229" t="n">
        <x:f>--(COUNTIF($B$5:$B$560,A250)=0)</x:f>
        <x:v>1</x:v>
      </x:c>
      <x:c r="P250" s="70" t="str">
        <x:f>IF(LEFT(E250,7)&lt;&gt;"Enable_","",IFERROR(IF(OR(ISNUMBER(SEARCH("=Enable",INDEX($I$5:$I$560,MATCH(B250,$A$5:$A$560,0)))),ISNUMBER(SEARCH("×Enable",INDEX($I$5:$I$560,MATCH(B250,$A$5:$A$560,0))))),1,""),""))</x:f>
      </x:c>
      <x:c r="Q250" t="n">
        <x:f>IF(E250="","",--(XMATCH(E250,$E$5:E250,0)=ROWS($E$5:E250)))</x:f>
        <x:v>1</x:v>
      </x:c>
      <x:c r="R250" t="n">
        <x:f>IF(Q250=1,SUM($Q$5:Q250),"")</x:f>
        <x:v>182</x:v>
      </x:c>
    </x:row>
    <x:row r="251">
      <x:c r="A251" s="58" t="str">
        <x:v>T247</x:v>
      </x:c>
      <x:c r="B251" s="58" t="str">
        <x:v>T245</x:v>
      </x:c>
      <x:c r="C251" s="58" t="n">
        <x:v>5</x:v>
      </x:c>
      <x:c r="D251" s="58" t="str">
        <x:v>許容磁束密度</x:v>
      </x:c>
      <x:c r="E251" s="58" t="str">
        <x:v>B_max</x:v>
      </x:c>
      <x:c r="F251" s="59" t="n">
        <x:f>'01_入力仕様'!D123</x:f>
        <x:v>0.25</x:v>
      </x:c>
      <x:c r="G251" s="59" t="str">
        <x:v>T</x:v>
      </x:c>
      <x:c r="H251" s="59" t="n">
        <x:f>ABS(K251)*$F$5</x:f>
        <x:v>0.0000037207404069033022</x:v>
      </x:c>
      <x:c r="I251" s="58" t="str">
        <x:v>入力仕様</x:v>
      </x:c>
      <x:c r="J251" s="59" t="n">
        <x:f>-2</x:f>
        <x:v>-2</x:v>
      </x:c>
      <x:c r="K251" s="59" t="n">
        <x:f>K249*J251</x:f>
        <x:v>-4.1582558657862627e-7</x:v>
      </x:c>
      <x:c r="L251" s="58" t="str">
        <x:f>IF(K251&gt;0,"増加→総重量増",IF(K251&lt;0,"増加→総重量減","中立"))</x:f>
        <x:v>増加→総重量減</x:v>
      </x:c>
      <x:c r="M251" s="58" t="str">
        <x:v>設計対象</x:v>
      </x:c>
      <x:c r="N251" s="58" t="str"/>
      <x:c r="O251" s="229" t="n">
        <x:f>--(COUNTIF($B$5:$B$560,A251)=0)</x:f>
        <x:v>1</x:v>
      </x:c>
      <x:c r="P251" s="70" t="str">
        <x:f>IF(LEFT(E251,7)&lt;&gt;"Enable_","",IFERROR(IF(OR(ISNUMBER(SEARCH("=Enable",INDEX($I$5:$I$560,MATCH(B251,$A$5:$A$560,0)))),ISNUMBER(SEARCH("×Enable",INDEX($I$5:$I$560,MATCH(B251,$A$5:$A$560,0))))),1,""),""))</x:f>
      </x:c>
      <x:c r="Q251" t="n">
        <x:f>IF(E251="","",--(XMATCH(E251,$E$5:E251,0)=ROWS($E$5:E251)))</x:f>
        <x:v>1</x:v>
      </x:c>
      <x:c r="R251" t="n">
        <x:f>IF(Q251=1,SUM($Q$5:Q251),"")</x:f>
        <x:v>183</x:v>
      </x:c>
    </x:row>
    <x:row r="252">
      <x:c r="A252" s="58" t="str">
        <x:v>T248</x:v>
      </x:c>
      <x:c r="B252" s="58" t="str">
        <x:v>T245</x:v>
      </x:c>
      <x:c r="C252" s="58" t="n">
        <x:v>5</x:v>
      </x:c>
      <x:c r="D252" s="58" t="str">
        <x:v>透磁率係数</x:v>
      </x:c>
      <x:c r="E252" s="58" t="str">
        <x:v>k_mu_core</x:v>
      </x:c>
      <x:c r="F252" s="59" t="n">
        <x:f>'01_入力仕様'!D124</x:f>
        <x:v>1</x:v>
      </x:c>
      <x:c r="G252" s="59" t="str">
        <x:v>-</x:v>
      </x:c>
      <x:c r="H252" s="59" t="n">
        <x:f>ABS(K252)*$F$5</x:f>
        <x:v>0.0000018603702034516511</x:v>
      </x:c>
      <x:c r="I252" s="58" t="str">
        <x:v>入力仕様</x:v>
      </x:c>
      <x:c r="J252" s="59" t="n">
        <x:f>-1</x:f>
        <x:v>-1</x:v>
      </x:c>
      <x:c r="K252" s="59" t="n">
        <x:f>K249*J252</x:f>
        <x:v>-2.0791279328931314e-7</x:v>
      </x:c>
      <x:c r="L252" s="58" t="str">
        <x:f>IF(K252&gt;0,"増加→総重量増",IF(K252&lt;0,"増加→総重量減","中立"))</x:f>
        <x:v>増加→総重量減</x:v>
      </x:c>
      <x:c r="M252" s="58" t="str">
        <x:v>設計対象</x:v>
      </x:c>
      <x:c r="N252" s="58" t="str"/>
      <x:c r="O252" s="229" t="n">
        <x:f>--(COUNTIF($B$5:$B$560,A252)=0)</x:f>
        <x:v>1</x:v>
      </x:c>
      <x:c r="P252" s="70" t="str">
        <x:f>IF(LEFT(E252,7)&lt;&gt;"Enable_","",IFERROR(IF(OR(ISNUMBER(SEARCH("=Enable",INDEX($I$5:$I$560,MATCH(B252,$A$5:$A$560,0)))),ISNUMBER(SEARCH("×Enable",INDEX($I$5:$I$560,MATCH(B252,$A$5:$A$560,0))))),1,""),""))</x:f>
      </x:c>
      <x:c r="Q252" t="n">
        <x:f>IF(E252="","",--(XMATCH(E252,$E$5:E252,0)=ROWS($E$5:E252)))</x:f>
        <x:v>1</x:v>
      </x:c>
      <x:c r="R252" t="n">
        <x:f>IF(Q252=1,SUM($Q$5:Q252),"")</x:f>
        <x:v>184</x:v>
      </x:c>
    </x:row>
    <x:row r="253">
      <x:c r="A253" s="58" t="str">
        <x:v>T249</x:v>
      </x:c>
      <x:c r="B253" s="58" t="str">
        <x:v>T245</x:v>
      </x:c>
      <x:c r="C253" s="58" t="n">
        <x:v>5</x:v>
      </x:c>
      <x:c r="D253" s="58" t="str">
        <x:v>巻線充填率</x:v>
      </x:c>
      <x:c r="E253" s="58" t="str">
        <x:v>k_fill_L</x:v>
      </x:c>
      <x:c r="F253" s="59" t="n">
        <x:f>'01_入力仕様'!D125</x:f>
        <x:v>0.4</x:v>
      </x:c>
      <x:c r="G253" s="59" t="str">
        <x:v>-</x:v>
      </x:c>
      <x:c r="H253" s="59" t="n">
        <x:f>ABS(K253)*$F$5</x:f>
        <x:v>0.0000018603702034516511</x:v>
      </x:c>
      <x:c r="I253" s="58" t="str">
        <x:v>入力仕様</x:v>
      </x:c>
      <x:c r="J253" s="59" t="n">
        <x:f>-1</x:f>
        <x:v>-1</x:v>
      </x:c>
      <x:c r="K253" s="59" t="n">
        <x:f>K249*J253</x:f>
        <x:v>-2.0791279328931314e-7</x:v>
      </x:c>
      <x:c r="L253" s="58" t="str">
        <x:f>IF(K253&gt;0,"増加→総重量増",IF(K253&lt;0,"増加→総重量減","中立"))</x:f>
        <x:v>増加→総重量減</x:v>
      </x:c>
      <x:c r="M253" s="58" t="str">
        <x:v>設計対象</x:v>
      </x:c>
      <x:c r="N253" s="58" t="str"/>
      <x:c r="O253" s="229" t="n">
        <x:f>--(COUNTIF($B$5:$B$560,A253)=0)</x:f>
        <x:v>1</x:v>
      </x:c>
      <x:c r="P253" s="70" t="str">
        <x:f>IF(LEFT(E253,7)&lt;&gt;"Enable_","",IFERROR(IF(OR(ISNUMBER(SEARCH("=Enable",INDEX($I$5:$I$560,MATCH(B253,$A$5:$A$560,0)))),ISNUMBER(SEARCH("×Enable",INDEX($I$5:$I$560,MATCH(B253,$A$5:$A$560,0))))),1,""),""))</x:f>
      </x:c>
      <x:c r="Q253" t="n">
        <x:f>IF(E253="","",--(XMATCH(E253,$E$5:E253,0)=ROWS($E$5:E253)))</x:f>
        <x:v>1</x:v>
      </x:c>
      <x:c r="R253" t="n">
        <x:f>IF(Q253=1,SUM($Q$5:Q253),"")</x:f>
        <x:v>185</x:v>
      </x:c>
    </x:row>
    <x:row r="254">
      <x:c r="A254" s="58" t="str">
        <x:v>T250</x:v>
      </x:c>
      <x:c r="B254" s="58" t="str">
        <x:v>T024</x:v>
      </x:c>
      <x:c r="C254" s="58" t="n">
        <x:v>5</x:v>
      </x:c>
      <x:c r="D254" s="58" t="str">
        <x:v>上銅厚</x:v>
      </x:c>
      <x:c r="E254" s="58" t="str">
        <x:v>t_cu_top</x:v>
      </x:c>
      <x:c r="F254" s="59" t="n">
        <x:f>'01_入力仕様'!D99</x:f>
        <x:v>0.3</x:v>
      </x:c>
      <x:c r="G254" s="59" t="str">
        <x:v>mm</x:v>
      </x:c>
      <x:c r="H254" s="59" t="n">
        <x:f>ABS(K254)*$F$5</x:f>
        <x:v>0.038832622133599205</x:v>
      </x:c>
      <x:c r="I254" s="58" t="str">
        <x:v>入力仕様</x:v>
      </x:c>
      <x:c r="J254" s="59" t="n">
        <x:f>'01_入力仕様'!D102*'01_入力仕様'!D99/('01_入力仕様'!D102*('01_入力仕様'!D99+'01_入力仕様'!D101)+'01_入力仕様'!D103*'01_入力仕様'!D100)</x:f>
        <x:v>0.4187437686939183</x:v>
      </x:c>
      <x:c r="K254" s="59" t="n">
        <x:f>K28*J254</x:f>
        <x:v>0.004339888331669276</x:v>
      </x:c>
      <x:c r="L254" s="58" t="str">
        <x:f>IF(K254&gt;0,"増加→総重量増",IF(K254&lt;0,"増加→総重量減","中立"))</x:f>
        <x:v>増加→総重量増</x:v>
      </x:c>
      <x:c r="M254" s="58" t="str">
        <x:v>設計対象</x:v>
      </x:c>
      <x:c r="N254" s="58" t="str"/>
      <x:c r="O254" s="229" t="n">
        <x:f>--(COUNTIF($B$5:$B$560,A254)=0)</x:f>
        <x:v>1</x:v>
      </x:c>
      <x:c r="P254" s="70" t="str">
        <x:f>IF(LEFT(E254,7)&lt;&gt;"Enable_","",IFERROR(IF(OR(ISNUMBER(SEARCH("=Enable",INDEX($I$5:$I$560,MATCH(B254,$A$5:$A$560,0)))),ISNUMBER(SEARCH("×Enable",INDEX($I$5:$I$560,MATCH(B254,$A$5:$A$560,0))))),1,""),""))</x:f>
      </x:c>
      <x:c r="Q254" t="n">
        <x:f>IF(E254="","",--(XMATCH(E254,$E$5:E254,0)=ROWS($E$5:E254)))</x:f>
        <x:v>0</x:v>
      </x:c>
      <x:c r="R254" t="str">
        <x:f>IF(Q254=1,SUM($Q$5:Q254),"")</x:f>
      </x:c>
    </x:row>
    <x:row r="255">
      <x:c r="A255" s="58" t="str">
        <x:v>T251</x:v>
      </x:c>
      <x:c r="B255" s="58" t="str">
        <x:v>T024</x:v>
      </x:c>
      <x:c r="C255" s="58" t="n">
        <x:v>5</x:v>
      </x:c>
      <x:c r="D255" s="58" t="str">
        <x:v>セラミック厚</x:v>
      </x:c>
      <x:c r="E255" s="58" t="str">
        <x:v>t_cer</x:v>
      </x:c>
      <x:c r="F255" s="59" t="n">
        <x:f>'01_入力仕様'!D100</x:f>
        <x:v>0.32</x:v>
      </x:c>
      <x:c r="G255" s="59" t="str">
        <x:v>mm</x:v>
      </x:c>
      <x:c r="H255" s="59" t="n">
        <x:f>ABS(K255)*$F$5</x:f>
        <x:v>0.015070755732801595</x:v>
      </x:c>
      <x:c r="I255" s="58" t="str">
        <x:v>入力仕様</x:v>
      </x:c>
      <x:c r="J255" s="59" t="n">
        <x:f>'01_入力仕様'!D103*'01_入力仕様'!D100/('01_入力仕様'!D102*('01_入力仕様'!D99+'01_入力仕様'!D101)+'01_入力仕様'!D103*'01_入力仕様'!D100)</x:f>
        <x:v>0.1625124626121635</x:v>
      </x:c>
      <x:c r="K255" s="59" t="n">
        <x:f>K28*J255</x:f>
        <x:v>0.0016842899953859332</x:v>
      </x:c>
      <x:c r="L255" s="58" t="str">
        <x:f>IF(K255&gt;0,"増加→総重量増",IF(K255&lt;0,"増加→総重量減","中立"))</x:f>
        <x:v>増加→総重量増</x:v>
      </x:c>
      <x:c r="M255" s="58" t="str">
        <x:v>設計対象</x:v>
      </x:c>
      <x:c r="N255" s="58" t="str"/>
      <x:c r="O255" s="229" t="n">
        <x:f>--(COUNTIF($B$5:$B$560,A255)=0)</x:f>
        <x:v>1</x:v>
      </x:c>
      <x:c r="P255" s="70" t="str">
        <x:f>IF(LEFT(E255,7)&lt;&gt;"Enable_","",IFERROR(IF(OR(ISNUMBER(SEARCH("=Enable",INDEX($I$5:$I$560,MATCH(B255,$A$5:$A$560,0)))),ISNUMBER(SEARCH("×Enable",INDEX($I$5:$I$560,MATCH(B255,$A$5:$A$560,0))))),1,""),""))</x:f>
      </x:c>
      <x:c r="Q255" t="n">
        <x:f>IF(E255="","",--(XMATCH(E255,$E$5:E255,0)=ROWS($E$5:E255)))</x:f>
        <x:v>0</x:v>
      </x:c>
      <x:c r="R255" t="str">
        <x:f>IF(Q255=1,SUM($Q$5:Q255),"")</x:f>
      </x:c>
    </x:row>
    <x:row r="256">
      <x:c r="A256" s="58" t="str">
        <x:v>T252</x:v>
      </x:c>
      <x:c r="B256" s="58" t="str">
        <x:v>T024</x:v>
      </x:c>
      <x:c r="C256" s="58" t="n">
        <x:v>5</x:v>
      </x:c>
      <x:c r="D256" s="58" t="str">
        <x:v>下銅厚</x:v>
      </x:c>
      <x:c r="E256" s="58" t="str">
        <x:v>t_cu_bot</x:v>
      </x:c>
      <x:c r="F256" s="59" t="n">
        <x:f>'01_入力仕様'!D101</x:f>
        <x:v>0.3</x:v>
      </x:c>
      <x:c r="G256" s="59" t="str">
        <x:v>mm</x:v>
      </x:c>
      <x:c r="H256" s="59" t="n">
        <x:f>ABS(K256)*$F$5</x:f>
        <x:v>0.038832622133599205</x:v>
      </x:c>
      <x:c r="I256" s="58" t="str">
        <x:v>入力仕様</x:v>
      </x:c>
      <x:c r="J256" s="59" t="n">
        <x:f>'01_入力仕様'!D102*'01_入力仕様'!D101/('01_入力仕様'!D102*('01_入力仕様'!D99+'01_入力仕様'!D101)+'01_入力仕様'!D103*'01_入力仕様'!D100)</x:f>
        <x:v>0.4187437686939183</x:v>
      </x:c>
      <x:c r="K256" s="59" t="n">
        <x:f>K28*J256</x:f>
        <x:v>0.004339888331669276</x:v>
      </x:c>
      <x:c r="L256" s="58" t="str">
        <x:f>IF(K256&gt;0,"増加→総重量増",IF(K256&lt;0,"増加→総重量減","中立"))</x:f>
        <x:v>増加→総重量増</x:v>
      </x:c>
      <x:c r="M256" s="58" t="str">
        <x:v>設計対象</x:v>
      </x:c>
      <x:c r="N256" s="58" t="str"/>
      <x:c r="O256" s="229" t="n">
        <x:f>--(COUNTIF($B$5:$B$560,A256)=0)</x:f>
        <x:v>1</x:v>
      </x:c>
      <x:c r="P256" s="70" t="str">
        <x:f>IF(LEFT(E256,7)&lt;&gt;"Enable_","",IFERROR(IF(OR(ISNUMBER(SEARCH("=Enable",INDEX($I$5:$I$560,MATCH(B256,$A$5:$A$560,0)))),ISNUMBER(SEARCH("×Enable",INDEX($I$5:$I$560,MATCH(B256,$A$5:$A$560,0))))),1,""),""))</x:f>
      </x:c>
      <x:c r="Q256" t="n">
        <x:f>IF(E256="","",--(XMATCH(E256,$E$5:E256,0)=ROWS($E$5:E256)))</x:f>
        <x:v>0</x:v>
      </x:c>
      <x:c r="R256" t="str">
        <x:f>IF(Q256=1,SUM($Q$5:Q256),"")</x:f>
      </x:c>
    </x:row>
    <x:row r="257">
      <x:c r="A257" s="58" t="str">
        <x:v>T253</x:v>
      </x:c>
      <x:c r="B257" s="58" t="str">
        <x:v>T130</x:v>
      </x:c>
      <x:c r="C257" s="58" t="n">
        <x:v>3</x:v>
      </x:c>
      <x:c r="D257" s="58" t="str">
        <x:v>現行/設計板厚</x:v>
      </x:c>
      <x:c r="E257" s="58" t="str">
        <x:v>t_case</x:v>
      </x:c>
      <x:c r="F257" s="59" t="n">
        <x:f>'01_入力仕様'!D70</x:f>
        <x:v>0.0018</x:v>
      </x:c>
      <x:c r="G257" s="59" t="str">
        <x:v>m</x:v>
      </x:c>
      <x:c r="H257" s="59" t="n">
        <x:f>ABS(K257)*$F$5</x:f>
        <x:v>2.1730976784000005</x:v>
      </x:c>
      <x:c r="I257" s="58" t="str">
        <x:v>入力仕様</x:v>
      </x:c>
      <x:c r="J257" s="59" t="n">
        <x:f>IF(F257&gt;=F258,1,0)</x:f>
        <x:v>1</x:v>
      </x:c>
      <x:c r="K257" s="59" t="n">
        <x:f>K134*J257</x:f>
        <x:v>0.24286284932342378</x:v>
      </x:c>
      <x:c r="L257" s="58" t="str">
        <x:f>IF(K257&gt;0,"増加→総重量増",IF(K257&lt;0,"増加→総重量減","中立"))</x:f>
        <x:v>増加→総重量増</x:v>
      </x:c>
      <x:c r="M257" s="58" t="str">
        <x:v>設計対象</x:v>
      </x:c>
      <x:c r="N257" s="58" t="str">
        <x:v>現状設計値</x:v>
      </x:c>
      <x:c r="O257" s="229" t="n">
        <x:f>--(COUNTIF($B$5:$B$560,A257)=0)</x:f>
        <x:v>1</x:v>
      </x:c>
      <x:c r="P257" s="70" t="str">
        <x:f>IF(LEFT(E257,7)&lt;&gt;"Enable_","",IFERROR(IF(OR(ISNUMBER(SEARCH("=Enable",INDEX($I$5:$I$560,MATCH(B257,$A$5:$A$560,0)))),ISNUMBER(SEARCH("×Enable",INDEX($I$5:$I$560,MATCH(B257,$A$5:$A$560,0))))),1,""),""))</x:f>
      </x:c>
      <x:c r="Q257" t="n">
        <x:f>IF(E257="","",--(XMATCH(E257,$E$5:E257,0)=ROWS($E$5:E257)))</x:f>
        <x:v>1</x:v>
      </x:c>
      <x:c r="R257" t="n">
        <x:f>IF(Q257=1,SUM($Q$5:Q257),"")</x:f>
        <x:v>186</x:v>
      </x:c>
    </x:row>
    <x:row r="258">
      <x:c r="A258" s="62" t="str">
        <x:v>T254</x:v>
      </x:c>
      <x:c r="B258" s="62" t="str">
        <x:v>T130</x:v>
      </x:c>
      <x:c r="C258" s="62" t="n">
        <x:v>3</x:v>
      </x:c>
      <x:c r="D258" s="62" t="str">
        <x:v>機械要求板厚</x:v>
      </x:c>
      <x:c r="E258" s="62" t="str">
        <x:v>t_case_req</x:v>
      </x:c>
      <x:c r="F258" s="63" t="n">
        <x:f>'01_入力仕様'!D119*F260*SQRT('01_入力仕様'!D115/F264)*0.001</x:f>
        <x:v>0.0006726322996454419</x:v>
      </x:c>
      <x:c r="G258" s="63" t="str">
        <x:v>m</x:v>
      </x:c>
      <x:c r="H258" s="63" t="n">
        <x:f>ABS(K258)*$F$5</x:f>
        <x:v>0</x:v>
      </x:c>
      <x:c r="I258" s="62" t="str">
        <x:v>t_case_req=K_tcase_sf×L_eff×SQRT(p_case/sigma_y_eff)×0.001</x:v>
      </x:c>
      <x:c r="J258" s="63" t="n">
        <x:f>IF(F258&gt;F257,1,0)</x:f>
        <x:v>0</x:v>
      </x:c>
      <x:c r="K258" s="63" t="n">
        <x:f>K134*J258</x:f>
        <x:v>0</x:v>
      </x:c>
      <x:c r="L258" s="62" t="str">
        <x:f>IF(K258&gt;0,"増加→総重量増",IF(K258&lt;0,"増加→総重量減","中立"))</x:f>
        <x:v>中立</x:v>
      </x:c>
      <x:c r="M258" s="62" t="str">
        <x:v>設計対象</x:v>
      </x:c>
      <x:c r="N258" s="62" t="str">
        <x:v>簡易構造モデル</x:v>
      </x:c>
      <x:c r="O258" s="229" t="n">
        <x:f>--(COUNTIF($B$5:$B$560,A258)=0)</x:f>
        <x:v>0</x:v>
      </x:c>
      <x:c r="P258" s="70" t="str">
        <x:f>IF(LEFT(E258,7)&lt;&gt;"Enable_","",IFERROR(IF(OR(ISNUMBER(SEARCH("=Enable",INDEX($I$5:$I$560,MATCH(B258,$A$5:$A$560,0)))),ISNUMBER(SEARCH("×Enable",INDEX($I$5:$I$560,MATCH(B258,$A$5:$A$560,0))))),1,""),""))</x:f>
      </x:c>
      <x:c r="Q258" t="n">
        <x:f>IF(E258="","",--(XMATCH(E258,$E$5:E258,0)=ROWS($E$5:E258)))</x:f>
        <x:v>1</x:v>
      </x:c>
      <x:c r="R258" t="n">
        <x:f>IF(Q258=1,SUM($Q$5:Q258),"")</x:f>
        <x:v>187</x:v>
      </x:c>
    </x:row>
    <x:row r="259">
      <x:c r="A259" s="58" t="str">
        <x:v>T255</x:v>
      </x:c>
      <x:c r="B259" s="58" t="str">
        <x:v>T254</x:v>
      </x:c>
      <x:c r="C259" s="58" t="n">
        <x:v>4</x:v>
      </x:c>
      <x:c r="D259" s="58" t="str">
        <x:v>板厚安全係数</x:v>
      </x:c>
      <x:c r="E259" s="58" t="str">
        <x:v>K_tcase_sf</x:v>
      </x:c>
      <x:c r="F259" s="59" t="n">
        <x:f>'01_入力仕様'!D119</x:f>
        <x:v>1.15</x:v>
      </x:c>
      <x:c r="G259" s="59" t="str">
        <x:v>-</x:v>
      </x:c>
      <x:c r="H259" s="59" t="n">
        <x:f>ABS(K259)*$F$5</x:f>
        <x:v>0</x:v>
      </x:c>
      <x:c r="I259" s="58" t="str">
        <x:v>入力仕様</x:v>
      </x:c>
      <x:c r="J259" s="59" t="n">
        <x:f>1</x:f>
        <x:v>1</x:v>
      </x:c>
      <x:c r="K259" s="59" t="n">
        <x:f>K258*J259</x:f>
        <x:v>0</x:v>
      </x:c>
      <x:c r="L259" s="58" t="str">
        <x:f>IF(K259&gt;0,"増加→総重量増",IF(K259&lt;0,"増加→総重量減","中立"))</x:f>
        <x:v>中立</x:v>
      </x:c>
      <x:c r="M259" s="58" t="str">
        <x:v>設計対象</x:v>
      </x:c>
      <x:c r="N259" s="58" t="str"/>
      <x:c r="O259" s="229" t="n">
        <x:f>--(COUNTIF($B$5:$B$560,A259)=0)</x:f>
        <x:v>1</x:v>
      </x:c>
      <x:c r="P259" s="70" t="str">
        <x:f>IF(LEFT(E259,7)&lt;&gt;"Enable_","",IFERROR(IF(OR(ISNUMBER(SEARCH("=Enable",INDEX($I$5:$I$560,MATCH(B259,$A$5:$A$560,0)))),ISNUMBER(SEARCH("×Enable",INDEX($I$5:$I$560,MATCH(B259,$A$5:$A$560,0))))),1,""),""))</x:f>
      </x:c>
      <x:c r="Q259" t="n">
        <x:f>IF(E259="","",--(XMATCH(E259,$E$5:E259,0)=ROWS($E$5:E259)))</x:f>
        <x:v>1</x:v>
      </x:c>
      <x:c r="R259" t="n">
        <x:f>IF(Q259=1,SUM($Q$5:Q259),"")</x:f>
        <x:v>188</x:v>
      </x:c>
    </x:row>
    <x:row r="260">
      <x:c r="A260" s="62" t="str">
        <x:v>T256</x:v>
      </x:c>
      <x:c r="B260" s="62" t="str">
        <x:v>T254</x:v>
      </x:c>
      <x:c r="C260" s="62" t="n">
        <x:v>4</x:v>
      </x:c>
      <x:c r="D260" s="62" t="str">
        <x:v>有効スパン</x:v>
      </x:c>
      <x:c r="E260" s="62" t="str">
        <x:v>L_eff</x:v>
      </x:c>
      <x:c r="F260" s="63" t="n">
        <x:f>SQRT('01_入力仕様'!D67^2+'01_入力仕様'!D68^2)</x:f>
        <x:v>0.5408326913195983</x:v>
      </x:c>
      <x:c r="G260" s="63" t="str">
        <x:v>m</x:v>
      </x:c>
      <x:c r="H260" s="63" t="n">
        <x:f>ABS(K260)*$F$5</x:f>
        <x:v>0</x:v>
      </x:c>
      <x:c r="I260" s="62" t="str">
        <x:v>L_eff=SQRT(L_case²+W_case²)</x:v>
      </x:c>
      <x:c r="J260" s="63" t="n">
        <x:f>1</x:f>
        <x:v>1</x:v>
      </x:c>
      <x:c r="K260" s="63" t="n">
        <x:f>K258*J260</x:f>
        <x:v>0</x:v>
      </x:c>
      <x:c r="L260" s="62" t="str">
        <x:f>IF(K260&gt;0,"増加→総重量増",IF(K260&lt;0,"増加→総重量減","中立"))</x:f>
        <x:v>中立</x:v>
      </x:c>
      <x:c r="M260" s="62" t="str">
        <x:v>設計対象</x:v>
      </x:c>
      <x:c r="N260" s="62" t="str"/>
      <x:c r="O260" s="229" t="n">
        <x:f>--(COUNTIF($B$5:$B$560,A260)=0)</x:f>
        <x:v>0</x:v>
      </x:c>
      <x:c r="P260" s="70" t="str">
        <x:f>IF(LEFT(E260,7)&lt;&gt;"Enable_","",IFERROR(IF(OR(ISNUMBER(SEARCH("=Enable",INDEX($I$5:$I$560,MATCH(B260,$A$5:$A$560,0)))),ISNUMBER(SEARCH("×Enable",INDEX($I$5:$I$560,MATCH(B260,$A$5:$A$560,0))))),1,""),""))</x:f>
      </x:c>
      <x:c r="Q260" t="n">
        <x:f>IF(E260="","",--(XMATCH(E260,$E$5:E260,0)=ROWS($E$5:E260)))</x:f>
        <x:v>1</x:v>
      </x:c>
      <x:c r="R260" t="n">
        <x:f>IF(Q260=1,SUM($Q$5:Q260),"")</x:f>
        <x:v>189</x:v>
      </x:c>
    </x:row>
    <x:row r="261">
      <x:c r="A261" s="58" t="str">
        <x:v>T257</x:v>
      </x:c>
      <x:c r="B261" s="58" t="str">
        <x:v>T256</x:v>
      </x:c>
      <x:c r="C261" s="58" t="n">
        <x:v>5</x:v>
      </x:c>
      <x:c r="D261" s="58" t="str">
        <x:v>筐体長さ</x:v>
      </x:c>
      <x:c r="E261" s="58" t="str">
        <x:v>L_case</x:v>
      </x:c>
      <x:c r="F261" s="59" t="n">
        <x:f>'01_入力仕様'!D67</x:f>
        <x:v>0.45</x:v>
      </x:c>
      <x:c r="G261" s="59" t="str">
        <x:v>m</x:v>
      </x:c>
      <x:c r="H261" s="59" t="n">
        <x:f>ABS(K261)*$F$5</x:f>
        <x:v>0</x:v>
      </x:c>
      <x:c r="I261" s="58" t="str">
        <x:v>入力仕様</x:v>
      </x:c>
      <x:c r="J261" s="59" t="n">
        <x:f>'01_入力仕様'!D67^2/('01_入力仕様'!D67^2+'01_入力仕様'!D68^2)</x:f>
        <x:v>0.6923076923076924</x:v>
      </x:c>
      <x:c r="K261" s="59" t="n">
        <x:f>K260*J261</x:f>
        <x:v>0</x:v>
      </x:c>
      <x:c r="L261" s="58" t="str">
        <x:f>IF(K261&gt;0,"増加→総重量増",IF(K261&lt;0,"増加→総重量減","中立"))</x:f>
        <x:v>中立</x:v>
      </x:c>
      <x:c r="M261" s="58" t="str">
        <x:v>設計対象</x:v>
      </x:c>
      <x:c r="N261" s="58" t="str"/>
      <x:c r="O261" s="229" t="n">
        <x:f>--(COUNTIF($B$5:$B$560,A261)=0)</x:f>
        <x:v>1</x:v>
      </x:c>
      <x:c r="P261" s="70" t="str">
        <x:f>IF(LEFT(E261,7)&lt;&gt;"Enable_","",IFERROR(IF(OR(ISNUMBER(SEARCH("=Enable",INDEX($I$5:$I$560,MATCH(B261,$A$5:$A$560,0)))),ISNUMBER(SEARCH("×Enable",INDEX($I$5:$I$560,MATCH(B261,$A$5:$A$560,0))))),1,""),""))</x:f>
      </x:c>
      <x:c r="Q261" t="n">
        <x:f>IF(E261="","",--(XMATCH(E261,$E$5:E261,0)=ROWS($E$5:E261)))</x:f>
        <x:v>0</x:v>
      </x:c>
      <x:c r="R261" t="str">
        <x:f>IF(Q261=1,SUM($Q$5:Q261),"")</x:f>
      </x:c>
    </x:row>
    <x:row r="262">
      <x:c r="A262" s="58" t="str">
        <x:v>T258</x:v>
      </x:c>
      <x:c r="B262" s="58" t="str">
        <x:v>T256</x:v>
      </x:c>
      <x:c r="C262" s="58" t="n">
        <x:v>5</x:v>
      </x:c>
      <x:c r="D262" s="58" t="str">
        <x:v>筐体幅</x:v>
      </x:c>
      <x:c r="E262" s="58" t="str">
        <x:v>W_case</x:v>
      </x:c>
      <x:c r="F262" s="59" t="n">
        <x:f>'01_入力仕様'!D68</x:f>
        <x:v>0.3</x:v>
      </x:c>
      <x:c r="G262" s="59" t="str">
        <x:v>m</x:v>
      </x:c>
      <x:c r="H262" s="59" t="n">
        <x:f>ABS(K262)*$F$5</x:f>
        <x:v>0</x:v>
      </x:c>
      <x:c r="I262" s="58" t="str">
        <x:v>入力仕様</x:v>
      </x:c>
      <x:c r="J262" s="59" t="n">
        <x:f>'01_入力仕様'!D68^2/('01_入力仕様'!D67^2+'01_入力仕様'!D68^2)</x:f>
        <x:v>0.3076923076923077</x:v>
      </x:c>
      <x:c r="K262" s="59" t="n">
        <x:f>K260*J262</x:f>
        <x:v>0</x:v>
      </x:c>
      <x:c r="L262" s="58" t="str">
        <x:f>IF(K262&gt;0,"増加→総重量増",IF(K262&lt;0,"増加→総重量減","中立"))</x:f>
        <x:v>中立</x:v>
      </x:c>
      <x:c r="M262" s="58" t="str">
        <x:v>設計対象</x:v>
      </x:c>
      <x:c r="N262" s="58" t="str"/>
      <x:c r="O262" s="229" t="n">
        <x:f>--(COUNTIF($B$5:$B$560,A262)=0)</x:f>
        <x:v>1</x:v>
      </x:c>
      <x:c r="P262" s="70" t="str">
        <x:f>IF(LEFT(E262,7)&lt;&gt;"Enable_","",IFERROR(IF(OR(ISNUMBER(SEARCH("=Enable",INDEX($I$5:$I$560,MATCH(B262,$A$5:$A$560,0)))),ISNUMBER(SEARCH("×Enable",INDEX($I$5:$I$560,MATCH(B262,$A$5:$A$560,0))))),1,""),""))</x:f>
      </x:c>
      <x:c r="Q262" t="n">
        <x:f>IF(E262="","",--(XMATCH(E262,$E$5:E262,0)=ROWS($E$5:E262)))</x:f>
        <x:v>0</x:v>
      </x:c>
      <x:c r="R262" t="str">
        <x:f>IF(Q262=1,SUM($Q$5:Q262),"")</x:f>
      </x:c>
    </x:row>
    <x:row r="263">
      <x:c r="A263" s="58" t="str">
        <x:v>T259</x:v>
      </x:c>
      <x:c r="B263" s="58" t="str">
        <x:v>T254</x:v>
      </x:c>
      <x:c r="C263" s="58" t="n">
        <x:v>4</x:v>
      </x:c>
      <x:c r="D263" s="58" t="str">
        <x:v>等価圧力係数</x:v>
      </x:c>
      <x:c r="E263" s="58" t="str">
        <x:v>p_case</x:v>
      </x:c>
      <x:c r="F263" s="59" t="n">
        <x:f>'01_入力仕様'!D115</x:f>
        <x:v>1</x:v>
      </x:c>
      <x:c r="G263" s="59" t="str">
        <x:v>-</x:v>
      </x:c>
      <x:c r="H263" s="59" t="n">
        <x:f>ABS(K263)*$F$5</x:f>
        <x:v>0</x:v>
      </x:c>
      <x:c r="I263" s="58" t="str">
        <x:v>入力仕様</x:v>
      </x:c>
      <x:c r="J263" s="59" t="n">
        <x:f>0.5</x:f>
        <x:v>0.5</x:v>
      </x:c>
      <x:c r="K263" s="59" t="n">
        <x:f>K258*J263</x:f>
        <x:v>0</x:v>
      </x:c>
      <x:c r="L263" s="58" t="str">
        <x:f>IF(K263&gt;0,"増加→総重量増",IF(K263&lt;0,"増加→総重量減","中立"))</x:f>
        <x:v>中立</x:v>
      </x:c>
      <x:c r="M263" s="58" t="str">
        <x:v>設計対象</x:v>
      </x:c>
      <x:c r="N263" s="58" t="str"/>
      <x:c r="O263" s="229" t="n">
        <x:f>--(COUNTIF($B$5:$B$560,A263)=0)</x:f>
        <x:v>1</x:v>
      </x:c>
      <x:c r="P263" s="70" t="str">
        <x:f>IF(LEFT(E263,7)&lt;&gt;"Enable_","",IFERROR(IF(OR(ISNUMBER(SEARCH("=Enable",INDEX($I$5:$I$560,MATCH(B263,$A$5:$A$560,0)))),ISNUMBER(SEARCH("×Enable",INDEX($I$5:$I$560,MATCH(B263,$A$5:$A$560,0))))),1,""),""))</x:f>
      </x:c>
      <x:c r="Q263" t="n">
        <x:f>IF(E263="","",--(XMATCH(E263,$E$5:E263,0)=ROWS($E$5:E263)))</x:f>
        <x:v>1</x:v>
      </x:c>
      <x:c r="R263" t="n">
        <x:f>IF(Q263=1,SUM($Q$5:Q263),"")</x:f>
        <x:v>190</x:v>
      </x:c>
    </x:row>
    <x:row r="264">
      <x:c r="A264" s="62" t="str">
        <x:v>T260</x:v>
      </x:c>
      <x:c r="B264" s="62" t="str">
        <x:v>T254</x:v>
      </x:c>
      <x:c r="C264" s="62" t="n">
        <x:v>4</x:v>
      </x:c>
      <x:c r="D264" s="62" t="str">
        <x:v>実効材料強度</x:v>
      </x:c>
      <x:c r="E264" s="62" t="str">
        <x:v>sigma_y_eff</x:v>
      </x:c>
      <x:c r="F264" s="63" t="n">
        <x:f>'01_入力仕様'!D116*'01_入力仕様'!D117*'01_入力仕様'!D118</x:f>
        <x:v>0.855</x:v>
      </x:c>
      <x:c r="G264" s="63" t="str">
        <x:v>-</x:v>
      </x:c>
      <x:c r="H264" s="63" t="n">
        <x:f>ABS(K264)*$F$5</x:f>
        <x:v>0</x:v>
      </x:c>
      <x:c r="I264" s="62" t="str">
        <x:v>sigma_y_eff=sigma_y_ref×k_temp_case×k_proc_case</x:v>
      </x:c>
      <x:c r="J264" s="63" t="n">
        <x:f>-0.5</x:f>
        <x:v>-0.5</x:v>
      </x:c>
      <x:c r="K264" s="63" t="n">
        <x:f>K258*J264</x:f>
        <x:v>0</x:v>
      </x:c>
      <x:c r="L264" s="62" t="str">
        <x:f>IF(K264&gt;0,"増加→総重量増",IF(K264&lt;0,"増加→総重量減","中立"))</x:f>
        <x:v>中立</x:v>
      </x:c>
      <x:c r="M264" s="62" t="str">
        <x:v>設計対象</x:v>
      </x:c>
      <x:c r="N264" s="62" t="str"/>
      <x:c r="O264" s="229" t="n">
        <x:f>--(COUNTIF($B$5:$B$560,A264)=0)</x:f>
        <x:v>0</x:v>
      </x:c>
      <x:c r="P264" s="70" t="str">
        <x:f>IF(LEFT(E264,7)&lt;&gt;"Enable_","",IFERROR(IF(OR(ISNUMBER(SEARCH("=Enable",INDEX($I$5:$I$560,MATCH(B264,$A$5:$A$560,0)))),ISNUMBER(SEARCH("×Enable",INDEX($I$5:$I$560,MATCH(B264,$A$5:$A$560,0))))),1,""),""))</x:f>
      </x:c>
      <x:c r="Q264" t="n">
        <x:f>IF(E264="","",--(XMATCH(E264,$E$5:E264,0)=ROWS($E$5:E264)))</x:f>
        <x:v>1</x:v>
      </x:c>
      <x:c r="R264" t="n">
        <x:f>IF(Q264=1,SUM($Q$5:Q264),"")</x:f>
        <x:v>191</x:v>
      </x:c>
    </x:row>
    <x:row r="265">
      <x:c r="A265" s="58" t="str">
        <x:v>T261</x:v>
      </x:c>
      <x:c r="B265" s="58" t="str">
        <x:v>T260</x:v>
      </x:c>
      <x:c r="C265" s="58" t="n">
        <x:v>5</x:v>
      </x:c>
      <x:c r="D265" s="58" t="str">
        <x:v>材料基準強度</x:v>
      </x:c>
      <x:c r="E265" s="58" t="str">
        <x:v>sigma_y_ref</x:v>
      </x:c>
      <x:c r="F265" s="59" t="n">
        <x:f>'01_入力仕様'!D116</x:f>
        <x:v>1</x:v>
      </x:c>
      <x:c r="G265" s="59" t="str">
        <x:v>-</x:v>
      </x:c>
      <x:c r="H265" s="59" t="n">
        <x:f>ABS(K265)*$F$5</x:f>
        <x:v>0</x:v>
      </x:c>
      <x:c r="I265" s="58" t="str">
        <x:v>入力仕様</x:v>
      </x:c>
      <x:c r="J265" s="59" t="n">
        <x:f>1</x:f>
        <x:v>1</x:v>
      </x:c>
      <x:c r="K265" s="59" t="n">
        <x:f>K264*J265</x:f>
        <x:v>0</x:v>
      </x:c>
      <x:c r="L265" s="58" t="str">
        <x:f>IF(K265&gt;0,"増加→総重量増",IF(K265&lt;0,"増加→総重量減","中立"))</x:f>
        <x:v>中立</x:v>
      </x:c>
      <x:c r="M265" s="58" t="str">
        <x:v>設計対象</x:v>
      </x:c>
      <x:c r="N265" s="58" t="str"/>
      <x:c r="O265" s="229" t="n">
        <x:f>--(COUNTIF($B$5:$B$560,A265)=0)</x:f>
        <x:v>1</x:v>
      </x:c>
      <x:c r="P265" s="70" t="str">
        <x:f>IF(LEFT(E265,7)&lt;&gt;"Enable_","",IFERROR(IF(OR(ISNUMBER(SEARCH("=Enable",INDEX($I$5:$I$560,MATCH(B265,$A$5:$A$560,0)))),ISNUMBER(SEARCH("×Enable",INDEX($I$5:$I$560,MATCH(B265,$A$5:$A$560,0))))),1,""),""))</x:f>
      </x:c>
      <x:c r="Q265" t="n">
        <x:f>IF(E265="","",--(XMATCH(E265,$E$5:E265,0)=ROWS($E$5:E265)))</x:f>
        <x:v>1</x:v>
      </x:c>
      <x:c r="R265" t="n">
        <x:f>IF(Q265=1,SUM($Q$5:Q265),"")</x:f>
        <x:v>192</x:v>
      </x:c>
    </x:row>
    <x:row r="266">
      <x:c r="A266" s="58" t="str">
        <x:v>T262</x:v>
      </x:c>
      <x:c r="B266" s="58" t="str">
        <x:v>T260</x:v>
      </x:c>
      <x:c r="C266" s="58" t="n">
        <x:v>5</x:v>
      </x:c>
      <x:c r="D266" s="58" t="str">
        <x:v>温度強度係数</x:v>
      </x:c>
      <x:c r="E266" s="58" t="str">
        <x:v>k_temp_case</x:v>
      </x:c>
      <x:c r="F266" s="59" t="n">
        <x:f>'01_入力仕様'!D117</x:f>
        <x:v>0.9</x:v>
      </x:c>
      <x:c r="G266" s="59" t="str">
        <x:v>-</x:v>
      </x:c>
      <x:c r="H266" s="59" t="n">
        <x:f>ABS(K266)*$F$5</x:f>
        <x:v>0</x:v>
      </x:c>
      <x:c r="I266" s="58" t="str">
        <x:v>入力仕様</x:v>
      </x:c>
      <x:c r="J266" s="59" t="n">
        <x:f>1</x:f>
        <x:v>1</x:v>
      </x:c>
      <x:c r="K266" s="59" t="n">
        <x:f>K264*J266</x:f>
        <x:v>0</x:v>
      </x:c>
      <x:c r="L266" s="58" t="str">
        <x:f>IF(K266&gt;0,"増加→総重量増",IF(K266&lt;0,"増加→総重量減","中立"))</x:f>
        <x:v>中立</x:v>
      </x:c>
      <x:c r="M266" s="58" t="str">
        <x:v>設計対象</x:v>
      </x:c>
      <x:c r="N266" s="58" t="str"/>
      <x:c r="O266" s="229" t="n">
        <x:f>--(COUNTIF($B$5:$B$560,A266)=0)</x:f>
        <x:v>1</x:v>
      </x:c>
      <x:c r="P266" s="70" t="str">
        <x:f>IF(LEFT(E266,7)&lt;&gt;"Enable_","",IFERROR(IF(OR(ISNUMBER(SEARCH("=Enable",INDEX($I$5:$I$560,MATCH(B266,$A$5:$A$560,0)))),ISNUMBER(SEARCH("×Enable",INDEX($I$5:$I$560,MATCH(B266,$A$5:$A$560,0))))),1,""),""))</x:f>
      </x:c>
      <x:c r="Q266" t="n">
        <x:f>IF(E266="","",--(XMATCH(E266,$E$5:E266,0)=ROWS($E$5:E266)))</x:f>
        <x:v>1</x:v>
      </x:c>
      <x:c r="R266" t="n">
        <x:f>IF(Q266=1,SUM($Q$5:Q266),"")</x:f>
        <x:v>193</x:v>
      </x:c>
    </x:row>
    <x:row r="267">
      <x:c r="A267" s="58" t="str">
        <x:v>T263</x:v>
      </x:c>
      <x:c r="B267" s="58" t="str">
        <x:v>T260</x:v>
      </x:c>
      <x:c r="C267" s="58" t="n">
        <x:v>5</x:v>
      </x:c>
      <x:c r="D267" s="58" t="str">
        <x:v>加工強度係数</x:v>
      </x:c>
      <x:c r="E267" s="58" t="str">
        <x:v>k_proc_case</x:v>
      </x:c>
      <x:c r="F267" s="59" t="n">
        <x:f>'01_入力仕様'!D118</x:f>
        <x:v>0.95</x:v>
      </x:c>
      <x:c r="G267" s="59" t="str">
        <x:v>-</x:v>
      </x:c>
      <x:c r="H267" s="59" t="n">
        <x:f>ABS(K267)*$F$5</x:f>
        <x:v>0</x:v>
      </x:c>
      <x:c r="I267" s="58" t="str">
        <x:v>入力仕様</x:v>
      </x:c>
      <x:c r="J267" s="59" t="n">
        <x:f>1</x:f>
        <x:v>1</x:v>
      </x:c>
      <x:c r="K267" s="59" t="n">
        <x:f>K264*J267</x:f>
        <x:v>0</x:v>
      </x:c>
      <x:c r="L267" s="58" t="str">
        <x:f>IF(K267&gt;0,"増加→総重量増",IF(K267&lt;0,"増加→総重量減","中立"))</x:f>
        <x:v>中立</x:v>
      </x:c>
      <x:c r="M267" s="58" t="str">
        <x:v>設計対象</x:v>
      </x:c>
      <x:c r="N267" s="58" t="str"/>
      <x:c r="O267" s="229" t="n">
        <x:f>--(COUNTIF($B$5:$B$560,A267)=0)</x:f>
        <x:v>1</x:v>
      </x:c>
      <x:c r="P267" s="70" t="str">
        <x:f>IF(LEFT(E267,7)&lt;&gt;"Enable_","",IFERROR(IF(OR(ISNUMBER(SEARCH("=Enable",INDEX($I$5:$I$560,MATCH(B267,$A$5:$A$560,0)))),ISNUMBER(SEARCH("×Enable",INDEX($I$5:$I$560,MATCH(B267,$A$5:$A$560,0))))),1,""),""))</x:f>
      </x:c>
      <x:c r="Q267" t="n">
        <x:f>IF(E267="","",--(XMATCH(E267,$E$5:E267,0)=ROWS($E$5:E267)))</x:f>
        <x:v>1</x:v>
      </x:c>
      <x:c r="R267" t="n">
        <x:f>IF(Q267=1,SUM($Q$5:Q267),"")</x:f>
        <x:v>194</x:v>
      </x:c>
    </x:row>
    <x:row r="268">
      <x:c r="A268" s="58" t="str">
        <x:v>T264</x:v>
      </x:c>
      <x:c r="B268" s="58" t="str">
        <x:v>T138</x:v>
      </x:c>
      <x:c r="C268" s="58" t="n">
        <x:v>4</x:v>
      </x:c>
      <x:c r="D268" s="58" t="str">
        <x:v>経験L重量係数</x:v>
      </x:c>
      <x:c r="E268" s="58" t="str">
        <x:v>k_mL_input</x:v>
      </x:c>
      <x:c r="F268" s="59" t="n">
        <x:f>'01_入力仕様'!D78</x:f>
        <x:v>40</x:v>
      </x:c>
      <x:c r="G268" s="59" t="str">
        <x:v>kg/(H·kA²)</x:v>
      </x:c>
      <x:c r="H268" s="59" t="n">
        <x:f>ABS(K268)*$F$5</x:f>
        <x:v>0.00037207404069033024</x:v>
      </x:c>
      <x:c r="I268" s="58" t="str">
        <x:v>k_mL_input=入力仕様(k_mL)</x:v>
      </x:c>
      <x:c r="J268" s="59" t="n">
        <x:f>F268/(F268+F249)</x:f>
        <x:v>0.9950248756218905</x:v>
      </x:c>
      <x:c r="K268" s="59" t="n">
        <x:f>K142*J268</x:f>
        <x:v>0.00004158255865786263</x:v>
      </x:c>
      <x:c r="L268" s="58" t="str">
        <x:f>IF(K268&gt;0,"増加→総重量増",IF(K268&lt;0,"増加→総重量減","中立"))</x:f>
        <x:v>増加→総重量増</x:v>
      </x:c>
      <x:c r="M268" s="58" t="str">
        <x:v>設計対象</x:v>
      </x:c>
      <x:c r="N268" s="58" t="str">
        <x:v>既存経験係数</x:v>
      </x:c>
      <x:c r="O268" s="229" t="n">
        <x:f>--(COUNTIF($B$5:$B$560,A268)=0)</x:f>
        <x:v>1</x:v>
      </x:c>
      <x:c r="P268" s="70" t="str">
        <x:f>IF(LEFT(E268,7)&lt;&gt;"Enable_","",IFERROR(IF(OR(ISNUMBER(SEARCH("=Enable",INDEX($I$5:$I$560,MATCH(B268,$A$5:$A$560,0)))),ISNUMBER(SEARCH("×Enable",INDEX($I$5:$I$560,MATCH(B268,$A$5:$A$560,0))))),1,""),""))</x:f>
      </x:c>
      <x:c r="Q268" t="n">
        <x:f>IF(E268="","",--(XMATCH(E268,$E$5:E268,0)=ROWS($E$5:E268)))</x:f>
        <x:v>1</x:v>
      </x:c>
      <x:c r="R268" t="n">
        <x:f>IF(Q268=1,SUM($Q$5:Q268),"")</x:f>
        <x:v>195</x:v>
      </x:c>
    </x:row>
    <x:row r="269">
      <x:c r="A269" s="58" t="str">
        <x:v>T265</x:v>
      </x:c>
      <x:c r="B269" s="58" t="str">
        <x:v>T027</x:v>
      </x:c>
      <x:c r="C269" s="58" t="n">
        <x:v>5</x:v>
      </x:c>
      <x:c r="D269" s="58" t="str">
        <x:v>現行/設計ベース厚さ</x:v>
      </x:c>
      <x:c r="E269" s="58" t="str">
        <x:v>t_base_input</x:v>
      </x:c>
      <x:c r="F269" s="59" t="n">
        <x:f>'01_入力仕様'!D39</x:f>
        <x:v>3</x:v>
      </x:c>
      <x:c r="G269" s="59" t="str">
        <x:v>mm</x:v>
      </x:c>
      <x:c r="H269" s="59" t="n">
        <x:f>ABS(K269)*$F$5</x:f>
        <x:v>0.08147218549657252</x:v>
      </x:c>
      <x:c r="I269" s="58" t="str">
        <x:v>t_base_input=入力仕様(t_base)</x:v>
      </x:c>
      <x:c r="J269" s="59" t="n">
        <x:f>F269/F5</x:f>
        <x:v>0.3352764835249898</x:v>
      </x:c>
      <x:c r="K269" s="59" t="n">
        <x:f>K31*J269</x:f>
        <x:v>0.009105235952795504</x:v>
      </x:c>
      <x:c r="L269" s="58" t="str">
        <x:f>IF(K269&gt;0,"増加→総重量増",IF(K269&lt;0,"増加→総重量減","中立"))</x:f>
        <x:v>増加→総重量増</x:v>
      </x:c>
      <x:c r="M269" s="58" t="str">
        <x:v>設計対象</x:v>
      </x:c>
      <x:c r="N269" s="58" t="str">
        <x:v>現行設計値</x:v>
      </x:c>
      <x:c r="O269" s="229" t="n">
        <x:f>--(COUNTIF($B$5:$B$560,A269)=0)</x:f>
        <x:v>1</x:v>
      </x:c>
      <x:c r="P269" s="70" t="str">
        <x:f>IF(LEFT(E269,7)&lt;&gt;"Enable_","",IFERROR(IF(OR(ISNUMBER(SEARCH("=Enable",INDEX($I$5:$I$560,MATCH(B269,$A$5:$A$560,0)))),ISNUMBER(SEARCH("×Enable",INDEX($I$5:$I$560,MATCH(B269,$A$5:$A$560,0))))),1,""),""))</x:f>
      </x:c>
      <x:c r="Q269" t="n">
        <x:f>IF(E269="","",--(XMATCH(E269,$E$5:E269,0)=ROWS($E$5:E269)))</x:f>
        <x:v>1</x:v>
      </x:c>
      <x:c r="R269" t="n">
        <x:f>IF(Q269=1,SUM($Q$5:Q269),"")</x:f>
        <x:v>196</x:v>
      </x:c>
    </x:row>
    <x:row r="270">
      <x:c r="A270" s="54" t="str">
        <x:v>T266</x:v>
      </x:c>
      <x:c r="B270" s="54" t="str">
        <x:v>T170</x:v>
      </x:c>
      <x:c r="C270" s="54" t="n">
        <x:v>2</x:v>
      </x:c>
      <x:c r="D270" s="54" t="str">
        <x:v>制御PCB重量</x:v>
      </x:c>
      <x:c r="E270" s="54" t="str">
        <x:v>m_ctrl_pcb</x:v>
      </x:c>
      <x:c r="F270" s="55" t="n">
        <x:f>'01_入力仕様'!D127*'01_入力仕様'!D128*'01_入力仕様'!D129+'01_入力仕様'!D130</x:f>
        <x:v>0.1912</x:v>
      </x:c>
      <x:c r="G270" s="55" t="str">
        <x:v>kg</x:v>
      </x:c>
      <x:c r="H270" s="55" t="n">
        <x:f>ABS(K270)*$F$5</x:f>
        <x:v>0.1912</x:v>
      </x:c>
      <x:c r="I270" s="54" t="str">
        <x:v>m_ctrl_pcb=A_ctrl_pcb×t_ctrl_pcb×rho_ctrl_pcb+m_ctrl_comp</x:v>
      </x:c>
      <x:c r="J270" s="55" t="n">
        <x:f>F270/F174</x:f>
        <x:v>0.45610687022900764</x:v>
      </x:c>
      <x:c r="K270" s="55" t="n">
        <x:f>K174*J270</x:f>
        <x:v>0.021368287883326016</x:v>
      </x:c>
      <x:c r="L270" s="54" t="str">
        <x:f>IF(K270&gt;0,"増加→総重量増",IF(K270&lt;0,"増加→総重量減","中立"))</x:f>
        <x:v>増加→総重量増</x:v>
      </x:c>
      <x:c r="M270" s="54" t="str">
        <x:v>設計対象</x:v>
      </x:c>
      <x:c r="N270" s="54" t="str"/>
      <x:c r="O270" s="229" t="n">
        <x:f>--(COUNTIF($B$5:$B$560,A270)=0)</x:f>
        <x:v>0</x:v>
      </x:c>
      <x:c r="P270" s="70" t="str">
        <x:f>IF(LEFT(E270,7)&lt;&gt;"Enable_","",IFERROR(IF(OR(ISNUMBER(SEARCH("=Enable",INDEX($I$5:$I$560,MATCH(B270,$A$5:$A$560,0)))),ISNUMBER(SEARCH("×Enable",INDEX($I$5:$I$560,MATCH(B270,$A$5:$A$560,0))))),1,""),""))</x:f>
      </x:c>
      <x:c r="Q270" t="n">
        <x:f>IF(E270="","",--(XMATCH(E270,$E$5:E270,0)=ROWS($E$5:E270)))</x:f>
        <x:v>1</x:v>
      </x:c>
      <x:c r="R270" t="n">
        <x:f>IF(Q270=1,SUM($Q$5:Q270),"")</x:f>
        <x:v>197</x:v>
      </x:c>
    </x:row>
    <x:row r="271">
      <x:c r="A271" s="58" t="str">
        <x:v>T267</x:v>
      </x:c>
      <x:c r="B271" s="58" t="str">
        <x:v>T266</x:v>
      </x:c>
      <x:c r="C271" s="58" t="n">
        <x:v>3</x:v>
      </x:c>
      <x:c r="D271" s="58" t="str">
        <x:v>PCB面積</x:v>
      </x:c>
      <x:c r="E271" s="58" t="str">
        <x:v>A_ctrl_pcb</x:v>
      </x:c>
      <x:c r="F271" s="59" t="n">
        <x:f>'01_入力仕様'!D127</x:f>
        <x:v>0.03</x:v>
      </x:c>
      <x:c r="G271" s="59" t="str">
        <x:v>m²</x:v>
      </x:c>
      <x:c r="H271" s="59" t="n">
        <x:f>ABS(K271)*$F$5</x:f>
        <x:v>0.09119999999999999</x:v>
      </x:c>
      <x:c r="I271" s="58" t="str">
        <x:v>入力仕様</x:v>
      </x:c>
      <x:c r="J271" s="59" t="n">
        <x:f>('01_入力仕様'!D127*'01_入力仕様'!D128*'01_入力仕様'!D129)/F270</x:f>
        <x:v>0.47698744769874474</x:v>
      </x:c>
      <x:c r="K271" s="59" t="n">
        <x:f>K270*J271</x:f>
        <x:v>0.010192405099159689</x:v>
      </x:c>
      <x:c r="L271" s="58" t="str">
        <x:f>IF(K271&gt;0,"増加→総重量増",IF(K271&lt;0,"増加→総重量減","中立"))</x:f>
        <x:v>増加→総重量増</x:v>
      </x:c>
      <x:c r="M271" s="58" t="str">
        <x:v>設計対象</x:v>
      </x:c>
      <x:c r="N271" s="58" t="str"/>
      <x:c r="O271" s="229" t="n">
        <x:f>--(COUNTIF($B$5:$B$560,A271)=0)</x:f>
        <x:v>1</x:v>
      </x:c>
      <x:c r="P271" s="70" t="str">
        <x:f>IF(LEFT(E271,7)&lt;&gt;"Enable_","",IFERROR(IF(OR(ISNUMBER(SEARCH("=Enable",INDEX($I$5:$I$560,MATCH(B271,$A$5:$A$560,0)))),ISNUMBER(SEARCH("×Enable",INDEX($I$5:$I$560,MATCH(B271,$A$5:$A$560,0))))),1,""),""))</x:f>
      </x:c>
      <x:c r="Q271" t="n">
        <x:f>IF(E271="","",--(XMATCH(E271,$E$5:E271,0)=ROWS($E$5:E271)))</x:f>
        <x:v>1</x:v>
      </x:c>
      <x:c r="R271" t="n">
        <x:f>IF(Q271=1,SUM($Q$5:Q271),"")</x:f>
        <x:v>198</x:v>
      </x:c>
    </x:row>
    <x:row r="272">
      <x:c r="A272" s="58" t="str">
        <x:v>T268</x:v>
      </x:c>
      <x:c r="B272" s="58" t="str">
        <x:v>T266</x:v>
      </x:c>
      <x:c r="C272" s="58" t="n">
        <x:v>3</x:v>
      </x:c>
      <x:c r="D272" s="58" t="str">
        <x:v>PCB厚さ</x:v>
      </x:c>
      <x:c r="E272" s="58" t="str">
        <x:v>t_ctrl_pcb</x:v>
      </x:c>
      <x:c r="F272" s="59" t="n">
        <x:f>'01_入力仕様'!D128</x:f>
        <x:v>0.0016</x:v>
      </x:c>
      <x:c r="G272" s="59" t="str">
        <x:v>m</x:v>
      </x:c>
      <x:c r="H272" s="59" t="n">
        <x:f>ABS(K272)*$F$5</x:f>
        <x:v>0.09119999999999999</x:v>
      </x:c>
      <x:c r="I272" s="58" t="str">
        <x:v>入力仕様</x:v>
      </x:c>
      <x:c r="J272" s="59" t="n">
        <x:f>('01_入力仕様'!D127*'01_入力仕様'!D128*'01_入力仕様'!D129)/F270</x:f>
        <x:v>0.47698744769874474</x:v>
      </x:c>
      <x:c r="K272" s="59" t="n">
        <x:f>K270*J272</x:f>
        <x:v>0.010192405099159689</x:v>
      </x:c>
      <x:c r="L272" s="58" t="str">
        <x:f>IF(K272&gt;0,"増加→総重量増",IF(K272&lt;0,"増加→総重量減","中立"))</x:f>
        <x:v>増加→総重量増</x:v>
      </x:c>
      <x:c r="M272" s="58" t="str">
        <x:v>設計対象</x:v>
      </x:c>
      <x:c r="N272" s="58" t="str"/>
      <x:c r="O272" s="229" t="n">
        <x:f>--(COUNTIF($B$5:$B$560,A272)=0)</x:f>
        <x:v>1</x:v>
      </x:c>
      <x:c r="P272" s="70" t="str">
        <x:f>IF(LEFT(E272,7)&lt;&gt;"Enable_","",IFERROR(IF(OR(ISNUMBER(SEARCH("=Enable",INDEX($I$5:$I$560,MATCH(B272,$A$5:$A$560,0)))),ISNUMBER(SEARCH("×Enable",INDEX($I$5:$I$560,MATCH(B272,$A$5:$A$560,0))))),1,""),""))</x:f>
      </x:c>
      <x:c r="Q272" t="n">
        <x:f>IF(E272="","",--(XMATCH(E272,$E$5:E272,0)=ROWS($E$5:E272)))</x:f>
        <x:v>1</x:v>
      </x:c>
      <x:c r="R272" t="n">
        <x:f>IF(Q272=1,SUM($Q$5:Q272),"")</x:f>
        <x:v>199</x:v>
      </x:c>
    </x:row>
    <x:row r="273">
      <x:c r="A273" s="58" t="str">
        <x:v>T269</x:v>
      </x:c>
      <x:c r="B273" s="58" t="str">
        <x:v>T266</x:v>
      </x:c>
      <x:c r="C273" s="58" t="n">
        <x:v>3</x:v>
      </x:c>
      <x:c r="D273" s="58" t="str">
        <x:v>PCB等価密度</x:v>
      </x:c>
      <x:c r="E273" s="58" t="str">
        <x:v>rho_ctrl_pcb</x:v>
      </x:c>
      <x:c r="F273" s="59" t="n">
        <x:f>'01_入力仕様'!D129</x:f>
        <x:v>1900</x:v>
      </x:c>
      <x:c r="G273" s="59" t="str">
        <x:v>kg/m³</x:v>
      </x:c>
      <x:c r="H273" s="59" t="n">
        <x:f>ABS(K273)*$F$5</x:f>
        <x:v>0.09119999999999999</x:v>
      </x:c>
      <x:c r="I273" s="58" t="str">
        <x:v>入力仕様</x:v>
      </x:c>
      <x:c r="J273" s="59" t="n">
        <x:f>('01_入力仕様'!D127*'01_入力仕様'!D128*'01_入力仕様'!D129)/F270</x:f>
        <x:v>0.47698744769874474</x:v>
      </x:c>
      <x:c r="K273" s="59" t="n">
        <x:f>K270*J273</x:f>
        <x:v>0.010192405099159689</x:v>
      </x:c>
      <x:c r="L273" s="58" t="str">
        <x:f>IF(K273&gt;0,"増加→総重量増",IF(K273&lt;0,"増加→総重量減","中立"))</x:f>
        <x:v>増加→総重量増</x:v>
      </x:c>
      <x:c r="M273" s="58" t="str">
        <x:v>設計対象</x:v>
      </x:c>
      <x:c r="N273" s="58" t="str"/>
      <x:c r="O273" s="229" t="n">
        <x:f>--(COUNTIF($B$5:$B$560,A273)=0)</x:f>
        <x:v>1</x:v>
      </x:c>
      <x:c r="P273" s="70" t="str">
        <x:f>IF(LEFT(E273,7)&lt;&gt;"Enable_","",IFERROR(IF(OR(ISNUMBER(SEARCH("=Enable",INDEX($I$5:$I$560,MATCH(B273,$A$5:$A$560,0)))),ISNUMBER(SEARCH("×Enable",INDEX($I$5:$I$560,MATCH(B273,$A$5:$A$560,0))))),1,""),""))</x:f>
      </x:c>
      <x:c r="Q273" t="n">
        <x:f>IF(E273="","",--(XMATCH(E273,$E$5:E273,0)=ROWS($E$5:E273)))</x:f>
        <x:v>1</x:v>
      </x:c>
      <x:c r="R273" t="n">
        <x:f>IF(Q273=1,SUM($Q$5:Q273),"")</x:f>
        <x:v>200</x:v>
      </x:c>
    </x:row>
    <x:row r="274">
      <x:c r="A274" s="58" t="str">
        <x:v>T270</x:v>
      </x:c>
      <x:c r="B274" s="58" t="str">
        <x:v>T266</x:v>
      </x:c>
      <x:c r="C274" s="58" t="n">
        <x:v>3</x:v>
      </x:c>
      <x:c r="D274" s="58" t="str">
        <x:v>搭載部品重量</x:v>
      </x:c>
      <x:c r="E274" s="58" t="str">
        <x:v>m_ctrl_comp</x:v>
      </x:c>
      <x:c r="F274" s="59" t="n">
        <x:f>'01_入力仕様'!D130</x:f>
        <x:v>0.1</x:v>
      </x:c>
      <x:c r="G274" s="59" t="str">
        <x:v>kg</x:v>
      </x:c>
      <x:c r="H274" s="59" t="n">
        <x:f>ABS(K274)*$F$5</x:f>
        <x:v>0.09999999999999999</x:v>
      </x:c>
      <x:c r="I274" s="58" t="str">
        <x:v>入力仕様</x:v>
      </x:c>
      <x:c r="J274" s="59" t="n">
        <x:f>'01_入力仕様'!D130/F270</x:f>
        <x:v>0.5230125523012552</x:v>
      </x:c>
      <x:c r="K274" s="59" t="n">
        <x:f>K270*J274</x:f>
        <x:v>0.011175882784166325</x:v>
      </x:c>
      <x:c r="L274" s="58" t="str">
        <x:f>IF(K274&gt;0,"増加→総重量増",IF(K274&lt;0,"増加→総重量減","中立"))</x:f>
        <x:v>増加→総重量増</x:v>
      </x:c>
      <x:c r="M274" s="58" t="str">
        <x:v>設計対象</x:v>
      </x:c>
      <x:c r="N274" s="58" t="str"/>
      <x:c r="O274" s="229" t="n">
        <x:f>--(COUNTIF($B$5:$B$560,A274)=0)</x:f>
        <x:v>1</x:v>
      </x:c>
      <x:c r="P274" s="70" t="str">
        <x:f>IF(LEFT(E274,7)&lt;&gt;"Enable_","",IFERROR(IF(OR(ISNUMBER(SEARCH("=Enable",INDEX($I$5:$I$560,MATCH(B274,$A$5:$A$560,0)))),ISNUMBER(SEARCH("×Enable",INDEX($I$5:$I$560,MATCH(B274,$A$5:$A$560,0))))),1,""),""))</x:f>
      </x:c>
      <x:c r="Q274" t="n">
        <x:f>IF(E274="","",--(XMATCH(E274,$E$5:E274,0)=ROWS($E$5:E274)))</x:f>
        <x:v>1</x:v>
      </x:c>
      <x:c r="R274" t="n">
        <x:f>IF(Q274=1,SUM($Q$5:Q274),"")</x:f>
        <x:v>201</x:v>
      </x:c>
    </x:row>
    <x:row r="275">
      <x:c r="A275" s="54" t="str">
        <x:v>T271</x:v>
      </x:c>
      <x:c r="B275" s="54" t="str">
        <x:v>T170</x:v>
      </x:c>
      <x:c r="C275" s="54" t="n">
        <x:v>2</x:v>
      </x:c>
      <x:c r="D275" s="54" t="str">
        <x:v>ゲート回路重量</x:v>
      </x:c>
      <x:c r="E275" s="54" t="str">
        <x:v>m_gate</x:v>
      </x:c>
      <x:c r="F275" s="55" t="n">
        <x:f>'01_入力仕様'!D131*'01_入力仕様'!D132</x:f>
        <x:v>0.10799999999999998</x:v>
      </x:c>
      <x:c r="G275" s="55" t="str">
        <x:v>kg</x:v>
      </x:c>
      <x:c r="H275" s="55" t="n">
        <x:f>ABS(K275)*$F$5</x:f>
        <x:v>0.10799999999999998</x:v>
      </x:c>
      <x:c r="I275" s="54" t="str">
        <x:v>m_gate=N_gate×m_gate_unit</x:v>
      </x:c>
      <x:c r="J275" s="55" t="n">
        <x:f>F275/F174</x:f>
        <x:v>0.2576335877862595</x:v>
      </x:c>
      <x:c r="K275" s="55" t="n">
        <x:f>K174*J275</x:f>
        <x:v>0.012069953406899632</x:v>
      </x:c>
      <x:c r="L275" s="54" t="str">
        <x:f>IF(K275&gt;0,"増加→総重量増",IF(K275&lt;0,"増加→総重量減","中立"))</x:f>
        <x:v>増加→総重量増</x:v>
      </x:c>
      <x:c r="M275" s="54" t="str">
        <x:v>設計対象</x:v>
      </x:c>
      <x:c r="N275" s="54" t="str"/>
      <x:c r="O275" s="229" t="n">
        <x:f>--(COUNTIF($B$5:$B$560,A275)=0)</x:f>
        <x:v>0</x:v>
      </x:c>
      <x:c r="P275" s="70" t="str">
        <x:f>IF(LEFT(E275,7)&lt;&gt;"Enable_","",IFERROR(IF(OR(ISNUMBER(SEARCH("=Enable",INDEX($I$5:$I$560,MATCH(B275,$A$5:$A$560,0)))),ISNUMBER(SEARCH("×Enable",INDEX($I$5:$I$560,MATCH(B275,$A$5:$A$560,0))))),1,""),""))</x:f>
      </x:c>
      <x:c r="Q275" t="n">
        <x:f>IF(E275="","",--(XMATCH(E275,$E$5:E275,0)=ROWS($E$5:E275)))</x:f>
        <x:v>1</x:v>
      </x:c>
      <x:c r="R275" t="n">
        <x:f>IF(Q275=1,SUM($Q$5:Q275),"")</x:f>
        <x:v>202</x:v>
      </x:c>
    </x:row>
    <x:row r="276">
      <x:c r="A276" s="58" t="str">
        <x:v>T272</x:v>
      </x:c>
      <x:c r="B276" s="58" t="str">
        <x:v>T271</x:v>
      </x:c>
      <x:c r="C276" s="58" t="n">
        <x:v>3</x:v>
      </x:c>
      <x:c r="D276" s="58" t="str">
        <x:v>ゲートドライバ数</x:v>
      </x:c>
      <x:c r="E276" s="58" t="str">
        <x:v>N_gate</x:v>
      </x:c>
      <x:c r="F276" s="59" t="n">
        <x:f>'01_入力仕様'!D131</x:f>
        <x:v>6</x:v>
      </x:c>
      <x:c r="G276" s="59" t="str">
        <x:v>個</x:v>
      </x:c>
      <x:c r="H276" s="59" t="n">
        <x:f>ABS(K276)*$F$5</x:f>
        <x:v>0.10799999999999998</x:v>
      </x:c>
      <x:c r="I276" s="58" t="str">
        <x:v>入力仕様</x:v>
      </x:c>
      <x:c r="J276" s="59" t="n">
        <x:f>1</x:f>
        <x:v>1</x:v>
      </x:c>
      <x:c r="K276" s="59" t="n">
        <x:f>K275*J276</x:f>
        <x:v>0.012069953406899632</x:v>
      </x:c>
      <x:c r="L276" s="58" t="str">
        <x:f>IF(K276&gt;0,"増加→総重量増",IF(K276&lt;0,"増加→総重量減","中立"))</x:f>
        <x:v>増加→総重量増</x:v>
      </x:c>
      <x:c r="M276" s="58" t="str">
        <x:v>設計対象</x:v>
      </x:c>
      <x:c r="N276" s="58" t="str"/>
      <x:c r="O276" s="229" t="n">
        <x:f>--(COUNTIF($B$5:$B$560,A276)=0)</x:f>
        <x:v>1</x:v>
      </x:c>
      <x:c r="P276" s="70" t="str">
        <x:f>IF(LEFT(E276,7)&lt;&gt;"Enable_","",IFERROR(IF(OR(ISNUMBER(SEARCH("=Enable",INDEX($I$5:$I$560,MATCH(B276,$A$5:$A$560,0)))),ISNUMBER(SEARCH("×Enable",INDEX($I$5:$I$560,MATCH(B276,$A$5:$A$560,0))))),1,""),""))</x:f>
      </x:c>
      <x:c r="Q276" t="n">
        <x:f>IF(E276="","",--(XMATCH(E276,$E$5:E276,0)=ROWS($E$5:E276)))</x:f>
        <x:v>1</x:v>
      </x:c>
      <x:c r="R276" t="n">
        <x:f>IF(Q276=1,SUM($Q$5:Q276),"")</x:f>
        <x:v>203</x:v>
      </x:c>
    </x:row>
    <x:row r="277">
      <x:c r="A277" s="58" t="str">
        <x:v>T273</x:v>
      </x:c>
      <x:c r="B277" s="58" t="str">
        <x:v>T271</x:v>
      </x:c>
      <x:c r="C277" s="58" t="n">
        <x:v>3</x:v>
      </x:c>
      <x:c r="D277" s="58" t="str">
        <x:v>ドライバ単体重量</x:v>
      </x:c>
      <x:c r="E277" s="58" t="str">
        <x:v>m_gate_unit</x:v>
      </x:c>
      <x:c r="F277" s="59" t="n">
        <x:f>'01_入力仕様'!D132</x:f>
        <x:v>0.018</x:v>
      </x:c>
      <x:c r="G277" s="59" t="str">
        <x:v>kg/個</x:v>
      </x:c>
      <x:c r="H277" s="59" t="n">
        <x:f>ABS(K277)*$F$5</x:f>
        <x:v>0.10799999999999998</x:v>
      </x:c>
      <x:c r="I277" s="58" t="str">
        <x:v>入力仕様</x:v>
      </x:c>
      <x:c r="J277" s="59" t="n">
        <x:f>1</x:f>
        <x:v>1</x:v>
      </x:c>
      <x:c r="K277" s="59" t="n">
        <x:f>K275*J277</x:f>
        <x:v>0.012069953406899632</x:v>
      </x:c>
      <x:c r="L277" s="58" t="str">
        <x:f>IF(K277&gt;0,"増加→総重量増",IF(K277&lt;0,"増加→総重量減","中立"))</x:f>
        <x:v>増加→総重量増</x:v>
      </x:c>
      <x:c r="M277" s="58" t="str">
        <x:v>設計対象</x:v>
      </x:c>
      <x:c r="N277" s="58" t="str"/>
      <x:c r="O277" s="229" t="n">
        <x:f>--(COUNTIF($B$5:$B$560,A277)=0)</x:f>
        <x:v>1</x:v>
      </x:c>
      <x:c r="P277" s="70" t="str">
        <x:f>IF(LEFT(E277,7)&lt;&gt;"Enable_","",IFERROR(IF(OR(ISNUMBER(SEARCH("=Enable",INDEX($I$5:$I$560,MATCH(B277,$A$5:$A$560,0)))),ISNUMBER(SEARCH("×Enable",INDEX($I$5:$I$560,MATCH(B277,$A$5:$A$560,0))))),1,""),""))</x:f>
      </x:c>
      <x:c r="Q277" t="n">
        <x:f>IF(E277="","",--(XMATCH(E277,$E$5:E277,0)=ROWS($E$5:E277)))</x:f>
        <x:v>1</x:v>
      </x:c>
      <x:c r="R277" t="n">
        <x:f>IF(Q277=1,SUM($Q$5:Q277),"")</x:f>
        <x:v>204</x:v>
      </x:c>
    </x:row>
    <x:row r="278">
      <x:c r="A278" s="58" t="str">
        <x:v>T274</x:v>
      </x:c>
      <x:c r="B278" s="58" t="str">
        <x:v>T170</x:v>
      </x:c>
      <x:c r="C278" s="58" t="n">
        <x:v>2</x:v>
      </x:c>
      <x:c r="D278" s="58" t="str">
        <x:v>補助電源重量</x:v>
      </x:c>
      <x:c r="E278" s="58" t="str">
        <x:v>m_aux_supply</x:v>
      </x:c>
      <x:c r="F278" s="59" t="n">
        <x:f>'01_入力仕様'!D133</x:f>
        <x:v>0.12</x:v>
      </x:c>
      <x:c r="G278" s="59" t="str">
        <x:v>kg</x:v>
      </x:c>
      <x:c r="H278" s="59" t="n">
        <x:f>ABS(K278)*$F$5</x:f>
        <x:v>0.005621916075747029</x:v>
      </x:c>
      <x:c r="I278" s="58" t="str">
        <x:v>入力仕様</x:v>
      </x:c>
      <x:c r="J278" s="59" t="n">
        <x:f>F278/F5</x:f>
        <x:v>0.013411059340999591</x:v>
      </x:c>
      <x:c r="K278" s="59" t="n">
        <x:f>K174*J278</x:f>
        <x:v>0.0006282987508496913</x:v>
      </x:c>
      <x:c r="L278" s="58" t="str">
        <x:f>IF(K278&gt;0,"増加→総重量増",IF(K278&lt;0,"増加→総重量減","中立"))</x:f>
        <x:v>増加→総重量増</x:v>
      </x:c>
      <x:c r="M278" s="58" t="str">
        <x:v>設計対象</x:v>
      </x:c>
      <x:c r="N278" s="58" t="str"/>
      <x:c r="O278" s="229" t="n">
        <x:f>--(COUNTIF($B$5:$B$560,A278)=0)</x:f>
        <x:v>1</x:v>
      </x:c>
      <x:c r="P278" s="70" t="str">
        <x:f>IF(LEFT(E278,7)&lt;&gt;"Enable_","",IFERROR(IF(OR(ISNUMBER(SEARCH("=Enable",INDEX($I$5:$I$560,MATCH(B278,$A$5:$A$560,0)))),ISNUMBER(SEARCH("×Enable",INDEX($I$5:$I$560,MATCH(B278,$A$5:$A$560,0))))),1,""),""))</x:f>
      </x:c>
      <x:c r="Q278" t="n">
        <x:f>IF(E278="","",--(XMATCH(E278,$E$5:E278,0)=ROWS($E$5:E278)))</x:f>
        <x:v>1</x:v>
      </x:c>
      <x:c r="R278" t="n">
        <x:f>IF(Q278=1,SUM($Q$5:Q278),"")</x:f>
        <x:v>205</x:v>
      </x:c>
    </x:row>
    <x:row r="279">
      <x:c r="A279" s="54" t="str">
        <x:v>T275</x:v>
      </x:c>
      <x:c r="B279" s="54" t="str">
        <x:v>T171</x:v>
      </x:c>
      <x:c r="C279" s="54" t="n">
        <x:v>2</x:v>
      </x:c>
      <x:c r="D279" s="54" t="str">
        <x:v>電流センサ重量</x:v>
      </x:c>
      <x:c r="E279" s="54" t="str">
        <x:v>m_isens</x:v>
      </x:c>
      <x:c r="F279" s="55" t="n">
        <x:f>'01_入力仕様'!D134*'01_入力仕様'!D135</x:f>
        <x:v>0.135</x:v>
      </x:c>
      <x:c r="G279" s="55" t="str">
        <x:v>kg</x:v>
      </x:c>
      <x:c r="H279" s="55" t="n">
        <x:f>ABS(K279)*$F$5</x:f>
        <x:v>0.135</x:v>
      </x:c>
      <x:c r="I279" s="54" t="str">
        <x:v>m_isens=N_isens×m_isens_unit</x:v>
      </x:c>
      <x:c r="J279" s="55" t="n">
        <x:f>F279/F175</x:f>
        <x:v>0.42857142857142855</x:v>
      </x:c>
      <x:c r="K279" s="55" t="n">
        <x:f>K175*J279</x:f>
        <x:v>0.015087441758624542</x:v>
      </x:c>
      <x:c r="L279" s="54" t="str">
        <x:f>IF(K279&gt;0,"増加→総重量増",IF(K279&lt;0,"増加→総重量減","中立"))</x:f>
        <x:v>増加→総重量増</x:v>
      </x:c>
      <x:c r="M279" s="54" t="str">
        <x:v>設計対象</x:v>
      </x:c>
      <x:c r="N279" s="54" t="str"/>
      <x:c r="O279" s="229" t="n">
        <x:f>--(COUNTIF($B$5:$B$560,A279)=0)</x:f>
        <x:v>0</x:v>
      </x:c>
      <x:c r="P279" s="70" t="str">
        <x:f>IF(LEFT(E279,7)&lt;&gt;"Enable_","",IFERROR(IF(OR(ISNUMBER(SEARCH("=Enable",INDEX($I$5:$I$560,MATCH(B279,$A$5:$A$560,0)))),ISNUMBER(SEARCH("×Enable",INDEX($I$5:$I$560,MATCH(B279,$A$5:$A$560,0))))),1,""),""))</x:f>
      </x:c>
      <x:c r="Q279" t="n">
        <x:f>IF(E279="","",--(XMATCH(E279,$E$5:E279,0)=ROWS($E$5:E279)))</x:f>
        <x:v>1</x:v>
      </x:c>
      <x:c r="R279" t="n">
        <x:f>IF(Q279=1,SUM($Q$5:Q279),"")</x:f>
        <x:v>206</x:v>
      </x:c>
    </x:row>
    <x:row r="280">
      <x:c r="A280" s="58" t="str">
        <x:v>T276</x:v>
      </x:c>
      <x:c r="B280" s="58" t="str">
        <x:v>T275</x:v>
      </x:c>
      <x:c r="C280" s="58" t="n">
        <x:v>3</x:v>
      </x:c>
      <x:c r="D280" s="58" t="str">
        <x:v>電流センサ数</x:v>
      </x:c>
      <x:c r="E280" s="58" t="str">
        <x:v>N_isens</x:v>
      </x:c>
      <x:c r="F280" s="59" t="n">
        <x:f>'01_入力仕様'!D134</x:f>
        <x:v>3</x:v>
      </x:c>
      <x:c r="G280" s="59" t="str">
        <x:v>個</x:v>
      </x:c>
      <x:c r="H280" s="59" t="n">
        <x:f>ABS(K280)*$F$5</x:f>
        <x:v>0.135</x:v>
      </x:c>
      <x:c r="I280" s="58" t="str">
        <x:v>入力仕様</x:v>
      </x:c>
      <x:c r="J280" s="59" t="n">
        <x:f>1</x:f>
        <x:v>1</x:v>
      </x:c>
      <x:c r="K280" s="59" t="n">
        <x:f>K279*J280</x:f>
        <x:v>0.015087441758624542</x:v>
      </x:c>
      <x:c r="L280" s="58" t="str">
        <x:f>IF(K280&gt;0,"増加→総重量増",IF(K280&lt;0,"増加→総重量減","中立"))</x:f>
        <x:v>増加→総重量増</x:v>
      </x:c>
      <x:c r="M280" s="58" t="str">
        <x:v>設計対象</x:v>
      </x:c>
      <x:c r="N280" s="58" t="str"/>
      <x:c r="O280" s="229" t="n">
        <x:f>--(COUNTIF($B$5:$B$560,A280)=0)</x:f>
        <x:v>1</x:v>
      </x:c>
      <x:c r="P280" s="70" t="str">
        <x:f>IF(LEFT(E280,7)&lt;&gt;"Enable_","",IFERROR(IF(OR(ISNUMBER(SEARCH("=Enable",INDEX($I$5:$I$560,MATCH(B280,$A$5:$A$560,0)))),ISNUMBER(SEARCH("×Enable",INDEX($I$5:$I$560,MATCH(B280,$A$5:$A$560,0))))),1,""),""))</x:f>
      </x:c>
      <x:c r="Q280" t="n">
        <x:f>IF(E280="","",--(XMATCH(E280,$E$5:E280,0)=ROWS($E$5:E280)))</x:f>
        <x:v>1</x:v>
      </x:c>
      <x:c r="R280" t="n">
        <x:f>IF(Q280=1,SUM($Q$5:Q280),"")</x:f>
        <x:v>207</x:v>
      </x:c>
    </x:row>
    <x:row r="281">
      <x:c r="A281" s="58" t="str">
        <x:v>T277</x:v>
      </x:c>
      <x:c r="B281" s="58" t="str">
        <x:v>T275</x:v>
      </x:c>
      <x:c r="C281" s="58" t="n">
        <x:v>3</x:v>
      </x:c>
      <x:c r="D281" s="58" t="str">
        <x:v>単体重量</x:v>
      </x:c>
      <x:c r="E281" s="58" t="str">
        <x:v>m_isens_unit</x:v>
      </x:c>
      <x:c r="F281" s="59" t="n">
        <x:f>'01_入力仕様'!D135</x:f>
        <x:v>0.045</x:v>
      </x:c>
      <x:c r="G281" s="59" t="str">
        <x:v>kg/個</x:v>
      </x:c>
      <x:c r="H281" s="59" t="n">
        <x:f>ABS(K281)*$F$5</x:f>
        <x:v>0.135</x:v>
      </x:c>
      <x:c r="I281" s="58" t="str">
        <x:v>入力仕様</x:v>
      </x:c>
      <x:c r="J281" s="59" t="n">
        <x:f>1</x:f>
        <x:v>1</x:v>
      </x:c>
      <x:c r="K281" s="59" t="n">
        <x:f>K279*J281</x:f>
        <x:v>0.015087441758624542</x:v>
      </x:c>
      <x:c r="L281" s="58" t="str">
        <x:f>IF(K281&gt;0,"増加→総重量増",IF(K281&lt;0,"増加→総重量減","中立"))</x:f>
        <x:v>増加→総重量増</x:v>
      </x:c>
      <x:c r="M281" s="58" t="str">
        <x:v>設計対象</x:v>
      </x:c>
      <x:c r="N281" s="58" t="str"/>
      <x:c r="O281" s="229" t="n">
        <x:f>--(COUNTIF($B$5:$B$560,A281)=0)</x:f>
        <x:v>1</x:v>
      </x:c>
      <x:c r="P281" s="70" t="str">
        <x:f>IF(LEFT(E281,7)&lt;&gt;"Enable_","",IFERROR(IF(OR(ISNUMBER(SEARCH("=Enable",INDEX($I$5:$I$560,MATCH(B281,$A$5:$A$560,0)))),ISNUMBER(SEARCH("×Enable",INDEX($I$5:$I$560,MATCH(B281,$A$5:$A$560,0))))),1,""),""))</x:f>
      </x:c>
      <x:c r="Q281" t="n">
        <x:f>IF(E281="","",--(XMATCH(E281,$E$5:E281,0)=ROWS($E$5:E281)))</x:f>
        <x:v>1</x:v>
      </x:c>
      <x:c r="R281" t="n">
        <x:f>IF(Q281=1,SUM($Q$5:Q281),"")</x:f>
        <x:v>208</x:v>
      </x:c>
    </x:row>
    <x:row r="282">
      <x:c r="A282" s="54" t="str">
        <x:v>T278</x:v>
      </x:c>
      <x:c r="B282" s="54" t="str">
        <x:v>T171</x:v>
      </x:c>
      <x:c r="C282" s="54" t="n">
        <x:v>2</x:v>
      </x:c>
      <x:c r="D282" s="54" t="str">
        <x:v>電圧センサ重量</x:v>
      </x:c>
      <x:c r="E282" s="54" t="str">
        <x:v>m_vsens</x:v>
      </x:c>
      <x:c r="F282" s="55" t="n">
        <x:f>'01_入力仕様'!D136*'01_入力仕様'!D137</x:f>
        <x:v>0.05</x:v>
      </x:c>
      <x:c r="G282" s="55" t="str">
        <x:v>kg</x:v>
      </x:c>
      <x:c r="H282" s="55" t="n">
        <x:f>ABS(K282)*$F$5</x:f>
        <x:v>0.05</x:v>
      </x:c>
      <x:c r="I282" s="54" t="str">
        <x:v>m_vsens=N_vsens×m_vsens_unit</x:v>
      </x:c>
      <x:c r="J282" s="55" t="n">
        <x:f>F282/F175</x:f>
        <x:v>0.15873015873015872</x:v>
      </x:c>
      <x:c r="K282" s="55" t="n">
        <x:f>K175*J282</x:f>
        <x:v>0.005587941392083164</x:v>
      </x:c>
      <x:c r="L282" s="54" t="str">
        <x:f>IF(K282&gt;0,"増加→総重量増",IF(K282&lt;0,"増加→総重量減","中立"))</x:f>
        <x:v>増加→総重量増</x:v>
      </x:c>
      <x:c r="M282" s="54" t="str">
        <x:v>設計対象</x:v>
      </x:c>
      <x:c r="N282" s="54" t="str"/>
      <x:c r="O282" s="229" t="n">
        <x:f>--(COUNTIF($B$5:$B$560,A282)=0)</x:f>
        <x:v>0</x:v>
      </x:c>
      <x:c r="P282" s="70" t="str">
        <x:f>IF(LEFT(E282,7)&lt;&gt;"Enable_","",IFERROR(IF(OR(ISNUMBER(SEARCH("=Enable",INDEX($I$5:$I$560,MATCH(B282,$A$5:$A$560,0)))),ISNUMBER(SEARCH("×Enable",INDEX($I$5:$I$560,MATCH(B282,$A$5:$A$560,0))))),1,""),""))</x:f>
      </x:c>
      <x:c r="Q282" t="n">
        <x:f>IF(E282="","",--(XMATCH(E282,$E$5:E282,0)=ROWS($E$5:E282)))</x:f>
        <x:v>1</x:v>
      </x:c>
      <x:c r="R282" t="n">
        <x:f>IF(Q282=1,SUM($Q$5:Q282),"")</x:f>
        <x:v>209</x:v>
      </x:c>
    </x:row>
    <x:row r="283">
      <x:c r="A283" s="58" t="str">
        <x:v>T279</x:v>
      </x:c>
      <x:c r="B283" s="58" t="str">
        <x:v>T278</x:v>
      </x:c>
      <x:c r="C283" s="58" t="n">
        <x:v>3</x:v>
      </x:c>
      <x:c r="D283" s="58" t="str">
        <x:v>電圧センサ数</x:v>
      </x:c>
      <x:c r="E283" s="58" t="str">
        <x:v>N_vsens</x:v>
      </x:c>
      <x:c r="F283" s="59" t="n">
        <x:f>'01_入力仕様'!D136</x:f>
        <x:v>2</x:v>
      </x:c>
      <x:c r="G283" s="59" t="str">
        <x:v>個</x:v>
      </x:c>
      <x:c r="H283" s="59" t="n">
        <x:f>ABS(K283)*$F$5</x:f>
        <x:v>0.05</x:v>
      </x:c>
      <x:c r="I283" s="58" t="str">
        <x:v>入力仕様</x:v>
      </x:c>
      <x:c r="J283" s="59" t="n">
        <x:f>1</x:f>
        <x:v>1</x:v>
      </x:c>
      <x:c r="K283" s="59" t="n">
        <x:f>K282*J283</x:f>
        <x:v>0.005587941392083164</x:v>
      </x:c>
      <x:c r="L283" s="58" t="str">
        <x:f>IF(K283&gt;0,"増加→総重量増",IF(K283&lt;0,"増加→総重量減","中立"))</x:f>
        <x:v>増加→総重量増</x:v>
      </x:c>
      <x:c r="M283" s="58" t="str">
        <x:v>設計対象</x:v>
      </x:c>
      <x:c r="N283" s="58" t="str"/>
      <x:c r="O283" s="229" t="n">
        <x:f>--(COUNTIF($B$5:$B$560,A283)=0)</x:f>
        <x:v>1</x:v>
      </x:c>
      <x:c r="P283" s="70" t="str">
        <x:f>IF(LEFT(E283,7)&lt;&gt;"Enable_","",IFERROR(IF(OR(ISNUMBER(SEARCH("=Enable",INDEX($I$5:$I$560,MATCH(B283,$A$5:$A$560,0)))),ISNUMBER(SEARCH("×Enable",INDEX($I$5:$I$560,MATCH(B283,$A$5:$A$560,0))))),1,""),""))</x:f>
      </x:c>
      <x:c r="Q283" t="n">
        <x:f>IF(E283="","",--(XMATCH(E283,$E$5:E283,0)=ROWS($E$5:E283)))</x:f>
        <x:v>1</x:v>
      </x:c>
      <x:c r="R283" t="n">
        <x:f>IF(Q283=1,SUM($Q$5:Q283),"")</x:f>
        <x:v>210</x:v>
      </x:c>
    </x:row>
    <x:row r="284">
      <x:c r="A284" s="58" t="str">
        <x:v>T280</x:v>
      </x:c>
      <x:c r="B284" s="58" t="str">
        <x:v>T278</x:v>
      </x:c>
      <x:c r="C284" s="58" t="n">
        <x:v>3</x:v>
      </x:c>
      <x:c r="D284" s="58" t="str">
        <x:v>単体重量</x:v>
      </x:c>
      <x:c r="E284" s="58" t="str">
        <x:v>m_vsens_unit</x:v>
      </x:c>
      <x:c r="F284" s="59" t="n">
        <x:f>'01_入力仕様'!D137</x:f>
        <x:v>0.025</x:v>
      </x:c>
      <x:c r="G284" s="59" t="str">
        <x:v>kg/個</x:v>
      </x:c>
      <x:c r="H284" s="59" t="n">
        <x:f>ABS(K284)*$F$5</x:f>
        <x:v>0.05</x:v>
      </x:c>
      <x:c r="I284" s="58" t="str">
        <x:v>入力仕様</x:v>
      </x:c>
      <x:c r="J284" s="59" t="n">
        <x:f>1</x:f>
        <x:v>1</x:v>
      </x:c>
      <x:c r="K284" s="59" t="n">
        <x:f>K282*J284</x:f>
        <x:v>0.005587941392083164</x:v>
      </x:c>
      <x:c r="L284" s="58" t="str">
        <x:f>IF(K284&gt;0,"増加→総重量増",IF(K284&lt;0,"増加→総重量減","中立"))</x:f>
        <x:v>増加→総重量増</x:v>
      </x:c>
      <x:c r="M284" s="58" t="str">
        <x:v>設計対象</x:v>
      </x:c>
      <x:c r="N284" s="58" t="str"/>
      <x:c r="O284" s="229" t="n">
        <x:f>--(COUNTIF($B$5:$B$560,A284)=0)</x:f>
        <x:v>1</x:v>
      </x:c>
      <x:c r="P284" s="70" t="str">
        <x:f>IF(LEFT(E284,7)&lt;&gt;"Enable_","",IFERROR(IF(OR(ISNUMBER(SEARCH("=Enable",INDEX($I$5:$I$560,MATCH(B284,$A$5:$A$560,0)))),ISNUMBER(SEARCH("×Enable",INDEX($I$5:$I$560,MATCH(B284,$A$5:$A$560,0))))),1,""),""))</x:f>
      </x:c>
      <x:c r="Q284" t="n">
        <x:f>IF(E284="","",--(XMATCH(E284,$E$5:E284,0)=ROWS($E$5:E284)))</x:f>
        <x:v>1</x:v>
      </x:c>
      <x:c r="R284" t="n">
        <x:f>IF(Q284=1,SUM($Q$5:Q284),"")</x:f>
        <x:v>211</x:v>
      </x:c>
    </x:row>
    <x:row r="285">
      <x:c r="A285" s="54" t="str">
        <x:v>T281</x:v>
      </x:c>
      <x:c r="B285" s="54" t="str">
        <x:v>T171</x:v>
      </x:c>
      <x:c r="C285" s="54" t="n">
        <x:v>2</x:v>
      </x:c>
      <x:c r="D285" s="54" t="str">
        <x:v>温度センサ重量</x:v>
      </x:c>
      <x:c r="E285" s="54" t="str">
        <x:v>m_tsens</x:v>
      </x:c>
      <x:c r="F285" s="55" t="n">
        <x:f>'01_入力仕様'!D138*'01_入力仕様'!D139</x:f>
        <x:v>0.04</x:v>
      </x:c>
      <x:c r="G285" s="55" t="str">
        <x:v>kg</x:v>
      </x:c>
      <x:c r="H285" s="55" t="n">
        <x:f>ABS(K285)*$F$5</x:f>
        <x:v>0.04</x:v>
      </x:c>
      <x:c r="I285" s="54" t="str">
        <x:v>m_tsens=N_tsens×m_tsens_unit</x:v>
      </x:c>
      <x:c r="J285" s="55" t="n">
        <x:f>F285/F175</x:f>
        <x:v>0.12698412698412698</x:v>
      </x:c>
      <x:c r="K285" s="55" t="n">
        <x:f>K175*J285</x:f>
        <x:v>0.004470353113666531</x:v>
      </x:c>
      <x:c r="L285" s="54" t="str">
        <x:f>IF(K285&gt;0,"増加→総重量増",IF(K285&lt;0,"増加→総重量減","中立"))</x:f>
        <x:v>増加→総重量増</x:v>
      </x:c>
      <x:c r="M285" s="54" t="str">
        <x:v>設計対象</x:v>
      </x:c>
      <x:c r="N285" s="54" t="str"/>
      <x:c r="O285" s="229" t="n">
        <x:f>--(COUNTIF($B$5:$B$560,A285)=0)</x:f>
        <x:v>0</x:v>
      </x:c>
      <x:c r="P285" s="70" t="str">
        <x:f>IF(LEFT(E285,7)&lt;&gt;"Enable_","",IFERROR(IF(OR(ISNUMBER(SEARCH("=Enable",INDEX($I$5:$I$560,MATCH(B285,$A$5:$A$560,0)))),ISNUMBER(SEARCH("×Enable",INDEX($I$5:$I$560,MATCH(B285,$A$5:$A$560,0))))),1,""),""))</x:f>
      </x:c>
      <x:c r="Q285" t="n">
        <x:f>IF(E285="","",--(XMATCH(E285,$E$5:E285,0)=ROWS($E$5:E285)))</x:f>
        <x:v>1</x:v>
      </x:c>
      <x:c r="R285" t="n">
        <x:f>IF(Q285=1,SUM($Q$5:Q285),"")</x:f>
        <x:v>212</x:v>
      </x:c>
    </x:row>
    <x:row r="286">
      <x:c r="A286" s="58" t="str">
        <x:v>T282</x:v>
      </x:c>
      <x:c r="B286" s="58" t="str">
        <x:v>T281</x:v>
      </x:c>
      <x:c r="C286" s="58" t="n">
        <x:v>3</x:v>
      </x:c>
      <x:c r="D286" s="58" t="str">
        <x:v>温度センサ数</x:v>
      </x:c>
      <x:c r="E286" s="58" t="str">
        <x:v>N_tsens</x:v>
      </x:c>
      <x:c r="F286" s="59" t="n">
        <x:f>'01_入力仕様'!D138</x:f>
        <x:v>4</x:v>
      </x:c>
      <x:c r="G286" s="59" t="str">
        <x:v>個</x:v>
      </x:c>
      <x:c r="H286" s="59" t="n">
        <x:f>ABS(K286)*$F$5</x:f>
        <x:v>0.04</x:v>
      </x:c>
      <x:c r="I286" s="58" t="str">
        <x:v>入力仕様</x:v>
      </x:c>
      <x:c r="J286" s="59" t="n">
        <x:f>1</x:f>
        <x:v>1</x:v>
      </x:c>
      <x:c r="K286" s="59" t="n">
        <x:f>K285*J286</x:f>
        <x:v>0.004470353113666531</x:v>
      </x:c>
      <x:c r="L286" s="58" t="str">
        <x:f>IF(K286&gt;0,"増加→総重量増",IF(K286&lt;0,"増加→総重量減","中立"))</x:f>
        <x:v>増加→総重量増</x:v>
      </x:c>
      <x:c r="M286" s="58" t="str">
        <x:v>設計対象</x:v>
      </x:c>
      <x:c r="N286" s="58" t="str"/>
      <x:c r="O286" s="229" t="n">
        <x:f>--(COUNTIF($B$5:$B$560,A286)=0)</x:f>
        <x:v>1</x:v>
      </x:c>
      <x:c r="P286" s="70" t="str">
        <x:f>IF(LEFT(E286,7)&lt;&gt;"Enable_","",IFERROR(IF(OR(ISNUMBER(SEARCH("=Enable",INDEX($I$5:$I$560,MATCH(B286,$A$5:$A$560,0)))),ISNUMBER(SEARCH("×Enable",INDEX($I$5:$I$560,MATCH(B286,$A$5:$A$560,0))))),1,""),""))</x:f>
      </x:c>
      <x:c r="Q286" t="n">
        <x:f>IF(E286="","",--(XMATCH(E286,$E$5:E286,0)=ROWS($E$5:E286)))</x:f>
        <x:v>1</x:v>
      </x:c>
      <x:c r="R286" t="n">
        <x:f>IF(Q286=1,SUM($Q$5:Q286),"")</x:f>
        <x:v>213</x:v>
      </x:c>
    </x:row>
    <x:row r="287">
      <x:c r="A287" s="58" t="str">
        <x:v>T283</x:v>
      </x:c>
      <x:c r="B287" s="58" t="str">
        <x:v>T281</x:v>
      </x:c>
      <x:c r="C287" s="58" t="n">
        <x:v>3</x:v>
      </x:c>
      <x:c r="D287" s="58" t="str">
        <x:v>単体重量</x:v>
      </x:c>
      <x:c r="E287" s="58" t="str">
        <x:v>m_tsens_unit</x:v>
      </x:c>
      <x:c r="F287" s="59" t="n">
        <x:f>'01_入力仕様'!D139</x:f>
        <x:v>0.01</x:v>
      </x:c>
      <x:c r="G287" s="59" t="str">
        <x:v>kg/個</x:v>
      </x:c>
      <x:c r="H287" s="59" t="n">
        <x:f>ABS(K287)*$F$5</x:f>
        <x:v>0.00004470353113666531</x:v>
      </x:c>
      <x:c r="I287" s="58" t="str">
        <x:v>入力仕様</x:v>
      </x:c>
      <x:c r="J287" s="59" t="n">
        <x:f>F287/F5</x:f>
        <x:v>0.0011175882784166327</x:v>
      </x:c>
      <x:c r="K287" s="59" t="n">
        <x:f>K285*J287</x:f>
        <x:v>0.000004996014240217012</x:v>
      </x:c>
      <x:c r="L287" s="58" t="str">
        <x:f>IF(K287&gt;0,"増加→総重量増",IF(K287&lt;0,"増加→総重量減","中立"))</x:f>
        <x:v>増加→総重量増</x:v>
      </x:c>
      <x:c r="M287" s="58" t="str">
        <x:v>設計対象</x:v>
      </x:c>
      <x:c r="N287" s="58" t="str"/>
      <x:c r="O287" s="229" t="n">
        <x:f>--(COUNTIF($B$5:$B$560,A287)=0)</x:f>
        <x:v>1</x:v>
      </x:c>
      <x:c r="P287" s="70" t="str">
        <x:f>IF(LEFT(E287,7)&lt;&gt;"Enable_","",IFERROR(IF(OR(ISNUMBER(SEARCH("=Enable",INDEX($I$5:$I$560,MATCH(B287,$A$5:$A$560,0)))),ISNUMBER(SEARCH("×Enable",INDEX($I$5:$I$560,MATCH(B287,$A$5:$A$560,0))))),1,""),""))</x:f>
      </x:c>
      <x:c r="Q287" t="n">
        <x:f>IF(E287="","",--(XMATCH(E287,$E$5:E287,0)=ROWS($E$5:E287)))</x:f>
        <x:v>1</x:v>
      </x:c>
      <x:c r="R287" t="n">
        <x:f>IF(Q287=1,SUM($Q$5:Q287),"")</x:f>
        <x:v>214</x:v>
      </x:c>
    </x:row>
    <x:row r="288">
      <x:c r="A288" s="58" t="str">
        <x:v>T284</x:v>
      </x:c>
      <x:c r="B288" s="58" t="str">
        <x:v>T171</x:v>
      </x:c>
      <x:c r="C288" s="58" t="n">
        <x:v>2</x:v>
      </x:c>
      <x:c r="D288" s="58" t="str">
        <x:v>センサ配線重量</x:v>
      </x:c>
      <x:c r="E288" s="58" t="str">
        <x:v>m_sensor_harness</x:v>
      </x:c>
      <x:c r="F288" s="59" t="n">
        <x:f>'01_入力仕様'!D140</x:f>
        <x:v>0.055</x:v>
      </x:c>
      <x:c r="G288" s="59" t="str">
        <x:v>kg</x:v>
      </x:c>
      <x:c r="H288" s="59" t="n">
        <x:f>ABS(K288)*$F$5</x:f>
        <x:v>0.05499999999999999</x:v>
      </x:c>
      <x:c r="I288" s="58" t="str">
        <x:v>入力仕様</x:v>
      </x:c>
      <x:c r="J288" s="59" t="n">
        <x:f>'01_入力仕様'!D140/F175</x:f>
        <x:v>0.17460317460317457</x:v>
      </x:c>
      <x:c r="K288" s="59" t="n">
        <x:f>K175*J288</x:f>
        <x:v>0.006146735531291479</x:v>
      </x:c>
      <x:c r="L288" s="58" t="str">
        <x:f>IF(K288&gt;0,"増加→総重量増",IF(K288&lt;0,"増加→総重量減","中立"))</x:f>
        <x:v>増加→総重量増</x:v>
      </x:c>
      <x:c r="M288" s="58" t="str">
        <x:v>設計対象</x:v>
      </x:c>
      <x:c r="N288" s="58" t="str"/>
      <x:c r="O288" s="229" t="n">
        <x:f>--(COUNTIF($B$5:$B$560,A288)=0)</x:f>
        <x:v>1</x:v>
      </x:c>
      <x:c r="P288" s="70" t="str">
        <x:f>IF(LEFT(E288,7)&lt;&gt;"Enable_","",IFERROR(IF(OR(ISNUMBER(SEARCH("=Enable",INDEX($I$5:$I$560,MATCH(B288,$A$5:$A$560,0)))),ISNUMBER(SEARCH("×Enable",INDEX($I$5:$I$560,MATCH(B288,$A$5:$A$560,0))))),1,""),""))</x:f>
      </x:c>
      <x:c r="Q288" t="n">
        <x:f>IF(E288="","",--(XMATCH(E288,$E$5:E288,0)=ROWS($E$5:E288)))</x:f>
        <x:v>1</x:v>
      </x:c>
      <x:c r="R288" t="n">
        <x:f>IF(Q288=1,SUM($Q$5:Q288),"")</x:f>
        <x:v>215</x:v>
      </x:c>
    </x:row>
    <x:row r="289">
      <x:c r="A289" s="54" t="str">
        <x:v>T285</x:v>
      </x:c>
      <x:c r="B289" s="54" t="str">
        <x:v>T172</x:v>
      </x:c>
      <x:c r="C289" s="54" t="n">
        <x:v>2</x:v>
      </x:c>
      <x:c r="D289" s="54" t="str">
        <x:v>DC端子重量</x:v>
      </x:c>
      <x:c r="E289" s="54" t="str">
        <x:v>m_conn_dc</x:v>
      </x:c>
      <x:c r="F289" s="55" t="n">
        <x:f>'01_入力仕様'!D141*'01_入力仕様'!D142</x:f>
        <x:v>0.11</x:v>
      </x:c>
      <x:c r="G289" s="55" t="str">
        <x:v>kg</x:v>
      </x:c>
      <x:c r="H289" s="55" t="n">
        <x:f>ABS(K289)*$F$5</x:f>
        <x:v>0.10999999999999999</x:v>
      </x:c>
      <x:c r="I289" s="54" t="str">
        <x:v>m_conn_dc=N_conn_dc×m_conn_dc_unit</x:v>
      </x:c>
      <x:c r="J289" s="55" t="n">
        <x:f>F289/F176</x:f>
        <x:v>0.26190476190476186</x:v>
      </x:c>
      <x:c r="K289" s="55" t="n">
        <x:f>K176*J289</x:f>
        <x:v>0.012293471062582958</x:v>
      </x:c>
      <x:c r="L289" s="54" t="str">
        <x:f>IF(K289&gt;0,"増加→総重量増",IF(K289&lt;0,"増加→総重量減","中立"))</x:f>
        <x:v>増加→総重量増</x:v>
      </x:c>
      <x:c r="M289" s="54" t="str">
        <x:v>設計対象</x:v>
      </x:c>
      <x:c r="N289" s="54" t="str"/>
      <x:c r="O289" s="229" t="n">
        <x:f>--(COUNTIF($B$5:$B$560,A289)=0)</x:f>
        <x:v>0</x:v>
      </x:c>
      <x:c r="P289" s="70" t="str">
        <x:f>IF(LEFT(E289,7)&lt;&gt;"Enable_","",IFERROR(IF(OR(ISNUMBER(SEARCH("=Enable",INDEX($I$5:$I$560,MATCH(B289,$A$5:$A$560,0)))),ISNUMBER(SEARCH("×Enable",INDEX($I$5:$I$560,MATCH(B289,$A$5:$A$560,0))))),1,""),""))</x:f>
      </x:c>
      <x:c r="Q289" t="n">
        <x:f>IF(E289="","",--(XMATCH(E289,$E$5:E289,0)=ROWS($E$5:E289)))</x:f>
        <x:v>1</x:v>
      </x:c>
      <x:c r="R289" t="n">
        <x:f>IF(Q289=1,SUM($Q$5:Q289),"")</x:f>
        <x:v>216</x:v>
      </x:c>
    </x:row>
    <x:row r="290">
      <x:c r="A290" s="58" t="str">
        <x:v>T286</x:v>
      </x:c>
      <x:c r="B290" s="58" t="str">
        <x:v>T285</x:v>
      </x:c>
      <x:c r="C290" s="58" t="n">
        <x:v>3</x:v>
      </x:c>
      <x:c r="D290" s="58" t="str">
        <x:v>DC端子数</x:v>
      </x:c>
      <x:c r="E290" s="58" t="str">
        <x:v>N_conn_dc</x:v>
      </x:c>
      <x:c r="F290" s="59" t="n">
        <x:f>'01_入力仕様'!D141</x:f>
        <x:v>2</x:v>
      </x:c>
      <x:c r="G290" s="59" t="str">
        <x:v>個</x:v>
      </x:c>
      <x:c r="H290" s="59" t="n">
        <x:f>ABS(K290)*$F$5</x:f>
        <x:v>0.10999999999999999</x:v>
      </x:c>
      <x:c r="I290" s="58" t="str">
        <x:v>入力仕様</x:v>
      </x:c>
      <x:c r="J290" s="59" t="n">
        <x:f>1</x:f>
        <x:v>1</x:v>
      </x:c>
      <x:c r="K290" s="59" t="n">
        <x:f>K289*J290</x:f>
        <x:v>0.012293471062582958</x:v>
      </x:c>
      <x:c r="L290" s="58" t="str">
        <x:f>IF(K290&gt;0,"増加→総重量増",IF(K290&lt;0,"増加→総重量減","中立"))</x:f>
        <x:v>増加→総重量増</x:v>
      </x:c>
      <x:c r="M290" s="58" t="str">
        <x:v>設計対象</x:v>
      </x:c>
      <x:c r="N290" s="58" t="str"/>
      <x:c r="O290" s="229" t="n">
        <x:f>--(COUNTIF($B$5:$B$560,A290)=0)</x:f>
        <x:v>1</x:v>
      </x:c>
      <x:c r="P290" s="70" t="str">
        <x:f>IF(LEFT(E290,7)&lt;&gt;"Enable_","",IFERROR(IF(OR(ISNUMBER(SEARCH("=Enable",INDEX($I$5:$I$560,MATCH(B290,$A$5:$A$560,0)))),ISNUMBER(SEARCH("×Enable",INDEX($I$5:$I$560,MATCH(B290,$A$5:$A$560,0))))),1,""),""))</x:f>
      </x:c>
      <x:c r="Q290" t="n">
        <x:f>IF(E290="","",--(XMATCH(E290,$E$5:E290,0)=ROWS($E$5:E290)))</x:f>
        <x:v>1</x:v>
      </x:c>
      <x:c r="R290" t="n">
        <x:f>IF(Q290=1,SUM($Q$5:Q290),"")</x:f>
        <x:v>217</x:v>
      </x:c>
    </x:row>
    <x:row r="291">
      <x:c r="A291" s="58" t="str">
        <x:v>T287</x:v>
      </x:c>
      <x:c r="B291" s="58" t="str">
        <x:v>T285</x:v>
      </x:c>
      <x:c r="C291" s="58" t="n">
        <x:v>3</x:v>
      </x:c>
      <x:c r="D291" s="58" t="str">
        <x:v>DC端子単体重量</x:v>
      </x:c>
      <x:c r="E291" s="58" t="str">
        <x:v>m_conn_dc_unit</x:v>
      </x:c>
      <x:c r="F291" s="59" t="n">
        <x:f>'01_入力仕様'!D142</x:f>
        <x:v>0.055</x:v>
      </x:c>
      <x:c r="G291" s="59" t="str">
        <x:v>kg/個</x:v>
      </x:c>
      <x:c r="H291" s="59" t="n">
        <x:f>ABS(K291)*$F$5</x:f>
        <x:v>0.10999999999999999</x:v>
      </x:c>
      <x:c r="I291" s="58" t="str">
        <x:v>入力仕様</x:v>
      </x:c>
      <x:c r="J291" s="59" t="n">
        <x:f>1</x:f>
        <x:v>1</x:v>
      </x:c>
      <x:c r="K291" s="59" t="n">
        <x:f>K289*J291</x:f>
        <x:v>0.012293471062582958</x:v>
      </x:c>
      <x:c r="L291" s="58" t="str">
        <x:f>IF(K291&gt;0,"増加→総重量増",IF(K291&lt;0,"増加→総重量減","中立"))</x:f>
        <x:v>増加→総重量増</x:v>
      </x:c>
      <x:c r="M291" s="58" t="str">
        <x:v>設計対象</x:v>
      </x:c>
      <x:c r="N291" s="58" t="str"/>
      <x:c r="O291" s="229" t="n">
        <x:f>--(COUNTIF($B$5:$B$560,A291)=0)</x:f>
        <x:v>1</x:v>
      </x:c>
      <x:c r="P291" s="70" t="str">
        <x:f>IF(LEFT(E291,7)&lt;&gt;"Enable_","",IFERROR(IF(OR(ISNUMBER(SEARCH("=Enable",INDEX($I$5:$I$560,MATCH(B291,$A$5:$A$560,0)))),ISNUMBER(SEARCH("×Enable",INDEX($I$5:$I$560,MATCH(B291,$A$5:$A$560,0))))),1,""),""))</x:f>
      </x:c>
      <x:c r="Q291" t="n">
        <x:f>IF(E291="","",--(XMATCH(E291,$E$5:E291,0)=ROWS($E$5:E291)))</x:f>
        <x:v>1</x:v>
      </x:c>
      <x:c r="R291" t="n">
        <x:f>IF(Q291=1,SUM($Q$5:Q291),"")</x:f>
        <x:v>218</x:v>
      </x:c>
    </x:row>
    <x:row r="292">
      <x:c r="A292" s="54" t="str">
        <x:v>T288</x:v>
      </x:c>
      <x:c r="B292" s="54" t="str">
        <x:v>T172</x:v>
      </x:c>
      <x:c r="C292" s="54" t="n">
        <x:v>2</x:v>
      </x:c>
      <x:c r="D292" s="54" t="str">
        <x:v>AC端子重量</x:v>
      </x:c>
      <x:c r="E292" s="54" t="str">
        <x:v>m_conn_ac</x:v>
      </x:c>
      <x:c r="F292" s="55" t="n">
        <x:f>'01_入力仕様'!D143*'01_入力仕様'!D144</x:f>
        <x:v>0.165</x:v>
      </x:c>
      <x:c r="G292" s="55" t="str">
        <x:v>kg</x:v>
      </x:c>
      <x:c r="H292" s="55" t="n">
        <x:f>ABS(K292)*$F$5</x:f>
        <x:v>0.165</x:v>
      </x:c>
      <x:c r="I292" s="54" t="str">
        <x:v>m_conn_ac=N_conn_ac×m_conn_ac_unit</x:v>
      </x:c>
      <x:c r="J292" s="55" t="n">
        <x:f>F292/F176</x:f>
        <x:v>0.39285714285714285</x:v>
      </x:c>
      <x:c r="K292" s="55" t="n">
        <x:f>K176*J292</x:f>
        <x:v>0.01844020659387444</x:v>
      </x:c>
      <x:c r="L292" s="54" t="str">
        <x:f>IF(K292&gt;0,"増加→総重量増",IF(K292&lt;0,"増加→総重量減","中立"))</x:f>
        <x:v>増加→総重量増</x:v>
      </x:c>
      <x:c r="M292" s="54" t="str">
        <x:v>設計対象</x:v>
      </x:c>
      <x:c r="N292" s="54" t="str"/>
      <x:c r="O292" s="229" t="n">
        <x:f>--(COUNTIF($B$5:$B$560,A292)=0)</x:f>
        <x:v>0</x:v>
      </x:c>
      <x:c r="P292" s="70" t="str">
        <x:f>IF(LEFT(E292,7)&lt;&gt;"Enable_","",IFERROR(IF(OR(ISNUMBER(SEARCH("=Enable",INDEX($I$5:$I$560,MATCH(B292,$A$5:$A$560,0)))),ISNUMBER(SEARCH("×Enable",INDEX($I$5:$I$560,MATCH(B292,$A$5:$A$560,0))))),1,""),""))</x:f>
      </x:c>
      <x:c r="Q292" t="n">
        <x:f>IF(E292="","",--(XMATCH(E292,$E$5:E292,0)=ROWS($E$5:E292)))</x:f>
        <x:v>1</x:v>
      </x:c>
      <x:c r="R292" t="n">
        <x:f>IF(Q292=1,SUM($Q$5:Q292),"")</x:f>
        <x:v>219</x:v>
      </x:c>
    </x:row>
    <x:row r="293">
      <x:c r="A293" s="58" t="str">
        <x:v>T289</x:v>
      </x:c>
      <x:c r="B293" s="58" t="str">
        <x:v>T288</x:v>
      </x:c>
      <x:c r="C293" s="58" t="n">
        <x:v>3</x:v>
      </x:c>
      <x:c r="D293" s="58" t="str">
        <x:v>AC端子数</x:v>
      </x:c>
      <x:c r="E293" s="58" t="str">
        <x:v>N_conn_ac</x:v>
      </x:c>
      <x:c r="F293" s="59" t="n">
        <x:f>'01_入力仕様'!D143</x:f>
        <x:v>3</x:v>
      </x:c>
      <x:c r="G293" s="59" t="str">
        <x:v>個</x:v>
      </x:c>
      <x:c r="H293" s="59" t="n">
        <x:f>ABS(K293)*$F$5</x:f>
        <x:v>0.165</x:v>
      </x:c>
      <x:c r="I293" s="58" t="str">
        <x:v>入力仕様</x:v>
      </x:c>
      <x:c r="J293" s="59" t="n">
        <x:f>1</x:f>
        <x:v>1</x:v>
      </x:c>
      <x:c r="K293" s="59" t="n">
        <x:f>K292*J293</x:f>
        <x:v>0.01844020659387444</x:v>
      </x:c>
      <x:c r="L293" s="58" t="str">
        <x:f>IF(K293&gt;0,"増加→総重量増",IF(K293&lt;0,"増加→総重量減","中立"))</x:f>
        <x:v>増加→総重量増</x:v>
      </x:c>
      <x:c r="M293" s="58" t="str">
        <x:v>設計対象</x:v>
      </x:c>
      <x:c r="N293" s="58" t="str"/>
      <x:c r="O293" s="229" t="n">
        <x:f>--(COUNTIF($B$5:$B$560,A293)=0)</x:f>
        <x:v>1</x:v>
      </x:c>
      <x:c r="P293" s="70" t="str">
        <x:f>IF(LEFT(E293,7)&lt;&gt;"Enable_","",IFERROR(IF(OR(ISNUMBER(SEARCH("=Enable",INDEX($I$5:$I$560,MATCH(B293,$A$5:$A$560,0)))),ISNUMBER(SEARCH("×Enable",INDEX($I$5:$I$560,MATCH(B293,$A$5:$A$560,0))))),1,""),""))</x:f>
      </x:c>
      <x:c r="Q293" t="n">
        <x:f>IF(E293="","",--(XMATCH(E293,$E$5:E293,0)=ROWS($E$5:E293)))</x:f>
        <x:v>1</x:v>
      </x:c>
      <x:c r="R293" t="n">
        <x:f>IF(Q293=1,SUM($Q$5:Q293),"")</x:f>
        <x:v>220</x:v>
      </x:c>
    </x:row>
    <x:row r="294">
      <x:c r="A294" s="58" t="str">
        <x:v>T290</x:v>
      </x:c>
      <x:c r="B294" s="58" t="str">
        <x:v>T288</x:v>
      </x:c>
      <x:c r="C294" s="58" t="n">
        <x:v>3</x:v>
      </x:c>
      <x:c r="D294" s="58" t="str">
        <x:v>AC端子単体重量</x:v>
      </x:c>
      <x:c r="E294" s="58" t="str">
        <x:v>m_conn_ac_unit</x:v>
      </x:c>
      <x:c r="F294" s="59" t="n">
        <x:f>'01_入力仕様'!D144</x:f>
        <x:v>0.055</x:v>
      </x:c>
      <x:c r="G294" s="59" t="str">
        <x:v>kg/個</x:v>
      </x:c>
      <x:c r="H294" s="59" t="n">
        <x:f>ABS(K294)*$F$5</x:f>
        <x:v>0.165</x:v>
      </x:c>
      <x:c r="I294" s="58" t="str">
        <x:v>入力仕様</x:v>
      </x:c>
      <x:c r="J294" s="59" t="n">
        <x:f>1</x:f>
        <x:v>1</x:v>
      </x:c>
      <x:c r="K294" s="59" t="n">
        <x:f>K292*J294</x:f>
        <x:v>0.01844020659387444</x:v>
      </x:c>
      <x:c r="L294" s="58" t="str">
        <x:f>IF(K294&gt;0,"増加→総重量増",IF(K294&lt;0,"増加→総重量減","中立"))</x:f>
        <x:v>増加→総重量増</x:v>
      </x:c>
      <x:c r="M294" s="58" t="str">
        <x:v>設計対象</x:v>
      </x:c>
      <x:c r="N294" s="58" t="str"/>
      <x:c r="O294" s="229" t="n">
        <x:f>--(COUNTIF($B$5:$B$560,A294)=0)</x:f>
        <x:v>1</x:v>
      </x:c>
      <x:c r="P294" s="70" t="str">
        <x:f>IF(LEFT(E294,7)&lt;&gt;"Enable_","",IFERROR(IF(OR(ISNUMBER(SEARCH("=Enable",INDEX($I$5:$I$560,MATCH(B294,$A$5:$A$560,0)))),ISNUMBER(SEARCH("×Enable",INDEX($I$5:$I$560,MATCH(B294,$A$5:$A$560,0))))),1,""),""))</x:f>
      </x:c>
      <x:c r="Q294" t="n">
        <x:f>IF(E294="","",--(XMATCH(E294,$E$5:E294,0)=ROWS($E$5:E294)))</x:f>
        <x:v>1</x:v>
      </x:c>
      <x:c r="R294" t="n">
        <x:f>IF(Q294=1,SUM($Q$5:Q294),"")</x:f>
        <x:v>221</x:v>
      </x:c>
    </x:row>
    <x:row r="295">
      <x:c r="A295" s="58" t="str">
        <x:v>T291</x:v>
      </x:c>
      <x:c r="B295" s="58" t="str">
        <x:v>T172</x:v>
      </x:c>
      <x:c r="C295" s="58" t="n">
        <x:v>2</x:v>
      </x:c>
      <x:c r="D295" s="58" t="str">
        <x:v>信号コネクタ重量</x:v>
      </x:c>
      <x:c r="E295" s="58" t="str">
        <x:v>m_conn_sig</x:v>
      </x:c>
      <x:c r="F295" s="59" t="n">
        <x:f>'01_入力仕様'!D145</x:f>
        <x:v>0.075</x:v>
      </x:c>
      <x:c r="G295" s="59" t="str">
        <x:v>kg</x:v>
      </x:c>
      <x:c r="H295" s="59" t="n">
        <x:f>ABS(K295)*$F$5</x:f>
        <x:v>0.07499999999999998</x:v>
      </x:c>
      <x:c r="I295" s="58" t="str">
        <x:v>入力仕様</x:v>
      </x:c>
      <x:c r="J295" s="59" t="n">
        <x:f>'01_入力仕様'!D145/F176</x:f>
        <x:v>0.17857142857142855</x:v>
      </x:c>
      <x:c r="K295" s="59" t="n">
        <x:f>K176*J295</x:f>
        <x:v>0.008381912088124744</x:v>
      </x:c>
      <x:c r="L295" s="58" t="str">
        <x:f>IF(K295&gt;0,"増加→総重量増",IF(K295&lt;0,"増加→総重量減","中立"))</x:f>
        <x:v>増加→総重量増</x:v>
      </x:c>
      <x:c r="M295" s="58" t="str">
        <x:v>設計対象</x:v>
      </x:c>
      <x:c r="N295" s="58" t="str"/>
      <x:c r="O295" s="229" t="n">
        <x:f>--(COUNTIF($B$5:$B$560,A295)=0)</x:f>
        <x:v>1</x:v>
      </x:c>
      <x:c r="P295" s="70" t="str">
        <x:f>IF(LEFT(E295,7)&lt;&gt;"Enable_","",IFERROR(IF(OR(ISNUMBER(SEARCH("=Enable",INDEX($I$5:$I$560,MATCH(B295,$A$5:$A$560,0)))),ISNUMBER(SEARCH("×Enable",INDEX($I$5:$I$560,MATCH(B295,$A$5:$A$560,0))))),1,""),""))</x:f>
      </x:c>
      <x:c r="Q295" t="n">
        <x:f>IF(E295="","",--(XMATCH(E295,$E$5:E295,0)=ROWS($E$5:E295)))</x:f>
        <x:v>1</x:v>
      </x:c>
      <x:c r="R295" t="n">
        <x:f>IF(Q295=1,SUM($Q$5:Q295),"")</x:f>
        <x:v>222</x:v>
      </x:c>
    </x:row>
    <x:row r="296">
      <x:c r="A296" s="58" t="str">
        <x:v>T292</x:v>
      </x:c>
      <x:c r="B296" s="58" t="str">
        <x:v>T172</x:v>
      </x:c>
      <x:c r="C296" s="58" t="n">
        <x:v>2</x:v>
      </x:c>
      <x:c r="D296" s="58" t="str">
        <x:v>端子支持部重量</x:v>
      </x:c>
      <x:c r="E296" s="58" t="str">
        <x:v>m_conn_support</x:v>
      </x:c>
      <x:c r="F296" s="59" t="n">
        <x:f>'01_入力仕様'!D146</x:f>
        <x:v>0.07</x:v>
      </x:c>
      <x:c r="G296" s="59" t="str">
        <x:v>kg</x:v>
      </x:c>
      <x:c r="H296" s="59" t="n">
        <x:f>ABS(K296)*$F$5</x:f>
        <x:v>0.0032857095385449</x:v>
      </x:c>
      <x:c r="I296" s="58" t="str">
        <x:v>入力仕様</x:v>
      </x:c>
      <x:c r="J296" s="59" t="n">
        <x:f>F296/F5</x:f>
        <x:v>0.007823117948916429</x:v>
      </x:c>
      <x:c r="K296" s="59" t="n">
        <x:f>K176*J296</x:f>
        <x:v>0.00036720704665595035</x:v>
      </x:c>
      <x:c r="L296" s="58" t="str">
        <x:f>IF(K296&gt;0,"増加→総重量増",IF(K296&lt;0,"増加→総重量減","中立"))</x:f>
        <x:v>増加→総重量増</x:v>
      </x:c>
      <x:c r="M296" s="58" t="str">
        <x:v>設計対象</x:v>
      </x:c>
      <x:c r="N296" s="58" t="str"/>
      <x:c r="O296" s="229" t="n">
        <x:f>--(COUNTIF($B$5:$B$560,A296)=0)</x:f>
        <x:v>1</x:v>
      </x:c>
      <x:c r="P296" s="70" t="str">
        <x:f>IF(LEFT(E296,7)&lt;&gt;"Enable_","",IFERROR(IF(OR(ISNUMBER(SEARCH("=Enable",INDEX($I$5:$I$560,MATCH(B296,$A$5:$A$560,0)))),ISNUMBER(SEARCH("×Enable",INDEX($I$5:$I$560,MATCH(B296,$A$5:$A$560,0))))),1,""),""))</x:f>
      </x:c>
      <x:c r="Q296" t="n">
        <x:f>IF(E296="","",--(XMATCH(E296,$E$5:E296,0)=ROWS($E$5:E296)))</x:f>
        <x:v>1</x:v>
      </x:c>
      <x:c r="R296" t="n">
        <x:f>IF(Q296=1,SUM($Q$5:Q296),"")</x:f>
        <x:v>223</x:v>
      </x:c>
    </x:row>
    <x:row r="297">
      <x:c r="A297" s="58" t="str">
        <x:v>T293</x:v>
      </x:c>
      <x:c r="B297" s="58" t="str">
        <x:v>T173</x:v>
      </x:c>
      <x:c r="C297" s="58" t="n">
        <x:v>2</x:v>
      </x:c>
      <x:c r="D297" s="58" t="str">
        <x:v>締結部品重量</x:v>
      </x:c>
      <x:c r="E297" s="58" t="str">
        <x:v>m_fastener</x:v>
      </x:c>
      <x:c r="F297" s="59" t="n">
        <x:f>'01_入力仕様'!D147</x:f>
        <x:v>0.15</x:v>
      </x:c>
      <x:c r="G297" s="59" t="str">
        <x:v>kg</x:v>
      </x:c>
      <x:c r="H297" s="59" t="n">
        <x:f>ABS(K297)*$F$5</x:f>
        <x:v>0.15000000000000002</x:v>
      </x:c>
      <x:c r="I297" s="58" t="str">
        <x:v>入力仕様</x:v>
      </x:c>
      <x:c r="J297" s="59" t="n">
        <x:f>'01_入力仕様'!D147/F177</x:f>
        <x:v>0.3</x:v>
      </x:c>
      <x:c r="K297" s="59" t="n">
        <x:f>K177*J297</x:f>
        <x:v>0.01676382417624949</x:v>
      </x:c>
      <x:c r="L297" s="58" t="str">
        <x:f>IF(K297&gt;0,"増加→総重量増",IF(K297&lt;0,"増加→総重量減","中立"))</x:f>
        <x:v>増加→総重量増</x:v>
      </x:c>
      <x:c r="M297" s="58" t="str">
        <x:v>設計対象</x:v>
      </x:c>
      <x:c r="N297" s="58" t="str"/>
      <x:c r="O297" s="229" t="n">
        <x:f>--(COUNTIF($B$5:$B$560,A297)=0)</x:f>
        <x:v>1</x:v>
      </x:c>
      <x:c r="P297" s="70" t="str">
        <x:f>IF(LEFT(E297,7)&lt;&gt;"Enable_","",IFERROR(IF(OR(ISNUMBER(SEARCH("=Enable",INDEX($I$5:$I$560,MATCH(B297,$A$5:$A$560,0)))),ISNUMBER(SEARCH("×Enable",INDEX($I$5:$I$560,MATCH(B297,$A$5:$A$560,0))))),1,""),""))</x:f>
      </x:c>
      <x:c r="Q297" t="n">
        <x:f>IF(E297="","",--(XMATCH(E297,$E$5:E297,0)=ROWS($E$5:E297)))</x:f>
        <x:v>1</x:v>
      </x:c>
      <x:c r="R297" t="n">
        <x:f>IF(Q297=1,SUM($Q$5:Q297),"")</x:f>
        <x:v>224</x:v>
      </x:c>
    </x:row>
    <x:row r="298">
      <x:c r="A298" s="58" t="str">
        <x:v>T294</x:v>
      </x:c>
      <x:c r="B298" s="58" t="str">
        <x:v>T173</x:v>
      </x:c>
      <x:c r="C298" s="58" t="n">
        <x:v>2</x:v>
      </x:c>
      <x:c r="D298" s="58" t="str">
        <x:v>絶縁材重量</x:v>
      </x:c>
      <x:c r="E298" s="58" t="str">
        <x:v>m_insulation</x:v>
      </x:c>
      <x:c r="F298" s="59" t="n">
        <x:f>'01_入力仕様'!D148</x:f>
        <x:v>0.15</x:v>
      </x:c>
      <x:c r="G298" s="59" t="str">
        <x:v>kg</x:v>
      </x:c>
      <x:c r="H298" s="59" t="n">
        <x:f>ABS(K298)*$F$5</x:f>
        <x:v>0.15000000000000002</x:v>
      </x:c>
      <x:c r="I298" s="58" t="str">
        <x:v>入力仕様</x:v>
      </x:c>
      <x:c r="J298" s="59" t="n">
        <x:f>'01_入力仕様'!D148/F177</x:f>
        <x:v>0.3</x:v>
      </x:c>
      <x:c r="K298" s="59" t="n">
        <x:f>K177*J298</x:f>
        <x:v>0.01676382417624949</x:v>
      </x:c>
      <x:c r="L298" s="58" t="str">
        <x:f>IF(K298&gt;0,"増加→総重量増",IF(K298&lt;0,"増加→総重量減","中立"))</x:f>
        <x:v>増加→総重量増</x:v>
      </x:c>
      <x:c r="M298" s="58" t="str">
        <x:v>設計対象</x:v>
      </x:c>
      <x:c r="N298" s="58" t="str"/>
      <x:c r="O298" s="229" t="n">
        <x:f>--(COUNTIF($B$5:$B$560,A298)=0)</x:f>
        <x:v>1</x:v>
      </x:c>
      <x:c r="P298" s="70" t="str">
        <x:f>IF(LEFT(E298,7)&lt;&gt;"Enable_","",IFERROR(IF(OR(ISNUMBER(SEARCH("=Enable",INDEX($I$5:$I$560,MATCH(B298,$A$5:$A$560,0)))),ISNUMBER(SEARCH("×Enable",INDEX($I$5:$I$560,MATCH(B298,$A$5:$A$560,0))))),1,""),""))</x:f>
      </x:c>
      <x:c r="Q298" t="n">
        <x:f>IF(E298="","",--(XMATCH(E298,$E$5:E298,0)=ROWS($E$5:E298)))</x:f>
        <x:v>1</x:v>
      </x:c>
      <x:c r="R298" t="n">
        <x:f>IF(Q298=1,SUM($Q$5:Q298),"")</x:f>
        <x:v>225</x:v>
      </x:c>
    </x:row>
    <x:row r="299">
      <x:c r="A299" s="58" t="str">
        <x:v>T295</x:v>
      </x:c>
      <x:c r="B299" s="58" t="str">
        <x:v>T173</x:v>
      </x:c>
      <x:c r="C299" s="58" t="n">
        <x:v>2</x:v>
      </x:c>
      <x:c r="D299" s="58" t="str">
        <x:v>内部ハーネス重量</x:v>
      </x:c>
      <x:c r="E299" s="58" t="str">
        <x:v>m_harness</x:v>
      </x:c>
      <x:c r="F299" s="59" t="n">
        <x:f>'01_入力仕様'!D149</x:f>
        <x:v>0.2</x:v>
      </x:c>
      <x:c r="G299" s="59" t="str">
        <x:v>kg</x:v>
      </x:c>
      <x:c r="H299" s="59" t="n">
        <x:f>ABS(K299)*$F$5</x:f>
        <x:v>0.2</x:v>
      </x:c>
      <x:c r="I299" s="58" t="str">
        <x:v>入力仕様</x:v>
      </x:c>
      <x:c r="J299" s="59" t="n">
        <x:f>'01_入力仕様'!D149/F177</x:f>
        <x:v>0.4</x:v>
      </x:c>
      <x:c r="K299" s="59" t="n">
        <x:f>K177*J299</x:f>
        <x:v>0.022351765568332654</x:v>
      </x:c>
      <x:c r="L299" s="58" t="str">
        <x:f>IF(K299&gt;0,"増加→総重量増",IF(K299&lt;0,"増加→総重量減","中立"))</x:f>
        <x:v>増加→総重量増</x:v>
      </x:c>
      <x:c r="M299" s="58" t="str">
        <x:v>設計対象</x:v>
      </x:c>
      <x:c r="N299" s="58" t="str"/>
      <x:c r="O299" s="229" t="n">
        <x:f>--(COUNTIF($B$5:$B$560,A299)=0)</x:f>
        <x:v>1</x:v>
      </x:c>
      <x:c r="P299" s="70" t="str">
        <x:f>IF(LEFT(E299,7)&lt;&gt;"Enable_","",IFERROR(IF(OR(ISNUMBER(SEARCH("=Enable",INDEX($I$5:$I$560,MATCH(B299,$A$5:$A$560,0)))),ISNUMBER(SEARCH("×Enable",INDEX($I$5:$I$560,MATCH(B299,$A$5:$A$560,0))))),1,""),""))</x:f>
      </x:c>
      <x:c r="Q299" t="n">
        <x:f>IF(E299="","",--(XMATCH(E299,$E$5:E299,0)=ROWS($E$5:E299)))</x:f>
        <x:v>1</x:v>
      </x:c>
      <x:c r="R299" t="n">
        <x:f>IF(Q299=1,SUM($Q$5:Q299),"")</x:f>
        <x:v>226</x:v>
      </x:c>
    </x:row>
    <x:row r="300">
      <x:c r="A300" s="90" t="str">
        <x:v>T296</x:v>
      </x:c>
      <x:c r="B300" s="90" t="str">
        <x:v>T064</x:v>
      </x:c>
      <x:c r="C300" s="90" t="n">
        <x:v>6</x:v>
      </x:c>
      <x:c r="D300" s="90" t="str">
        <x:v>ゲート速度SW係数</x:v>
      </x:c>
      <x:c r="E300" s="90" t="str">
        <x:v>k_gate_sw</x:v>
      </x:c>
      <x:c r="F300" s="91" t="n">
        <x:f>F301/(('01_入力仕様'!D153+'01_入力仕様'!D154)/2)</x:f>
        <x:v>1</x:v>
      </x:c>
      <x:c r="G300" s="91" t="str">
        <x:v>-</x:v>
      </x:c>
      <x:c r="H300" s="91" t="n">
        <x:f>ABS(K300)*$F$5</x:f>
        <x:v>0.06724822027023014</x:v>
      </x:c>
      <x:c r="I300" s="90" t="str">
        <x:v>k_gate_sw=t_sw_eff/t_sw_ref</x:v>
      </x:c>
      <x:c r="J300" s="91" t="n">
        <x:f>1</x:f>
        <x:v>1</x:v>
      </x:c>
      <x:c r="K300" s="91" t="n">
        <x:f>K68*J300</x:f>
        <x:v>0.007515582271838901</x:v>
      </x:c>
      <x:c r="L300" s="90" t="str">
        <x:f>IF(K300&gt;0,"増加→総重量増",IF(K300&lt;0,"増加→総重量減","中立"))</x:f>
        <x:v>増加→総重量増</x:v>
      </x:c>
      <x:c r="M300" s="90" t="str">
        <x:v>設計対象</x:v>
      </x:c>
      <x:c r="N300" s="90" t="str"/>
      <x:c r="O300" s="229" t="n">
        <x:f>--(COUNTIF($B$5:$B$560,A300)=0)</x:f>
        <x:v>0</x:v>
      </x:c>
      <x:c r="P300" s="70" t="str">
        <x:f>IF(LEFT(E300,7)&lt;&gt;"Enable_","",IFERROR(IF(OR(ISNUMBER(SEARCH("=Enable",INDEX($I$5:$I$560,MATCH(B300,$A$5:$A$560,0)))),ISNUMBER(SEARCH("×Enable",INDEX($I$5:$I$560,MATCH(B300,$A$5:$A$560,0))))),1,""),""))</x:f>
      </x:c>
      <x:c r="Q300" t="n">
        <x:f>IF(E300="","",--(XMATCH(E300,$E$5:E300,0)=ROWS($E$5:E300)))</x:f>
        <x:v>1</x:v>
      </x:c>
      <x:c r="R300" t="n">
        <x:f>IF(Q300=1,SUM($Q$5:Q300),"")</x:f>
        <x:v>227</x:v>
      </x:c>
    </x:row>
    <x:row r="301">
      <x:c r="A301" s="90" t="str">
        <x:v>T297</x:v>
      </x:c>
      <x:c r="B301" s="90" t="str">
        <x:v>T296</x:v>
      </x:c>
      <x:c r="C301" s="90" t="n">
        <x:v>7</x:v>
      </x:c>
      <x:c r="D301" s="90" t="str">
        <x:v>実効SW時間</x:v>
      </x:c>
      <x:c r="E301" s="90" t="str">
        <x:v>t_sw_eff</x:v>
      </x:c>
      <x:c r="F301" s="91" t="n">
        <x:f>(F302+F305)/2*F309</x:f>
        <x:v>5e-8</x:v>
      </x:c>
      <x:c r="G301" s="91" t="str">
        <x:v>s</x:v>
      </x:c>
      <x:c r="H301" s="91" t="n">
        <x:f>ABS(K301)*$F$5</x:f>
        <x:v>0.06724822027023014</x:v>
      </x:c>
      <x:c r="I301" s="90" t="str">
        <x:v>t_sw_eff=(t_on+t_off)/2×k_split_eff</x:v>
      </x:c>
      <x:c r="J301" s="91" t="n">
        <x:f>1</x:f>
        <x:v>1</x:v>
      </x:c>
      <x:c r="K301" s="91" t="n">
        <x:f>K300*J301</x:f>
        <x:v>0.007515582271838901</x:v>
      </x:c>
      <x:c r="L301" s="90" t="str">
        <x:f>IF(K301&gt;0,"増加→総重量増",IF(K301&lt;0,"増加→総重量減","中立"))</x:f>
        <x:v>増加→総重量増</x:v>
      </x:c>
      <x:c r="M301" s="90" t="str">
        <x:v>設計対象</x:v>
      </x:c>
      <x:c r="N301" s="90" t="str"/>
      <x:c r="O301" s="229" t="n">
        <x:f>--(COUNTIF($B$5:$B$560,A301)=0)</x:f>
        <x:v>0</x:v>
      </x:c>
      <x:c r="P301" s="70" t="str">
        <x:f>IF(LEFT(E301,7)&lt;&gt;"Enable_","",IFERROR(IF(OR(ISNUMBER(SEARCH("=Enable",INDEX($I$5:$I$560,MATCH(B301,$A$5:$A$560,0)))),ISNUMBER(SEARCH("×Enable",INDEX($I$5:$I$560,MATCH(B301,$A$5:$A$560,0))))),1,""),""))</x:f>
      </x:c>
      <x:c r="Q301" t="n">
        <x:f>IF(E301="","",--(XMATCH(E301,$E$5:E301,0)=ROWS($E$5:E301)))</x:f>
        <x:v>1</x:v>
      </x:c>
      <x:c r="R301" t="n">
        <x:f>IF(Q301=1,SUM($Q$5:Q301),"")</x:f>
        <x:v>228</x:v>
      </x:c>
    </x:row>
    <x:row r="302">
      <x:c r="A302" s="90" t="str">
        <x:v>T298</x:v>
      </x:c>
      <x:c r="B302" s="90" t="str">
        <x:v>T297</x:v>
      </x:c>
      <x:c r="C302" s="90" t="n">
        <x:v>8</x:v>
      </x:c>
      <x:c r="D302" s="90" t="str">
        <x:v>ターンオン時間</x:v>
      </x:c>
      <x:c r="E302" s="90" t="str">
        <x:v>t_on</x:v>
      </x:c>
      <x:c r="F302" s="91" t="n">
        <x:f>'01_入力仕様'!D153*'01_入力仕様'!D150/'01_入力仕様'!D152</x:f>
        <x:v>5e-8</x:v>
      </x:c>
      <x:c r="G302" s="91" t="str">
        <x:v>s</x:v>
      </x:c>
      <x:c r="H302" s="91" t="n">
        <x:f>ABS(K302)*$F$5</x:f>
        <x:v>0.03362411013511507</x:v>
      </x:c>
      <x:c r="I302" s="90" t="str">
        <x:v>t_on=t_on_ref×R_g_on/R_g_ref</x:v>
      </x:c>
      <x:c r="J302" s="91" t="n">
        <x:f>F302/(F302+F305)</x:f>
        <x:v>0.5</x:v>
      </x:c>
      <x:c r="K302" s="91" t="n">
        <x:f>K301*J302</x:f>
        <x:v>0.0037577911359194505</x:v>
      </x:c>
      <x:c r="L302" s="90" t="str">
        <x:f>IF(K302&gt;0,"増加→総重量増",IF(K302&lt;0,"増加→総重量減","中立"))</x:f>
        <x:v>増加→総重量増</x:v>
      </x:c>
      <x:c r="M302" s="90" t="str">
        <x:v>設計対象</x:v>
      </x:c>
      <x:c r="N302" s="90" t="str"/>
      <x:c r="O302" s="229" t="n">
        <x:f>--(COUNTIF($B$5:$B$560,A302)=0)</x:f>
        <x:v>0</x:v>
      </x:c>
      <x:c r="P302" s="70" t="str">
        <x:f>IF(LEFT(E302,7)&lt;&gt;"Enable_","",IFERROR(IF(OR(ISNUMBER(SEARCH("=Enable",INDEX($I$5:$I$560,MATCH(B302,$A$5:$A$560,0)))),ISNUMBER(SEARCH("×Enable",INDEX($I$5:$I$560,MATCH(B302,$A$5:$A$560,0))))),1,""),""))</x:f>
      </x:c>
      <x:c r="Q302" t="n">
        <x:f>IF(E302="","",--(XMATCH(E302,$E$5:E302,0)=ROWS($E$5:E302)))</x:f>
        <x:v>1</x:v>
      </x:c>
      <x:c r="R302" t="n">
        <x:f>IF(Q302=1,SUM($Q$5:Q302),"")</x:f>
        <x:v>229</x:v>
      </x:c>
    </x:row>
    <x:row r="303">
      <x:c r="A303" s="92" t="str">
        <x:v>T299</x:v>
      </x:c>
      <x:c r="B303" s="92" t="str">
        <x:v>T298</x:v>
      </x:c>
      <x:c r="C303" s="92" t="n">
        <x:v>9</x:v>
      </x:c>
      <x:c r="D303" s="92" t="str">
        <x:v>ターンオンゲート抵抗</x:v>
      </x:c>
      <x:c r="E303" s="92" t="str">
        <x:v>R_g_on</x:v>
      </x:c>
      <x:c r="F303" s="93" t="n">
        <x:f>'01_入力仕様'!D150</x:f>
        <x:v>4</x:v>
      </x:c>
      <x:c r="G303" s="93" t="str">
        <x:v>Ω</x:v>
      </x:c>
      <x:c r="H303" s="93" t="n">
        <x:f>ABS(K303)*$F$5</x:f>
        <x:v>0.03362411013511507</x:v>
      </x:c>
      <x:c r="I303" s="92" t="str">
        <x:v>入力仕様</x:v>
      </x:c>
      <x:c r="J303" s="93" t="n">
        <x:f>1</x:f>
        <x:v>1</x:v>
      </x:c>
      <x:c r="K303" s="93" t="n">
        <x:f>K302*J303</x:f>
        <x:v>0.0037577911359194505</x:v>
      </x:c>
      <x:c r="L303" s="92" t="str">
        <x:f>IF(K303&gt;0,"増加→総重量増",IF(K303&lt;0,"増加→総重量減","中立"))</x:f>
        <x:v>増加→総重量増</x:v>
      </x:c>
      <x:c r="M303" s="92" t="str">
        <x:v>設計対象</x:v>
      </x:c>
      <x:c r="N303" s="92" t="str">
        <x:v>小さい→Psw低下、dv/dt増</x:v>
      </x:c>
      <x:c r="O303" s="229" t="n">
        <x:f>--(COUNTIF($B$5:$B$560,A303)=0)</x:f>
        <x:v>1</x:v>
      </x:c>
      <x:c r="P303" s="70" t="str">
        <x:f>IF(LEFT(E303,7)&lt;&gt;"Enable_","",IFERROR(IF(OR(ISNUMBER(SEARCH("=Enable",INDEX($I$5:$I$560,MATCH(B303,$A$5:$A$560,0)))),ISNUMBER(SEARCH("×Enable",INDEX($I$5:$I$560,MATCH(B303,$A$5:$A$560,0))))),1,""),""))</x:f>
      </x:c>
      <x:c r="Q303" t="n">
        <x:f>IF(E303="","",--(XMATCH(E303,$E$5:E303,0)=ROWS($E$5:E303)))</x:f>
        <x:v>1</x:v>
      </x:c>
      <x:c r="R303" t="n">
        <x:f>IF(Q303=1,SUM($Q$5:Q303),"")</x:f>
        <x:v>230</x:v>
      </x:c>
    </x:row>
    <x:row r="304">
      <x:c r="A304" s="92" t="str">
        <x:v>T300</x:v>
      </x:c>
      <x:c r="B304" s="92" t="str">
        <x:v>T298</x:v>
      </x:c>
      <x:c r="C304" s="92" t="n">
        <x:v>9</x:v>
      </x:c>
      <x:c r="D304" s="92" t="str">
        <x:v>基準ターンオン時間</x:v>
      </x:c>
      <x:c r="E304" s="92" t="str">
        <x:v>t_on_ref</x:v>
      </x:c>
      <x:c r="F304" s="93" t="n">
        <x:f>'01_入力仕様'!D153</x:f>
        <x:v>5e-8</x:v>
      </x:c>
      <x:c r="G304" s="93" t="str">
        <x:v>s</x:v>
      </x:c>
      <x:c r="H304" s="93" t="n">
        <x:f>ABS(K304)*$F$5</x:f>
        <x:v>0.03362411013511507</x:v>
      </x:c>
      <x:c r="I304" s="92" t="str">
        <x:v>入力仕様</x:v>
      </x:c>
      <x:c r="J304" s="93" t="n">
        <x:f>1</x:f>
        <x:v>1</x:v>
      </x:c>
      <x:c r="K304" s="93" t="n">
        <x:f>K302*J304</x:f>
        <x:v>0.0037577911359194505</x:v>
      </x:c>
      <x:c r="L304" s="92" t="str">
        <x:f>IF(K304&gt;0,"増加→総重量増",IF(K304&lt;0,"増加→総重量減","中立"))</x:f>
        <x:v>増加→総重量増</x:v>
      </x:c>
      <x:c r="M304" s="92" t="str">
        <x:v>設計対象</x:v>
      </x:c>
      <x:c r="N304" s="92" t="str"/>
      <x:c r="O304" s="229" t="n">
        <x:f>--(COUNTIF($B$5:$B$560,A304)=0)</x:f>
        <x:v>1</x:v>
      </x:c>
      <x:c r="P304" s="70" t="str">
        <x:f>IF(LEFT(E304,7)&lt;&gt;"Enable_","",IFERROR(IF(OR(ISNUMBER(SEARCH("=Enable",INDEX($I$5:$I$560,MATCH(B304,$A$5:$A$560,0)))),ISNUMBER(SEARCH("×Enable",INDEX($I$5:$I$560,MATCH(B304,$A$5:$A$560,0))))),1,""),""))</x:f>
      </x:c>
      <x:c r="Q304" t="n">
        <x:f>IF(E304="","",--(XMATCH(E304,$E$5:E304,0)=ROWS($E$5:E304)))</x:f>
        <x:v>1</x:v>
      </x:c>
      <x:c r="R304" t="n">
        <x:f>IF(Q304=1,SUM($Q$5:Q304),"")</x:f>
        <x:v>231</x:v>
      </x:c>
    </x:row>
    <x:row r="305">
      <x:c r="A305" s="90" t="str">
        <x:v>T301</x:v>
      </x:c>
      <x:c r="B305" s="90" t="str">
        <x:v>T297</x:v>
      </x:c>
      <x:c r="C305" s="90" t="n">
        <x:v>8</x:v>
      </x:c>
      <x:c r="D305" s="90" t="str">
        <x:v>ターンオフ時間</x:v>
      </x:c>
      <x:c r="E305" s="90" t="str">
        <x:v>t_off</x:v>
      </x:c>
      <x:c r="F305" s="91" t="n">
        <x:f>'01_入力仕様'!D154*'01_入力仕様'!D151/'01_入力仕様'!D152</x:f>
        <x:v>5e-8</x:v>
      </x:c>
      <x:c r="G305" s="91" t="str">
        <x:v>s</x:v>
      </x:c>
      <x:c r="H305" s="91" t="n">
        <x:f>ABS(K305)*$F$5</x:f>
        <x:v>0.03362411013511507</x:v>
      </x:c>
      <x:c r="I305" s="90" t="str">
        <x:v>t_off=t_off_ref×R_g_off/R_g_ref</x:v>
      </x:c>
      <x:c r="J305" s="91" t="n">
        <x:f>F305/(F302+F305)</x:f>
        <x:v>0.5</x:v>
      </x:c>
      <x:c r="K305" s="91" t="n">
        <x:f>K301*J305</x:f>
        <x:v>0.0037577911359194505</x:v>
      </x:c>
      <x:c r="L305" s="90" t="str">
        <x:f>IF(K305&gt;0,"増加→総重量増",IF(K305&lt;0,"増加→総重量減","中立"))</x:f>
        <x:v>増加→総重量増</x:v>
      </x:c>
      <x:c r="M305" s="90" t="str">
        <x:v>設計対象</x:v>
      </x:c>
      <x:c r="N305" s="90" t="str"/>
      <x:c r="O305" s="229" t="n">
        <x:f>--(COUNTIF($B$5:$B$560,A305)=0)</x:f>
        <x:v>0</x:v>
      </x:c>
      <x:c r="P305" s="70" t="str">
        <x:f>IF(LEFT(E305,7)&lt;&gt;"Enable_","",IFERROR(IF(OR(ISNUMBER(SEARCH("=Enable",INDEX($I$5:$I$560,MATCH(B305,$A$5:$A$560,0)))),ISNUMBER(SEARCH("×Enable",INDEX($I$5:$I$560,MATCH(B305,$A$5:$A$560,0))))),1,""),""))</x:f>
      </x:c>
      <x:c r="Q305" t="n">
        <x:f>IF(E305="","",--(XMATCH(E305,$E$5:E305,0)=ROWS($E$5:E305)))</x:f>
        <x:v>1</x:v>
      </x:c>
      <x:c r="R305" t="n">
        <x:f>IF(Q305=1,SUM($Q$5:Q305),"")</x:f>
        <x:v>232</x:v>
      </x:c>
    </x:row>
    <x:row r="306">
      <x:c r="A306" s="92" t="str">
        <x:v>T302</x:v>
      </x:c>
      <x:c r="B306" s="92" t="str">
        <x:v>T301</x:v>
      </x:c>
      <x:c r="C306" s="92" t="n">
        <x:v>9</x:v>
      </x:c>
      <x:c r="D306" s="92" t="str">
        <x:v>ターンオフゲート抵抗</x:v>
      </x:c>
      <x:c r="E306" s="92" t="str">
        <x:v>R_g_off</x:v>
      </x:c>
      <x:c r="F306" s="93" t="n">
        <x:f>'01_入力仕様'!D151</x:f>
        <x:v>4</x:v>
      </x:c>
      <x:c r="G306" s="93" t="str">
        <x:v>Ω</x:v>
      </x:c>
      <x:c r="H306" s="93" t="n">
        <x:f>ABS(K306)*$F$5</x:f>
        <x:v>0.03362411013511507</x:v>
      </x:c>
      <x:c r="I306" s="92" t="str">
        <x:v>入力仕様</x:v>
      </x:c>
      <x:c r="J306" s="93" t="n">
        <x:f>1</x:f>
        <x:v>1</x:v>
      </x:c>
      <x:c r="K306" s="93" t="n">
        <x:f>K305*J306</x:f>
        <x:v>0.0037577911359194505</x:v>
      </x:c>
      <x:c r="L306" s="92" t="str">
        <x:f>IF(K306&gt;0,"増加→総重量増",IF(K306&lt;0,"増加→総重量減","中立"))</x:f>
        <x:v>増加→総重量増</x:v>
      </x:c>
      <x:c r="M306" s="92" t="str">
        <x:v>設計対象</x:v>
      </x:c>
      <x:c r="N306" s="92" t="str">
        <x:v>小さい→Psw低下、di/dt増</x:v>
      </x:c>
      <x:c r="O306" s="229" t="n">
        <x:f>--(COUNTIF($B$5:$B$560,A306)=0)</x:f>
        <x:v>1</x:v>
      </x:c>
      <x:c r="P306" s="70" t="str">
        <x:f>IF(LEFT(E306,7)&lt;&gt;"Enable_","",IFERROR(IF(OR(ISNUMBER(SEARCH("=Enable",INDEX($I$5:$I$560,MATCH(B306,$A$5:$A$560,0)))),ISNUMBER(SEARCH("×Enable",INDEX($I$5:$I$560,MATCH(B306,$A$5:$A$560,0))))),1,""),""))</x:f>
      </x:c>
      <x:c r="Q306" t="n">
        <x:f>IF(E306="","",--(XMATCH(E306,$E$5:E306,0)=ROWS($E$5:E306)))</x:f>
        <x:v>1</x:v>
      </x:c>
      <x:c r="R306" t="n">
        <x:f>IF(Q306=1,SUM($Q$5:Q306),"")</x:f>
        <x:v>233</x:v>
      </x:c>
    </x:row>
    <x:row r="307">
      <x:c r="A307" s="92" t="str">
        <x:v>T303</x:v>
      </x:c>
      <x:c r="B307" s="92" t="str">
        <x:v>T301</x:v>
      </x:c>
      <x:c r="C307" s="92" t="n">
        <x:v>9</x:v>
      </x:c>
      <x:c r="D307" s="92" t="str">
        <x:v>基準ターンオフ時間</x:v>
      </x:c>
      <x:c r="E307" s="92" t="str">
        <x:v>t_off_ref</x:v>
      </x:c>
      <x:c r="F307" s="93" t="n">
        <x:f>'01_入力仕様'!D154</x:f>
        <x:v>5e-8</x:v>
      </x:c>
      <x:c r="G307" s="93" t="str">
        <x:v>s</x:v>
      </x:c>
      <x:c r="H307" s="93" t="n">
        <x:f>ABS(K307)*$F$5</x:f>
        <x:v>0.03362411013511507</x:v>
      </x:c>
      <x:c r="I307" s="92" t="str">
        <x:v>入力仕様</x:v>
      </x:c>
      <x:c r="J307" s="93" t="n">
        <x:f>1</x:f>
        <x:v>1</x:v>
      </x:c>
      <x:c r="K307" s="93" t="n">
        <x:f>K305*J307</x:f>
        <x:v>0.0037577911359194505</x:v>
      </x:c>
      <x:c r="L307" s="92" t="str">
        <x:f>IF(K307&gt;0,"増加→総重量増",IF(K307&lt;0,"増加→総重量減","中立"))</x:f>
        <x:v>増加→総重量増</x:v>
      </x:c>
      <x:c r="M307" s="92" t="str">
        <x:v>設計対象</x:v>
      </x:c>
      <x:c r="N307" s="92" t="str"/>
      <x:c r="O307" s="229" t="n">
        <x:f>--(COUNTIF($B$5:$B$560,A307)=0)</x:f>
        <x:v>1</x:v>
      </x:c>
      <x:c r="P307" s="70" t="str">
        <x:f>IF(LEFT(E307,7)&lt;&gt;"Enable_","",IFERROR(IF(OR(ISNUMBER(SEARCH("=Enable",INDEX($I$5:$I$560,MATCH(B307,$A$5:$A$560,0)))),ISNUMBER(SEARCH("×Enable",INDEX($I$5:$I$560,MATCH(B307,$A$5:$A$560,0))))),1,""),""))</x:f>
      </x:c>
      <x:c r="Q307" t="n">
        <x:f>IF(E307="","",--(XMATCH(E307,$E$5:E307,0)=ROWS($E$5:E307)))</x:f>
        <x:v>1</x:v>
      </x:c>
      <x:c r="R307" t="n">
        <x:f>IF(Q307=1,SUM($Q$5:Q307),"")</x:f>
        <x:v>234</x:v>
      </x:c>
    </x:row>
    <x:row r="308">
      <x:c r="A308" s="92" t="str">
        <x:v>T304</x:v>
      </x:c>
      <x:c r="B308" s="92" t="str">
        <x:v>T297</x:v>
      </x:c>
      <x:c r="C308" s="92" t="n">
        <x:v>8</x:v>
      </x:c>
      <x:c r="D308" s="92" t="str">
        <x:v>ゲート抵抗基準</x:v>
      </x:c>
      <x:c r="E308" s="92" t="str">
        <x:v>R_g_ref</x:v>
      </x:c>
      <x:c r="F308" s="93" t="n">
        <x:f>'01_入力仕様'!D152</x:f>
        <x:v>4</x:v>
      </x:c>
      <x:c r="G308" s="93" t="str">
        <x:v>Ω</x:v>
      </x:c>
      <x:c r="H308" s="93" t="n">
        <x:f>ABS(K308)*$F$5</x:f>
        <x:v>0.06724822027023014</x:v>
      </x:c>
      <x:c r="I308" s="92" t="str">
        <x:v>入力仕様</x:v>
      </x:c>
      <x:c r="J308" s="93" t="n">
        <x:f>-1</x:f>
        <x:v>-1</x:v>
      </x:c>
      <x:c r="K308" s="93" t="n">
        <x:f>K301*J308</x:f>
        <x:v>-0.007515582271838901</x:v>
      </x:c>
      <x:c r="L308" s="92" t="str">
        <x:f>IF(K308&gt;0,"増加→総重量増",IF(K308&lt;0,"増加→総重量減","中立"))</x:f>
        <x:v>増加→総重量減</x:v>
      </x:c>
      <x:c r="M308" s="92" t="str">
        <x:v>設計対象</x:v>
      </x:c>
      <x:c r="N308" s="92" t="str"/>
      <x:c r="O308" s="229" t="n">
        <x:f>--(COUNTIF($B$5:$B$560,A308)=0)</x:f>
        <x:v>1</x:v>
      </x:c>
      <x:c r="P308" s="70" t="str">
        <x:f>IF(LEFT(E308,7)&lt;&gt;"Enable_","",IFERROR(IF(OR(ISNUMBER(SEARCH("=Enable",INDEX($I$5:$I$560,MATCH(B308,$A$5:$A$560,0)))),ISNUMBER(SEARCH("×Enable",INDEX($I$5:$I$560,MATCH(B308,$A$5:$A$560,0))))),1,""),""))</x:f>
      </x:c>
      <x:c r="Q308" t="n">
        <x:f>IF(E308="","",--(XMATCH(E308,$E$5:E308,0)=ROWS($E$5:E308)))</x:f>
        <x:v>1</x:v>
      </x:c>
      <x:c r="R308" t="n">
        <x:f>IF(Q308=1,SUM($Q$5:Q308),"")</x:f>
        <x:v>235</x:v>
      </x:c>
    </x:row>
    <x:row r="309">
      <x:c r="A309" s="90" t="str">
        <x:v>T305</x:v>
      </x:c>
      <x:c r="B309" s="90" t="str">
        <x:v>T297</x:v>
      </x:c>
      <x:c r="C309" s="90" t="n">
        <x:v>8</x:v>
      </x:c>
      <x:c r="D309" s="90" t="str">
        <x:v>分離Rg係数</x:v>
      </x:c>
      <x:c r="E309" s="90" t="str">
        <x:v>k_split_eff</x:v>
      </x:c>
      <x:c r="F309" s="91" t="n">
        <x:f>1-'01_入力仕様'!D155*(1-'01_入力仕様'!D156)</x:f>
        <x:v>1</x:v>
      </x:c>
      <x:c r="G309" s="91" t="str">
        <x:v>-</x:v>
      </x:c>
      <x:c r="H309" s="91" t="n">
        <x:f>ABS(K309)*$F$5</x:f>
        <x:v>0.06724822027023014</x:v>
      </x:c>
      <x:c r="I309" s="90" t="str">
        <x:v>k_split_eff=1-Enable_split_Rg×(1-k_split_sw)</x:v>
      </x:c>
      <x:c r="J309" s="91" t="n">
        <x:f>1</x:f>
        <x:v>1</x:v>
      </x:c>
      <x:c r="K309" s="91" t="n">
        <x:f>K301*J309</x:f>
        <x:v>0.007515582271838901</x:v>
      </x:c>
      <x:c r="L309" s="90" t="str">
        <x:f>IF(K309&gt;0,"増加→総重量増",IF(K309&lt;0,"増加→総重量減","中立"))</x:f>
        <x:v>増加→総重量増</x:v>
      </x:c>
      <x:c r="M309" s="90" t="str">
        <x:v>設計対象</x:v>
      </x:c>
      <x:c r="N309" s="90" t="str"/>
      <x:c r="O309" s="229" t="n">
        <x:f>--(COUNTIF($B$5:$B$560,A309)=0)</x:f>
        <x:v>0</x:v>
      </x:c>
      <x:c r="P309" s="70" t="str">
        <x:f>IF(LEFT(E309,7)&lt;&gt;"Enable_","",IFERROR(IF(OR(ISNUMBER(SEARCH("=Enable",INDEX($I$5:$I$560,MATCH(B309,$A$5:$A$560,0)))),ISNUMBER(SEARCH("×Enable",INDEX($I$5:$I$560,MATCH(B309,$A$5:$A$560,0))))),1,""),""))</x:f>
      </x:c>
      <x:c r="Q309" t="n">
        <x:f>IF(E309="","",--(XMATCH(E309,$E$5:E309,0)=ROWS($E$5:E309)))</x:f>
        <x:v>1</x:v>
      </x:c>
      <x:c r="R309" t="n">
        <x:f>IF(Q309=1,SUM($Q$5:Q309),"")</x:f>
        <x:v>236</x:v>
      </x:c>
    </x:row>
    <x:row r="310">
      <x:c r="A310" s="92" t="str">
        <x:v>T306</x:v>
      </x:c>
      <x:c r="B310" s="92" t="str">
        <x:v>T305</x:v>
      </x:c>
      <x:c r="C310" s="92" t="n">
        <x:v>9</x:v>
      </x:c>
      <x:c r="D310" s="92" t="str">
        <x:v>分離Rg有効</x:v>
      </x:c>
      <x:c r="E310" s="92" t="str">
        <x:v>Enable_split_Rg</x:v>
      </x:c>
      <x:c r="F310" s="93" t="n">
        <x:f>'01_入力仕様'!D155</x:f>
        <x:v>0</x:v>
      </x:c>
      <x:c r="G310" s="93" t="str">
        <x:v>0/1</x:v>
      </x:c>
      <x:c r="H310" s="93" t="n">
        <x:f>ABS(K310)*$F$5</x:f>
        <x:v>0.006724822027023013</x:v>
      </x:c>
      <x:c r="I310" s="92" t="str">
        <x:v>入力仕様</x:v>
      </x:c>
      <x:c r="J310" s="93" t="n">
        <x:f>0</x:f>
        <x:v>0</x:v>
      </x:c>
      <x:c r="K310" s="93" t="n">
        <x:f>K68*('01_入力仕様'!D156-1)</x:f>
        <x:v>-0.0007515582271838899</x:v>
      </x:c>
      <x:c r="L310" s="92" t="str">
        <x:f>IF(K310&gt;0,"増加→総重量増",IF(K310&lt;0,"増加→総重量減","中立"))</x:f>
        <x:v>増加→総重量減</x:v>
      </x:c>
      <x:c r="M310" s="92" t="str">
        <x:v>設計対象</x:v>
      </x:c>
      <x:c r="N310" s="92" t="str">
        <x:v>0→1採用差分</x:v>
      </x:c>
      <x:c r="O310" s="229" t="n">
        <x:f>--(COUNTIF($B$5:$B$560,A310)=0)</x:f>
        <x:v>1</x:v>
      </x:c>
      <x:c r="P310" s="70" t="str">
        <x:f>IF(LEFT(E310,7)&lt;&gt;"Enable_","",IFERROR(IF(OR(ISNUMBER(SEARCH("=Enable",INDEX($I$5:$I$560,MATCH(B310,$A$5:$A$560,0)))),ISNUMBER(SEARCH("×Enable",INDEX($I$5:$I$560,MATCH(B310,$A$5:$A$560,0))))),1,""),""))</x:f>
      </x:c>
      <x:c r="Q310" t="n">
        <x:f>IF(E310="","",--(XMATCH(E310,$E$5:E310,0)=ROWS($E$5:E310)))</x:f>
        <x:v>1</x:v>
      </x:c>
      <x:c r="R310" t="n">
        <x:f>IF(Q310=1,SUM($Q$5:Q310),"")</x:f>
        <x:v>237</x:v>
      </x:c>
    </x:row>
    <x:row r="311">
      <x:c r="A311" s="92" t="str">
        <x:v>T307</x:v>
      </x:c>
      <x:c r="B311" s="92" t="str">
        <x:v>T305</x:v>
      </x:c>
      <x:c r="C311" s="92" t="n">
        <x:v>9</x:v>
      </x:c>
      <x:c r="D311" s="92" t="str">
        <x:v>分離Rg時SW時間係数</x:v>
      </x:c>
      <x:c r="E311" s="92" t="str">
        <x:v>k_split_sw</x:v>
      </x:c>
      <x:c r="F311" s="93" t="n">
        <x:f>'01_入力仕様'!D156</x:f>
        <x:v>0.9</x:v>
      </x:c>
      <x:c r="G311" s="93" t="str">
        <x:v>-</x:v>
      </x:c>
      <x:c r="H311" s="93" t="n">
        <x:f>ABS(K311)*$F$5</x:f>
        <x:v>0</x:v>
      </x:c>
      <x:c r="I311" s="92" t="str">
        <x:v>入力仕様</x:v>
      </x:c>
      <x:c r="J311" s="93" t="n">
        <x:f>IF(F309=0,0,'01_入力仕様'!D155*'01_入力仕様'!D156/F309)</x:f>
        <x:v>0</x:v>
      </x:c>
      <x:c r="K311" s="93" t="n">
        <x:f>K309*J311</x:f>
        <x:v>0</x:v>
      </x:c>
      <x:c r="L311" s="92" t="str">
        <x:f>IF(K311&gt;0,"増加→総重量増",IF(K311&lt;0,"増加→総重量減","中立"))</x:f>
        <x:v>中立</x:v>
      </x:c>
      <x:c r="M311" s="92" t="str">
        <x:v>設計対象</x:v>
      </x:c>
      <x:c r="N311" s="92" t="str"/>
      <x:c r="O311" s="229" t="n">
        <x:f>--(COUNTIF($B$5:$B$560,A311)=0)</x:f>
        <x:v>1</x:v>
      </x:c>
      <x:c r="P311" s="70" t="str">
        <x:f>IF(LEFT(E311,7)&lt;&gt;"Enable_","",IFERROR(IF(OR(ISNUMBER(SEARCH("=Enable",INDEX($I$5:$I$560,MATCH(B311,$A$5:$A$560,0)))),ISNUMBER(SEARCH("×Enable",INDEX($I$5:$I$560,MATCH(B311,$A$5:$A$560,0))))),1,""),""))</x:f>
      </x:c>
      <x:c r="Q311" t="n">
        <x:f>IF(E311="","",--(XMATCH(E311,$E$5:E311,0)=ROWS($E$5:E311)))</x:f>
        <x:v>1</x:v>
      </x:c>
      <x:c r="R311" t="n">
        <x:f>IF(Q311=1,SUM($Q$5:Q311),"")</x:f>
        <x:v>238</x:v>
      </x:c>
    </x:row>
    <x:row r="312">
      <x:c r="A312" s="94" t="str">
        <x:v>T308</x:v>
      </x:c>
      <x:c r="B312" s="94" t="str">
        <x:v>T136</x:v>
      </x:c>
      <x:c r="C312" s="94" t="n">
        <x:v>2</x:v>
      </x:c>
      <x:c r="D312" s="94" t="str">
        <x:v>スルーレートEMI対策重量</x:v>
      </x:c>
      <x:c r="E312" s="94" t="str">
        <x:v>M_slew_emi</x:v>
      </x:c>
      <x:c r="F312" s="95" t="n">
        <x:f>'01_入力仕様'!D158*((F313/('01_入力仕様'!D195/'01_入力仕様'!D153))^'01_入力仕様'!D159)*(1-'01_入力仕様'!D231*'01_入力仕様'!D233)*F548</x:f>
        <x:v>0.08</x:v>
      </x:c>
      <x:c r="G312" s="95" t="str">
        <x:v>kg</x:v>
      </x:c>
      <x:c r="H312" s="95" t="n">
        <x:f>ABS(K312)*$F$5</x:f>
        <x:v>0.08</x:v>
      </x:c>
      <x:c r="I312" s="94" t="str">
        <x:v>M_slew_emi=dvdt基準重量×dv/dtフィルタ低減×k_cable_dvdt</x:v>
      </x:c>
      <x:c r="J312" s="95" t="n">
        <x:f>IF(F140=0,0,F312/F140)</x:f>
        <x:v>0.24214327636278735</x:v>
      </x:c>
      <x:c r="K312" s="95" t="n">
        <x:f>K140*J312</x:f>
        <x:v>0.008940706227333062</x:v>
      </x:c>
      <x:c r="L312" s="94" t="str">
        <x:f>IF(K312&gt;0,"増加→総重量増",IF(K312&lt;0,"増加→総重量減","中立"))</x:f>
        <x:v>増加→総重量増</x:v>
      </x:c>
      <x:c r="M312" s="94" t="str">
        <x:v>設計対象</x:v>
      </x:c>
      <x:c r="N312" s="94" t="str"/>
      <x:c r="O312" s="229" t="n">
        <x:f>--(COUNTIF($B$5:$B$560,A312)=0)</x:f>
        <x:v>0</x:v>
      </x:c>
      <x:c r="P312" s="70" t="str">
        <x:f>IF(LEFT(E312,7)&lt;&gt;"Enable_","",IFERROR(IF(OR(ISNUMBER(SEARCH("=Enable",INDEX($I$5:$I$560,MATCH(B312,$A$5:$A$560,0)))),ISNUMBER(SEARCH("×Enable",INDEX($I$5:$I$560,MATCH(B312,$A$5:$A$560,0))))),1,""),""))</x:f>
      </x:c>
      <x:c r="Q312" t="n">
        <x:f>IF(E312="","",--(XMATCH(E312,$E$5:E312,0)=ROWS($E$5:E312)))</x:f>
        <x:v>1</x:v>
      </x:c>
      <x:c r="R312" t="n">
        <x:f>IF(Q312=1,SUM($Q$5:Q312),"")</x:f>
        <x:v>239</x:v>
      </x:c>
    </x:row>
    <x:row r="313">
      <x:c r="A313" s="90" t="str">
        <x:v>T309</x:v>
      </x:c>
      <x:c r="B313" s="90" t="str">
        <x:v>T308</x:v>
      </x:c>
      <x:c r="C313" s="90" t="n">
        <x:v>3</x:v>
      </x:c>
      <x:c r="D313" s="90" t="str">
        <x:v>dv/dt</x:v>
      </x:c>
      <x:c r="E313" s="90" t="str">
        <x:v>dvdt</x:v>
      </x:c>
      <x:c r="F313" s="91" t="n">
        <x:f>'01_入力仕様'!D6/F302</x:f>
        <x:v>16000000000</x:v>
      </x:c>
      <x:c r="G313" s="91" t="str">
        <x:v>V/s</x:v>
      </x:c>
      <x:c r="H313" s="91" t="n">
        <x:f>ABS(K313)*$F$5</x:f>
        <x:v>0.056</x:v>
      </x:c>
      <x:c r="I313" s="90" t="str">
        <x:v>dvdt=V_dc/t_on</x:v>
      </x:c>
      <x:c r="J313" s="91" t="n">
        <x:f>'01_入力仕様'!D159</x:f>
        <x:v>0.7</x:v>
      </x:c>
      <x:c r="K313" s="91" t="n">
        <x:f>K312*J313</x:f>
        <x:v>0.006258494359133143</x:v>
      </x:c>
      <x:c r="L313" s="90" t="str">
        <x:f>IF(K313&gt;0,"増加→総重量増",IF(K313&lt;0,"増加→総重量減","中立"))</x:f>
        <x:v>増加→総重量増</x:v>
      </x:c>
      <x:c r="M313" s="90" t="str">
        <x:v>設計対象</x:v>
      </x:c>
      <x:c r="N313" s="90" t="str"/>
      <x:c r="O313" s="229" t="n">
        <x:f>--(COUNTIF($B$5:$B$560,A313)=0)</x:f>
        <x:v>0</x:v>
      </x:c>
      <x:c r="P313" s="70" t="str">
        <x:f>IF(LEFT(E313,7)&lt;&gt;"Enable_","",IFERROR(IF(OR(ISNUMBER(SEARCH("=Enable",INDEX($I$5:$I$560,MATCH(B313,$A$5:$A$560,0)))),ISNUMBER(SEARCH("×Enable",INDEX($I$5:$I$560,MATCH(B313,$A$5:$A$560,0))))),1,""),""))</x:f>
      </x:c>
      <x:c r="Q313" t="n">
        <x:f>IF(E313="","",--(XMATCH(E313,$E$5:E313,0)=ROWS($E$5:E313)))</x:f>
        <x:v>1</x:v>
      </x:c>
      <x:c r="R313" t="n">
        <x:f>IF(Q313=1,SUM($Q$5:Q313),"")</x:f>
        <x:v>240</x:v>
      </x:c>
    </x:row>
    <x:row r="314">
      <x:c r="A314" s="92" t="str">
        <x:v>T310</x:v>
      </x:c>
      <x:c r="B314" s="92" t="str">
        <x:v>T309</x:v>
      </x:c>
      <x:c r="C314" s="92" t="n">
        <x:v>4</x:v>
      </x:c>
      <x:c r="D314" s="92" t="str">
        <x:v>DCバス電圧</x:v>
      </x:c>
      <x:c r="E314" s="92" t="str">
        <x:v>V_dc</x:v>
      </x:c>
      <x:c r="F314" s="93" t="n">
        <x:f>'01_入力仕様'!D6</x:f>
        <x:v>800</x:v>
      </x:c>
      <x:c r="G314" s="93" t="str">
        <x:v>V</x:v>
      </x:c>
      <x:c r="H314" s="93" t="n">
        <x:f>ABS(K314)*$F$5</x:f>
        <x:v>0.056</x:v>
      </x:c>
      <x:c r="I314" s="92" t="str">
        <x:v>入力仕様</x:v>
      </x:c>
      <x:c r="J314" s="93" t="n">
        <x:f>1</x:f>
        <x:v>1</x:v>
      </x:c>
      <x:c r="K314" s="93" t="n">
        <x:f>K313*J314</x:f>
        <x:v>0.006258494359133143</x:v>
      </x:c>
      <x:c r="L314" s="92" t="str">
        <x:f>IF(K314&gt;0,"増加→総重量増",IF(K314&lt;0,"増加→総重量減","中立"))</x:f>
        <x:v>増加→総重量増</x:v>
      </x:c>
      <x:c r="M314" s="92" t="str">
        <x:v>設計対象</x:v>
      </x:c>
      <x:c r="N314" s="92" t="str"/>
      <x:c r="O314" s="229" t="n">
        <x:f>--(COUNTIF($B$5:$B$560,A314)=0)</x:f>
        <x:v>1</x:v>
      </x:c>
      <x:c r="P314" s="70" t="str">
        <x:f>IF(LEFT(E314,7)&lt;&gt;"Enable_","",IFERROR(IF(OR(ISNUMBER(SEARCH("=Enable",INDEX($I$5:$I$560,MATCH(B314,$A$5:$A$560,0)))),ISNUMBER(SEARCH("×Enable",INDEX($I$5:$I$560,MATCH(B314,$A$5:$A$560,0))))),1,""),""))</x:f>
      </x:c>
      <x:c r="Q314" t="n">
        <x:f>IF(E314="","",--(XMATCH(E314,$E$5:E314,0)=ROWS($E$5:E314)))</x:f>
        <x:v>0</x:v>
      </x:c>
      <x:c r="R314" t="str">
        <x:f>IF(Q314=1,SUM($Q$5:Q314),"")</x:f>
      </x:c>
    </x:row>
    <x:row r="315">
      <x:c r="A315" s="90" t="str">
        <x:v>T311</x:v>
      </x:c>
      <x:c r="B315" s="90" t="str">
        <x:v>T309</x:v>
      </x:c>
      <x:c r="C315" s="90" t="n">
        <x:v>4</x:v>
      </x:c>
      <x:c r="D315" s="90" t="str">
        <x:v>ターンオン時間</x:v>
      </x:c>
      <x:c r="E315" s="90" t="str">
        <x:v>t_on</x:v>
      </x:c>
      <x:c r="F315" s="91" t="n">
        <x:f>F302</x:f>
        <x:v>5e-8</x:v>
      </x:c>
      <x:c r="G315" s="91" t="str">
        <x:v>s</x:v>
      </x:c>
      <x:c r="H315" s="91" t="n">
        <x:f>ABS(K315)*$F$5</x:f>
        <x:v>0.056</x:v>
      </x:c>
      <x:c r="I315" s="90" t="str">
        <x:v>t_on=t_on_ref×R_g_on/R_g_ref</x:v>
      </x:c>
      <x:c r="J315" s="91" t="n">
        <x:f>-1</x:f>
        <x:v>-1</x:v>
      </x:c>
      <x:c r="K315" s="91" t="n">
        <x:f>K313*J315</x:f>
        <x:v>-0.006258494359133143</x:v>
      </x:c>
      <x:c r="L315" s="90" t="str">
        <x:f>IF(K315&gt;0,"増加→総重量増",IF(K315&lt;0,"増加→総重量減","中立"))</x:f>
        <x:v>増加→総重量減</x:v>
      </x:c>
      <x:c r="M315" s="90" t="str">
        <x:v>設計対象</x:v>
      </x:c>
      <x:c r="N315" s="90" t="str"/>
      <x:c r="O315" s="229" t="n">
        <x:f>--(COUNTIF($B$5:$B$560,A315)=0)</x:f>
        <x:v>0</x:v>
      </x:c>
      <x:c r="P315" s="70" t="str">
        <x:f>IF(LEFT(E315,7)&lt;&gt;"Enable_","",IFERROR(IF(OR(ISNUMBER(SEARCH("=Enable",INDEX($I$5:$I$560,MATCH(B315,$A$5:$A$560,0)))),ISNUMBER(SEARCH("×Enable",INDEX($I$5:$I$560,MATCH(B315,$A$5:$A$560,0))))),1,""),""))</x:f>
      </x:c>
      <x:c r="Q315" t="n">
        <x:f>IF(E315="","",--(XMATCH(E315,$E$5:E315,0)=ROWS($E$5:E315)))</x:f>
        <x:v>0</x:v>
      </x:c>
      <x:c r="R315" t="str">
        <x:f>IF(Q315=1,SUM($Q$5:Q315),"")</x:f>
      </x:c>
    </x:row>
    <x:row r="316">
      <x:c r="A316" s="92" t="str">
        <x:v>T312</x:v>
      </x:c>
      <x:c r="B316" s="92" t="str">
        <x:v>T311</x:v>
      </x:c>
      <x:c r="C316" s="92" t="n">
        <x:v>5</x:v>
      </x:c>
      <x:c r="D316" s="92" t="str">
        <x:v>R_g_on</x:v>
      </x:c>
      <x:c r="E316" s="92" t="str">
        <x:v>R_g_on</x:v>
      </x:c>
      <x:c r="F316" s="93" t="n">
        <x:f>'01_入力仕様'!D150</x:f>
        <x:v>4</x:v>
      </x:c>
      <x:c r="G316" s="93" t="str">
        <x:v>Ω</x:v>
      </x:c>
      <x:c r="H316" s="93" t="n">
        <x:f>ABS(K316)*$F$5</x:f>
        <x:v>0.056</x:v>
      </x:c>
      <x:c r="I316" s="92" t="str">
        <x:v>入力仕様</x:v>
      </x:c>
      <x:c r="J316" s="93" t="n">
        <x:f>1</x:f>
        <x:v>1</x:v>
      </x:c>
      <x:c r="K316" s="93" t="n">
        <x:f>K315*J316</x:f>
        <x:v>-0.006258494359133143</x:v>
      </x:c>
      <x:c r="L316" s="92" t="str">
        <x:f>IF(K316&gt;0,"増加→総重量増",IF(K316&lt;0,"増加→総重量減","中立"))</x:f>
        <x:v>増加→総重量減</x:v>
      </x:c>
      <x:c r="M316" s="92" t="str">
        <x:v>設計対象</x:v>
      </x:c>
      <x:c r="N316" s="92" t="str"/>
      <x:c r="O316" s="229" t="n">
        <x:f>--(COUNTIF($B$5:$B$560,A316)=0)</x:f>
        <x:v>1</x:v>
      </x:c>
      <x:c r="P316" s="70" t="str">
        <x:f>IF(LEFT(E316,7)&lt;&gt;"Enable_","",IFERROR(IF(OR(ISNUMBER(SEARCH("=Enable",INDEX($I$5:$I$560,MATCH(B316,$A$5:$A$560,0)))),ISNUMBER(SEARCH("×Enable",INDEX($I$5:$I$560,MATCH(B316,$A$5:$A$560,0))))),1,""),""))</x:f>
      </x:c>
      <x:c r="Q316" t="n">
        <x:f>IF(E316="","",--(XMATCH(E316,$E$5:E316,0)=ROWS($E$5:E316)))</x:f>
        <x:v>0</x:v>
      </x:c>
      <x:c r="R316" t="str">
        <x:f>IF(Q316=1,SUM($Q$5:Q316),"")</x:f>
      </x:c>
    </x:row>
    <x:row r="317">
      <x:c r="A317" s="92" t="str">
        <x:v>T313</x:v>
      </x:c>
      <x:c r="B317" s="92" t="str">
        <x:v>T308</x:v>
      </x:c>
      <x:c r="C317" s="92" t="n">
        <x:v>3</x:v>
      </x:c>
      <x:c r="D317" s="92" t="str">
        <x:v>基準EMI重量</x:v>
      </x:c>
      <x:c r="E317" s="92" t="str">
        <x:v>m_slew_emi_ref</x:v>
      </x:c>
      <x:c r="F317" s="93" t="n">
        <x:f>'01_入力仕様'!D158</x:f>
        <x:v>0.08</x:v>
      </x:c>
      <x:c r="G317" s="93" t="str">
        <x:v>kg</x:v>
      </x:c>
      <x:c r="H317" s="93" t="n">
        <x:f>ABS(K317)*$F$5</x:f>
        <x:v>0.08</x:v>
      </x:c>
      <x:c r="I317" s="92" t="str">
        <x:v>入力仕様</x:v>
      </x:c>
      <x:c r="J317" s="93" t="n">
        <x:f>1</x:f>
        <x:v>1</x:v>
      </x:c>
      <x:c r="K317" s="93" t="n">
        <x:f>K312*J317</x:f>
        <x:v>0.008940706227333062</x:v>
      </x:c>
      <x:c r="L317" s="92" t="str">
        <x:f>IF(K317&gt;0,"増加→総重量増",IF(K317&lt;0,"増加→総重量減","中立"))</x:f>
        <x:v>増加→総重量増</x:v>
      </x:c>
      <x:c r="M317" s="92" t="str">
        <x:v>設計対象</x:v>
      </x:c>
      <x:c r="N317" s="92" t="str"/>
      <x:c r="O317" s="229" t="n">
        <x:f>--(COUNTIF($B$5:$B$560,A317)=0)</x:f>
        <x:v>1</x:v>
      </x:c>
      <x:c r="P317" s="70" t="str">
        <x:f>IF(LEFT(E317,7)&lt;&gt;"Enable_","",IFERROR(IF(OR(ISNUMBER(SEARCH("=Enable",INDEX($I$5:$I$560,MATCH(B317,$A$5:$A$560,0)))),ISNUMBER(SEARCH("×Enable",INDEX($I$5:$I$560,MATCH(B317,$A$5:$A$560,0))))),1,""),""))</x:f>
      </x:c>
      <x:c r="Q317" t="n">
        <x:f>IF(E317="","",--(XMATCH(E317,$E$5:E317,0)=ROWS($E$5:E317)))</x:f>
        <x:v>1</x:v>
      </x:c>
      <x:c r="R317" t="n">
        <x:f>IF(Q317=1,SUM($Q$5:Q317),"")</x:f>
        <x:v>241</x:v>
      </x:c>
    </x:row>
    <x:row r="318">
      <x:c r="A318" s="92" t="str">
        <x:v>T314</x:v>
      </x:c>
      <x:c r="B318" s="92" t="str">
        <x:v>T308</x:v>
      </x:c>
      <x:c r="C318" s="92" t="n">
        <x:v>3</x:v>
      </x:c>
      <x:c r="D318" s="92" t="str">
        <x:v>スルーレート重量指数</x:v>
      </x:c>
      <x:c r="E318" s="92" t="str">
        <x:v>a_slew_emi</x:v>
      </x:c>
      <x:c r="F318" s="93" t="n">
        <x:f>'01_入力仕様'!D159</x:f>
        <x:v>0.7</x:v>
      </x:c>
      <x:c r="G318" s="93" t="str">
        <x:v>-</x:v>
      </x:c>
      <x:c r="H318" s="93" t="n">
        <x:f>ABS(K318)*$F$5</x:f>
        <x:v>0</x:v>
      </x:c>
      <x:c r="I318" s="92" t="str">
        <x:v>入力仕様</x:v>
      </x:c>
      <x:c r="J318" s="93" t="n">
        <x:f>'01_入力仕様'!D159*LN((F313)/('01_入力仕様'!D195/'01_入力仕様'!D153))</x:f>
        <x:v>0</x:v>
      </x:c>
      <x:c r="K318" s="93" t="n">
        <x:f>K312*J318</x:f>
        <x:v>0</x:v>
      </x:c>
      <x:c r="L318" s="92" t="str">
        <x:f>IF(K318&gt;0,"増加→総重量増",IF(K318&lt;0,"増加→総重量減","中立"))</x:f>
        <x:v>中立</x:v>
      </x:c>
      <x:c r="M318" s="92" t="str">
        <x:v>設計対象</x:v>
      </x:c>
      <x:c r="N318" s="92" t="str"/>
      <x:c r="O318" s="229" t="n">
        <x:f>--(COUNTIF($B$5:$B$560,A318)=0)</x:f>
        <x:v>1</x:v>
      </x:c>
      <x:c r="P318" s="70" t="str">
        <x:f>IF(LEFT(E318,7)&lt;&gt;"Enable_","",IFERROR(IF(OR(ISNUMBER(SEARCH("=Enable",INDEX($I$5:$I$560,MATCH(B318,$A$5:$A$560,0)))),ISNUMBER(SEARCH("×Enable",INDEX($I$5:$I$560,MATCH(B318,$A$5:$A$560,0))))),1,""),""))</x:f>
      </x:c>
      <x:c r="Q318" t="n">
        <x:f>IF(E318="","",--(XMATCH(E318,$E$5:E318,0)=ROWS($E$5:E318)))</x:f>
        <x:v>1</x:v>
      </x:c>
      <x:c r="R318" t="n">
        <x:f>IF(Q318=1,SUM($Q$5:Q318),"")</x:f>
        <x:v>242</x:v>
      </x:c>
    </x:row>
    <x:row r="319">
      <x:c r="A319" s="90" t="str">
        <x:v>T315</x:v>
      </x:c>
      <x:c r="B319" s="90" t="str">
        <x:v>T034</x:v>
      </x:c>
      <x:c r="C319" s="90" t="n">
        <x:v>5</x:v>
      </x:c>
      <x:c r="D319" s="90" t="str">
        <x:v>デッドタイム損失</x:v>
      </x:c>
      <x:c r="E319" s="90" t="str">
        <x:v>P_dead</x:v>
      </x:c>
      <x:c r="F319" s="91" t="n">
        <x:f>6*'01_入力仕様'!D161*F326*F320*'01_入力仕様'!D10</x:f>
        <x:v>11.277596142607992</x:v>
      </x:c>
      <x:c r="G319" s="91" t="str">
        <x:v>W</x:v>
      </x:c>
      <x:c r="H319" s="91" t="n">
        <x:f>ABS(K319)*$F$5</x:f>
        <x:v>0.00042793704244160257</x:v>
      </x:c>
      <x:c r="I319" s="90" t="str">
        <x:v>P_dead=6×V_dead_drop×I_phase×t_dead_eff×f_sw</x:v>
      </x:c>
      <x:c r="J319" s="91" t="n">
        <x:f>IF(F38=0,0,F319/F38)</x:f>
        <x:v>0.006269100697088166</x:v>
      </x:c>
      <x:c r="K319" s="91" t="n">
        <x:f>K38*J319</x:f>
        <x:v>0.000047825742253301605</x:v>
      </x:c>
      <x:c r="L319" s="90" t="str">
        <x:f>IF(K319&gt;0,"増加→総重量増",IF(K319&lt;0,"増加→総重量減","中立"))</x:f>
        <x:v>増加→総重量増</x:v>
      </x:c>
      <x:c r="M319" s="90" t="str">
        <x:v>設計対象</x:v>
      </x:c>
      <x:c r="N319" s="90" t="str"/>
      <x:c r="O319" s="229" t="n">
        <x:f>--(COUNTIF($B$5:$B$560,A319)=0)</x:f>
        <x:v>0</x:v>
      </x:c>
      <x:c r="P319" s="70" t="str">
        <x:f>IF(LEFT(E319,7)&lt;&gt;"Enable_","",IFERROR(IF(OR(ISNUMBER(SEARCH("=Enable",INDEX($I$5:$I$560,MATCH(B319,$A$5:$A$560,0)))),ISNUMBER(SEARCH("×Enable",INDEX($I$5:$I$560,MATCH(B319,$A$5:$A$560,0))))),1,""),""))</x:f>
      </x:c>
      <x:c r="Q319" t="n">
        <x:f>IF(E319="","",--(XMATCH(E319,$E$5:E319,0)=ROWS($E$5:E319)))</x:f>
        <x:v>1</x:v>
      </x:c>
      <x:c r="R319" t="n">
        <x:f>IF(Q319=1,SUM($Q$5:Q319),"")</x:f>
        <x:v>243</x:v>
      </x:c>
    </x:row>
    <x:row r="320">
      <x:c r="A320" s="90" t="str">
        <x:v>T316</x:v>
      </x:c>
      <x:c r="B320" s="90" t="str">
        <x:v>T315</x:v>
      </x:c>
      <x:c r="C320" s="90" t="n">
        <x:v>6</x:v>
      </x:c>
      <x:c r="D320" s="90" t="str">
        <x:v>実効デッドタイム</x:v>
      </x:c>
      <x:c r="E320" s="90" t="str">
        <x:v>t_dead_eff</x:v>
      </x:c>
      <x:c r="F320" s="91" t="n">
        <x:f>'01_入力仕様'!D160*F322</x:f>
        <x:v>3e-7</x:v>
      </x:c>
      <x:c r="G320" s="91" t="str">
        <x:v>s</x:v>
      </x:c>
      <x:c r="H320" s="91" t="n">
        <x:f>ABS(K320)*$F$5</x:f>
        <x:v>0.00042793704244160257</x:v>
      </x:c>
      <x:c r="I320" s="90" t="str">
        <x:v>t_dead_eff=t_dead×k_dead_eff</x:v>
      </x:c>
      <x:c r="J320" s="91" t="n">
        <x:f>1</x:f>
        <x:v>1</x:v>
      </x:c>
      <x:c r="K320" s="91" t="n">
        <x:f>K319*J320</x:f>
        <x:v>0.000047825742253301605</x:v>
      </x:c>
      <x:c r="L320" s="90" t="str">
        <x:f>IF(K320&gt;0,"増加→総重量増",IF(K320&lt;0,"増加→総重量減","中立"))</x:f>
        <x:v>増加→総重量増</x:v>
      </x:c>
      <x:c r="M320" s="90" t="str">
        <x:v>設計対象</x:v>
      </x:c>
      <x:c r="N320" s="90" t="str"/>
      <x:c r="O320" s="229" t="n">
        <x:f>--(COUNTIF($B$5:$B$560,A320)=0)</x:f>
        <x:v>0</x:v>
      </x:c>
      <x:c r="P320" s="70" t="str">
        <x:f>IF(LEFT(E320,7)&lt;&gt;"Enable_","",IFERROR(IF(OR(ISNUMBER(SEARCH("=Enable",INDEX($I$5:$I$560,MATCH(B320,$A$5:$A$560,0)))),ISNUMBER(SEARCH("×Enable",INDEX($I$5:$I$560,MATCH(B320,$A$5:$A$560,0))))),1,""),""))</x:f>
      </x:c>
      <x:c r="Q320" t="n">
        <x:f>IF(E320="","",--(XMATCH(E320,$E$5:E320,0)=ROWS($E$5:E320)))</x:f>
        <x:v>1</x:v>
      </x:c>
      <x:c r="R320" t="n">
        <x:f>IF(Q320=1,SUM($Q$5:Q320),"")</x:f>
        <x:v>244</x:v>
      </x:c>
    </x:row>
    <x:row r="321">
      <x:c r="A321" s="92" t="str">
        <x:v>T317</x:v>
      </x:c>
      <x:c r="B321" s="92" t="str">
        <x:v>T316</x:v>
      </x:c>
      <x:c r="C321" s="92" t="n">
        <x:v>7</x:v>
      </x:c>
      <x:c r="D321" s="92" t="str">
        <x:v>デッドタイム</x:v>
      </x:c>
      <x:c r="E321" s="92" t="str">
        <x:v>t_dead</x:v>
      </x:c>
      <x:c r="F321" s="93" t="n">
        <x:f>'01_入力仕様'!D160</x:f>
        <x:v>3e-7</x:v>
      </x:c>
      <x:c r="G321" s="93" t="str">
        <x:v>s</x:v>
      </x:c>
      <x:c r="H321" s="93" t="n">
        <x:f>ABS(K321)*$F$5</x:f>
        <x:v>0.00042793704244160257</x:v>
      </x:c>
      <x:c r="I321" s="92" t="str">
        <x:v>入力仕様</x:v>
      </x:c>
      <x:c r="J321" s="93" t="n">
        <x:f>1</x:f>
        <x:v>1</x:v>
      </x:c>
      <x:c r="K321" s="93" t="n">
        <x:f>K320*J321</x:f>
        <x:v>0.000047825742253301605</x:v>
      </x:c>
      <x:c r="L321" s="92" t="str">
        <x:f>IF(K321&gt;0,"増加→総重量増",IF(K321&lt;0,"増加→総重量減","中立"))</x:f>
        <x:v>増加→総重量増</x:v>
      </x:c>
      <x:c r="M321" s="92" t="str">
        <x:v>設計対象</x:v>
      </x:c>
      <x:c r="N321" s="92" t="str"/>
      <x:c r="O321" s="229" t="n">
        <x:f>--(COUNTIF($B$5:$B$560,A321)=0)</x:f>
        <x:v>1</x:v>
      </x:c>
      <x:c r="P321" s="70" t="str">
        <x:f>IF(LEFT(E321,7)&lt;&gt;"Enable_","",IFERROR(IF(OR(ISNUMBER(SEARCH("=Enable",INDEX($I$5:$I$560,MATCH(B321,$A$5:$A$560,0)))),ISNUMBER(SEARCH("×Enable",INDEX($I$5:$I$560,MATCH(B321,$A$5:$A$560,0))))),1,""),""))</x:f>
      </x:c>
      <x:c r="Q321" t="n">
        <x:f>IF(E321="","",--(XMATCH(E321,$E$5:E321,0)=ROWS($E$5:E321)))</x:f>
        <x:v>1</x:v>
      </x:c>
      <x:c r="R321" t="n">
        <x:f>IF(Q321=1,SUM($Q$5:Q321),"")</x:f>
        <x:v>245</x:v>
      </x:c>
    </x:row>
    <x:row r="322">
      <x:c r="A322" s="90" t="str">
        <x:v>T318</x:v>
      </x:c>
      <x:c r="B322" s="90" t="str">
        <x:v>T316</x:v>
      </x:c>
      <x:c r="C322" s="90" t="n">
        <x:v>7</x:v>
      </x:c>
      <x:c r="D322" s="90" t="str">
        <x:v>適応DT係数</x:v>
      </x:c>
      <x:c r="E322" s="90" t="str">
        <x:v>k_dead_eff</x:v>
      </x:c>
      <x:c r="F322" s="91" t="n">
        <x:f>1-'01_入力仕様'!D162*(1-'01_入力仕様'!D163)</x:f>
        <x:v>1</x:v>
      </x:c>
      <x:c r="G322" s="91" t="str">
        <x:v>-</x:v>
      </x:c>
      <x:c r="H322" s="91" t="n">
        <x:f>ABS(K322)*$F$5</x:f>
        <x:v>0.00042793704244160257</x:v>
      </x:c>
      <x:c r="I322" s="90" t="str">
        <x:v>1-Enable_adaptive_DT×(1-k_adapt_dead)</x:v>
      </x:c>
      <x:c r="J322" s="91" t="n">
        <x:f>1</x:f>
        <x:v>1</x:v>
      </x:c>
      <x:c r="K322" s="91" t="n">
        <x:f>K320*J322</x:f>
        <x:v>0.000047825742253301605</x:v>
      </x:c>
      <x:c r="L322" s="90" t="str">
        <x:f>IF(K322&gt;0,"増加→総重量増",IF(K322&lt;0,"増加→総重量減","中立"))</x:f>
        <x:v>増加→総重量増</x:v>
      </x:c>
      <x:c r="M322" s="90" t="str">
        <x:v>設計対象</x:v>
      </x:c>
      <x:c r="N322" s="90" t="str"/>
      <x:c r="O322" s="229" t="n">
        <x:f>--(COUNTIF($B$5:$B$560,A322)=0)</x:f>
        <x:v>0</x:v>
      </x:c>
      <x:c r="P322" s="70" t="str">
        <x:f>IF(LEFT(E322,7)&lt;&gt;"Enable_","",IFERROR(IF(OR(ISNUMBER(SEARCH("=Enable",INDEX($I$5:$I$560,MATCH(B322,$A$5:$A$560,0)))),ISNUMBER(SEARCH("×Enable",INDEX($I$5:$I$560,MATCH(B322,$A$5:$A$560,0))))),1,""),""))</x:f>
      </x:c>
      <x:c r="Q322" t="n">
        <x:f>IF(E322="","",--(XMATCH(E322,$E$5:E322,0)=ROWS($E$5:E322)))</x:f>
        <x:v>1</x:v>
      </x:c>
      <x:c r="R322" t="n">
        <x:f>IF(Q322=1,SUM($Q$5:Q322),"")</x:f>
        <x:v>246</x:v>
      </x:c>
    </x:row>
    <x:row r="323">
      <x:c r="A323" s="92" t="str">
        <x:v>T319</x:v>
      </x:c>
      <x:c r="B323" s="92" t="str">
        <x:v>T318</x:v>
      </x:c>
      <x:c r="C323" s="92" t="n">
        <x:v>8</x:v>
      </x:c>
      <x:c r="D323" s="92" t="str">
        <x:v>適応デッドタイム有効</x:v>
      </x:c>
      <x:c r="E323" s="92" t="str">
        <x:v>Enable_adaptive_DT</x:v>
      </x:c>
      <x:c r="F323" s="93" t="n">
        <x:f>'01_入力仕様'!D162</x:f>
        <x:v>0</x:v>
      </x:c>
      <x:c r="G323" s="93" t="str">
        <x:v>0/1</x:v>
      </x:c>
      <x:c r="H323" s="93" t="n">
        <x:f>ABS(K323)*$F$5</x:f>
        <x:v>0.00023536537334288142</x:v>
      </x:c>
      <x:c r="I323" s="92" t="str">
        <x:v>入力仕様</x:v>
      </x:c>
      <x:c r="J323" s="93" t="n">
        <x:f>0</x:f>
        <x:v>0</x:v>
      </x:c>
      <x:c r="K323" s="93" t="n">
        <x:f>K319*('01_入力仕様'!D163-1)</x:f>
        <x:v>-0.000026304158239315884</x:v>
      </x:c>
      <x:c r="L323" s="92" t="str">
        <x:f>IF(K323&gt;0,"増加→総重量増",IF(K323&lt;0,"増加→総重量減","中立"))</x:f>
        <x:v>増加→総重量減</x:v>
      </x:c>
      <x:c r="M323" s="92" t="str">
        <x:v>設計対象</x:v>
      </x:c>
      <x:c r="N323" s="92" t="str">
        <x:v>0→1採用差分</x:v>
      </x:c>
      <x:c r="O323" s="229" t="n">
        <x:f>--(COUNTIF($B$5:$B$560,A323)=0)</x:f>
        <x:v>1</x:v>
      </x:c>
      <x:c r="P323" s="70" t="str">
        <x:f>IF(LEFT(E323,7)&lt;&gt;"Enable_","",IFERROR(IF(OR(ISNUMBER(SEARCH("=Enable",INDEX($I$5:$I$560,MATCH(B323,$A$5:$A$560,0)))),ISNUMBER(SEARCH("×Enable",INDEX($I$5:$I$560,MATCH(B323,$A$5:$A$560,0))))),1,""),""))</x:f>
      </x:c>
      <x:c r="Q323" t="n">
        <x:f>IF(E323="","",--(XMATCH(E323,$E$5:E323,0)=ROWS($E$5:E323)))</x:f>
        <x:v>1</x:v>
      </x:c>
      <x:c r="R323" t="n">
        <x:f>IF(Q323=1,SUM($Q$5:Q323),"")</x:f>
        <x:v>247</x:v>
      </x:c>
    </x:row>
    <x:row r="324">
      <x:c r="A324" s="92" t="str">
        <x:v>T320</x:v>
      </x:c>
      <x:c r="B324" s="92" t="str">
        <x:v>T318</x:v>
      </x:c>
      <x:c r="C324" s="92" t="n">
        <x:v>8</x:v>
      </x:c>
      <x:c r="D324" s="92" t="str">
        <x:v>適応時残存率</x:v>
      </x:c>
      <x:c r="E324" s="92" t="str">
        <x:v>k_adapt_dead</x:v>
      </x:c>
      <x:c r="F324" s="93" t="n">
        <x:f>'01_入力仕様'!D163</x:f>
        <x:v>0.45</x:v>
      </x:c>
      <x:c r="G324" s="93" t="str">
        <x:v>-</x:v>
      </x:c>
      <x:c r="H324" s="93" t="n">
        <x:f>ABS(K324)*$F$5</x:f>
        <x:v>0</x:v>
      </x:c>
      <x:c r="I324" s="92" t="str">
        <x:v>入力仕様</x:v>
      </x:c>
      <x:c r="J324" s="93" t="n">
        <x:f>IF(F322=0,0,'01_入力仕様'!D162*'01_入力仕様'!D163/F322)</x:f>
        <x:v>0</x:v>
      </x:c>
      <x:c r="K324" s="93" t="n">
        <x:f>K322*J324</x:f>
        <x:v>0</x:v>
      </x:c>
      <x:c r="L324" s="92" t="str">
        <x:f>IF(K324&gt;0,"増加→総重量増",IF(K324&lt;0,"増加→総重量減","中立"))</x:f>
        <x:v>中立</x:v>
      </x:c>
      <x:c r="M324" s="92" t="str">
        <x:v>設計対象</x:v>
      </x:c>
      <x:c r="N324" s="92" t="str"/>
      <x:c r="O324" s="229" t="n">
        <x:f>--(COUNTIF($B$5:$B$560,A324)=0)</x:f>
        <x:v>1</x:v>
      </x:c>
      <x:c r="P324" s="70" t="str">
        <x:f>IF(LEFT(E324,7)&lt;&gt;"Enable_","",IFERROR(IF(OR(ISNUMBER(SEARCH("=Enable",INDEX($I$5:$I$560,MATCH(B324,$A$5:$A$560,0)))),ISNUMBER(SEARCH("×Enable",INDEX($I$5:$I$560,MATCH(B324,$A$5:$A$560,0))))),1,""),""))</x:f>
      </x:c>
      <x:c r="Q324" t="n">
        <x:f>IF(E324="","",--(XMATCH(E324,$E$5:E324,0)=ROWS($E$5:E324)))</x:f>
        <x:v>1</x:v>
      </x:c>
      <x:c r="R324" t="n">
        <x:f>IF(Q324=1,SUM($Q$5:Q324),"")</x:f>
        <x:v>248</x:v>
      </x:c>
    </x:row>
    <x:row r="325">
      <x:c r="A325" s="92" t="str">
        <x:v>T321</x:v>
      </x:c>
      <x:c r="B325" s="92" t="str">
        <x:v>T315</x:v>
      </x:c>
      <x:c r="C325" s="92" t="n">
        <x:v>6</x:v>
      </x:c>
      <x:c r="D325" s="92" t="str">
        <x:v>第3象限等価電圧</x:v>
      </x:c>
      <x:c r="E325" s="92" t="str">
        <x:v>V_dead_drop</x:v>
      </x:c>
      <x:c r="F325" s="93" t="n">
        <x:f>'01_入力仕様'!D161</x:f>
        <x:v>2.5</x:v>
      </x:c>
      <x:c r="G325" s="93" t="str">
        <x:v>V</x:v>
      </x:c>
      <x:c r="H325" s="93" t="n">
        <x:f>ABS(K325)*$F$5</x:f>
        <x:v>0.00042793704244160257</x:v>
      </x:c>
      <x:c r="I325" s="92" t="str">
        <x:v>入力仕様</x:v>
      </x:c>
      <x:c r="J325" s="93" t="n">
        <x:f>1</x:f>
        <x:v>1</x:v>
      </x:c>
      <x:c r="K325" s="93" t="n">
        <x:f>K319*J325</x:f>
        <x:v>0.000047825742253301605</x:v>
      </x:c>
      <x:c r="L325" s="92" t="str">
        <x:f>IF(K325&gt;0,"増加→総重量増",IF(K325&lt;0,"増加→総重量減","中立"))</x:f>
        <x:v>増加→総重量増</x:v>
      </x:c>
      <x:c r="M325" s="92" t="str">
        <x:v>設計対象</x:v>
      </x:c>
      <x:c r="N325" s="92" t="str"/>
      <x:c r="O325" s="229" t="n">
        <x:f>--(COUNTIF($B$5:$B$560,A325)=0)</x:f>
        <x:v>1</x:v>
      </x:c>
      <x:c r="P325" s="70" t="str">
        <x:f>IF(LEFT(E325,7)&lt;&gt;"Enable_","",IFERROR(IF(OR(ISNUMBER(SEARCH("=Enable",INDEX($I$5:$I$560,MATCH(B325,$A$5:$A$560,0)))),ISNUMBER(SEARCH("×Enable",INDEX($I$5:$I$560,MATCH(B325,$A$5:$A$560,0))))),1,""),""))</x:f>
      </x:c>
      <x:c r="Q325" t="n">
        <x:f>IF(E325="","",--(XMATCH(E325,$E$5:E325,0)=ROWS($E$5:E325)))</x:f>
        <x:v>1</x:v>
      </x:c>
      <x:c r="R325" t="n">
        <x:f>IF(Q325=1,SUM($Q$5:Q325),"")</x:f>
        <x:v>249</x:v>
      </x:c>
    </x:row>
    <x:row r="326">
      <x:c r="A326" s="90" t="str">
        <x:v>T322</x:v>
      </x:c>
      <x:c r="B326" s="90" t="str">
        <x:v>T315</x:v>
      </x:c>
      <x:c r="C326" s="90" t="n">
        <x:v>6</x:v>
      </x:c>
      <x:c r="D326" s="90" t="str">
        <x:v>相電流</x:v>
      </x:c>
      <x:c r="E326" s="90" t="str">
        <x:v>I_phase</x:v>
      </x:c>
      <x:c r="F326" s="91" t="n">
        <x:f>'01_入力仕様'!D5*1000/(SQRT(3)*'01_入力仕様'!D7*'01_入力仕様'!D8*'01_入力仕様'!D9)</x:f>
        <x:v>156.63327975844433</x:v>
      </x:c>
      <x:c r="G326" s="91" t="str">
        <x:v>A</x:v>
      </x:c>
      <x:c r="H326" s="91" t="n">
        <x:f>ABS(K326)*$F$5</x:f>
        <x:v>0.00042793704244160257</x:v>
      </x:c>
      <x:c r="I326" s="90" t="str">
        <x:v>P_out固定要求から計算</x:v>
      </x:c>
      <x:c r="J326" s="91" t="n">
        <x:f>1</x:f>
        <x:v>1</x:v>
      </x:c>
      <x:c r="K326" s="91" t="n">
        <x:f>K319*J326</x:f>
        <x:v>0.000047825742253301605</x:v>
      </x:c>
      <x:c r="L326" s="90" t="str">
        <x:f>IF(K326&gt;0,"増加→総重量増",IF(K326&lt;0,"増加→総重量減","中立"))</x:f>
        <x:v>増加→総重量増</x:v>
      </x:c>
      <x:c r="M326" s="90" t="str">
        <x:v>設計対象</x:v>
      </x:c>
      <x:c r="N326" s="90" t="str"/>
      <x:c r="O326" s="229" t="n">
        <x:f>--(COUNTIF($B$5:$B$560,A326)=0)</x:f>
        <x:v>1</x:v>
      </x:c>
      <x:c r="P326" s="70" t="str">
        <x:f>IF(LEFT(E326,7)&lt;&gt;"Enable_","",IFERROR(IF(OR(ISNUMBER(SEARCH("=Enable",INDEX($I$5:$I$560,MATCH(B326,$A$5:$A$560,0)))),ISNUMBER(SEARCH("×Enable",INDEX($I$5:$I$560,MATCH(B326,$A$5:$A$560,0))))),1,""),""))</x:f>
      </x:c>
      <x:c r="Q326" t="n">
        <x:f>IF(E326="","",--(XMATCH(E326,$E$5:E326,0)=ROWS($E$5:E326)))</x:f>
        <x:v>0</x:v>
      </x:c>
      <x:c r="R326" t="str">
        <x:f>IF(Q326=1,SUM($Q$5:Q326),"")</x:f>
      </x:c>
    </x:row>
    <x:row r="327">
      <x:c r="A327" s="92" t="str">
        <x:v>T323</x:v>
      </x:c>
      <x:c r="B327" s="92" t="str">
        <x:v>T315</x:v>
      </x:c>
      <x:c r="C327" s="92" t="n">
        <x:v>6</x:v>
      </x:c>
      <x:c r="D327" s="92" t="str">
        <x:v>スイッチング周波数</x:v>
      </x:c>
      <x:c r="E327" s="92" t="str">
        <x:v>f_sw</x:v>
      </x:c>
      <x:c r="F327" s="93" t="n">
        <x:f>'01_入力仕様'!D10</x:f>
        <x:v>16000</x:v>
      </x:c>
      <x:c r="G327" s="93" t="str">
        <x:v>Hz</x:v>
      </x:c>
      <x:c r="H327" s="93" t="n">
        <x:f>ABS(K327)*$F$5</x:f>
        <x:v>0.00042793704244160257</x:v>
      </x:c>
      <x:c r="I327" s="92" t="str">
        <x:v>入力仕様</x:v>
      </x:c>
      <x:c r="J327" s="93" t="n">
        <x:f>1</x:f>
        <x:v>1</x:v>
      </x:c>
      <x:c r="K327" s="93" t="n">
        <x:f>K319*J327</x:f>
        <x:v>0.000047825742253301605</x:v>
      </x:c>
      <x:c r="L327" s="92" t="str">
        <x:f>IF(K327&gt;0,"増加→総重量増",IF(K327&lt;0,"増加→総重量減","中立"))</x:f>
        <x:v>増加→総重量増</x:v>
      </x:c>
      <x:c r="M327" s="92" t="str">
        <x:v>設計対象</x:v>
      </x:c>
      <x:c r="N327" s="92" t="str"/>
      <x:c r="O327" s="229" t="n">
        <x:f>--(COUNTIF($B$5:$B$560,A327)=0)</x:f>
        <x:v>1</x:v>
      </x:c>
      <x:c r="P327" s="70" t="str">
        <x:f>IF(LEFT(E327,7)&lt;&gt;"Enable_","",IFERROR(IF(OR(ISNUMBER(SEARCH("=Enable",INDEX($I$5:$I$560,MATCH(B327,$A$5:$A$560,0)))),ISNUMBER(SEARCH("×Enable",INDEX($I$5:$I$560,MATCH(B327,$A$5:$A$560,0))))),1,""),""))</x:f>
      </x:c>
      <x:c r="Q327" t="n">
        <x:f>IF(E327="","",--(XMATCH(E327,$E$5:E327,0)=ROWS($E$5:E327)))</x:f>
        <x:v>0</x:v>
      </x:c>
      <x:c r="R327" t="str">
        <x:f>IF(Q327=1,SUM($Q$5:Q327),"")</x:f>
      </x:c>
    </x:row>
    <x:row r="328">
      <x:c r="A328" s="90" t="str">
        <x:v>T324</x:v>
      </x:c>
      <x:c r="B328" s="90" t="str">
        <x:v>T040</x:v>
      </x:c>
      <x:c r="C328" s="90" t="n">
        <x:v>7</x:v>
      </x:c>
      <x:c r="D328" s="90" t="str">
        <x:v>ゲート電圧Ron係数</x:v>
      </x:c>
      <x:c r="E328" s="90" t="str">
        <x:v>k_vgs_ron</x:v>
      </x:c>
      <x:c r="F328" s="91" t="n">
        <x:f>('01_入力仕様'!D167/'01_入力仕様'!D165)^'01_入力仕様'!D168</x:f>
        <x:v>1</x:v>
      </x:c>
      <x:c r="G328" s="91" t="str">
        <x:v>-</x:v>
      </x:c>
      <x:c r="H328" s="91" t="n">
        <x:f>ABS(K328)*$F$5</x:f>
        <x:v>0.0005759754530960755</x:v>
      </x:c>
      <x:c r="I328" s="90" t="str">
        <x:v>k_vgs_ron=(Vgs_ref/Vgs_on)^a_vgs_ron</x:v>
      </x:c>
      <x:c r="J328" s="91" t="n">
        <x:f>1</x:f>
        <x:v>1</x:v>
      </x:c>
      <x:c r="K328" s="91" t="n">
        <x:f>K44*J328</x:f>
        <x:v>0.00006437034150358829</x:v>
      </x:c>
      <x:c r="L328" s="90" t="str">
        <x:f>IF(K328&gt;0,"増加→総重量増",IF(K328&lt;0,"増加→総重量減","中立"))</x:f>
        <x:v>増加→総重量増</x:v>
      </x:c>
      <x:c r="M328" s="90" t="str">
        <x:v>設計対象</x:v>
      </x:c>
      <x:c r="N328" s="90" t="str"/>
      <x:c r="O328" s="229" t="n">
        <x:f>--(COUNTIF($B$5:$B$560,A328)=0)</x:f>
        <x:v>0</x:v>
      </x:c>
      <x:c r="P328" s="70" t="str">
        <x:f>IF(LEFT(E328,7)&lt;&gt;"Enable_","",IFERROR(IF(OR(ISNUMBER(SEARCH("=Enable",INDEX($I$5:$I$560,MATCH(B328,$A$5:$A$560,0)))),ISNUMBER(SEARCH("×Enable",INDEX($I$5:$I$560,MATCH(B328,$A$5:$A$560,0))))),1,""),""))</x:f>
      </x:c>
      <x:c r="Q328" t="n">
        <x:f>IF(E328="","",--(XMATCH(E328,$E$5:E328,0)=ROWS($E$5:E328)))</x:f>
        <x:v>1</x:v>
      </x:c>
      <x:c r="R328" t="n">
        <x:f>IF(Q328=1,SUM($Q$5:Q328),"")</x:f>
        <x:v>250</x:v>
      </x:c>
    </x:row>
    <x:row r="329">
      <x:c r="A329" s="92" t="str">
        <x:v>T325</x:v>
      </x:c>
      <x:c r="B329" s="92" t="str">
        <x:v>T324</x:v>
      </x:c>
      <x:c r="C329" s="92" t="n">
        <x:v>8</x:v>
      </x:c>
      <x:c r="D329" s="92" t="str">
        <x:v>Vgs_on</x:v>
      </x:c>
      <x:c r="E329" s="92" t="str">
        <x:v>Vgs_on</x:v>
      </x:c>
      <x:c r="F329" s="93" t="n">
        <x:f>'01_入力仕様'!D165</x:f>
        <x:v>18</x:v>
      </x:c>
      <x:c r="G329" s="93" t="str">
        <x:v>V</x:v>
      </x:c>
      <x:c r="H329" s="93" t="n">
        <x:f>ABS(K329)*$F$5</x:f>
        <x:v>0.0004031828171672528</x:v>
      </x:c>
      <x:c r="I329" s="92" t="str">
        <x:v>入力仕様</x:v>
      </x:c>
      <x:c r="J329" s="93" t="n">
        <x:f>-'01_入力仕様'!D168</x:f>
        <x:v>-0.7</x:v>
      </x:c>
      <x:c r="K329" s="93" t="n">
        <x:f>K328*J329</x:f>
        <x:v>-0.0000450592390525118</x:v>
      </x:c>
      <x:c r="L329" s="92" t="str">
        <x:f>IF(K329&gt;0,"増加→総重量増",IF(K329&lt;0,"増加→総重量減","中立"))</x:f>
        <x:v>増加→総重量減</x:v>
      </x:c>
      <x:c r="M329" s="92" t="str">
        <x:v>設計対象</x:v>
      </x:c>
      <x:c r="N329" s="92" t="str"/>
      <x:c r="O329" s="229" t="n">
        <x:f>--(COUNTIF($B$5:$B$560,A329)=0)</x:f>
        <x:v>1</x:v>
      </x:c>
      <x:c r="P329" s="70" t="str">
        <x:f>IF(LEFT(E329,7)&lt;&gt;"Enable_","",IFERROR(IF(OR(ISNUMBER(SEARCH("=Enable",INDEX($I$5:$I$560,MATCH(B329,$A$5:$A$560,0)))),ISNUMBER(SEARCH("×Enable",INDEX($I$5:$I$560,MATCH(B329,$A$5:$A$560,0))))),1,""),""))</x:f>
      </x:c>
      <x:c r="Q329" t="n">
        <x:f>IF(E329="","",--(XMATCH(E329,$E$5:E329,0)=ROWS($E$5:E329)))</x:f>
        <x:v>1</x:v>
      </x:c>
      <x:c r="R329" t="n">
        <x:f>IF(Q329=1,SUM($Q$5:Q329),"")</x:f>
        <x:v>251</x:v>
      </x:c>
    </x:row>
    <x:row r="330">
      <x:c r="A330" s="92" t="str">
        <x:v>T326</x:v>
      </x:c>
      <x:c r="B330" s="92" t="str">
        <x:v>T324</x:v>
      </x:c>
      <x:c r="C330" s="92" t="n">
        <x:v>8</x:v>
      </x:c>
      <x:c r="D330" s="92" t="str">
        <x:v>Vgs基準</x:v>
      </x:c>
      <x:c r="E330" s="92" t="str">
        <x:v>Vgs_ref</x:v>
      </x:c>
      <x:c r="F330" s="93" t="n">
        <x:f>'01_入力仕様'!D167</x:f>
        <x:v>18</x:v>
      </x:c>
      <x:c r="G330" s="93" t="str">
        <x:v>V</x:v>
      </x:c>
      <x:c r="H330" s="93" t="n">
        <x:f>ABS(K330)*$F$5</x:f>
        <x:v>0.0004031828171672528</x:v>
      </x:c>
      <x:c r="I330" s="92" t="str">
        <x:v>入力仕様</x:v>
      </x:c>
      <x:c r="J330" s="93" t="n">
        <x:f>'01_入力仕様'!D168</x:f>
        <x:v>0.7</x:v>
      </x:c>
      <x:c r="K330" s="93" t="n">
        <x:f>K328*J330</x:f>
        <x:v>0.0000450592390525118</x:v>
      </x:c>
      <x:c r="L330" s="92" t="str">
        <x:f>IF(K330&gt;0,"増加→総重量増",IF(K330&lt;0,"増加→総重量減","中立"))</x:f>
        <x:v>増加→総重量増</x:v>
      </x:c>
      <x:c r="M330" s="92" t="str">
        <x:v>設計対象</x:v>
      </x:c>
      <x:c r="N330" s="92" t="str"/>
      <x:c r="O330" s="229" t="n">
        <x:f>--(COUNTIF($B$5:$B$560,A330)=0)</x:f>
        <x:v>1</x:v>
      </x:c>
      <x:c r="P330" s="70" t="str">
        <x:f>IF(LEFT(E330,7)&lt;&gt;"Enable_","",IFERROR(IF(OR(ISNUMBER(SEARCH("=Enable",INDEX($I$5:$I$560,MATCH(B330,$A$5:$A$560,0)))),ISNUMBER(SEARCH("×Enable",INDEX($I$5:$I$560,MATCH(B330,$A$5:$A$560,0))))),1,""),""))</x:f>
      </x:c>
      <x:c r="Q330" t="n">
        <x:f>IF(E330="","",--(XMATCH(E330,$E$5:E330,0)=ROWS($E$5:E330)))</x:f>
        <x:v>1</x:v>
      </x:c>
      <x:c r="R330" t="n">
        <x:f>IF(Q330=1,SUM($Q$5:Q330),"")</x:f>
        <x:v>252</x:v>
      </x:c>
    </x:row>
    <x:row r="331">
      <x:c r="A331" s="92" t="str">
        <x:v>T327</x:v>
      </x:c>
      <x:c r="B331" s="92" t="str">
        <x:v>T324</x:v>
      </x:c>
      <x:c r="C331" s="92" t="n">
        <x:v>8</x:v>
      </x:c>
      <x:c r="D331" s="92" t="str">
        <x:v>Vgs-Ron指数</x:v>
      </x:c>
      <x:c r="E331" s="92" t="str">
        <x:v>a_vgs_ron</x:v>
      </x:c>
      <x:c r="F331" s="93" t="n">
        <x:f>'01_入力仕様'!D168</x:f>
        <x:v>0.7</x:v>
      </x:c>
      <x:c r="G331" s="93" t="str">
        <x:v>-</x:v>
      </x:c>
      <x:c r="H331" s="93" t="n">
        <x:f>ABS(K331)*$F$5</x:f>
        <x:v>0</x:v>
      </x:c>
      <x:c r="I331" s="92" t="str">
        <x:v>入力仕様</x:v>
      </x:c>
      <x:c r="J331" s="93" t="n">
        <x:f>'01_入力仕様'!D168*LN('01_入力仕様'!D167/'01_入力仕様'!D165)</x:f>
        <x:v>0</x:v>
      </x:c>
      <x:c r="K331" s="93" t="n">
        <x:f>K328*J331</x:f>
        <x:v>0</x:v>
      </x:c>
      <x:c r="L331" s="92" t="str">
        <x:f>IF(K331&gt;0,"増加→総重量増",IF(K331&lt;0,"増加→総重量減","中立"))</x:f>
        <x:v>中立</x:v>
      </x:c>
      <x:c r="M331" s="92" t="str">
        <x:v>設計対象</x:v>
      </x:c>
      <x:c r="N331" s="92" t="str"/>
      <x:c r="O331" s="229" t="n">
        <x:f>--(COUNTIF($B$5:$B$560,A331)=0)</x:f>
        <x:v>1</x:v>
      </x:c>
      <x:c r="P331" s="70" t="str">
        <x:f>IF(LEFT(E331,7)&lt;&gt;"Enable_","",IFERROR(IF(OR(ISNUMBER(SEARCH("=Enable",INDEX($I$5:$I$560,MATCH(B331,$A$5:$A$560,0)))),ISNUMBER(SEARCH("×Enable",INDEX($I$5:$I$560,MATCH(B331,$A$5:$A$560,0))))),1,""),""))</x:f>
      </x:c>
      <x:c r="Q331" t="n">
        <x:f>IF(E331="","",--(XMATCH(E331,$E$5:E331,0)=ROWS($E$5:E331)))</x:f>
        <x:v>1</x:v>
      </x:c>
      <x:c r="R331" t="n">
        <x:f>IF(Q331=1,SUM($Q$5:Q331),"")</x:f>
        <x:v>253</x:v>
      </x:c>
    </x:row>
    <x:row r="332">
      <x:c r="A332" s="90" t="str">
        <x:v>T328</x:v>
      </x:c>
      <x:c r="B332" s="90" t="str">
        <x:v>T034</x:v>
      </x:c>
      <x:c r="C332" s="90" t="n">
        <x:v>5</x:v>
      </x:c>
      <x:c r="D332" s="90" t="str">
        <x:v>ゲート駆動損失</x:v>
      </x:c>
      <x:c r="E332" s="90" t="str">
        <x:v>P_gate</x:v>
      </x:c>
      <x:c r="F332" s="91" t="n">
        <x:f>6*'01_入力仕様'!D169*('01_入力仕様'!D165-'01_入力仕様'!D166)*'01_入力仕様'!D10</x:f>
        <x:v>0.24191999999999997</x:v>
      </x:c>
      <x:c r="G332" s="91" t="str">
        <x:v>W</x:v>
      </x:c>
      <x:c r="H332" s="91" t="n">
        <x:f>ABS(K332)*$F$5</x:f>
        <x:v>0.000009179840100527975</x:v>
      </x:c>
      <x:c r="I332" s="90" t="str">
        <x:v>P_gate=6×Q_g×(Vgs_on-Vgs_off)×f_sw</x:v>
      </x:c>
      <x:c r="J332" s="91" t="n">
        <x:f>IF(F38=0,0,F332/F38)</x:f>
        <x:v>0.00013448086112160103</x:v>
      </x:c>
      <x:c r="K332" s="91" t="n">
        <x:f>K38*J332</x:f>
        <x:v>0.0000010259281694089028</x:v>
      </x:c>
      <x:c r="L332" s="90" t="str">
        <x:f>IF(K332&gt;0,"増加→総重量増",IF(K332&lt;0,"増加→総重量減","中立"))</x:f>
        <x:v>増加→総重量増</x:v>
      </x:c>
      <x:c r="M332" s="90" t="str">
        <x:v>設計対象</x:v>
      </x:c>
      <x:c r="N332" s="90" t="str"/>
      <x:c r="O332" s="229" t="n">
        <x:f>--(COUNTIF($B$5:$B$560,A332)=0)</x:f>
        <x:v>0</x:v>
      </x:c>
      <x:c r="P332" s="70" t="str">
        <x:f>IF(LEFT(E332,7)&lt;&gt;"Enable_","",IFERROR(IF(OR(ISNUMBER(SEARCH("=Enable",INDEX($I$5:$I$560,MATCH(B332,$A$5:$A$560,0)))),ISNUMBER(SEARCH("×Enable",INDEX($I$5:$I$560,MATCH(B332,$A$5:$A$560,0))))),1,""),""))</x:f>
      </x:c>
      <x:c r="Q332" t="n">
        <x:f>IF(E332="","",--(XMATCH(E332,$E$5:E332,0)=ROWS($E$5:E332)))</x:f>
        <x:v>1</x:v>
      </x:c>
      <x:c r="R332" t="n">
        <x:f>IF(Q332=1,SUM($Q$5:Q332),"")</x:f>
        <x:v>254</x:v>
      </x:c>
    </x:row>
    <x:row r="333">
      <x:c r="A333" s="92" t="str">
        <x:v>T329</x:v>
      </x:c>
      <x:c r="B333" s="92" t="str">
        <x:v>T328</x:v>
      </x:c>
      <x:c r="C333" s="92" t="n">
        <x:v>6</x:v>
      </x:c>
      <x:c r="D333" s="92" t="str">
        <x:v>ゲート電荷</x:v>
      </x:c>
      <x:c r="E333" s="92" t="str">
        <x:v>Q_g</x:v>
      </x:c>
      <x:c r="F333" s="93" t="n">
        <x:f>'01_入力仕様'!D169</x:f>
        <x:v>1.2e-7</x:v>
      </x:c>
      <x:c r="G333" s="93" t="str">
        <x:v>C</x:v>
      </x:c>
      <x:c r="H333" s="93" t="n">
        <x:f>ABS(K333)*$F$5</x:f>
        <x:v>0.000009179840100527975</x:v>
      </x:c>
      <x:c r="I333" s="92" t="str">
        <x:v>入力仕様</x:v>
      </x:c>
      <x:c r="J333" s="93" t="n">
        <x:f>1</x:f>
        <x:v>1</x:v>
      </x:c>
      <x:c r="K333" s="93" t="n">
        <x:f>K332*J333</x:f>
        <x:v>0.0000010259281694089028</x:v>
      </x:c>
      <x:c r="L333" s="92" t="str">
        <x:f>IF(K333&gt;0,"増加→総重量増",IF(K333&lt;0,"増加→総重量減","中立"))</x:f>
        <x:v>増加→総重量増</x:v>
      </x:c>
      <x:c r="M333" s="92" t="str">
        <x:v>設計対象</x:v>
      </x:c>
      <x:c r="N333" s="92" t="str"/>
      <x:c r="O333" s="229" t="n">
        <x:f>--(COUNTIF($B$5:$B$560,A333)=0)</x:f>
        <x:v>1</x:v>
      </x:c>
      <x:c r="P333" s="70" t="str">
        <x:f>IF(LEFT(E333,7)&lt;&gt;"Enable_","",IFERROR(IF(OR(ISNUMBER(SEARCH("=Enable",INDEX($I$5:$I$560,MATCH(B333,$A$5:$A$560,0)))),ISNUMBER(SEARCH("×Enable",INDEX($I$5:$I$560,MATCH(B333,$A$5:$A$560,0))))),1,""),""))</x:f>
      </x:c>
      <x:c r="Q333" t="n">
        <x:f>IF(E333="","",--(XMATCH(E333,$E$5:E333,0)=ROWS($E$5:E333)))</x:f>
        <x:v>1</x:v>
      </x:c>
      <x:c r="R333" t="n">
        <x:f>IF(Q333=1,SUM($Q$5:Q333),"")</x:f>
        <x:v>255</x:v>
      </x:c>
    </x:row>
    <x:row r="334">
      <x:c r="A334" s="92" t="str">
        <x:v>T330</x:v>
      </x:c>
      <x:c r="B334" s="92" t="str">
        <x:v>T328</x:v>
      </x:c>
      <x:c r="C334" s="92" t="n">
        <x:v>6</x:v>
      </x:c>
      <x:c r="D334" s="92" t="str">
        <x:v>Vgs_on</x:v>
      </x:c>
      <x:c r="E334" s="92" t="str">
        <x:v>Vgs_on</x:v>
      </x:c>
      <x:c r="F334" s="93" t="n">
        <x:f>'01_入力仕様'!D165</x:f>
        <x:v>18</x:v>
      </x:c>
      <x:c r="G334" s="93" t="str">
        <x:v>V</x:v>
      </x:c>
      <x:c r="H334" s="93" t="n">
        <x:f>ABS(K334)*$F$5</x:f>
        <x:v>0.000007868434371881122</x:v>
      </x:c>
      <x:c r="I334" s="92" t="str">
        <x:v>入力仕様</x:v>
      </x:c>
      <x:c r="J334" s="93" t="n">
        <x:f>'01_入力仕様'!D165/('01_入力仕様'!D165-'01_入力仕様'!D166)</x:f>
        <x:v>0.8571428571428571</x:v>
      </x:c>
      <x:c r="K334" s="93" t="n">
        <x:f>K332*J334</x:f>
        <x:v>8.793670023504881e-7</x:v>
      </x:c>
      <x:c r="L334" s="92" t="str">
        <x:f>IF(K334&gt;0,"増加→総重量増",IF(K334&lt;0,"増加→総重量減","中立"))</x:f>
        <x:v>増加→総重量増</x:v>
      </x:c>
      <x:c r="M334" s="92" t="str">
        <x:v>設計対象</x:v>
      </x:c>
      <x:c r="N334" s="92" t="str"/>
      <x:c r="O334" s="229" t="n">
        <x:f>--(COUNTIF($B$5:$B$560,A334)=0)</x:f>
        <x:v>1</x:v>
      </x:c>
      <x:c r="P334" s="70" t="str">
        <x:f>IF(LEFT(E334,7)&lt;&gt;"Enable_","",IFERROR(IF(OR(ISNUMBER(SEARCH("=Enable",INDEX($I$5:$I$560,MATCH(B334,$A$5:$A$560,0)))),ISNUMBER(SEARCH("×Enable",INDEX($I$5:$I$560,MATCH(B334,$A$5:$A$560,0))))),1,""),""))</x:f>
      </x:c>
      <x:c r="Q334" t="n">
        <x:f>IF(E334="","",--(XMATCH(E334,$E$5:E334,0)=ROWS($E$5:E334)))</x:f>
        <x:v>0</x:v>
      </x:c>
      <x:c r="R334" t="str">
        <x:f>IF(Q334=1,SUM($Q$5:Q334),"")</x:f>
      </x:c>
    </x:row>
    <x:row r="335">
      <x:c r="A335" s="92" t="str">
        <x:v>T331</x:v>
      </x:c>
      <x:c r="B335" s="92" t="str">
        <x:v>T328</x:v>
      </x:c>
      <x:c r="C335" s="92" t="n">
        <x:v>6</x:v>
      </x:c>
      <x:c r="D335" s="92" t="str">
        <x:v>Vgs_off</x:v>
      </x:c>
      <x:c r="E335" s="92" t="str">
        <x:v>Vgs_off</x:v>
      </x:c>
      <x:c r="F335" s="93" t="n">
        <x:f>'01_入力仕様'!D166</x:f>
        <x:v>-3</x:v>
      </x:c>
      <x:c r="G335" s="93" t="str">
        <x:v>V</x:v>
      </x:c>
      <x:c r="H335" s="93" t="n">
        <x:f>ABS(K335)*$F$5</x:f>
        <x:v>0.0000013114057286468535</x:v>
      </x:c>
      <x:c r="I335" s="92" t="str">
        <x:v>入力仕様</x:v>
      </x:c>
      <x:c r="J335" s="93" t="n">
        <x:f>-ABS('01_入力仕様'!D166)/('01_入力仕様'!D165-'01_入力仕様'!D166)</x:f>
        <x:v>-0.14285714285714285</x:v>
      </x:c>
      <x:c r="K335" s="93" t="n">
        <x:f>K332*J335</x:f>
        <x:v>-1.4656116705841468e-7</x:v>
      </x:c>
      <x:c r="L335" s="92" t="str">
        <x:f>IF(K335&gt;0,"増加→総重量増",IF(K335&lt;0,"増加→総重量減","中立"))</x:f>
        <x:v>増加→総重量減</x:v>
      </x:c>
      <x:c r="M335" s="92" t="str">
        <x:v>設計対象</x:v>
      </x:c>
      <x:c r="N335" s="92" t="str"/>
      <x:c r="O335" s="229" t="n">
        <x:f>--(COUNTIF($B$5:$B$560,A335)=0)</x:f>
        <x:v>1</x:v>
      </x:c>
      <x:c r="P335" s="70" t="str">
        <x:f>IF(LEFT(E335,7)&lt;&gt;"Enable_","",IFERROR(IF(OR(ISNUMBER(SEARCH("=Enable",INDEX($I$5:$I$560,MATCH(B335,$A$5:$A$560,0)))),ISNUMBER(SEARCH("×Enable",INDEX($I$5:$I$560,MATCH(B335,$A$5:$A$560,0))))),1,""),""))</x:f>
      </x:c>
      <x:c r="Q335" t="n">
        <x:f>IF(E335="","",--(XMATCH(E335,$E$5:E335,0)=ROWS($E$5:E335)))</x:f>
        <x:v>1</x:v>
      </x:c>
      <x:c r="R335" t="n">
        <x:f>IF(Q335=1,SUM($Q$5:Q335),"")</x:f>
        <x:v>256</x:v>
      </x:c>
    </x:row>
    <x:row r="336">
      <x:c r="A336" s="92" t="str">
        <x:v>T332</x:v>
      </x:c>
      <x:c r="B336" s="92" t="str">
        <x:v>T328</x:v>
      </x:c>
      <x:c r="C336" s="92" t="n">
        <x:v>6</x:v>
      </x:c>
      <x:c r="D336" s="92" t="str">
        <x:v>f_sw</x:v>
      </x:c>
      <x:c r="E336" s="92" t="str">
        <x:v>f_sw</x:v>
      </x:c>
      <x:c r="F336" s="93" t="n">
        <x:f>'01_入力仕様'!D10</x:f>
        <x:v>16000</x:v>
      </x:c>
      <x:c r="G336" s="93" t="str">
        <x:v>Hz</x:v>
      </x:c>
      <x:c r="H336" s="93" t="n">
        <x:f>ABS(K336)*$F$5</x:f>
        <x:v>0.000009179840100527975</x:v>
      </x:c>
      <x:c r="I336" s="92" t="str">
        <x:v>入力仕様</x:v>
      </x:c>
      <x:c r="J336" s="93" t="n">
        <x:f>1</x:f>
        <x:v>1</x:v>
      </x:c>
      <x:c r="K336" s="93" t="n">
        <x:f>K332*J336</x:f>
        <x:v>0.0000010259281694089028</x:v>
      </x:c>
      <x:c r="L336" s="92" t="str">
        <x:f>IF(K336&gt;0,"増加→総重量増",IF(K336&lt;0,"増加→総重量減","中立"))</x:f>
        <x:v>増加→総重量増</x:v>
      </x:c>
      <x:c r="M336" s="92" t="str">
        <x:v>設計対象</x:v>
      </x:c>
      <x:c r="N336" s="92" t="str"/>
      <x:c r="O336" s="229" t="n">
        <x:f>--(COUNTIF($B$5:$B$560,A336)=0)</x:f>
        <x:v>1</x:v>
      </x:c>
      <x:c r="P336" s="70" t="str">
        <x:f>IF(LEFT(E336,7)&lt;&gt;"Enable_","",IFERROR(IF(OR(ISNUMBER(SEARCH("=Enable",INDEX($I$5:$I$560,MATCH(B336,$A$5:$A$560,0)))),ISNUMBER(SEARCH("×Enable",INDEX($I$5:$I$560,MATCH(B336,$A$5:$A$560,0))))),1,""),""))</x:f>
      </x:c>
      <x:c r="Q336" t="n">
        <x:f>IF(E336="","",--(XMATCH(E336,$E$5:E336,0)=ROWS($E$5:E336)))</x:f>
        <x:v>0</x:v>
      </x:c>
      <x:c r="R336" t="str">
        <x:f>IF(Q336=1,SUM($Q$5:Q336),"")</x:f>
      </x:c>
    </x:row>
    <x:row r="337">
      <x:c r="A337" s="94" t="str">
        <x:v>T333</x:v>
      </x:c>
      <x:c r="B337" s="94" t="str">
        <x:v>T001</x:v>
      </x:c>
      <x:c r="C337" s="94" t="n">
        <x:v>1</x:v>
      </x:c>
      <x:c r="D337" s="94" t="str">
        <x:v>ゲート駆動追加重量</x:v>
      </x:c>
      <x:c r="E337" s="94" t="str">
        <x:v>M_gate_supply</x:v>
      </x:c>
      <x:c r="F337" s="95" t="n">
        <x:f>'01_入力仕様'!D170*F332+'01_入力仕様'!D171*ABS('01_入力仕様'!D166)+F340</x:f>
        <x:v>0.0192576</x:v>
      </x:c>
      <x:c r="G337" s="95" t="str">
        <x:v>kg</x:v>
      </x:c>
      <x:c r="H337" s="95" t="n">
        <x:f>ABS(K337)*$F$5</x:f>
        <x:v>0.0192576</x:v>
      </x:c>
      <x:c r="I337" s="94" t="str">
        <x:v>M_gate_supply=k_mgate×P_gate+k_mneg×ABS(Vgs_off)+M_gate_option</x:v>
      </x:c>
      <x:c r="J337" s="95" t="n">
        <x:f>F337/F5</x:f>
        <x:v>0.0021522068030436145</x:v>
      </x:c>
      <x:c r="K337" s="95" t="n">
        <x:f>K5*J337</x:f>
        <x:v>0.0021522068030436145</x:v>
      </x:c>
      <x:c r="L337" s="94" t="str">
        <x:f>IF(K337&gt;0,"増加→総重量増",IF(K337&lt;0,"増加→総重量減","中立"))</x:f>
        <x:v>増加→総重量増</x:v>
      </x:c>
      <x:c r="M337" s="94" t="str">
        <x:v>設計対象</x:v>
      </x:c>
      <x:c r="N337" s="94" t="str"/>
      <x:c r="O337" s="229" t="n">
        <x:f>--(COUNTIF($B$5:$B$560,A337)=0)</x:f>
        <x:v>0</x:v>
      </x:c>
      <x:c r="P337" s="70" t="str">
        <x:f>IF(LEFT(E337,7)&lt;&gt;"Enable_","",IFERROR(IF(OR(ISNUMBER(SEARCH("=Enable",INDEX($I$5:$I$560,MATCH(B337,$A$5:$A$560,0)))),ISNUMBER(SEARCH("×Enable",INDEX($I$5:$I$560,MATCH(B337,$A$5:$A$560,0))))),1,""),""))</x:f>
      </x:c>
      <x:c r="Q337" t="n">
        <x:f>IF(E337="","",--(XMATCH(E337,$E$5:E337,0)=ROWS($E$5:E337)))</x:f>
        <x:v>1</x:v>
      </x:c>
      <x:c r="R337" t="n">
        <x:f>IF(Q337=1,SUM($Q$5:Q337),"")</x:f>
        <x:v>257</x:v>
      </x:c>
    </x:row>
    <x:row r="338">
      <x:c r="A338" s="92" t="str">
        <x:v>T334</x:v>
      </x:c>
      <x:c r="B338" s="92" t="str">
        <x:v>T333</x:v>
      </x:c>
      <x:c r="C338" s="92" t="n">
        <x:v>2</x:v>
      </x:c>
      <x:c r="D338" s="92" t="str">
        <x:v>ゲート電源重量係数</x:v>
      </x:c>
      <x:c r="E338" s="92" t="str">
        <x:v>k_mgate</x:v>
      </x:c>
      <x:c r="F338" s="93" t="n">
        <x:f>'01_入力仕様'!D170</x:f>
        <x:v>0.03</x:v>
      </x:c>
      <x:c r="G338" s="93" t="str">
        <x:v>kg/W</x:v>
      </x:c>
      <x:c r="H338" s="93" t="n">
        <x:f>ABS(K338)*$F$5</x:f>
        <x:v>0.007257599999999999</x:v>
      </x:c>
      <x:c r="I338" s="92" t="str">
        <x:v>入力仕様</x:v>
      </x:c>
      <x:c r="J338" s="93" t="n">
        <x:f>IF(F337=0,0,('01_入力仕様'!D170*F332)/F337)</x:f>
        <x:v>0.37686939182452633</x:v>
      </x:c>
      <x:c r="K338" s="93" t="n">
        <x:f>K337*J338</x:f>
        <x:v>0.0008111008689436551</x:v>
      </x:c>
      <x:c r="L338" s="92" t="str">
        <x:f>IF(K338&gt;0,"増加→総重量増",IF(K338&lt;0,"増加→総重量減","中立"))</x:f>
        <x:v>増加→総重量増</x:v>
      </x:c>
      <x:c r="M338" s="92" t="str">
        <x:v>設計対象</x:v>
      </x:c>
      <x:c r="N338" s="92" t="str"/>
      <x:c r="O338" s="229" t="n">
        <x:f>--(COUNTIF($B$5:$B$560,A338)=0)</x:f>
        <x:v>1</x:v>
      </x:c>
      <x:c r="P338" s="70" t="str">
        <x:f>IF(LEFT(E338,7)&lt;&gt;"Enable_","",IFERROR(IF(OR(ISNUMBER(SEARCH("=Enable",INDEX($I$5:$I$560,MATCH(B338,$A$5:$A$560,0)))),ISNUMBER(SEARCH("×Enable",INDEX($I$5:$I$560,MATCH(B338,$A$5:$A$560,0))))),1,""),""))</x:f>
      </x:c>
      <x:c r="Q338" t="n">
        <x:f>IF(E338="","",--(XMATCH(E338,$E$5:E338,0)=ROWS($E$5:E338)))</x:f>
        <x:v>1</x:v>
      </x:c>
      <x:c r="R338" t="n">
        <x:f>IF(Q338=1,SUM($Q$5:Q338),"")</x:f>
        <x:v>258</x:v>
      </x:c>
    </x:row>
    <x:row r="339">
      <x:c r="A339" s="92" t="str">
        <x:v>T335</x:v>
      </x:c>
      <x:c r="B339" s="92" t="str">
        <x:v>T333</x:v>
      </x:c>
      <x:c r="C339" s="92" t="n">
        <x:v>2</x:v>
      </x:c>
      <x:c r="D339" s="92" t="str">
        <x:v>負バイアス重量係数</x:v>
      </x:c>
      <x:c r="E339" s="92" t="str">
        <x:v>k_mneg</x:v>
      </x:c>
      <x:c r="F339" s="93" t="n">
        <x:f>'01_入力仕様'!D171</x:f>
        <x:v>0.004</x:v>
      </x:c>
      <x:c r="G339" s="93" t="str">
        <x:v>kg/V</x:v>
      </x:c>
      <x:c r="H339" s="93" t="n">
        <x:f>ABS(K339)*$F$5</x:f>
        <x:v>0.012</x:v>
      </x:c>
      <x:c r="I339" s="92" t="str">
        <x:v>入力仕様</x:v>
      </x:c>
      <x:c r="J339" s="93" t="n">
        <x:f>IF(F337=0,0,('01_入力仕様'!D171*ABS('01_入力仕様'!D166))/F337)</x:f>
        <x:v>0.6231306081754736</x:v>
      </x:c>
      <x:c r="K339" s="93" t="n">
        <x:f>K337*J339</x:f>
        <x:v>0.0013411059340999593</x:v>
      </x:c>
      <x:c r="L339" s="92" t="str">
        <x:f>IF(K339&gt;0,"増加→総重量増",IF(K339&lt;0,"増加→総重量減","中立"))</x:f>
        <x:v>増加→総重量増</x:v>
      </x:c>
      <x:c r="M339" s="92" t="str">
        <x:v>設計対象</x:v>
      </x:c>
      <x:c r="N339" s="92" t="str"/>
      <x:c r="O339" s="229" t="n">
        <x:f>--(COUNTIF($B$5:$B$560,A339)=0)</x:f>
        <x:v>1</x:v>
      </x:c>
      <x:c r="P339" s="70" t="str">
        <x:f>IF(LEFT(E339,7)&lt;&gt;"Enable_","",IFERROR(IF(OR(ISNUMBER(SEARCH("=Enable",INDEX($I$5:$I$560,MATCH(B339,$A$5:$A$560,0)))),ISNUMBER(SEARCH("×Enable",INDEX($I$5:$I$560,MATCH(B339,$A$5:$A$560,0))))),1,""),""))</x:f>
      </x:c>
      <x:c r="Q339" t="n">
        <x:f>IF(E339="","",--(XMATCH(E339,$E$5:E339,0)=ROWS($E$5:E339)))</x:f>
        <x:v>1</x:v>
      </x:c>
      <x:c r="R339" t="n">
        <x:f>IF(Q339=1,SUM($Q$5:Q339),"")</x:f>
        <x:v>259</x:v>
      </x:c>
    </x:row>
    <x:row r="340">
      <x:c r="A340" s="94" t="str">
        <x:v>T336</x:v>
      </x:c>
      <x:c r="B340" s="94" t="str">
        <x:v>T333</x:v>
      </x:c>
      <x:c r="C340" s="94" t="n">
        <x:v>2</x:v>
      </x:c>
      <x:c r="D340" s="94" t="str">
        <x:v>ゲート技術追加重量</x:v>
      </x:c>
      <x:c r="E340" s="94" t="str">
        <x:v>M_gate_option</x:v>
      </x:c>
      <x:c r="F340" s="95" t="n">
        <x:f>'01_入力仕様'!D155*'01_入力仕様'!D157+'01_入力仕様'!D162*'01_入力仕様'!D164</x:f>
        <x:v>0</x:v>
      </x:c>
      <x:c r="G340" s="95" t="str">
        <x:v>kg</x:v>
      </x:c>
      <x:c r="H340" s="95" t="n">
        <x:f>ABS(K340)*$F$5</x:f>
        <x:v>0</x:v>
      </x:c>
      <x:c r="I340" s="94" t="str">
        <x:v>Enable_split_Rg×m_split_Rg+Enable_adaptive_DT×m_adapt_DT</x:v>
      </x:c>
      <x:c r="J340" s="95" t="n">
        <x:f>IF(F337=0,0,F340/F337)</x:f>
        <x:v>0</x:v>
      </x:c>
      <x:c r="K340" s="95" t="n">
        <x:f>K337*J340</x:f>
        <x:v>0</x:v>
      </x:c>
      <x:c r="L340" s="94" t="str">
        <x:f>IF(K340&gt;0,"増加→総重量増",IF(K340&lt;0,"増加→総重量減","中立"))</x:f>
        <x:v>中立</x:v>
      </x:c>
      <x:c r="M340" s="94" t="str">
        <x:v>設計対象</x:v>
      </x:c>
      <x:c r="N340" s="94" t="str"/>
      <x:c r="O340" s="229" t="n">
        <x:f>--(COUNTIF($B$5:$B$560,A340)=0)</x:f>
        <x:v>0</x:v>
      </x:c>
      <x:c r="P340" s="70" t="str">
        <x:f>IF(LEFT(E340,7)&lt;&gt;"Enable_","",IFERROR(IF(OR(ISNUMBER(SEARCH("=Enable",INDEX($I$5:$I$560,MATCH(B340,$A$5:$A$560,0)))),ISNUMBER(SEARCH("×Enable",INDEX($I$5:$I$560,MATCH(B340,$A$5:$A$560,0))))),1,""),""))</x:f>
      </x:c>
      <x:c r="Q340" t="n">
        <x:f>IF(E340="","",--(XMATCH(E340,$E$5:E340,0)=ROWS($E$5:E340)))</x:f>
        <x:v>1</x:v>
      </x:c>
      <x:c r="R340" t="n">
        <x:f>IF(Q340=1,SUM($Q$5:Q340),"")</x:f>
        <x:v>260</x:v>
      </x:c>
    </x:row>
    <x:row r="341">
      <x:c r="A341" s="92" t="str">
        <x:v>T337</x:v>
      </x:c>
      <x:c r="B341" s="92" t="str">
        <x:v>T336</x:v>
      </x:c>
      <x:c r="C341" s="92" t="n">
        <x:v>3</x:v>
      </x:c>
      <x:c r="D341" s="92" t="str">
        <x:v>分離Rg有効</x:v>
      </x:c>
      <x:c r="E341" s="92" t="str">
        <x:v>Enable_split_Rg</x:v>
      </x:c>
      <x:c r="F341" s="93" t="n">
        <x:f>'01_入力仕様'!D155</x:f>
        <x:v>0</x:v>
      </x:c>
      <x:c r="G341" s="93" t="str">
        <x:v>0/1</x:v>
      </x:c>
      <x:c r="H341" s="93" t="n">
        <x:f>ABS(K341)*$F$5</x:f>
        <x:v>0.003</x:v>
      </x:c>
      <x:c r="I341" s="92" t="str">
        <x:v>入力仕様</x:v>
      </x:c>
      <x:c r="J341" s="93" t="n">
        <x:f>0</x:f>
        <x:v>0</x:v>
      </x:c>
      <x:c r="K341" s="93" t="n">
        <x:f>'01_入力仕様'!D157/F5</x:f>
        <x:v>0.0003352764835249898</x:v>
      </x:c>
      <x:c r="L341" s="92" t="str">
        <x:f>IF(K341&gt;0,"増加→総重量増",IF(K341&lt;0,"増加→総重量減","中立"))</x:f>
        <x:v>増加→総重量増</x:v>
      </x:c>
      <x:c r="M341" s="92" t="str">
        <x:v>設計対象</x:v>
      </x:c>
      <x:c r="N341" s="92" t="str">
        <x:v>追加部品重量</x:v>
      </x:c>
      <x:c r="O341" s="229" t="n">
        <x:f>--(COUNTIF($B$5:$B$560,A341)=0)</x:f>
        <x:v>1</x:v>
      </x:c>
      <x:c r="P341" s="70" t="str">
        <x:f>IF(LEFT(E341,7)&lt;&gt;"Enable_","",IFERROR(IF(OR(ISNUMBER(SEARCH("=Enable",INDEX($I$5:$I$560,MATCH(B341,$A$5:$A$560,0)))),ISNUMBER(SEARCH("×Enable",INDEX($I$5:$I$560,MATCH(B341,$A$5:$A$560,0))))),1,""),""))</x:f>
      </x:c>
      <x:c r="Q341" t="n">
        <x:f>IF(E341="","",--(XMATCH(E341,$E$5:E341,0)=ROWS($E$5:E341)))</x:f>
        <x:v>0</x:v>
      </x:c>
      <x:c r="R341" t="str">
        <x:f>IF(Q341=1,SUM($Q$5:Q341),"")</x:f>
      </x:c>
    </x:row>
    <x:row r="342">
      <x:c r="A342" s="92" t="str">
        <x:v>T338</x:v>
      </x:c>
      <x:c r="B342" s="92" t="str">
        <x:v>T336</x:v>
      </x:c>
      <x:c r="C342" s="92" t="n">
        <x:v>3</x:v>
      </x:c>
      <x:c r="D342" s="92" t="str">
        <x:v>適応DT有効</x:v>
      </x:c>
      <x:c r="E342" s="92" t="str">
        <x:v>Enable_adaptive_DT</x:v>
      </x:c>
      <x:c r="F342" s="93" t="n">
        <x:f>'01_入力仕様'!D162</x:f>
        <x:v>0</x:v>
      </x:c>
      <x:c r="G342" s="93" t="str">
        <x:v>0/1</x:v>
      </x:c>
      <x:c r="H342" s="93" t="n">
        <x:f>ABS(K342)*$F$5</x:f>
        <x:v>0.015</x:v>
      </x:c>
      <x:c r="I342" s="92" t="str">
        <x:v>入力仕様</x:v>
      </x:c>
      <x:c r="J342" s="93" t="n">
        <x:f>0</x:f>
        <x:v>0</x:v>
      </x:c>
      <x:c r="K342" s="93" t="n">
        <x:f>'01_入力仕様'!D164/F5</x:f>
        <x:v>0.0016763824176249489</x:v>
      </x:c>
      <x:c r="L342" s="92" t="str">
        <x:f>IF(K342&gt;0,"増加→総重量増",IF(K342&lt;0,"増加→総重量減","中立"))</x:f>
        <x:v>増加→総重量増</x:v>
      </x:c>
      <x:c r="M342" s="92" t="str">
        <x:v>設計対象</x:v>
      </x:c>
      <x:c r="N342" s="92" t="str">
        <x:v>追加制御重量</x:v>
      </x:c>
      <x:c r="O342" s="229" t="n">
        <x:f>--(COUNTIF($B$5:$B$560,A342)=0)</x:f>
        <x:v>1</x:v>
      </x:c>
      <x:c r="P342" s="70" t="str">
        <x:f>IF(LEFT(E342,7)&lt;&gt;"Enable_","",IFERROR(IF(OR(ISNUMBER(SEARCH("=Enable",INDEX($I$5:$I$560,MATCH(B342,$A$5:$A$560,0)))),ISNUMBER(SEARCH("×Enable",INDEX($I$5:$I$560,MATCH(B342,$A$5:$A$560,0))))),1,""),""))</x:f>
      </x:c>
      <x:c r="Q342" t="n">
        <x:f>IF(E342="","",--(XMATCH(E342,$E$5:E342,0)=ROWS($E$5:E342)))</x:f>
        <x:v>0</x:v>
      </x:c>
      <x:c r="R342" t="str">
        <x:f>IF(Q342=1,SUM($Q$5:Q342),"")</x:f>
      </x:c>
    </x:row>
    <x:row r="343">
      <x:c r="A343" s="94" t="str">
        <x:v>T339</x:v>
      </x:c>
      <x:c r="B343" s="94" t="str">
        <x:v>T001</x:v>
      </x:c>
      <x:c r="C343" s="94" t="n">
        <x:v>1</x:v>
      </x:c>
      <x:c r="D343" s="94" t="str">
        <x:v>低寄生レイアウト追加重量</x:v>
      </x:c>
      <x:c r="E343" s="94" t="str">
        <x:v>M_lowL_layout</x:v>
      </x:c>
      <x:c r="F343" s="95" t="n">
        <x:f>'01_入力仕様'!D174*'01_入力仕様'!D173/'01_入力仕様'!D172</x:f>
        <x:v>0.05</x:v>
      </x:c>
      <x:c r="G343" s="95" t="str">
        <x:v>kg</x:v>
      </x:c>
      <x:c r="H343" s="95" t="n">
        <x:f>ABS(K343)*$F$5</x:f>
        <x:v>0.05</x:v>
      </x:c>
      <x:c r="I343" s="94" t="str">
        <x:v>m_lowL_ref×L_stray_ref/L_stray</x:v>
      </x:c>
      <x:c r="J343" s="95" t="n">
        <x:f>F343/F5</x:f>
        <x:v>0.005587941392083164</x:v>
      </x:c>
      <x:c r="K343" s="95" t="n">
        <x:f>K5*J343</x:f>
        <x:v>0.005587941392083164</x:v>
      </x:c>
      <x:c r="L343" s="94" t="str">
        <x:f>IF(K343&gt;0,"増加→総重量増",IF(K343&lt;0,"増加→総重量減","中立"))</x:f>
        <x:v>増加→総重量増</x:v>
      </x:c>
      <x:c r="M343" s="94" t="str">
        <x:v>設計対象</x:v>
      </x:c>
      <x:c r="N343" s="94" t="str"/>
      <x:c r="O343" s="229" t="n">
        <x:f>--(COUNTIF($B$5:$B$560,A343)=0)</x:f>
        <x:v>0</x:v>
      </x:c>
      <x:c r="P343" s="70" t="str">
        <x:f>IF(LEFT(E343,7)&lt;&gt;"Enable_","",IFERROR(IF(OR(ISNUMBER(SEARCH("=Enable",INDEX($I$5:$I$560,MATCH(B343,$A$5:$A$560,0)))),ISNUMBER(SEARCH("×Enable",INDEX($I$5:$I$560,MATCH(B343,$A$5:$A$560,0))))),1,""),""))</x:f>
      </x:c>
      <x:c r="Q343" t="n">
        <x:f>IF(E343="","",--(XMATCH(E343,$E$5:E343,0)=ROWS($E$5:E343)))</x:f>
        <x:v>1</x:v>
      </x:c>
      <x:c r="R343" t="n">
        <x:f>IF(Q343=1,SUM($Q$5:Q343),"")</x:f>
        <x:v>261</x:v>
      </x:c>
    </x:row>
    <x:row r="344">
      <x:c r="A344" s="92" t="str">
        <x:v>T340</x:v>
      </x:c>
      <x:c r="B344" s="92" t="str">
        <x:v>T339</x:v>
      </x:c>
      <x:c r="C344" s="92" t="n">
        <x:v>2</x:v>
      </x:c>
      <x:c r="D344" s="92" t="str">
        <x:v>寄生インダクタンス</x:v>
      </x:c>
      <x:c r="E344" s="92" t="str">
        <x:v>L_stray</x:v>
      </x:c>
      <x:c r="F344" s="93" t="n">
        <x:f>'01_入力仕様'!D172</x:f>
        <x:v>1.5e-8</x:v>
      </x:c>
      <x:c r="G344" s="93" t="str">
        <x:v>H</x:v>
      </x:c>
      <x:c r="H344" s="93" t="n">
        <x:f>ABS(K344)*$F$5</x:f>
        <x:v>0.05</x:v>
      </x:c>
      <x:c r="I344" s="92" t="str">
        <x:v>入力仕様</x:v>
      </x:c>
      <x:c r="J344" s="93" t="n">
        <x:f>-1</x:f>
        <x:v>-1</x:v>
      </x:c>
      <x:c r="K344" s="93" t="n">
        <x:f>K343*J344</x:f>
        <x:v>-0.005587941392083164</x:v>
      </x:c>
      <x:c r="L344" s="92" t="str">
        <x:f>IF(K344&gt;0,"増加→総重量増",IF(K344&lt;0,"増加→総重量減","中立"))</x:f>
        <x:v>増加→総重量減</x:v>
      </x:c>
      <x:c r="M344" s="92" t="str">
        <x:v>設計対象</x:v>
      </x:c>
      <x:c r="N344" s="92" t="str">
        <x:v>低L化→構造重量増</x:v>
      </x:c>
      <x:c r="O344" s="229" t="n">
        <x:f>--(COUNTIF($B$5:$B$560,A344)=0)</x:f>
        <x:v>1</x:v>
      </x:c>
      <x:c r="P344" s="70" t="str">
        <x:f>IF(LEFT(E344,7)&lt;&gt;"Enable_","",IFERROR(IF(OR(ISNUMBER(SEARCH("=Enable",INDEX($I$5:$I$560,MATCH(B344,$A$5:$A$560,0)))),ISNUMBER(SEARCH("×Enable",INDEX($I$5:$I$560,MATCH(B344,$A$5:$A$560,0))))),1,""),""))</x:f>
      </x:c>
      <x:c r="Q344" t="n">
        <x:f>IF(E344="","",--(XMATCH(E344,$E$5:E344,0)=ROWS($E$5:E344)))</x:f>
        <x:v>1</x:v>
      </x:c>
      <x:c r="R344" t="n">
        <x:f>IF(Q344=1,SUM($Q$5:Q344),"")</x:f>
        <x:v>262</x:v>
      </x:c>
    </x:row>
    <x:row r="345">
      <x:c r="A345" s="92" t="str">
        <x:v>T341</x:v>
      </x:c>
      <x:c r="B345" s="92" t="str">
        <x:v>T339</x:v>
      </x:c>
      <x:c r="C345" s="92" t="n">
        <x:v>2</x:v>
      </x:c>
      <x:c r="D345" s="92" t="str">
        <x:v>基準寄生L</x:v>
      </x:c>
      <x:c r="E345" s="92" t="str">
        <x:v>L_stray_ref</x:v>
      </x:c>
      <x:c r="F345" s="93" t="n">
        <x:f>'01_入力仕様'!D173</x:f>
        <x:v>1.5e-8</x:v>
      </x:c>
      <x:c r="G345" s="93" t="str">
        <x:v>H</x:v>
      </x:c>
      <x:c r="H345" s="93" t="n">
        <x:f>ABS(K345)*$F$5</x:f>
        <x:v>0.05</x:v>
      </x:c>
      <x:c r="I345" s="92" t="str">
        <x:v>入力仕様</x:v>
      </x:c>
      <x:c r="J345" s="93" t="n">
        <x:f>1</x:f>
        <x:v>1</x:v>
      </x:c>
      <x:c r="K345" s="93" t="n">
        <x:f>K343*J345</x:f>
        <x:v>0.005587941392083164</x:v>
      </x:c>
      <x:c r="L345" s="92" t="str">
        <x:f>IF(K345&gt;0,"増加→総重量増",IF(K345&lt;0,"増加→総重量減","中立"))</x:f>
        <x:v>増加→総重量増</x:v>
      </x:c>
      <x:c r="M345" s="92" t="str">
        <x:v>設計対象</x:v>
      </x:c>
      <x:c r="N345" s="92" t="str"/>
      <x:c r="O345" s="229" t="n">
        <x:f>--(COUNTIF($B$5:$B$560,A345)=0)</x:f>
        <x:v>1</x:v>
      </x:c>
      <x:c r="P345" s="70" t="str">
        <x:f>IF(LEFT(E345,7)&lt;&gt;"Enable_","",IFERROR(IF(OR(ISNUMBER(SEARCH("=Enable",INDEX($I$5:$I$560,MATCH(B345,$A$5:$A$560,0)))),ISNUMBER(SEARCH("×Enable",INDEX($I$5:$I$560,MATCH(B345,$A$5:$A$560,0))))),1,""),""))</x:f>
      </x:c>
      <x:c r="Q345" t="n">
        <x:f>IF(E345="","",--(XMATCH(E345,$E$5:E345,0)=ROWS($E$5:E345)))</x:f>
        <x:v>1</x:v>
      </x:c>
      <x:c r="R345" t="n">
        <x:f>IF(Q345=1,SUM($Q$5:Q345),"")</x:f>
        <x:v>263</x:v>
      </x:c>
    </x:row>
    <x:row r="346">
      <x:c r="A346" s="92" t="str">
        <x:v>T342</x:v>
      </x:c>
      <x:c r="B346" s="92" t="str">
        <x:v>T339</x:v>
      </x:c>
      <x:c r="C346" s="92" t="n">
        <x:v>2</x:v>
      </x:c>
      <x:c r="D346" s="92" t="str">
        <x:v>低寄生化基準重量</x:v>
      </x:c>
      <x:c r="E346" s="92" t="str">
        <x:v>m_lowL_ref</x:v>
      </x:c>
      <x:c r="F346" s="93" t="n">
        <x:f>'01_入力仕様'!D174</x:f>
        <x:v>0.05</x:v>
      </x:c>
      <x:c r="G346" s="93" t="str">
        <x:v>kg</x:v>
      </x:c>
      <x:c r="H346" s="93" t="n">
        <x:f>ABS(K346)*$F$5</x:f>
        <x:v>0.05</x:v>
      </x:c>
      <x:c r="I346" s="92" t="str">
        <x:v>入力仕様</x:v>
      </x:c>
      <x:c r="J346" s="93" t="n">
        <x:f>1</x:f>
        <x:v>1</x:v>
      </x:c>
      <x:c r="K346" s="93" t="n">
        <x:f>K343*J346</x:f>
        <x:v>0.005587941392083164</x:v>
      </x:c>
      <x:c r="L346" s="92" t="str">
        <x:f>IF(K346&gt;0,"増加→総重量増",IF(K346&lt;0,"増加→総重量減","中立"))</x:f>
        <x:v>増加→総重量増</x:v>
      </x:c>
      <x:c r="M346" s="92" t="str">
        <x:v>設計対象</x:v>
      </x:c>
      <x:c r="N346" s="92" t="str"/>
      <x:c r="O346" s="229" t="n">
        <x:f>--(COUNTIF($B$5:$B$560,A346)=0)</x:f>
        <x:v>1</x:v>
      </x:c>
      <x:c r="P346" s="70" t="str">
        <x:f>IF(LEFT(E346,7)&lt;&gt;"Enable_","",IFERROR(IF(OR(ISNUMBER(SEARCH("=Enable",INDEX($I$5:$I$560,MATCH(B346,$A$5:$A$560,0)))),ISNUMBER(SEARCH("×Enable",INDEX($I$5:$I$560,MATCH(B346,$A$5:$A$560,0))))),1,""),""))</x:f>
      </x:c>
      <x:c r="Q346" t="n">
        <x:f>IF(E346="","",--(XMATCH(E346,$E$5:E346,0)=ROWS($E$5:E346)))</x:f>
        <x:v>1</x:v>
      </x:c>
      <x:c r="R346" t="n">
        <x:f>IF(Q346=1,SUM($Q$5:Q346),"")</x:f>
        <x:v>264</x:v>
      </x:c>
    </x:row>
    <x:row r="347">
      <x:c r="A347" s="90" t="str">
        <x:v>T343</x:v>
      </x:c>
      <x:c r="B347" s="90" t="str">
        <x:v>T051</x:v>
      </x:c>
      <x:c r="C347" s="90" t="n">
        <x:v>12</x:v>
      </x:c>
      <x:c r="D347" s="90" t="str">
        <x:v>有効オーバーシュート(耐圧-ドーピング)</x:v>
      </x:c>
      <x:c r="E347" s="90" t="str">
        <x:v>V_overshoot_eff</x:v>
      </x:c>
      <x:c r="F347" s="91" t="n">
        <x:f>'01_入力仕様'!D172*F402*F405</x:f>
        <x:v>46.989983927533295</x:v>
      </x:c>
      <x:c r="G347" s="91" t="str">
        <x:v>V</x:v>
      </x:c>
      <x:c r="H347" s="91" t="n">
        <x:f>ABS(K347)*$F$5</x:f>
        <x:v>0.000030202550627805907</x:v>
      </x:c>
      <x:c r="I347" s="90" t="str">
        <x:v>V_overshoot_eff=L_stray×di_dt×k_snub_eff</x:v>
      </x:c>
      <x:c r="J347" s="91" t="n">
        <x:f>F347/F55</x:f>
        <x:v>0.04488102527137994</x:v>
      </x:c>
      <x:c r="K347" s="91" t="n">
        <x:f>K55*J347</x:f>
        <x:v>0.000003375401655992079</x:v>
      </x:c>
      <x:c r="L347" s="90" t="str">
        <x:f>IF(K347&gt;0,"増加→総重量増",IF(K347&lt;0,"増加→総重量減","中立"))</x:f>
        <x:v>増加→総重量増</x:v>
      </x:c>
      <x:c r="M347" s="90" t="str">
        <x:v>設計対象</x:v>
      </x:c>
      <x:c r="N347" s="90" t="str"/>
      <x:c r="O347" s="229" t="n">
        <x:f>--(COUNTIF($B$5:$B$560,A347)=0)</x:f>
        <x:v>0</x:v>
      </x:c>
      <x:c r="P347" s="70" t="str">
        <x:f>IF(LEFT(E347,7)&lt;&gt;"Enable_","",IFERROR(IF(OR(ISNUMBER(SEARCH("=Enable",INDEX($I$5:$I$560,MATCH(B347,$A$5:$A$560,0)))),ISNUMBER(SEARCH("×Enable",INDEX($I$5:$I$560,MATCH(B347,$A$5:$A$560,0))))),1,""),""))</x:f>
      </x:c>
      <x:c r="Q347" t="n">
        <x:f>IF(E347="","",--(XMATCH(E347,$E$5:E347,0)=ROWS($E$5:E347)))</x:f>
        <x:v>1</x:v>
      </x:c>
      <x:c r="R347" t="n">
        <x:f>IF(Q347=1,SUM($Q$5:Q347),"")</x:f>
        <x:v>265</x:v>
      </x:c>
    </x:row>
    <x:row r="348">
      <x:c r="A348" s="90" t="str">
        <x:v>T344</x:v>
      </x:c>
      <x:c r="B348" s="90" t="str">
        <x:v>T056</x:v>
      </x:c>
      <x:c r="C348" s="90" t="n">
        <x:v>11</x:v>
      </x:c>
      <x:c r="D348" s="90" t="str">
        <x:v>有効オーバーシュート(耐圧-厚さ)</x:v>
      </x:c>
      <x:c r="E348" s="90" t="str">
        <x:v>V_overshoot_eff</x:v>
      </x:c>
      <x:c r="F348" s="91" t="n">
        <x:f>'01_入力仕様'!D172*F409*F412</x:f>
        <x:v>46.989983927533295</x:v>
      </x:c>
      <x:c r="G348" s="91" t="str">
        <x:v>V</x:v>
      </x:c>
      <x:c r="H348" s="91" t="n">
        <x:f>ABS(K348)*$F$5</x:f>
        <x:v>0.000025168792189838258</x:v>
      </x:c>
      <x:c r="I348" s="90" t="str">
        <x:v>V_overshoot_eff=L_stray×di_dt×k_snub_eff</x:v>
      </x:c>
      <x:c r="J348" s="91" t="n">
        <x:f>F348/F60</x:f>
        <x:v>0.04488102527137994</x:v>
      </x:c>
      <x:c r="K348" s="91" t="n">
        <x:f>K60*J348</x:f>
        <x:v>0.000002812834713326733</x:v>
      </x:c>
      <x:c r="L348" s="90" t="str">
        <x:f>IF(K348&gt;0,"増加→総重量増",IF(K348&lt;0,"増加→総重量減","中立"))</x:f>
        <x:v>増加→総重量増</x:v>
      </x:c>
      <x:c r="M348" s="90" t="str">
        <x:v>設計対象</x:v>
      </x:c>
      <x:c r="N348" s="90" t="str"/>
      <x:c r="O348" s="229" t="n">
        <x:f>--(COUNTIF($B$5:$B$560,A348)=0)</x:f>
        <x:v>0</x:v>
      </x:c>
      <x:c r="P348" s="70" t="str">
        <x:f>IF(LEFT(E348,7)&lt;&gt;"Enable_","",IFERROR(IF(OR(ISNUMBER(SEARCH("=Enable",INDEX($I$5:$I$560,MATCH(B348,$A$5:$A$560,0)))),ISNUMBER(SEARCH("×Enable",INDEX($I$5:$I$560,MATCH(B348,$A$5:$A$560,0))))),1,""),""))</x:f>
      </x:c>
      <x:c r="Q348" t="n">
        <x:f>IF(E348="","",--(XMATCH(E348,$E$5:E348,0)=ROWS($E$5:E348)))</x:f>
        <x:v>0</x:v>
      </x:c>
      <x:c r="R348" t="str">
        <x:f>IF(Q348=1,SUM($Q$5:Q348),"")</x:f>
      </x:c>
    </x:row>
    <x:row r="349">
      <x:c r="A349" s="90" t="str">
        <x:v>T345</x:v>
      </x:c>
      <x:c r="B349" s="90" t="str">
        <x:v>T073</x:v>
      </x:c>
      <x:c r="C349" s="90" t="n">
        <x:v>9</x:v>
      </x:c>
      <x:c r="D349" s="90" t="str">
        <x:v>有効オーバーシュート(耐圧-Coss)</x:v>
      </x:c>
      <x:c r="E349" s="90" t="str">
        <x:v>V_overshoot_eff</x:v>
      </x:c>
      <x:c r="F349" s="91" t="n">
        <x:f>'01_入力仕様'!D172*F416*F419</x:f>
        <x:v>46.989983927533295</x:v>
      </x:c>
      <x:c r="G349" s="91" t="str">
        <x:v>V</x:v>
      </x:c>
      <x:c r="H349" s="91" t="n">
        <x:f>ABS(K349)*$F$5</x:f>
        <x:v>0.0010563591756912333</x:v>
      </x:c>
      <x:c r="I349" s="90" t="str">
        <x:v>V_overshoot_eff=L_stray×di_dt×k_snub_eff</x:v>
      </x:c>
      <x:c r="J349" s="91" t="n">
        <x:f>F349/F77</x:f>
        <x:v>0.04488102527137994</x:v>
      </x:c>
      <x:c r="K349" s="91" t="n">
        <x:f>K77*J349</x:f>
        <x:v>-0.00011805746325503786</x:v>
      </x:c>
      <x:c r="L349" s="90" t="str">
        <x:f>IF(K349&gt;0,"増加→総重量増",IF(K349&lt;0,"増加→総重量減","中立"))</x:f>
        <x:v>増加→総重量減</x:v>
      </x:c>
      <x:c r="M349" s="90" t="str">
        <x:v>設計対象</x:v>
      </x:c>
      <x:c r="N349" s="90" t="str"/>
      <x:c r="O349" s="229" t="n">
        <x:f>--(COUNTIF($B$5:$B$560,A349)=0)</x:f>
        <x:v>0</x:v>
      </x:c>
      <x:c r="P349" s="70" t="str">
        <x:f>IF(LEFT(E349,7)&lt;&gt;"Enable_","",IFERROR(IF(OR(ISNUMBER(SEARCH("=Enable",INDEX($I$5:$I$560,MATCH(B349,$A$5:$A$560,0)))),ISNUMBER(SEARCH("×Enable",INDEX($I$5:$I$560,MATCH(B349,$A$5:$A$560,0))))),1,""),""))</x:f>
      </x:c>
      <x:c r="Q349" t="n">
        <x:f>IF(E349="","",--(XMATCH(E349,$E$5:E349,0)=ROWS($E$5:E349)))</x:f>
        <x:v>0</x:v>
      </x:c>
      <x:c r="R349" t="str">
        <x:f>IF(Q349=1,SUM($Q$5:Q349),"")</x:f>
      </x:c>
    </x:row>
    <x:row r="350">
      <x:c r="A350" s="90" t="str">
        <x:v>T346</x:v>
      </x:c>
      <x:c r="B350" s="90" t="str">
        <x:v>T034</x:v>
      </x:c>
      <x:c r="C350" s="90" t="n">
        <x:v>5</x:v>
      </x:c>
      <x:c r="D350" s="90" t="str">
        <x:v>スナバ損失</x:v>
      </x:c>
      <x:c r="E350" s="90" t="str">
        <x:v>P_snub</x:v>
      </x:c>
      <x:c r="F350" s="91" t="n">
        <x:f>'01_入力仕様'!D175*0.5*'01_入力仕様'!D177*'01_入力仕様'!D6^2*'01_入力仕様'!D10*6</x:f>
        <x:v>0</x:v>
      </x:c>
      <x:c r="G350" s="91" t="str">
        <x:v>W</x:v>
      </x:c>
      <x:c r="H350" s="91" t="n">
        <x:f>ABS(K350)*$F$5</x:f>
        <x:v>0</x:v>
      </x:c>
      <x:c r="I350" s="90" t="str">
        <x:v>P_snub=Enable_snubber×0.5×C_snub×V_dc²×f_sw×6</x:v>
      </x:c>
      <x:c r="J350" s="91" t="n">
        <x:f>IF(F38=0,0,F350/F38)</x:f>
        <x:v>0</x:v>
      </x:c>
      <x:c r="K350" s="91" t="n">
        <x:f>K38*J350</x:f>
        <x:v>0</x:v>
      </x:c>
      <x:c r="L350" s="90" t="str">
        <x:f>IF(K350&gt;0,"増加→総重量増",IF(K350&lt;0,"増加→総重量減","中立"))</x:f>
        <x:v>中立</x:v>
      </x:c>
      <x:c r="M350" s="90" t="str">
        <x:v>設計対象</x:v>
      </x:c>
      <x:c r="N350" s="90" t="str"/>
      <x:c r="O350" s="229" t="n">
        <x:f>--(COUNTIF($B$5:$B$560,A350)=0)</x:f>
        <x:v>0</x:v>
      </x:c>
      <x:c r="P350" s="70" t="str">
        <x:f>IF(LEFT(E350,7)&lt;&gt;"Enable_","",IFERROR(IF(OR(ISNUMBER(SEARCH("=Enable",INDEX($I$5:$I$560,MATCH(B350,$A$5:$A$560,0)))),ISNUMBER(SEARCH("×Enable",INDEX($I$5:$I$560,MATCH(B350,$A$5:$A$560,0))))),1,""),""))</x:f>
      </x:c>
      <x:c r="Q350" t="n">
        <x:f>IF(E350="","",--(XMATCH(E350,$E$5:E350,0)=ROWS($E$5:E350)))</x:f>
        <x:v>1</x:v>
      </x:c>
      <x:c r="R350" t="n">
        <x:f>IF(Q350=1,SUM($Q$5:Q350),"")</x:f>
        <x:v>266</x:v>
      </x:c>
    </x:row>
    <x:row r="351">
      <x:c r="A351" s="92" t="str">
        <x:v>T347</x:v>
      </x:c>
      <x:c r="B351" s="92" t="str">
        <x:v>T346</x:v>
      </x:c>
      <x:c r="C351" s="92" t="n">
        <x:v>6</x:v>
      </x:c>
      <x:c r="D351" s="92" t="str">
        <x:v>スナバ有効</x:v>
      </x:c>
      <x:c r="E351" s="92" t="str">
        <x:v>Enable_snubber</x:v>
      </x:c>
      <x:c r="F351" s="93" t="n">
        <x:f>'01_入力仕様'!D175</x:f>
        <x:v>0</x:v>
      </x:c>
      <x:c r="G351" s="93" t="str">
        <x:v>0/1</x:v>
      </x:c>
      <x:c r="H351" s="93" t="n">
        <x:f>ABS(K351)*$F$5</x:f>
        <x:v>0.005828469905097129</x:v>
      </x:c>
      <x:c r="I351" s="92" t="str">
        <x:v>入力仕様</x:v>
      </x:c>
      <x:c r="J351" s="93" t="n">
        <x:f>0</x:f>
        <x:v>0</x:v>
      </x:c>
      <x:c r="K351" s="93" t="n">
        <x:f>K38*(0.5*'01_入力仕様'!D177*'01_入力仕様'!D6^2*'01_入力仕様'!D10*6)/F38</x:f>
        <x:v>0.0006513829647040655</x:v>
      </x:c>
      <x:c r="L351" s="92" t="str">
        <x:f>IF(K351&gt;0,"増加→総重量増",IF(K351&lt;0,"増加→総重量減","中立"))</x:f>
        <x:v>増加→総重量増</x:v>
      </x:c>
      <x:c r="M351" s="92" t="str">
        <x:v>設計対象</x:v>
      </x:c>
      <x:c r="N351" s="92" t="str">
        <x:v>0→1採用差分</x:v>
      </x:c>
      <x:c r="O351" s="229" t="n">
        <x:f>--(COUNTIF($B$5:$B$560,A351)=0)</x:f>
        <x:v>1</x:v>
      </x:c>
      <x:c r="P351" s="70" t="n">
        <x:f>IF(LEFT(E351,7)&lt;&gt;"Enable_","",IFERROR(IF(OR(ISNUMBER(SEARCH("=Enable",INDEX($I$5:$I$560,MATCH(B351,$A$5:$A$560,0)))),ISNUMBER(SEARCH("×Enable",INDEX($I$5:$I$560,MATCH(B351,$A$5:$A$560,0))))),1,""),""))</x:f>
        <x:v>1</x:v>
      </x:c>
      <x:c r="Q351" t="n">
        <x:f>IF(E351="","",--(XMATCH(E351,$E$5:E351,0)=ROWS($E$5:E351)))</x:f>
        <x:v>1</x:v>
      </x:c>
      <x:c r="R351" t="n">
        <x:f>IF(Q351=1,SUM($Q$5:Q351),"")</x:f>
        <x:v>267</x:v>
      </x:c>
    </x:row>
    <x:row r="352">
      <x:c r="A352" s="92" t="str">
        <x:v>T348</x:v>
      </x:c>
      <x:c r="B352" s="92" t="str">
        <x:v>T346</x:v>
      </x:c>
      <x:c r="C352" s="92" t="n">
        <x:v>6</x:v>
      </x:c>
      <x:c r="D352" s="92" t="str">
        <x:v>スナバ容量</x:v>
      </x:c>
      <x:c r="E352" s="92" t="str">
        <x:v>C_snub</x:v>
      </x:c>
      <x:c r="F352" s="93" t="n">
        <x:f>'01_入力仕様'!D177</x:f>
        <x:v>5e-9</x:v>
      </x:c>
      <x:c r="G352" s="93" t="str">
        <x:v>F</x:v>
      </x:c>
      <x:c r="H352" s="93" t="n">
        <x:f>ABS(K352)*$F$5</x:f>
        <x:v>0</x:v>
      </x:c>
      <x:c r="I352" s="92" t="str">
        <x:v>入力仕様</x:v>
      </x:c>
      <x:c r="J352" s="93" t="n">
        <x:f>1</x:f>
        <x:v>1</x:v>
      </x:c>
      <x:c r="K352" s="93" t="n">
        <x:f>K350*J352</x:f>
        <x:v>0</x:v>
      </x:c>
      <x:c r="L352" s="92" t="str">
        <x:f>IF(K352&gt;0,"増加→総重量増",IF(K352&lt;0,"増加→総重量減","中立"))</x:f>
        <x:v>中立</x:v>
      </x:c>
      <x:c r="M352" s="92" t="str">
        <x:v>設計対象</x:v>
      </x:c>
      <x:c r="N352" s="92" t="str"/>
      <x:c r="O352" s="229" t="n">
        <x:f>--(COUNTIF($B$5:$B$560,A352)=0)</x:f>
        <x:v>1</x:v>
      </x:c>
      <x:c r="P352" s="70" t="str">
        <x:f>IF(LEFT(E352,7)&lt;&gt;"Enable_","",IFERROR(IF(OR(ISNUMBER(SEARCH("=Enable",INDEX($I$5:$I$560,MATCH(B352,$A$5:$A$560,0)))),ISNUMBER(SEARCH("×Enable",INDEX($I$5:$I$560,MATCH(B352,$A$5:$A$560,0))))),1,""),""))</x:f>
      </x:c>
      <x:c r="Q352" t="n">
        <x:f>IF(E352="","",--(XMATCH(E352,$E$5:E352,0)=ROWS($E$5:E352)))</x:f>
        <x:v>1</x:v>
      </x:c>
      <x:c r="R352" t="n">
        <x:f>IF(Q352=1,SUM($Q$5:Q352),"")</x:f>
        <x:v>268</x:v>
      </x:c>
    </x:row>
    <x:row r="353">
      <x:c r="A353" s="92" t="str">
        <x:v>T349</x:v>
      </x:c>
      <x:c r="B353" s="92" t="str">
        <x:v>T346</x:v>
      </x:c>
      <x:c r="C353" s="92" t="n">
        <x:v>6</x:v>
      </x:c>
      <x:c r="D353" s="92" t="str">
        <x:v>DCバス電圧</x:v>
      </x:c>
      <x:c r="E353" s="92" t="str">
        <x:v>V_dc</x:v>
      </x:c>
      <x:c r="F353" s="93" t="n">
        <x:f>'01_入力仕様'!D6</x:f>
        <x:v>800</x:v>
      </x:c>
      <x:c r="G353" s="93" t="str">
        <x:v>V</x:v>
      </x:c>
      <x:c r="H353" s="93" t="n">
        <x:f>ABS(K353)*$F$5</x:f>
        <x:v>0</x:v>
      </x:c>
      <x:c r="I353" s="92" t="str">
        <x:v>入力仕様</x:v>
      </x:c>
      <x:c r="J353" s="93" t="n">
        <x:f>2</x:f>
        <x:v>2</x:v>
      </x:c>
      <x:c r="K353" s="93" t="n">
        <x:f>K350*J353</x:f>
        <x:v>0</x:v>
      </x:c>
      <x:c r="L353" s="92" t="str">
        <x:f>IF(K353&gt;0,"増加→総重量増",IF(K353&lt;0,"増加→総重量減","中立"))</x:f>
        <x:v>中立</x:v>
      </x:c>
      <x:c r="M353" s="92" t="str">
        <x:v>設計対象</x:v>
      </x:c>
      <x:c r="N353" s="92" t="str"/>
      <x:c r="O353" s="229" t="n">
        <x:f>--(COUNTIF($B$5:$B$560,A353)=0)</x:f>
        <x:v>1</x:v>
      </x:c>
      <x:c r="P353" s="70" t="str">
        <x:f>IF(LEFT(E353,7)&lt;&gt;"Enable_","",IFERROR(IF(OR(ISNUMBER(SEARCH("=Enable",INDEX($I$5:$I$560,MATCH(B353,$A$5:$A$560,0)))),ISNUMBER(SEARCH("×Enable",INDEX($I$5:$I$560,MATCH(B353,$A$5:$A$560,0))))),1,""),""))</x:f>
      </x:c>
      <x:c r="Q353" t="n">
        <x:f>IF(E353="","",--(XMATCH(E353,$E$5:E353,0)=ROWS($E$5:E353)))</x:f>
        <x:v>0</x:v>
      </x:c>
      <x:c r="R353" t="str">
        <x:f>IF(Q353=1,SUM($Q$5:Q353),"")</x:f>
      </x:c>
    </x:row>
    <x:row r="354">
      <x:c r="A354" s="92" t="str">
        <x:v>T350</x:v>
      </x:c>
      <x:c r="B354" s="92" t="str">
        <x:v>T346</x:v>
      </x:c>
      <x:c r="C354" s="92" t="n">
        <x:v>6</x:v>
      </x:c>
      <x:c r="D354" s="92" t="str">
        <x:v>f_sw</x:v>
      </x:c>
      <x:c r="E354" s="92" t="str">
        <x:v>f_sw</x:v>
      </x:c>
      <x:c r="F354" s="93" t="n">
        <x:f>'01_入力仕様'!D10</x:f>
        <x:v>16000</x:v>
      </x:c>
      <x:c r="G354" s="93" t="str">
        <x:v>Hz</x:v>
      </x:c>
      <x:c r="H354" s="93" t="n">
        <x:f>ABS(K354)*$F$5</x:f>
        <x:v>0</x:v>
      </x:c>
      <x:c r="I354" s="92" t="str">
        <x:v>入力仕様</x:v>
      </x:c>
      <x:c r="J354" s="93" t="n">
        <x:f>1</x:f>
        <x:v>1</x:v>
      </x:c>
      <x:c r="K354" s="93" t="n">
        <x:f>K350*J354</x:f>
        <x:v>0</x:v>
      </x:c>
      <x:c r="L354" s="92" t="str">
        <x:f>IF(K354&gt;0,"増加→総重量増",IF(K354&lt;0,"増加→総重量減","中立"))</x:f>
        <x:v>中立</x:v>
      </x:c>
      <x:c r="M354" s="92" t="str">
        <x:v>設計対象</x:v>
      </x:c>
      <x:c r="N354" s="92" t="str"/>
      <x:c r="O354" s="229" t="n">
        <x:f>--(COUNTIF($B$5:$B$560,A354)=0)</x:f>
        <x:v>1</x:v>
      </x:c>
      <x:c r="P354" s="70" t="str">
        <x:f>IF(LEFT(E354,7)&lt;&gt;"Enable_","",IFERROR(IF(OR(ISNUMBER(SEARCH("=Enable",INDEX($I$5:$I$560,MATCH(B354,$A$5:$A$560,0)))),ISNUMBER(SEARCH("×Enable",INDEX($I$5:$I$560,MATCH(B354,$A$5:$A$560,0))))),1,""),""))</x:f>
      </x:c>
      <x:c r="Q354" t="n">
        <x:f>IF(E354="","",--(XMATCH(E354,$E$5:E354,0)=ROWS($E$5:E354)))</x:f>
        <x:v>0</x:v>
      </x:c>
      <x:c r="R354" t="str">
        <x:f>IF(Q354=1,SUM($Q$5:Q354),"")</x:f>
      </x:c>
    </x:row>
    <x:row r="355">
      <x:c r="A355" s="94" t="str">
        <x:v>T351</x:v>
      </x:c>
      <x:c r="B355" s="94" t="str">
        <x:v>T001</x:v>
      </x:c>
      <x:c r="C355" s="94" t="n">
        <x:v>1</x:v>
      </x:c>
      <x:c r="D355" s="94" t="str">
        <x:v>スナバ追加重量</x:v>
      </x:c>
      <x:c r="E355" s="94" t="str">
        <x:v>M_snub</x:v>
      </x:c>
      <x:c r="F355" s="95" t="n">
        <x:f>'01_入力仕様'!D175*'01_入力仕様'!D178</x:f>
        <x:v>0</x:v>
      </x:c>
      <x:c r="G355" s="95" t="str">
        <x:v>kg</x:v>
      </x:c>
      <x:c r="H355" s="95" t="n">
        <x:f>ABS(K355)*$F$5</x:f>
        <x:v>0</x:v>
      </x:c>
      <x:c r="I355" s="94" t="str">
        <x:v>Enable_snubber×m_snub</x:v>
      </x:c>
      <x:c r="J355" s="95" t="n">
        <x:f>F355/F5</x:f>
        <x:v>0</x:v>
      </x:c>
      <x:c r="K355" s="95" t="n">
        <x:f>K5*J355</x:f>
        <x:v>0</x:v>
      </x:c>
      <x:c r="L355" s="94" t="str">
        <x:f>IF(K355&gt;0,"増加→総重量増",IF(K355&lt;0,"増加→総重量減","中立"))</x:f>
        <x:v>中立</x:v>
      </x:c>
      <x:c r="M355" s="94" t="str">
        <x:v>設計対象</x:v>
      </x:c>
      <x:c r="N355" s="94" t="str"/>
      <x:c r="O355" s="229" t="n">
        <x:f>--(COUNTIF($B$5:$B$560,A355)=0)</x:f>
        <x:v>0</x:v>
      </x:c>
      <x:c r="P355" s="70" t="str">
        <x:f>IF(LEFT(E355,7)&lt;&gt;"Enable_","",IFERROR(IF(OR(ISNUMBER(SEARCH("=Enable",INDEX($I$5:$I$560,MATCH(B355,$A$5:$A$560,0)))),ISNUMBER(SEARCH("×Enable",INDEX($I$5:$I$560,MATCH(B355,$A$5:$A$560,0))))),1,""),""))</x:f>
      </x:c>
      <x:c r="Q355" t="n">
        <x:f>IF(E355="","",--(XMATCH(E355,$E$5:E355,0)=ROWS($E$5:E355)))</x:f>
        <x:v>1</x:v>
      </x:c>
      <x:c r="R355" t="n">
        <x:f>IF(Q355=1,SUM($Q$5:Q355),"")</x:f>
        <x:v>269</x:v>
      </x:c>
    </x:row>
    <x:row r="356">
      <x:c r="A356" s="92" t="str">
        <x:v>T352</x:v>
      </x:c>
      <x:c r="B356" s="92" t="str">
        <x:v>T351</x:v>
      </x:c>
      <x:c r="C356" s="92" t="n">
        <x:v>2</x:v>
      </x:c>
      <x:c r="D356" s="92" t="str">
        <x:v>スナバ有効</x:v>
      </x:c>
      <x:c r="E356" s="92" t="str">
        <x:v>Enable_snubber</x:v>
      </x:c>
      <x:c r="F356" s="93" t="n">
        <x:f>'01_入力仕様'!D175</x:f>
        <x:v>0</x:v>
      </x:c>
      <x:c r="G356" s="93" t="str">
        <x:v>0/1</x:v>
      </x:c>
      <x:c r="H356" s="93" t="n">
        <x:f>ABS(K356)*$F$5</x:f>
        <x:v>0.03</x:v>
      </x:c>
      <x:c r="I356" s="92" t="str">
        <x:v>入力仕様</x:v>
      </x:c>
      <x:c r="J356" s="93" t="n">
        <x:f>0</x:f>
        <x:v>0</x:v>
      </x:c>
      <x:c r="K356" s="93" t="n">
        <x:f>'01_入力仕様'!D178/F5</x:f>
        <x:v>0.0033527648352498977</x:v>
      </x:c>
      <x:c r="L356" s="92" t="str">
        <x:f>IF(K356&gt;0,"増加→総重量増",IF(K356&lt;0,"増加→総重量減","中立"))</x:f>
        <x:v>増加→総重量増</x:v>
      </x:c>
      <x:c r="M356" s="92" t="str">
        <x:v>設計対象</x:v>
      </x:c>
      <x:c r="N356" s="92" t="str">
        <x:v>追加重量</x:v>
      </x:c>
      <x:c r="O356" s="229" t="n">
        <x:f>--(COUNTIF($B$5:$B$560,A356)=0)</x:f>
        <x:v>1</x:v>
      </x:c>
      <x:c r="P356" s="70" t="str">
        <x:f>IF(LEFT(E356,7)&lt;&gt;"Enable_","",IFERROR(IF(OR(ISNUMBER(SEARCH("=Enable",INDEX($I$5:$I$560,MATCH(B356,$A$5:$A$560,0)))),ISNUMBER(SEARCH("×Enable",INDEX($I$5:$I$560,MATCH(B356,$A$5:$A$560,0))))),1,""),""))</x:f>
      </x:c>
      <x:c r="Q356" t="n">
        <x:f>IF(E356="","",--(XMATCH(E356,$E$5:E356,0)=ROWS($E$5:E356)))</x:f>
        <x:v>0</x:v>
      </x:c>
      <x:c r="R356" t="str">
        <x:f>IF(Q356=1,SUM($Q$5:Q356),"")</x:f>
      </x:c>
    </x:row>
    <x:row r="357">
      <x:c r="A357" s="92" t="str">
        <x:v>T353</x:v>
      </x:c>
      <x:c r="B357" s="92" t="str">
        <x:v>T351</x:v>
      </x:c>
      <x:c r="C357" s="92" t="n">
        <x:v>2</x:v>
      </x:c>
      <x:c r="D357" s="92" t="str">
        <x:v>スナバ重量</x:v>
      </x:c>
      <x:c r="E357" s="92" t="str">
        <x:v>m_snub</x:v>
      </x:c>
      <x:c r="F357" s="93" t="n">
        <x:f>'01_入力仕様'!D178</x:f>
        <x:v>0.03</x:v>
      </x:c>
      <x:c r="G357" s="93" t="str">
        <x:v>kg</x:v>
      </x:c>
      <x:c r="H357" s="93" t="n">
        <x:f>ABS(K357)*$F$5</x:f>
        <x:v>0</x:v>
      </x:c>
      <x:c r="I357" s="92" t="str">
        <x:v>入力仕様</x:v>
      </x:c>
      <x:c r="J357" s="93" t="n">
        <x:f>0</x:f>
        <x:v>0</x:v>
      </x:c>
      <x:c r="K357" s="93" t="n">
        <x:f>K355*J357</x:f>
        <x:v>0</x:v>
      </x:c>
      <x:c r="L357" s="92" t="str">
        <x:f>IF(K357&gt;0,"増加→総重量増",IF(K357&lt;0,"増加→総重量減","中立"))</x:f>
        <x:v>中立</x:v>
      </x:c>
      <x:c r="M357" s="92" t="str">
        <x:v>設計対象</x:v>
      </x:c>
      <x:c r="N357" s="92" t="str"/>
      <x:c r="O357" s="229" t="n">
        <x:f>--(COUNTIF($B$5:$B$560,A357)=0)</x:f>
        <x:v>1</x:v>
      </x:c>
      <x:c r="P357" s="70" t="str">
        <x:f>IF(LEFT(E357,7)&lt;&gt;"Enable_","",IFERROR(IF(OR(ISNUMBER(SEARCH("=Enable",INDEX($I$5:$I$560,MATCH(B357,$A$5:$A$560,0)))),ISNUMBER(SEARCH("×Enable",INDEX($I$5:$I$560,MATCH(B357,$A$5:$A$560,0))))),1,""),""))</x:f>
      </x:c>
      <x:c r="Q357" t="n">
        <x:f>IF(E357="","",--(XMATCH(E357,$E$5:E357,0)=ROWS($E$5:E357)))</x:f>
        <x:v>0</x:v>
      </x:c>
      <x:c r="R357" t="str">
        <x:f>IF(Q357=1,SUM($Q$5:Q357),"")</x:f>
      </x:c>
    </x:row>
    <x:row r="358">
      <x:c r="A358" s="90" t="str">
        <x:v>T354</x:v>
      </x:c>
      <x:c r="B358" s="90" t="str">
        <x:v>T064</x:v>
      </x:c>
      <x:c r="C358" s="90" t="n">
        <x:v>6</x:v>
      </x:c>
      <x:c r="D358" s="90" t="str">
        <x:v>PWMスイッチング係数</x:v>
      </x:c>
      <x:c r="E358" s="90" t="str">
        <x:v>k_pwm_sw</x:v>
      </x:c>
      <x:c r="F358" s="91" t="n">
        <x:f>F359*F362</x:f>
        <x:v>1</x:v>
      </x:c>
      <x:c r="G358" s="91" t="str">
        <x:v>-</x:v>
      </x:c>
      <x:c r="H358" s="91" t="n">
        <x:f>ABS(K358)*$F$5</x:f>
        <x:v>0.06724822027023014</x:v>
      </x:c>
      <x:c r="I358" s="90" t="str">
        <x:v>k_pwm_sw=k_DPWM×k_CM_PWM</x:v>
      </x:c>
      <x:c r="J358" s="91" t="n">
        <x:f>1</x:f>
        <x:v>1</x:v>
      </x:c>
      <x:c r="K358" s="91" t="n">
        <x:f>K68*J358</x:f>
        <x:v>0.007515582271838901</x:v>
      </x:c>
      <x:c r="L358" s="90" t="str">
        <x:f>IF(K358&gt;0,"増加→総重量増",IF(K358&lt;0,"増加→総重量減","中立"))</x:f>
        <x:v>増加→総重量増</x:v>
      </x:c>
      <x:c r="M358" s="90" t="str">
        <x:v>設計対象</x:v>
      </x:c>
      <x:c r="N358" s="90" t="str"/>
      <x:c r="O358" s="229" t="n">
        <x:f>--(COUNTIF($B$5:$B$560,A358)=0)</x:f>
        <x:v>0</x:v>
      </x:c>
      <x:c r="P358" s="70" t="str">
        <x:f>IF(LEFT(E358,7)&lt;&gt;"Enable_","",IFERROR(IF(OR(ISNUMBER(SEARCH("=Enable",INDEX($I$5:$I$560,MATCH(B358,$A$5:$A$560,0)))),ISNUMBER(SEARCH("×Enable",INDEX($I$5:$I$560,MATCH(B358,$A$5:$A$560,0))))),1,""),""))</x:f>
      </x:c>
      <x:c r="Q358" t="n">
        <x:f>IF(E358="","",--(XMATCH(E358,$E$5:E358,0)=ROWS($E$5:E358)))</x:f>
        <x:v>1</x:v>
      </x:c>
      <x:c r="R358" t="n">
        <x:f>IF(Q358=1,SUM($Q$5:Q358),"")</x:f>
        <x:v>270</x:v>
      </x:c>
    </x:row>
    <x:row r="359">
      <x:c r="A359" s="90" t="str">
        <x:v>T355</x:v>
      </x:c>
      <x:c r="B359" s="90" t="str">
        <x:v>T354</x:v>
      </x:c>
      <x:c r="C359" s="90" t="n">
        <x:v>7</x:v>
      </x:c>
      <x:c r="D359" s="90" t="str">
        <x:v>DPWM係数</x:v>
      </x:c>
      <x:c r="E359" s="90" t="str">
        <x:v>k_DPWM</x:v>
      </x:c>
      <x:c r="F359" s="91" t="n">
        <x:f>1-'01_入力仕様'!D179*(1-'01_入力仕様'!D180)</x:f>
        <x:v>1</x:v>
      </x:c>
      <x:c r="G359" s="91" t="str">
        <x:v>-</x:v>
      </x:c>
      <x:c r="H359" s="91" t="n">
        <x:f>ABS(K359)*$F$5</x:f>
        <x:v>0.06724822027023014</x:v>
      </x:c>
      <x:c r="I359" s="90" t="str">
        <x:v>1-Enable_DPWM×(1-k_dpwm_sw)</x:v>
      </x:c>
      <x:c r="J359" s="91" t="n">
        <x:f>1</x:f>
        <x:v>1</x:v>
      </x:c>
      <x:c r="K359" s="91" t="n">
        <x:f>K358*J359</x:f>
        <x:v>0.007515582271838901</x:v>
      </x:c>
      <x:c r="L359" s="90" t="str">
        <x:f>IF(K359&gt;0,"増加→総重量増",IF(K359&lt;0,"増加→総重量減","中立"))</x:f>
        <x:v>増加→総重量増</x:v>
      </x:c>
      <x:c r="M359" s="90" t="str">
        <x:v>設計対象</x:v>
      </x:c>
      <x:c r="N359" s="90" t="str"/>
      <x:c r="O359" s="229" t="n">
        <x:f>--(COUNTIF($B$5:$B$560,A359)=0)</x:f>
        <x:v>0</x:v>
      </x:c>
      <x:c r="P359" s="70" t="str">
        <x:f>IF(LEFT(E359,7)&lt;&gt;"Enable_","",IFERROR(IF(OR(ISNUMBER(SEARCH("=Enable",INDEX($I$5:$I$560,MATCH(B359,$A$5:$A$560,0)))),ISNUMBER(SEARCH("×Enable",INDEX($I$5:$I$560,MATCH(B359,$A$5:$A$560,0))))),1,""),""))</x:f>
      </x:c>
      <x:c r="Q359" t="n">
        <x:f>IF(E359="","",--(XMATCH(E359,$E$5:E359,0)=ROWS($E$5:E359)))</x:f>
        <x:v>1</x:v>
      </x:c>
      <x:c r="R359" t="n">
        <x:f>IF(Q359=1,SUM($Q$5:Q359),"")</x:f>
        <x:v>271</x:v>
      </x:c>
    </x:row>
    <x:row r="360">
      <x:c r="A360" s="92" t="str">
        <x:v>T356</x:v>
      </x:c>
      <x:c r="B360" s="92" t="str">
        <x:v>T355</x:v>
      </x:c>
      <x:c r="C360" s="92" t="n">
        <x:v>8</x:v>
      </x:c>
      <x:c r="D360" s="92" t="str">
        <x:v>DPWM有効</x:v>
      </x:c>
      <x:c r="E360" s="92" t="str">
        <x:v>Enable_DPWM</x:v>
      </x:c>
      <x:c r="F360" s="93" t="n">
        <x:f>'01_入力仕様'!D179</x:f>
        <x:v>0</x:v>
      </x:c>
      <x:c r="G360" s="93" t="str">
        <x:v>0/1</x:v>
      </x:c>
      <x:c r="H360" s="93" t="n">
        <x:f>ABS(K360)*$F$5</x:f>
        <x:v>0.022191912689175947</x:v>
      </x:c>
      <x:c r="I360" s="92" t="str">
        <x:v>入力仕様</x:v>
      </x:c>
      <x:c r="J360" s="93" t="n">
        <x:f>0</x:f>
        <x:v>0</x:v>
      </x:c>
      <x:c r="K360" s="93" t="n">
        <x:f>K68*('01_入力仕様'!D180-1)</x:f>
        <x:v>-0.002480142149706837</x:v>
      </x:c>
      <x:c r="L360" s="92" t="str">
        <x:f>IF(K360&gt;0,"増加→総重量増",IF(K360&lt;0,"増加→総重量減","中立"))</x:f>
        <x:v>増加→総重量減</x:v>
      </x:c>
      <x:c r="M360" s="92" t="str">
        <x:v>設計対象</x:v>
      </x:c>
      <x:c r="N360" s="92" t="str">
        <x:v>0→1採用差分</x:v>
      </x:c>
      <x:c r="O360" s="229" t="n">
        <x:f>--(COUNTIF($B$5:$B$560,A360)=0)</x:f>
        <x:v>1</x:v>
      </x:c>
      <x:c r="P360" s="70" t="str">
        <x:f>IF(LEFT(E360,7)&lt;&gt;"Enable_","",IFERROR(IF(OR(ISNUMBER(SEARCH("=Enable",INDEX($I$5:$I$560,MATCH(B360,$A$5:$A$560,0)))),ISNUMBER(SEARCH("×Enable",INDEX($I$5:$I$560,MATCH(B360,$A$5:$A$560,0))))),1,""),""))</x:f>
      </x:c>
      <x:c r="Q360" t="n">
        <x:f>IF(E360="","",--(XMATCH(E360,$E$5:E360,0)=ROWS($E$5:E360)))</x:f>
        <x:v>1</x:v>
      </x:c>
      <x:c r="R360" t="n">
        <x:f>IF(Q360=1,SUM($Q$5:Q360),"")</x:f>
        <x:v>272</x:v>
      </x:c>
    </x:row>
    <x:row r="361">
      <x:c r="A361" s="92" t="str">
        <x:v>T357</x:v>
      </x:c>
      <x:c r="B361" s="92" t="str">
        <x:v>T355</x:v>
      </x:c>
      <x:c r="C361" s="92" t="n">
        <x:v>8</x:v>
      </x:c>
      <x:c r="D361" s="92" t="str">
        <x:v>DPWM残存率</x:v>
      </x:c>
      <x:c r="E361" s="92" t="str">
        <x:v>k_dpwm_sw</x:v>
      </x:c>
      <x:c r="F361" s="93" t="n">
        <x:f>'01_入力仕様'!D180</x:f>
        <x:v>0.67</x:v>
      </x:c>
      <x:c r="G361" s="93" t="str">
        <x:v>-</x:v>
      </x:c>
      <x:c r="H361" s="93" t="n">
        <x:f>ABS(K361)*$F$5</x:f>
        <x:v>0</x:v>
      </x:c>
      <x:c r="I361" s="92" t="str">
        <x:v>入力仕様</x:v>
      </x:c>
      <x:c r="J361" s="93" t="n">
        <x:f>IF(F359=0,0,'01_入力仕様'!D179*'01_入力仕様'!D180/F359)</x:f>
        <x:v>0</x:v>
      </x:c>
      <x:c r="K361" s="93" t="n">
        <x:f>K359*J361</x:f>
        <x:v>0</x:v>
      </x:c>
      <x:c r="L361" s="92" t="str">
        <x:f>IF(K361&gt;0,"増加→総重量増",IF(K361&lt;0,"増加→総重量減","中立"))</x:f>
        <x:v>中立</x:v>
      </x:c>
      <x:c r="M361" s="92" t="str">
        <x:v>設計対象</x:v>
      </x:c>
      <x:c r="N361" s="92" t="str"/>
      <x:c r="O361" s="229" t="n">
        <x:f>--(COUNTIF($B$5:$B$560,A361)=0)</x:f>
        <x:v>1</x:v>
      </x:c>
      <x:c r="P361" s="70" t="str">
        <x:f>IF(LEFT(E361,7)&lt;&gt;"Enable_","",IFERROR(IF(OR(ISNUMBER(SEARCH("=Enable",INDEX($I$5:$I$560,MATCH(B361,$A$5:$A$560,0)))),ISNUMBER(SEARCH("×Enable",INDEX($I$5:$I$560,MATCH(B361,$A$5:$A$560,0))))),1,""),""))</x:f>
      </x:c>
      <x:c r="Q361" t="n">
        <x:f>IF(E361="","",--(XMATCH(E361,$E$5:E361,0)=ROWS($E$5:E361)))</x:f>
        <x:v>1</x:v>
      </x:c>
      <x:c r="R361" t="n">
        <x:f>IF(Q361=1,SUM($Q$5:Q361),"")</x:f>
        <x:v>273</x:v>
      </x:c>
    </x:row>
    <x:row r="362">
      <x:c r="A362" s="90" t="str">
        <x:v>T358</x:v>
      </x:c>
      <x:c r="B362" s="90" t="str">
        <x:v>T354</x:v>
      </x:c>
      <x:c r="C362" s="90" t="n">
        <x:v>7</x:v>
      </x:c>
      <x:c r="D362" s="90" t="str">
        <x:v>CM低減PWM係数</x:v>
      </x:c>
      <x:c r="E362" s="90" t="str">
        <x:v>k_CM_PWM</x:v>
      </x:c>
      <x:c r="F362" s="91" t="n">
        <x:f>1+'01_入力仕様'!D182*('01_入力仕様'!D183-1)</x:f>
        <x:v>1</x:v>
      </x:c>
      <x:c r="G362" s="91" t="str">
        <x:v>-</x:v>
      </x:c>
      <x:c r="H362" s="91" t="n">
        <x:f>ABS(K362)*$F$5</x:f>
        <x:v>0.06724822027023014</x:v>
      </x:c>
      <x:c r="I362" s="90" t="str">
        <x:v>1+Enable_CM_PWM×(k_cmpwm_sw-1)</x:v>
      </x:c>
      <x:c r="J362" s="91" t="n">
        <x:f>1</x:f>
        <x:v>1</x:v>
      </x:c>
      <x:c r="K362" s="91" t="n">
        <x:f>K358*J362</x:f>
        <x:v>0.007515582271838901</x:v>
      </x:c>
      <x:c r="L362" s="90" t="str">
        <x:f>IF(K362&gt;0,"増加→総重量増",IF(K362&lt;0,"増加→総重量減","中立"))</x:f>
        <x:v>増加→総重量増</x:v>
      </x:c>
      <x:c r="M362" s="90" t="str">
        <x:v>設計対象</x:v>
      </x:c>
      <x:c r="N362" s="90" t="str"/>
      <x:c r="O362" s="229" t="n">
        <x:f>--(COUNTIF($B$5:$B$560,A362)=0)</x:f>
        <x:v>0</x:v>
      </x:c>
      <x:c r="P362" s="70" t="str">
        <x:f>IF(LEFT(E362,7)&lt;&gt;"Enable_","",IFERROR(IF(OR(ISNUMBER(SEARCH("=Enable",INDEX($I$5:$I$560,MATCH(B362,$A$5:$A$560,0)))),ISNUMBER(SEARCH("×Enable",INDEX($I$5:$I$560,MATCH(B362,$A$5:$A$560,0))))),1,""),""))</x:f>
      </x:c>
      <x:c r="Q362" t="n">
        <x:f>IF(E362="","",--(XMATCH(E362,$E$5:E362,0)=ROWS($E$5:E362)))</x:f>
        <x:v>1</x:v>
      </x:c>
      <x:c r="R362" t="n">
        <x:f>IF(Q362=1,SUM($Q$5:Q362),"")</x:f>
        <x:v>274</x:v>
      </x:c>
    </x:row>
    <x:row r="363">
      <x:c r="A363" s="92" t="str">
        <x:v>T359</x:v>
      </x:c>
      <x:c r="B363" s="92" t="str">
        <x:v>T358</x:v>
      </x:c>
      <x:c r="C363" s="92" t="n">
        <x:v>8</x:v>
      </x:c>
      <x:c r="D363" s="92" t="str">
        <x:v>CM低減PWM有効</x:v>
      </x:c>
      <x:c r="E363" s="92" t="str">
        <x:v>Enable_CM_PWM</x:v>
      </x:c>
      <x:c r="F363" s="93" t="n">
        <x:f>'01_入力仕様'!D182</x:f>
        <x:v>0</x:v>
      </x:c>
      <x:c r="G363" s="93" t="str">
        <x:v>0/1</x:v>
      </x:c>
      <x:c r="H363" s="93" t="n">
        <x:f>ABS(K363)*$F$5</x:f>
        <x:v>0.005379857621618417</x:v>
      </x:c>
      <x:c r="I363" s="92" t="str">
        <x:v>入力仕様</x:v>
      </x:c>
      <x:c r="J363" s="93" t="n">
        <x:f>0</x:f>
        <x:v>0</x:v>
      </x:c>
      <x:c r="K363" s="93" t="n">
        <x:f>K68*('01_入力仕様'!D183-1)</x:f>
        <x:v>0.0006012465817471127</x:v>
      </x:c>
      <x:c r="L363" s="92" t="str">
        <x:f>IF(K363&gt;0,"増加→総重量増",IF(K363&lt;0,"増加→総重量減","中立"))</x:f>
        <x:v>増加→総重量増</x:v>
      </x:c>
      <x:c r="M363" s="92" t="str">
        <x:v>設計対象</x:v>
      </x:c>
      <x:c r="N363" s="92" t="str">
        <x:v>0→1採用差分</x:v>
      </x:c>
      <x:c r="O363" s="229" t="n">
        <x:f>--(COUNTIF($B$5:$B$560,A363)=0)</x:f>
        <x:v>1</x:v>
      </x:c>
      <x:c r="P363" s="70" t="str">
        <x:f>IF(LEFT(E363,7)&lt;&gt;"Enable_","",IFERROR(IF(OR(ISNUMBER(SEARCH("=Enable",INDEX($I$5:$I$560,MATCH(B363,$A$5:$A$560,0)))),ISNUMBER(SEARCH("×Enable",INDEX($I$5:$I$560,MATCH(B363,$A$5:$A$560,0))))),1,""),""))</x:f>
      </x:c>
      <x:c r="Q363" t="n">
        <x:f>IF(E363="","",--(XMATCH(E363,$E$5:E363,0)=ROWS($E$5:E363)))</x:f>
        <x:v>1</x:v>
      </x:c>
      <x:c r="R363" t="n">
        <x:f>IF(Q363=1,SUM($Q$5:Q363),"")</x:f>
        <x:v>275</x:v>
      </x:c>
    </x:row>
    <x:row r="364">
      <x:c r="A364" s="92" t="str">
        <x:v>T360</x:v>
      </x:c>
      <x:c r="B364" s="92" t="str">
        <x:v>T358</x:v>
      </x:c>
      <x:c r="C364" s="92" t="n">
        <x:v>8</x:v>
      </x:c>
      <x:c r="D364" s="92" t="str">
        <x:v>SW損失係数</x:v>
      </x:c>
      <x:c r="E364" s="92" t="str">
        <x:v>k_cmpwm_sw</x:v>
      </x:c>
      <x:c r="F364" s="93" t="n">
        <x:f>'01_入力仕様'!D183</x:f>
        <x:v>1.08</x:v>
      </x:c>
      <x:c r="G364" s="93" t="str">
        <x:v>-</x:v>
      </x:c>
      <x:c r="H364" s="93" t="n">
        <x:f>ABS(K364)*$F$5</x:f>
        <x:v>0</x:v>
      </x:c>
      <x:c r="I364" s="92" t="str">
        <x:v>入力仕様</x:v>
      </x:c>
      <x:c r="J364" s="93" t="n">
        <x:f>IF(F362=0,0,'01_入力仕様'!D182*'01_入力仕様'!D183/F362)</x:f>
        <x:v>0</x:v>
      </x:c>
      <x:c r="K364" s="93" t="n">
        <x:f>K362*J364</x:f>
        <x:v>0</x:v>
      </x:c>
      <x:c r="L364" s="92" t="str">
        <x:f>IF(K364&gt;0,"増加→総重量増",IF(K364&lt;0,"増加→総重量減","中立"))</x:f>
        <x:v>中立</x:v>
      </x:c>
      <x:c r="M364" s="92" t="str">
        <x:v>設計対象</x:v>
      </x:c>
      <x:c r="N364" s="92" t="str"/>
      <x:c r="O364" s="229" t="n">
        <x:f>--(COUNTIF($B$5:$B$560,A364)=0)</x:f>
        <x:v>1</x:v>
      </x:c>
      <x:c r="P364" s="70" t="str">
        <x:f>IF(LEFT(E364,7)&lt;&gt;"Enable_","",IFERROR(IF(OR(ISNUMBER(SEARCH("=Enable",INDEX($I$5:$I$560,MATCH(B364,$A$5:$A$560,0)))),ISNUMBER(SEARCH("×Enable",INDEX($I$5:$I$560,MATCH(B364,$A$5:$A$560,0))))),1,""),""))</x:f>
      </x:c>
      <x:c r="Q364" t="n">
        <x:f>IF(E364="","",--(XMATCH(E364,$E$5:E364,0)=ROWS($E$5:E364)))</x:f>
        <x:v>1</x:v>
      </x:c>
      <x:c r="R364" t="n">
        <x:f>IF(Q364=1,SUM($Q$5:Q364),"")</x:f>
        <x:v>276</x:v>
      </x:c>
    </x:row>
    <x:row r="365">
      <x:c r="A365" s="94" t="str">
        <x:v>T361</x:v>
      </x:c>
      <x:c r="B365" s="94" t="str">
        <x:v>T136</x:v>
      </x:c>
      <x:c r="C365" s="94" t="n">
        <x:v>2</x:v>
      </x:c>
      <x:c r="D365" s="94" t="str">
        <x:v>DPWM高調波/EMI追加重量</x:v>
      </x:c>
      <x:c r="E365" s="94" t="str">
        <x:v>M_DPWM_penalty</x:v>
      </x:c>
      <x:c r="F365" s="95" t="n">
        <x:f>'01_入力仕様'!D179*'01_入力仕様'!D181</x:f>
        <x:v>0</x:v>
      </x:c>
      <x:c r="G365" s="95" t="str">
        <x:v>kg</x:v>
      </x:c>
      <x:c r="H365" s="95" t="n">
        <x:f>ABS(K365)*$F$5</x:f>
        <x:v>0</x:v>
      </x:c>
      <x:c r="I365" s="94" t="str">
        <x:v>Enable_DPWM×m_dpwm_penalty</x:v>
      </x:c>
      <x:c r="J365" s="95" t="n">
        <x:f>IF(F140=0,0,F365/F140)</x:f>
        <x:v>0</x:v>
      </x:c>
      <x:c r="K365" s="95" t="n">
        <x:f>K140*J365</x:f>
        <x:v>0</x:v>
      </x:c>
      <x:c r="L365" s="94" t="str">
        <x:f>IF(K365&gt;0,"増加→総重量増",IF(K365&lt;0,"増加→総重量減","中立"))</x:f>
        <x:v>中立</x:v>
      </x:c>
      <x:c r="M365" s="94" t="str">
        <x:v>設計対象</x:v>
      </x:c>
      <x:c r="N365" s="94" t="str"/>
      <x:c r="O365" s="229" t="n">
        <x:f>--(COUNTIF($B$5:$B$560,A365)=0)</x:f>
        <x:v>0</x:v>
      </x:c>
      <x:c r="P365" s="70" t="str">
        <x:f>IF(LEFT(E365,7)&lt;&gt;"Enable_","",IFERROR(IF(OR(ISNUMBER(SEARCH("=Enable",INDEX($I$5:$I$560,MATCH(B365,$A$5:$A$560,0)))),ISNUMBER(SEARCH("×Enable",INDEX($I$5:$I$560,MATCH(B365,$A$5:$A$560,0))))),1,""),""))</x:f>
      </x:c>
      <x:c r="Q365" t="n">
        <x:f>IF(E365="","",--(XMATCH(E365,$E$5:E365,0)=ROWS($E$5:E365)))</x:f>
        <x:v>1</x:v>
      </x:c>
      <x:c r="R365" t="n">
        <x:f>IF(Q365=1,SUM($Q$5:Q365),"")</x:f>
        <x:v>277</x:v>
      </x:c>
    </x:row>
    <x:row r="366">
      <x:c r="A366" s="92" t="str">
        <x:v>T362</x:v>
      </x:c>
      <x:c r="B366" s="92" t="str">
        <x:v>T361</x:v>
      </x:c>
      <x:c r="C366" s="92" t="n">
        <x:v>3</x:v>
      </x:c>
      <x:c r="D366" s="92" t="str">
        <x:v>DPWM有効</x:v>
      </x:c>
      <x:c r="E366" s="92" t="str">
        <x:v>Enable_DPWM</x:v>
      </x:c>
      <x:c r="F366" s="93" t="n">
        <x:f>'01_入力仕様'!D179</x:f>
        <x:v>0</x:v>
      </x:c>
      <x:c r="G366" s="93" t="str">
        <x:v>0/1</x:v>
      </x:c>
      <x:c r="H366" s="93" t="n">
        <x:f>ABS(K366)*$F$5</x:f>
        <x:v>0.025</x:v>
      </x:c>
      <x:c r="I366" s="92" t="str">
        <x:v>入力仕様</x:v>
      </x:c>
      <x:c r="J366" s="93" t="n">
        <x:f>0</x:f>
        <x:v>0</x:v>
      </x:c>
      <x:c r="K366" s="93" t="n">
        <x:f>'01_入力仕様'!D181/F5</x:f>
        <x:v>0.002793970696041582</x:v>
      </x:c>
      <x:c r="L366" s="92" t="str">
        <x:f>IF(K366&gt;0,"増加→総重量増",IF(K366&lt;0,"増加→総重量減","中立"))</x:f>
        <x:v>増加→総重量増</x:v>
      </x:c>
      <x:c r="M366" s="92" t="str">
        <x:v>設計対象</x:v>
      </x:c>
      <x:c r="N366" s="92" t="str">
        <x:v>高調波/EMIペナルティ</x:v>
      </x:c>
      <x:c r="O366" s="229" t="n">
        <x:f>--(COUNTIF($B$5:$B$560,A366)=0)</x:f>
        <x:v>1</x:v>
      </x:c>
      <x:c r="P366" s="70" t="str">
        <x:f>IF(LEFT(E366,7)&lt;&gt;"Enable_","",IFERROR(IF(OR(ISNUMBER(SEARCH("=Enable",INDEX($I$5:$I$560,MATCH(B366,$A$5:$A$560,0)))),ISNUMBER(SEARCH("×Enable",INDEX($I$5:$I$560,MATCH(B366,$A$5:$A$560,0))))),1,""),""))</x:f>
      </x:c>
      <x:c r="Q366" t="n">
        <x:f>IF(E366="","",--(XMATCH(E366,$E$5:E366,0)=ROWS($E$5:E366)))</x:f>
        <x:v>0</x:v>
      </x:c>
      <x:c r="R366" t="str">
        <x:f>IF(Q366=1,SUM($Q$5:Q366),"")</x:f>
      </x:c>
    </x:row>
    <x:row r="367">
      <x:c r="A367" s="92" t="str">
        <x:v>T363</x:v>
      </x:c>
      <x:c r="B367" s="92" t="str">
        <x:v>T361</x:v>
      </x:c>
      <x:c r="C367" s="92" t="n">
        <x:v>3</x:v>
      </x:c>
      <x:c r="D367" s="92" t="str">
        <x:v>DPWM追加重量</x:v>
      </x:c>
      <x:c r="E367" s="92" t="str">
        <x:v>m_dpwm_penalty</x:v>
      </x:c>
      <x:c r="F367" s="93" t="n">
        <x:f>'01_入力仕様'!D181</x:f>
        <x:v>0.025</x:v>
      </x:c>
      <x:c r="G367" s="93" t="str">
        <x:v>kg</x:v>
      </x:c>
      <x:c r="H367" s="93" t="n">
        <x:f>ABS(K367)*$F$5</x:f>
        <x:v>0</x:v>
      </x:c>
      <x:c r="I367" s="92" t="str">
        <x:v>入力仕様</x:v>
      </x:c>
      <x:c r="J367" s="93" t="n">
        <x:f>0</x:f>
        <x:v>0</x:v>
      </x:c>
      <x:c r="K367" s="93" t="n">
        <x:f>K365*J367</x:f>
        <x:v>0</x:v>
      </x:c>
      <x:c r="L367" s="92" t="str">
        <x:f>IF(K367&gt;0,"増加→総重量増",IF(K367&lt;0,"増加→総重量減","中立"))</x:f>
        <x:v>中立</x:v>
      </x:c>
      <x:c r="M367" s="92" t="str">
        <x:v>設計対象</x:v>
      </x:c>
      <x:c r="N367" s="92" t="str"/>
      <x:c r="O367" s="229" t="n">
        <x:f>--(COUNTIF($B$5:$B$560,A367)=0)</x:f>
        <x:v>1</x:v>
      </x:c>
      <x:c r="P367" s="70" t="str">
        <x:f>IF(LEFT(E367,7)&lt;&gt;"Enable_","",IFERROR(IF(OR(ISNUMBER(SEARCH("=Enable",INDEX($I$5:$I$560,MATCH(B367,$A$5:$A$560,0)))),ISNUMBER(SEARCH("×Enable",INDEX($I$5:$I$560,MATCH(B367,$A$5:$A$560,0))))),1,""),""))</x:f>
      </x:c>
      <x:c r="Q367" t="n">
        <x:f>IF(E367="","",--(XMATCH(E367,$E$5:E367,0)=ROWS($E$5:E367)))</x:f>
        <x:v>0</x:v>
      </x:c>
      <x:c r="R367" t="str">
        <x:f>IF(Q367=1,SUM($Q$5:Q367),"")</x:f>
      </x:c>
    </x:row>
    <x:row r="368">
      <x:c r="A368" s="94" t="str">
        <x:v>T364</x:v>
      </x:c>
      <x:c r="B368" s="94" t="str">
        <x:v>T136</x:v>
      </x:c>
      <x:c r="C368" s="94" t="n">
        <x:v>2</x:v>
      </x:c>
      <x:c r="D368" s="94" t="str">
        <x:v>CMフィルタ重量</x:v>
      </x:c>
      <x:c r="E368" s="94" t="str">
        <x:v>M_CM_filter</x:v>
      </x:c>
      <x:c r="F368" s="95" t="n">
        <x:f>'01_入力仕様'!D184*(1-'01_入力仕様'!D182*'01_入力仕様'!D185)*(1-'01_入力仕様'!D235*'01_入力仕様'!D237)*F544</x:f>
        <x:v>0.2</x:v>
      </x:c>
      <x:c r="G368" s="95" t="str">
        <x:v>kg</x:v>
      </x:c>
      <x:c r="H368" s="95" t="n">
        <x:f>ABS(K368)*$F$5</x:f>
        <x:v>0.20000000000000004</x:v>
      </x:c>
      <x:c r="I368" s="94" t="str">
        <x:v>M_CM_filter=base×PWM低減×追加CM低減×k_cable_cm</x:v>
      </x:c>
      <x:c r="J368" s="95" t="n">
        <x:f>IF(F140=0,0,F368/F140)</x:f>
        <x:v>0.6053581909069684</x:v>
      </x:c>
      <x:c r="K368" s="95" t="n">
        <x:f>K140*J368</x:f>
        <x:v>0.022351765568332658</x:v>
      </x:c>
      <x:c r="L368" s="94" t="str">
        <x:f>IF(K368&gt;0,"増加→総重量増",IF(K368&lt;0,"増加→総重量減","中立"))</x:f>
        <x:v>増加→総重量増</x:v>
      </x:c>
      <x:c r="M368" s="94" t="str">
        <x:v>設計対象</x:v>
      </x:c>
      <x:c r="N368" s="94" t="str"/>
      <x:c r="O368" s="229" t="n">
        <x:f>--(COUNTIF($B$5:$B$560,A368)=0)</x:f>
        <x:v>0</x:v>
      </x:c>
      <x:c r="P368" s="70" t="str">
        <x:f>IF(LEFT(E368,7)&lt;&gt;"Enable_","",IFERROR(IF(OR(ISNUMBER(SEARCH("=Enable",INDEX($I$5:$I$560,MATCH(B368,$A$5:$A$560,0)))),ISNUMBER(SEARCH("×Enable",INDEX($I$5:$I$560,MATCH(B368,$A$5:$A$560,0))))),1,""),""))</x:f>
      </x:c>
      <x:c r="Q368" t="n">
        <x:f>IF(E368="","",--(XMATCH(E368,$E$5:E368,0)=ROWS($E$5:E368)))</x:f>
        <x:v>1</x:v>
      </x:c>
      <x:c r="R368" t="n">
        <x:f>IF(Q368=1,SUM($Q$5:Q368),"")</x:f>
        <x:v>278</x:v>
      </x:c>
    </x:row>
    <x:row r="369">
      <x:c r="A369" s="92" t="str">
        <x:v>T365</x:v>
      </x:c>
      <x:c r="B369" s="92" t="str">
        <x:v>T364</x:v>
      </x:c>
      <x:c r="C369" s="92" t="n">
        <x:v>3</x:v>
      </x:c>
      <x:c r="D369" s="92" t="str">
        <x:v>CM低減PWM有効</x:v>
      </x:c>
      <x:c r="E369" s="92" t="str">
        <x:v>Enable_CM_PWM</x:v>
      </x:c>
      <x:c r="F369" s="93" t="n">
        <x:f>'01_入力仕様'!D182</x:f>
        <x:v>0</x:v>
      </x:c>
      <x:c r="G369" s="93" t="str">
        <x:v>0/1</x:v>
      </x:c>
      <x:c r="H369" s="93" t="n">
        <x:f>ABS(K369)*$F$5</x:f>
        <x:v>0.12</x:v>
      </x:c>
      <x:c r="I369" s="92" t="str">
        <x:v>入力仕様</x:v>
      </x:c>
      <x:c r="J369" s="93" t="n">
        <x:f>0</x:f>
        <x:v>0</x:v>
      </x:c>
      <x:c r="K369" s="93" t="n">
        <x:f>-'01_入力仕様'!D184*'01_入力仕様'!D185/F5</x:f>
        <x:v>-0.013411059340999591</x:v>
      </x:c>
      <x:c r="L369" s="92" t="str">
        <x:f>IF(K369&gt;0,"増加→総重量増",IF(K369&lt;0,"増加→総重量減","中立"))</x:f>
        <x:v>増加→総重量減</x:v>
      </x:c>
      <x:c r="M369" s="92" t="str">
        <x:v>設計対象</x:v>
      </x:c>
      <x:c r="N369" s="92" t="str">
        <x:v>CMフィルタ低減</x:v>
      </x:c>
      <x:c r="O369" s="229" t="n">
        <x:f>--(COUNTIF($B$5:$B$560,A369)=0)</x:f>
        <x:v>1</x:v>
      </x:c>
      <x:c r="P369" s="70" t="str">
        <x:f>IF(LEFT(E369,7)&lt;&gt;"Enable_","",IFERROR(IF(OR(ISNUMBER(SEARCH("=Enable",INDEX($I$5:$I$560,MATCH(B369,$A$5:$A$560,0)))),ISNUMBER(SEARCH("×Enable",INDEX($I$5:$I$560,MATCH(B369,$A$5:$A$560,0))))),1,""),""))</x:f>
      </x:c>
      <x:c r="Q369" t="n">
        <x:f>IF(E369="","",--(XMATCH(E369,$E$5:E369,0)=ROWS($E$5:E369)))</x:f>
        <x:v>0</x:v>
      </x:c>
      <x:c r="R369" t="str">
        <x:f>IF(Q369=1,SUM($Q$5:Q369),"")</x:f>
      </x:c>
    </x:row>
    <x:row r="370">
      <x:c r="A370" s="92" t="str">
        <x:v>T366</x:v>
      </x:c>
      <x:c r="B370" s="92" t="str">
        <x:v>T364</x:v>
      </x:c>
      <x:c r="C370" s="92" t="n">
        <x:v>3</x:v>
      </x:c>
      <x:c r="D370" s="92" t="str">
        <x:v>基準CMフィルタ重量</x:v>
      </x:c>
      <x:c r="E370" s="92" t="str">
        <x:v>m_CM_filter_base</x:v>
      </x:c>
      <x:c r="F370" s="93" t="n">
        <x:f>'01_入力仕様'!D184</x:f>
        <x:v>0.2</x:v>
      </x:c>
      <x:c r="G370" s="93" t="str">
        <x:v>kg</x:v>
      </x:c>
      <x:c r="H370" s="93" t="n">
        <x:f>ABS(K370)*$F$5</x:f>
        <x:v>0.20000000000000004</x:v>
      </x:c>
      <x:c r="I370" s="92" t="str">
        <x:v>入力仕様</x:v>
      </x:c>
      <x:c r="J370" s="93" t="n">
        <x:f>1</x:f>
        <x:v>1</x:v>
      </x:c>
      <x:c r="K370" s="93" t="n">
        <x:f>K368*J370</x:f>
        <x:v>0.022351765568332658</x:v>
      </x:c>
      <x:c r="L370" s="92" t="str">
        <x:f>IF(K370&gt;0,"増加→総重量増",IF(K370&lt;0,"増加→総重量減","中立"))</x:f>
        <x:v>増加→総重量増</x:v>
      </x:c>
      <x:c r="M370" s="92" t="str">
        <x:v>設計対象</x:v>
      </x:c>
      <x:c r="N370" s="92" t="str"/>
      <x:c r="O370" s="229" t="n">
        <x:f>--(COUNTIF($B$5:$B$560,A370)=0)</x:f>
        <x:v>1</x:v>
      </x:c>
      <x:c r="P370" s="70" t="str">
        <x:f>IF(LEFT(E370,7)&lt;&gt;"Enable_","",IFERROR(IF(OR(ISNUMBER(SEARCH("=Enable",INDEX($I$5:$I$560,MATCH(B370,$A$5:$A$560,0)))),ISNUMBER(SEARCH("×Enable",INDEX($I$5:$I$560,MATCH(B370,$A$5:$A$560,0))))),1,""),""))</x:f>
      </x:c>
      <x:c r="Q370" t="n">
        <x:f>IF(E370="","",--(XMATCH(E370,$E$5:E370,0)=ROWS($E$5:E370)))</x:f>
        <x:v>1</x:v>
      </x:c>
      <x:c r="R370" t="n">
        <x:f>IF(Q370=1,SUM($Q$5:Q370),"")</x:f>
        <x:v>279</x:v>
      </x:c>
    </x:row>
    <x:row r="371">
      <x:c r="A371" s="92" t="str">
        <x:v>T367</x:v>
      </x:c>
      <x:c r="B371" s="92" t="str">
        <x:v>T364</x:v>
      </x:c>
      <x:c r="C371" s="92" t="n">
        <x:v>3</x:v>
      </x:c>
      <x:c r="D371" s="92" t="str">
        <x:v>CMフィルタ低減率</x:v>
      </x:c>
      <x:c r="E371" s="92" t="str">
        <x:v>k_cm_filter_reduce</x:v>
      </x:c>
      <x:c r="F371" s="93" t="n">
        <x:f>'01_入力仕様'!D185</x:f>
        <x:v>0.6</x:v>
      </x:c>
      <x:c r="G371" s="93" t="str">
        <x:v>-</x:v>
      </x:c>
      <x:c r="H371" s="93" t="n">
        <x:f>ABS(K371)*$F$5</x:f>
        <x:v>0</x:v>
      </x:c>
      <x:c r="I371" s="92" t="str">
        <x:v>入力仕様</x:v>
      </x:c>
      <x:c r="J371" s="93" t="n">
        <x:f>0</x:f>
        <x:v>0</x:v>
      </x:c>
      <x:c r="K371" s="93" t="n">
        <x:f>K368*J371</x:f>
        <x:v>0</x:v>
      </x:c>
      <x:c r="L371" s="92" t="str">
        <x:f>IF(K371&gt;0,"増加→総重量増",IF(K371&lt;0,"増加→総重量減","中立"))</x:f>
        <x:v>中立</x:v>
      </x:c>
      <x:c r="M371" s="92" t="str">
        <x:v>設計対象</x:v>
      </x:c>
      <x:c r="N371" s="92" t="str"/>
      <x:c r="O371" s="229" t="n">
        <x:f>--(COUNTIF($B$5:$B$560,A371)=0)</x:f>
        <x:v>1</x:v>
      </x:c>
      <x:c r="P371" s="70" t="str">
        <x:f>IF(LEFT(E371,7)&lt;&gt;"Enable_","",IFERROR(IF(OR(ISNUMBER(SEARCH("=Enable",INDEX($I$5:$I$560,MATCH(B371,$A$5:$A$560,0)))),ISNUMBER(SEARCH("×Enable",INDEX($I$5:$I$560,MATCH(B371,$A$5:$A$560,0))))),1,""),""))</x:f>
      </x:c>
      <x:c r="Q371" t="n">
        <x:f>IF(E371="","",--(XMATCH(E371,$E$5:E371,0)=ROWS($E$5:E371)))</x:f>
        <x:v>1</x:v>
      </x:c>
      <x:c r="R371" t="n">
        <x:f>IF(Q371=1,SUM($Q$5:Q371),"")</x:f>
        <x:v>280</x:v>
      </x:c>
    </x:row>
    <x:row r="372">
      <x:c r="A372" s="94" t="str">
        <x:v>T368</x:v>
      </x:c>
      <x:c r="B372" s="94" t="str">
        <x:v>T001</x:v>
      </x:c>
      <x:c r="C372" s="94" t="n">
        <x:v>1</x:v>
      </x:c>
      <x:c r="D372" s="94" t="str">
        <x:v>PWM制御追加重量</x:v>
      </x:c>
      <x:c r="E372" s="94" t="str">
        <x:v>M_PWM_option</x:v>
      </x:c>
      <x:c r="F372" s="95" t="n">
        <x:f>'01_入力仕様'!D182*'01_入力仕様'!D186</x:f>
        <x:v>0</x:v>
      </x:c>
      <x:c r="G372" s="95" t="str">
        <x:v>kg</x:v>
      </x:c>
      <x:c r="H372" s="95" t="n">
        <x:f>ABS(K372)*$F$5</x:f>
        <x:v>0</x:v>
      </x:c>
      <x:c r="I372" s="94" t="str">
        <x:v>Enable_CM_PWM×m_cmpwm_ctrl</x:v>
      </x:c>
      <x:c r="J372" s="95" t="n">
        <x:f>F372/F5</x:f>
        <x:v>0</x:v>
      </x:c>
      <x:c r="K372" s="95" t="n">
        <x:f>K5*J372</x:f>
        <x:v>0</x:v>
      </x:c>
      <x:c r="L372" s="94" t="str">
        <x:f>IF(K372&gt;0,"増加→総重量増",IF(K372&lt;0,"増加→総重量減","中立"))</x:f>
        <x:v>中立</x:v>
      </x:c>
      <x:c r="M372" s="94" t="str">
        <x:v>設計対象</x:v>
      </x:c>
      <x:c r="N372" s="94" t="str"/>
      <x:c r="O372" s="229" t="n">
        <x:f>--(COUNTIF($B$5:$B$560,A372)=0)</x:f>
        <x:v>0</x:v>
      </x:c>
      <x:c r="P372" s="70" t="str">
        <x:f>IF(LEFT(E372,7)&lt;&gt;"Enable_","",IFERROR(IF(OR(ISNUMBER(SEARCH("=Enable",INDEX($I$5:$I$560,MATCH(B372,$A$5:$A$560,0)))),ISNUMBER(SEARCH("×Enable",INDEX($I$5:$I$560,MATCH(B372,$A$5:$A$560,0))))),1,""),""))</x:f>
      </x:c>
      <x:c r="Q372" t="n">
        <x:f>IF(E372="","",--(XMATCH(E372,$E$5:E372,0)=ROWS($E$5:E372)))</x:f>
        <x:v>1</x:v>
      </x:c>
      <x:c r="R372" t="n">
        <x:f>IF(Q372=1,SUM($Q$5:Q372),"")</x:f>
        <x:v>281</x:v>
      </x:c>
    </x:row>
    <x:row r="373">
      <x:c r="A373" s="92" t="str">
        <x:v>T369</x:v>
      </x:c>
      <x:c r="B373" s="92" t="str">
        <x:v>T368</x:v>
      </x:c>
      <x:c r="C373" s="92" t="n">
        <x:v>2</x:v>
      </x:c>
      <x:c r="D373" s="92" t="str">
        <x:v>CM低減PWM有効</x:v>
      </x:c>
      <x:c r="E373" s="92" t="str">
        <x:v>Enable_CM_PWM</x:v>
      </x:c>
      <x:c r="F373" s="93" t="n">
        <x:f>'01_入力仕様'!D182</x:f>
        <x:v>0</x:v>
      </x:c>
      <x:c r="G373" s="93" t="str">
        <x:v>0/1</x:v>
      </x:c>
      <x:c r="H373" s="93" t="n">
        <x:f>ABS(K373)*$F$5</x:f>
        <x:v>0.005</x:v>
      </x:c>
      <x:c r="I373" s="92" t="str">
        <x:v>入力仕様</x:v>
      </x:c>
      <x:c r="J373" s="93" t="n">
        <x:f>0</x:f>
        <x:v>0</x:v>
      </x:c>
      <x:c r="K373" s="93" t="n">
        <x:f>'01_入力仕様'!D186/F5</x:f>
        <x:v>0.0005587941392083164</x:v>
      </x:c>
      <x:c r="L373" s="92" t="str">
        <x:f>IF(K373&gt;0,"増加→総重量増",IF(K373&lt;0,"増加→総重量減","中立"))</x:f>
        <x:v>増加→総重量増</x:v>
      </x:c>
      <x:c r="M373" s="92" t="str">
        <x:v>設計対象</x:v>
      </x:c>
      <x:c r="N373" s="92" t="str">
        <x:v>追加制御重量</x:v>
      </x:c>
      <x:c r="O373" s="229" t="n">
        <x:f>--(COUNTIF($B$5:$B$560,A373)=0)</x:f>
        <x:v>1</x:v>
      </x:c>
      <x:c r="P373" s="70" t="str">
        <x:f>IF(LEFT(E373,7)&lt;&gt;"Enable_","",IFERROR(IF(OR(ISNUMBER(SEARCH("=Enable",INDEX($I$5:$I$560,MATCH(B373,$A$5:$A$560,0)))),ISNUMBER(SEARCH("×Enable",INDEX($I$5:$I$560,MATCH(B373,$A$5:$A$560,0))))),1,""),""))</x:f>
      </x:c>
      <x:c r="Q373" t="n">
        <x:f>IF(E373="","",--(XMATCH(E373,$E$5:E373,0)=ROWS($E$5:E373)))</x:f>
        <x:v>0</x:v>
      </x:c>
      <x:c r="R373" t="str">
        <x:f>IF(Q373=1,SUM($Q$5:Q373),"")</x:f>
      </x:c>
    </x:row>
    <x:row r="374">
      <x:c r="A374" s="92" t="str">
        <x:v>T370</x:v>
      </x:c>
      <x:c r="B374" s="92" t="str">
        <x:v>T368</x:v>
      </x:c>
      <x:c r="C374" s="92" t="n">
        <x:v>2</x:v>
      </x:c>
      <x:c r="D374" s="92" t="str">
        <x:v>CM低減PWM制御重量</x:v>
      </x:c>
      <x:c r="E374" s="92" t="str">
        <x:v>m_cmpwm_ctrl</x:v>
      </x:c>
      <x:c r="F374" s="93" t="n">
        <x:f>'01_入力仕様'!D186</x:f>
        <x:v>0.005</x:v>
      </x:c>
      <x:c r="G374" s="93" t="str">
        <x:v>kg</x:v>
      </x:c>
      <x:c r="H374" s="93" t="n">
        <x:f>ABS(K374)*$F$5</x:f>
        <x:v>0</x:v>
      </x:c>
      <x:c r="I374" s="92" t="str">
        <x:v>入力仕様</x:v>
      </x:c>
      <x:c r="J374" s="93" t="n">
        <x:f>0</x:f>
        <x:v>0</x:v>
      </x:c>
      <x:c r="K374" s="93" t="n">
        <x:f>K372*J374</x:f>
        <x:v>0</x:v>
      </x:c>
      <x:c r="L374" s="92" t="str">
        <x:f>IF(K374&gt;0,"増加→総重量増",IF(K374&lt;0,"増加→総重量減","中立"))</x:f>
        <x:v>中立</x:v>
      </x:c>
      <x:c r="M374" s="92" t="str">
        <x:v>設計対象</x:v>
      </x:c>
      <x:c r="N374" s="92" t="str"/>
      <x:c r="O374" s="229" t="n">
        <x:f>--(COUNTIF($B$5:$B$560,A374)=0)</x:f>
        <x:v>1</x:v>
      </x:c>
      <x:c r="P374" s="70" t="str">
        <x:f>IF(LEFT(E374,7)&lt;&gt;"Enable_","",IFERROR(IF(OR(ISNUMBER(SEARCH("=Enable",INDEX($I$5:$I$560,MATCH(B374,$A$5:$A$560,0)))),ISNUMBER(SEARCH("×Enable",INDEX($I$5:$I$560,MATCH(B374,$A$5:$A$560,0))))),1,""),""))</x:f>
      </x:c>
      <x:c r="Q374" t="n">
        <x:f>IF(E374="","",--(XMATCH(E374,$E$5:E374,0)=ROWS($E$5:E374)))</x:f>
        <x:v>1</x:v>
      </x:c>
      <x:c r="R374" t="n">
        <x:f>IF(Q374=1,SUM($Q$5:Q374),"")</x:f>
        <x:v>282</x:v>
      </x:c>
    </x:row>
    <x:row r="375">
      <x:c r="A375" s="94" t="str">
        <x:v>T371</x:v>
      </x:c>
      <x:c r="B375" s="94" t="str">
        <x:v>T092</x:v>
      </x:c>
      <x:c r="C375" s="94" t="n">
        <x:v>2</x:v>
      </x:c>
      <x:c r="D375" s="94" t="str">
        <x:v>リップル・寿命追加重量</x:v>
      </x:c>
      <x:c r="E375" s="94" t="str">
        <x:v>M_cap_margin</x:v>
      </x:c>
      <x:c r="F375" s="95" t="n">
        <x:f>MAX(0,(F376-F391)*'01_入力仕様'!D189)</x:f>
        <x:v>0.3384088575524019</x:v>
      </x:c>
      <x:c r="G375" s="95" t="str">
        <x:v>kg</x:v>
      </x:c>
      <x:c r="H375" s="95" t="n">
        <x:f>ABS(K375)*$F$5</x:f>
        <x:v>0.33840885755240196</x:v>
      </x:c>
      <x:c r="I375" s="94" t="str">
        <x:v>MAX(0,(N_cap_req-N_cap_energy)×m_cap_unit)</x:v>
      </x:c>
      <x:c r="J375" s="95" t="n">
        <x:f>IF(F96=0,0,F375/F96)</x:f>
        <x:v>0.2160518157175227</x:v>
      </x:c>
      <x:c r="K375" s="95" t="n">
        <x:f>K96*J375</x:f>
        <x:v>0.03782017725129284</x:v>
      </x:c>
      <x:c r="L375" s="94" t="str">
        <x:f>IF(K375&gt;0,"増加→総重量増",IF(K375&lt;0,"増加→総重量減","中立"))</x:f>
        <x:v>増加→総重量増</x:v>
      </x:c>
      <x:c r="M375" s="94" t="str">
        <x:v>設計対象</x:v>
      </x:c>
      <x:c r="N375" s="94" t="str"/>
      <x:c r="O375" s="229" t="n">
        <x:f>--(COUNTIF($B$5:$B$560,A375)=0)</x:f>
        <x:v>0</x:v>
      </x:c>
      <x:c r="P375" s="70" t="str">
        <x:f>IF(LEFT(E375,7)&lt;&gt;"Enable_","",IFERROR(IF(OR(ISNUMBER(SEARCH("=Enable",INDEX($I$5:$I$560,MATCH(B375,$A$5:$A$560,0)))),ISNUMBER(SEARCH("×Enable",INDEX($I$5:$I$560,MATCH(B375,$A$5:$A$560,0))))),1,""),""))</x:f>
      </x:c>
      <x:c r="Q375" t="n">
        <x:f>IF(E375="","",--(XMATCH(E375,$E$5:E375,0)=ROWS($E$5:E375)))</x:f>
        <x:v>1</x:v>
      </x:c>
      <x:c r="R375" t="n">
        <x:f>IF(Q375=1,SUM($Q$5:Q375),"")</x:f>
        <x:v>283</x:v>
      </x:c>
    </x:row>
    <x:row r="376">
      <x:c r="A376" s="90" t="str">
        <x:v>T372</x:v>
      </x:c>
      <x:c r="B376" s="90" t="str">
        <x:v>T371</x:v>
      </x:c>
      <x:c r="C376" s="90" t="n">
        <x:v>3</x:v>
      </x:c>
      <x:c r="D376" s="90" t="str">
        <x:v>必要C個数</x:v>
      </x:c>
      <x:c r="E376" s="90" t="str">
        <x:v>N_cap_req</x:v>
      </x:c>
      <x:c r="F376" s="91" t="n">
        <x:f>F377*F382</x:f>
        <x:v>4.189519800787777</x:v>
      </x:c>
      <x:c r="G376" s="91" t="str">
        <x:v>個</x:v>
      </x:c>
      <x:c r="H376" s="91" t="n">
        <x:f>ABS(K376)*$F$5</x:f>
        <x:v>1.466331930275722</x:v>
      </x:c>
      <x:c r="I376" s="90" t="str">
        <x:v>N_cap_ripple×k_life_cap</x:v>
      </x:c>
      <x:c r="J376" s="91" t="n">
        <x:f>IF(((F376-F391)&gt;0),F376/(F376-F391),0)</x:f>
        <x:v>4.333018765765206</x:v>
      </x:c>
      <x:c r="K376" s="91" t="n">
        <x:f>K375*J376</x:f>
        <x:v>0.1638755377544182</x:v>
      </x:c>
      <x:c r="L376" s="90" t="str">
        <x:f>IF(K376&gt;0,"増加→総重量増",IF(K376&lt;0,"増加→総重量減","中立"))</x:f>
        <x:v>増加→総重量増</x:v>
      </x:c>
      <x:c r="M376" s="90" t="str">
        <x:v>設計対象</x:v>
      </x:c>
      <x:c r="N376" s="90" t="str"/>
      <x:c r="O376" s="229" t="n">
        <x:f>--(COUNTIF($B$5:$B$560,A376)=0)</x:f>
        <x:v>0</x:v>
      </x:c>
      <x:c r="P376" s="70" t="str">
        <x:f>IF(LEFT(E376,7)&lt;&gt;"Enable_","",IFERROR(IF(OR(ISNUMBER(SEARCH("=Enable",INDEX($I$5:$I$560,MATCH(B376,$A$5:$A$560,0)))),ISNUMBER(SEARCH("×Enable",INDEX($I$5:$I$560,MATCH(B376,$A$5:$A$560,0))))),1,""),""))</x:f>
      </x:c>
      <x:c r="Q376" t="n">
        <x:f>IF(E376="","",--(XMATCH(E376,$E$5:E376,0)=ROWS($E$5:E376)))</x:f>
        <x:v>1</x:v>
      </x:c>
      <x:c r="R376" t="n">
        <x:f>IF(Q376=1,SUM($Q$5:Q376),"")</x:f>
        <x:v>284</x:v>
      </x:c>
    </x:row>
    <x:row r="377">
      <x:c r="A377" s="90" t="str">
        <x:v>T373</x:v>
      </x:c>
      <x:c r="B377" s="90" t="str">
        <x:v>T372</x:v>
      </x:c>
      <x:c r="C377" s="90" t="n">
        <x:v>4</x:v>
      </x:c>
      <x:c r="D377" s="90" t="str">
        <x:v>リップル必要個数</x:v>
      </x:c>
      <x:c r="E377" s="90" t="str">
        <x:v>N_cap_ripple</x:v>
      </x:c>
      <x:c r="F377" s="91" t="n">
        <x:f>F378/'01_入力仕様'!D188</x:f>
        <x:v>3.4459321546857757</x:v>
      </x:c>
      <x:c r="G377" s="91" t="str">
        <x:v>個</x:v>
      </x:c>
      <x:c r="H377" s="91" t="n">
        <x:f>ABS(K377)*$F$5</x:f>
        <x:v>1.466331930275722</x:v>
      </x:c>
      <x:c r="I377" s="90" t="str">
        <x:v>I_C_rms/I_cap_unit_rating</x:v>
      </x:c>
      <x:c r="J377" s="91" t="n">
        <x:f>1</x:f>
        <x:v>1</x:v>
      </x:c>
      <x:c r="K377" s="91" t="n">
        <x:f>K376*J377</x:f>
        <x:v>0.1638755377544182</x:v>
      </x:c>
      <x:c r="L377" s="90" t="str">
        <x:f>IF(K377&gt;0,"増加→総重量増",IF(K377&lt;0,"増加→総重量減","中立"))</x:f>
        <x:v>増加→総重量増</x:v>
      </x:c>
      <x:c r="M377" s="90" t="str">
        <x:v>設計対象</x:v>
      </x:c>
      <x:c r="N377" s="90" t="str"/>
      <x:c r="O377" s="229" t="n">
        <x:f>--(COUNTIF($B$5:$B$560,A377)=0)</x:f>
        <x:v>0</x:v>
      </x:c>
      <x:c r="P377" s="70" t="str">
        <x:f>IF(LEFT(E377,7)&lt;&gt;"Enable_","",IFERROR(IF(OR(ISNUMBER(SEARCH("=Enable",INDEX($I$5:$I$560,MATCH(B377,$A$5:$A$560,0)))),ISNUMBER(SEARCH("×Enable",INDEX($I$5:$I$560,MATCH(B377,$A$5:$A$560,0))))),1,""),""))</x:f>
      </x:c>
      <x:c r="Q377" t="n">
        <x:f>IF(E377="","",--(XMATCH(E377,$E$5:E377,0)=ROWS($E$5:E377)))</x:f>
        <x:v>1</x:v>
      </x:c>
      <x:c r="R377" t="n">
        <x:f>IF(Q377=1,SUM($Q$5:Q377),"")</x:f>
        <x:v>285</x:v>
      </x:c>
    </x:row>
    <x:row r="378">
      <x:c r="A378" s="90" t="str">
        <x:v>T374</x:v>
      </x:c>
      <x:c r="B378" s="90" t="str">
        <x:v>T373</x:v>
      </x:c>
      <x:c r="C378" s="90" t="n">
        <x:v>5</x:v>
      </x:c>
      <x:c r="D378" s="90" t="str">
        <x:v>Cリップル電流</x:v>
      </x:c>
      <x:c r="E378" s="90" t="str">
        <x:v>I_C_rms</x:v>
      </x:c>
      <x:c r="F378" s="91" t="n">
        <x:f>'01_入力仕様'!D187*F380</x:f>
        <x:v>86.14830386714439</x:v>
      </x:c>
      <x:c r="G378" s="91" t="str">
        <x:v>A</x:v>
      </x:c>
      <x:c r="H378" s="91" t="n">
        <x:f>ABS(K378)*$F$5</x:f>
        <x:v>1.466331930275722</x:v>
      </x:c>
      <x:c r="I378" s="90" t="str">
        <x:v>k_Icap_ripple×I_phase</x:v>
      </x:c>
      <x:c r="J378" s="91" t="n">
        <x:f>1</x:f>
        <x:v>1</x:v>
      </x:c>
      <x:c r="K378" s="91" t="n">
        <x:f>K377*J378</x:f>
        <x:v>0.1638755377544182</x:v>
      </x:c>
      <x:c r="L378" s="90" t="str">
        <x:f>IF(K378&gt;0,"増加→総重量増",IF(K378&lt;0,"増加→総重量減","中立"))</x:f>
        <x:v>増加→総重量増</x:v>
      </x:c>
      <x:c r="M378" s="90" t="str">
        <x:v>設計対象</x:v>
      </x:c>
      <x:c r="N378" s="90" t="str"/>
      <x:c r="O378" s="229" t="n">
        <x:f>--(COUNTIF($B$5:$B$560,A378)=0)</x:f>
        <x:v>0</x:v>
      </x:c>
      <x:c r="P378" s="70" t="str">
        <x:f>IF(LEFT(E378,7)&lt;&gt;"Enable_","",IFERROR(IF(OR(ISNUMBER(SEARCH("=Enable",INDEX($I$5:$I$560,MATCH(B378,$A$5:$A$560,0)))),ISNUMBER(SEARCH("×Enable",INDEX($I$5:$I$560,MATCH(B378,$A$5:$A$560,0))))),1,""),""))</x:f>
      </x:c>
      <x:c r="Q378" t="n">
        <x:f>IF(E378="","",--(XMATCH(E378,$E$5:E378,0)=ROWS($E$5:E378)))</x:f>
        <x:v>1</x:v>
      </x:c>
      <x:c r="R378" t="n">
        <x:f>IF(Q378=1,SUM($Q$5:Q378),"")</x:f>
        <x:v>286</x:v>
      </x:c>
    </x:row>
    <x:row r="379">
      <x:c r="A379" s="92" t="str">
        <x:v>T375</x:v>
      </x:c>
      <x:c r="B379" s="92" t="str">
        <x:v>T374</x:v>
      </x:c>
      <x:c r="C379" s="92" t="n">
        <x:v>6</x:v>
      </x:c>
      <x:c r="D379" s="92" t="str">
        <x:v>リップル電流係数</x:v>
      </x:c>
      <x:c r="E379" s="92" t="str">
        <x:v>k_Icap_ripple</x:v>
      </x:c>
      <x:c r="F379" s="93" t="n">
        <x:f>'01_入力仕様'!D187</x:f>
        <x:v>0.55</x:v>
      </x:c>
      <x:c r="G379" s="93" t="str">
        <x:v>-</x:v>
      </x:c>
      <x:c r="H379" s="93" t="n">
        <x:f>ABS(K379)*$F$5</x:f>
        <x:v>1.466331930275722</x:v>
      </x:c>
      <x:c r="I379" s="92" t="str">
        <x:v>入力仕様</x:v>
      </x:c>
      <x:c r="J379" s="93" t="n">
        <x:f>1</x:f>
        <x:v>1</x:v>
      </x:c>
      <x:c r="K379" s="93" t="n">
        <x:f>K378*J379</x:f>
        <x:v>0.1638755377544182</x:v>
      </x:c>
      <x:c r="L379" s="92" t="str">
        <x:f>IF(K379&gt;0,"増加→総重量増",IF(K379&lt;0,"増加→総重量減","中立"))</x:f>
        <x:v>増加→総重量増</x:v>
      </x:c>
      <x:c r="M379" s="92" t="str">
        <x:v>設計対象</x:v>
      </x:c>
      <x:c r="N379" s="92" t="str"/>
      <x:c r="O379" s="229" t="n">
        <x:f>--(COUNTIF($B$5:$B$560,A379)=0)</x:f>
        <x:v>1</x:v>
      </x:c>
      <x:c r="P379" s="70" t="str">
        <x:f>IF(LEFT(E379,7)&lt;&gt;"Enable_","",IFERROR(IF(OR(ISNUMBER(SEARCH("=Enable",INDEX($I$5:$I$560,MATCH(B379,$A$5:$A$560,0)))),ISNUMBER(SEARCH("×Enable",INDEX($I$5:$I$560,MATCH(B379,$A$5:$A$560,0))))),1,""),""))</x:f>
      </x:c>
      <x:c r="Q379" t="n">
        <x:f>IF(E379="","",--(XMATCH(E379,$E$5:E379,0)=ROWS($E$5:E379)))</x:f>
        <x:v>1</x:v>
      </x:c>
      <x:c r="R379" t="n">
        <x:f>IF(Q379=1,SUM($Q$5:Q379),"")</x:f>
        <x:v>287</x:v>
      </x:c>
    </x:row>
    <x:row r="380">
      <x:c r="A380" s="90" t="str">
        <x:v>T376</x:v>
      </x:c>
      <x:c r="B380" s="90" t="str">
        <x:v>T374</x:v>
      </x:c>
      <x:c r="C380" s="90" t="n">
        <x:v>6</x:v>
      </x:c>
      <x:c r="D380" s="90" t="str">
        <x:v>相電流</x:v>
      </x:c>
      <x:c r="E380" s="90" t="str">
        <x:v>I_phase</x:v>
      </x:c>
      <x:c r="F380" s="91" t="n">
        <x:f>'01_入力仕様'!D5*1000/(SQRT(3)*'01_入力仕様'!D7*'01_入力仕様'!D8*'01_入力仕様'!D9)</x:f>
        <x:v>156.63327975844433</x:v>
      </x:c>
      <x:c r="G380" s="91" t="str">
        <x:v>A</x:v>
      </x:c>
      <x:c r="H380" s="91" t="n">
        <x:f>ABS(K380)*$F$5</x:f>
        <x:v>1.466331930275722</x:v>
      </x:c>
      <x:c r="I380" s="90" t="str">
        <x:v>P_out固定要求から計算</x:v>
      </x:c>
      <x:c r="J380" s="91" t="n">
        <x:f>1</x:f>
        <x:v>1</x:v>
      </x:c>
      <x:c r="K380" s="91" t="n">
        <x:f>K378*J380</x:f>
        <x:v>0.1638755377544182</x:v>
      </x:c>
      <x:c r="L380" s="90" t="str">
        <x:f>IF(K380&gt;0,"増加→総重量増",IF(K380&lt;0,"増加→総重量減","中立"))</x:f>
        <x:v>増加→総重量増</x:v>
      </x:c>
      <x:c r="M380" s="90" t="str">
        <x:v>設計対象</x:v>
      </x:c>
      <x:c r="N380" s="90" t="str"/>
      <x:c r="O380" s="229" t="n">
        <x:f>--(COUNTIF($B$5:$B$560,A380)=0)</x:f>
        <x:v>1</x:v>
      </x:c>
      <x:c r="P380" s="70" t="str">
        <x:f>IF(LEFT(E380,7)&lt;&gt;"Enable_","",IFERROR(IF(OR(ISNUMBER(SEARCH("=Enable",INDEX($I$5:$I$560,MATCH(B380,$A$5:$A$560,0)))),ISNUMBER(SEARCH("×Enable",INDEX($I$5:$I$560,MATCH(B380,$A$5:$A$560,0))))),1,""),""))</x:f>
      </x:c>
      <x:c r="Q380" t="n">
        <x:f>IF(E380="","",--(XMATCH(E380,$E$5:E380,0)=ROWS($E$5:E380)))</x:f>
        <x:v>0</x:v>
      </x:c>
      <x:c r="R380" t="str">
        <x:f>IF(Q380=1,SUM($Q$5:Q380),"")</x:f>
      </x:c>
    </x:row>
    <x:row r="381">
      <x:c r="A381" s="92" t="str">
        <x:v>T377</x:v>
      </x:c>
      <x:c r="B381" s="92" t="str">
        <x:v>T373</x:v>
      </x:c>
      <x:c r="C381" s="92" t="n">
        <x:v>5</x:v>
      </x:c>
      <x:c r="D381" s="92" t="str">
        <x:v>C単体リップル定格</x:v>
      </x:c>
      <x:c r="E381" s="92" t="str">
        <x:v>I_cap_unit_rating</x:v>
      </x:c>
      <x:c r="F381" s="93" t="n">
        <x:f>'01_入力仕様'!D188</x:f>
        <x:v>25</x:v>
      </x:c>
      <x:c r="G381" s="93" t="str">
        <x:v>A</x:v>
      </x:c>
      <x:c r="H381" s="93" t="n">
        <x:f>ABS(K381)*$F$5</x:f>
        <x:v>1.466331930275722</x:v>
      </x:c>
      <x:c r="I381" s="92" t="str">
        <x:v>入力仕様</x:v>
      </x:c>
      <x:c r="J381" s="93" t="n">
        <x:f>-1</x:f>
        <x:v>-1</x:v>
      </x:c>
      <x:c r="K381" s="93" t="n">
        <x:f>K377*J381</x:f>
        <x:v>-0.1638755377544182</x:v>
      </x:c>
      <x:c r="L381" s="92" t="str">
        <x:f>IF(K381&gt;0,"増加→総重量増",IF(K381&lt;0,"増加→総重量減","中立"))</x:f>
        <x:v>増加→総重量減</x:v>
      </x:c>
      <x:c r="M381" s="92" t="str">
        <x:v>設計対象</x:v>
      </x:c>
      <x:c r="N381" s="92" t="str"/>
      <x:c r="O381" s="229" t="n">
        <x:f>--(COUNTIF($B$5:$B$560,A381)=0)</x:f>
        <x:v>1</x:v>
      </x:c>
      <x:c r="P381" s="70" t="str">
        <x:f>IF(LEFT(E381,7)&lt;&gt;"Enable_","",IFERROR(IF(OR(ISNUMBER(SEARCH("=Enable",INDEX($I$5:$I$560,MATCH(B381,$A$5:$A$560,0)))),ISNUMBER(SEARCH("×Enable",INDEX($I$5:$I$560,MATCH(B381,$A$5:$A$560,0))))),1,""),""))</x:f>
      </x:c>
      <x:c r="Q381" t="n">
        <x:f>IF(E381="","",--(XMATCH(E381,$E$5:E381,0)=ROWS($E$5:E381)))</x:f>
        <x:v>1</x:v>
      </x:c>
      <x:c r="R381" t="n">
        <x:f>IF(Q381=1,SUM($Q$5:Q381),"")</x:f>
        <x:v>288</x:v>
      </x:c>
    </x:row>
    <x:row r="382">
      <x:c r="A382" s="90" t="str">
        <x:v>T378</x:v>
      </x:c>
      <x:c r="B382" s="90" t="str">
        <x:v>T372</x:v>
      </x:c>
      <x:c r="C382" s="90" t="n">
        <x:v>4</x:v>
      </x:c>
      <x:c r="D382" s="90" t="str">
        <x:v>寿命個数係数</x:v>
      </x:c>
      <x:c r="E382" s="90" t="str">
        <x:v>k_life_cap</x:v>
      </x:c>
      <x:c r="F382" s="91" t="n">
        <x:f>MAX(1,'01_入力仕様'!D194/F383)</x:f>
        <x:v>1.2157870824853216</x:v>
      </x:c>
      <x:c r="G382" s="91" t="str">
        <x:v>-</x:v>
      </x:c>
      <x:c r="H382" s="91" t="n">
        <x:f>ABS(K382)*$F$5</x:f>
        <x:v>1.466331930275722</x:v>
      </x:c>
      <x:c r="I382" s="90" t="str">
        <x:v>MAX(1,life_cap_req/life_cap)</x:v>
      </x:c>
      <x:c r="J382" s="91" t="n">
        <x:f>1</x:f>
        <x:v>1</x:v>
      </x:c>
      <x:c r="K382" s="91" t="n">
        <x:f>K376*J382</x:f>
        <x:v>0.1638755377544182</x:v>
      </x:c>
      <x:c r="L382" s="90" t="str">
        <x:f>IF(K382&gt;0,"増加→総重量増",IF(K382&lt;0,"増加→総重量減","中立"))</x:f>
        <x:v>増加→総重量増</x:v>
      </x:c>
      <x:c r="M382" s="90" t="str">
        <x:v>設計対象</x:v>
      </x:c>
      <x:c r="N382" s="90" t="str"/>
      <x:c r="O382" s="229" t="n">
        <x:f>--(COUNTIF($B$5:$B$560,A382)=0)</x:f>
        <x:v>0</x:v>
      </x:c>
      <x:c r="P382" s="70" t="str">
        <x:f>IF(LEFT(E382,7)&lt;&gt;"Enable_","",IFERROR(IF(OR(ISNUMBER(SEARCH("=Enable",INDEX($I$5:$I$560,MATCH(B382,$A$5:$A$560,0)))),ISNUMBER(SEARCH("×Enable",INDEX($I$5:$I$560,MATCH(B382,$A$5:$A$560,0))))),1,""),""))</x:f>
      </x:c>
      <x:c r="Q382" t="n">
        <x:f>IF(E382="","",--(XMATCH(E382,$E$5:E382,0)=ROWS($E$5:E382)))</x:f>
        <x:v>1</x:v>
      </x:c>
      <x:c r="R382" t="n">
        <x:f>IF(Q382=1,SUM($Q$5:Q382),"")</x:f>
        <x:v>289</x:v>
      </x:c>
    </x:row>
    <x:row r="383">
      <x:c r="A383" s="90" t="str">
        <x:v>T379</x:v>
      </x:c>
      <x:c r="B383" s="90" t="str">
        <x:v>T378</x:v>
      </x:c>
      <x:c r="C383" s="90" t="n">
        <x:v>5</x:v>
      </x:c>
      <x:c r="D383" s="90" t="str">
        <x:v>推定寿命</x:v>
      </x:c>
      <x:c r="E383" s="90" t="str">
        <x:v>life_cap</x:v>
      </x:c>
      <x:c r="F383" s="91" t="n">
        <x:f>'01_入力仕様'!D193*2^(('01_入力仕様'!D192-F384)/10)</x:f>
        <x:v>123376.86603263525</x:v>
      </x:c>
      <x:c r="G383" s="91" t="str">
        <x:v>h</x:v>
      </x:c>
      <x:c r="H383" s="91" t="n">
        <x:f>ABS(K383)*$F$5</x:f>
        <x:v>1.466331930275722</x:v>
      </x:c>
      <x:c r="I383" s="90" t="str">
        <x:v>life_ref×2^((T_ref-T_hot)/10)</x:v>
      </x:c>
      <x:c r="J383" s="91" t="n">
        <x:f>IF(('01_入力仕様'!D194&gt;F383),-1,0)</x:f>
        <x:v>-1</x:v>
      </x:c>
      <x:c r="K383" s="91" t="n">
        <x:f>K382*J383</x:f>
        <x:v>-0.1638755377544182</x:v>
      </x:c>
      <x:c r="L383" s="90" t="str">
        <x:f>IF(K383&gt;0,"増加→総重量増",IF(K383&lt;0,"増加→総重量減","中立"))</x:f>
        <x:v>増加→総重量減</x:v>
      </x:c>
      <x:c r="M383" s="90" t="str">
        <x:v>設計対象</x:v>
      </x:c>
      <x:c r="N383" s="90" t="str"/>
      <x:c r="O383" s="229" t="n">
        <x:f>--(COUNTIF($B$5:$B$560,A383)=0)</x:f>
        <x:v>0</x:v>
      </x:c>
      <x:c r="P383" s="70" t="str">
        <x:f>IF(LEFT(E383,7)&lt;&gt;"Enable_","",IFERROR(IF(OR(ISNUMBER(SEARCH("=Enable",INDEX($I$5:$I$560,MATCH(B383,$A$5:$A$560,0)))),ISNUMBER(SEARCH("×Enable",INDEX($I$5:$I$560,MATCH(B383,$A$5:$A$560,0))))),1,""),""))</x:f>
      </x:c>
      <x:c r="Q383" t="n">
        <x:f>IF(E383="","",--(XMATCH(E383,$E$5:E383,0)=ROWS($E$5:E383)))</x:f>
        <x:v>1</x:v>
      </x:c>
      <x:c r="R383" t="n">
        <x:f>IF(Q383=1,SUM($Q$5:Q383),"")</x:f>
        <x:v>290</x:v>
      </x:c>
    </x:row>
    <x:row r="384">
      <x:c r="A384" s="90" t="str">
        <x:v>T380</x:v>
      </x:c>
      <x:c r="B384" s="90" t="str">
        <x:v>T379</x:v>
      </x:c>
      <x:c r="C384" s="90" t="n">
        <x:v>6</x:v>
      </x:c>
      <x:c r="D384" s="90" t="str">
        <x:v>Cホットスポット温度</x:v>
      </x:c>
      <x:c r="E384" s="90" t="str">
        <x:v>T_cap_hot</x:v>
      </x:c>
      <x:c r="F384" s="91" t="n">
        <x:f>'01_入力仕様'!D60+'01_入力仕様'!D188^2*'01_入力仕様'!D190*'01_入力仕様'!D191</x:f>
        <x:v>48.75</x:v>
      </x:c>
      <x:c r="G384" s="91" t="str">
        <x:v>°C</x:v>
      </x:c>
      <x:c r="H384" s="91" t="n">
        <x:f>ABS(K384)*$F$5</x:f>
        <x:v>4.95487123577374</x:v>
      </x:c>
      <x:c r="I384" s="90" t="str">
        <x:v>T_amb+(I_C_rms/N_cap_ripple)^2×ESR×Rth</x:v>
      </x:c>
      <x:c r="J384" s="91" t="n">
        <x:f>-F384*(LN(2)/10)</x:f>
        <x:v>-3.379092505229733</x:v>
      </x:c>
      <x:c r="K384" s="91" t="n">
        <x:f>K383*J384</x:f>
        <x:v>0.5537506014164467</x:v>
      </x:c>
      <x:c r="L384" s="90" t="str">
        <x:f>IF(K384&gt;0,"増加→総重量増",IF(K384&lt;0,"増加→総重量減","中立"))</x:f>
        <x:v>増加→総重量増</x:v>
      </x:c>
      <x:c r="M384" s="90" t="str">
        <x:v>設計対象</x:v>
      </x:c>
      <x:c r="N384" s="90" t="str"/>
      <x:c r="O384" s="229" t="n">
        <x:f>--(COUNTIF($B$5:$B$560,A384)=0)</x:f>
        <x:v>0</x:v>
      </x:c>
      <x:c r="P384" s="70" t="str">
        <x:f>IF(LEFT(E384,7)&lt;&gt;"Enable_","",IFERROR(IF(OR(ISNUMBER(SEARCH("=Enable",INDEX($I$5:$I$560,MATCH(B384,$A$5:$A$560,0)))),ISNUMBER(SEARCH("×Enable",INDEX($I$5:$I$560,MATCH(B384,$A$5:$A$560,0))))),1,""),""))</x:f>
      </x:c>
      <x:c r="Q384" t="n">
        <x:f>IF(E384="","",--(XMATCH(E384,$E$5:E384,0)=ROWS($E$5:E384)))</x:f>
        <x:v>1</x:v>
      </x:c>
      <x:c r="R384" t="n">
        <x:f>IF(Q384=1,SUM($Q$5:Q384),"")</x:f>
        <x:v>291</x:v>
      </x:c>
    </x:row>
    <x:row r="385">
      <x:c r="A385" s="92" t="str">
        <x:v>T381</x:v>
      </x:c>
      <x:c r="B385" s="92" t="str">
        <x:v>T380</x:v>
      </x:c>
      <x:c r="C385" s="92" t="n">
        <x:v>7</x:v>
      </x:c>
      <x:c r="D385" s="92" t="str">
        <x:v>周囲温度</x:v>
      </x:c>
      <x:c r="E385" s="92" t="str">
        <x:v>T_amb</x:v>
      </x:c>
      <x:c r="F385" s="93" t="n">
        <x:f>'01_入力仕様'!D60</x:f>
        <x:v>45</x:v>
      </x:c>
      <x:c r="G385" s="93" t="str">
        <x:v>°C</x:v>
      </x:c>
      <x:c r="H385" s="93" t="n">
        <x:f>ABS(K385)*$F$5</x:f>
        <x:v>4.573727294560376</x:v>
      </x:c>
      <x:c r="I385" s="92" t="str">
        <x:v>入力仕様</x:v>
      </x:c>
      <x:c r="J385" s="93" t="n">
        <x:f>'01_入力仕様'!D60/F384</x:f>
        <x:v>0.9230769230769231</x:v>
      </x:c>
      <x:c r="K385" s="93" t="n">
        <x:f>K384*J385</x:f>
        <x:v>0.5111544013074893</x:v>
      </x:c>
      <x:c r="L385" s="92" t="str">
        <x:f>IF(K385&gt;0,"増加→総重量増",IF(K385&lt;0,"増加→総重量減","中立"))</x:f>
        <x:v>増加→総重量増</x:v>
      </x:c>
      <x:c r="M385" s="92" t="str">
        <x:v>設計対象</x:v>
      </x:c>
      <x:c r="N385" s="92" t="str"/>
      <x:c r="O385" s="229" t="n">
        <x:f>--(COUNTIF($B$5:$B$560,A385)=0)</x:f>
        <x:v>1</x:v>
      </x:c>
      <x:c r="P385" s="70" t="str">
        <x:f>IF(LEFT(E385,7)&lt;&gt;"Enable_","",IFERROR(IF(OR(ISNUMBER(SEARCH("=Enable",INDEX($I$5:$I$560,MATCH(B385,$A$5:$A$560,0)))),ISNUMBER(SEARCH("×Enable",INDEX($I$5:$I$560,MATCH(B385,$A$5:$A$560,0))))),1,""),""))</x:f>
      </x:c>
      <x:c r="Q385" t="n">
        <x:f>IF(E385="","",--(XMATCH(E385,$E$5:E385,0)=ROWS($E$5:E385)))</x:f>
        <x:v>0</x:v>
      </x:c>
      <x:c r="R385" t="str">
        <x:f>IF(Q385=1,SUM($Q$5:Q385),"")</x:f>
      </x:c>
    </x:row>
    <x:row r="386">
      <x:c r="A386" s="92" t="str">
        <x:v>T382</x:v>
      </x:c>
      <x:c r="B386" s="92" t="str">
        <x:v>T380</x:v>
      </x:c>
      <x:c r="C386" s="92" t="n">
        <x:v>7</x:v>
      </x:c>
      <x:c r="D386" s="92" t="str">
        <x:v>C単体ESR</x:v>
      </x:c>
      <x:c r="E386" s="92" t="str">
        <x:v>ESR_cap</x:v>
      </x:c>
      <x:c r="F386" s="93" t="n">
        <x:f>'01_入力仕様'!D190</x:f>
        <x:v>0.003</x:v>
      </x:c>
      <x:c r="G386" s="93" t="str">
        <x:v>Ω</x:v>
      </x:c>
      <x:c r="H386" s="93" t="n">
        <x:f>ABS(K386)*$F$5</x:f>
        <x:v>0.38114394121336465</x:v>
      </x:c>
      <x:c r="I386" s="92" t="str">
        <x:v>入力仕様</x:v>
      </x:c>
      <x:c r="J386" s="93" t="n">
        <x:f>('01_入力仕様'!D188^2*'01_入力仕様'!D190*'01_入力仕様'!D191)/F384</x:f>
        <x:v>0.07692307692307693</x:v>
      </x:c>
      <x:c r="K386" s="93" t="n">
        <x:f>K384*J386</x:f>
        <x:v>0.04259620010895744</x:v>
      </x:c>
      <x:c r="L386" s="92" t="str">
        <x:f>IF(K386&gt;0,"増加→総重量増",IF(K386&lt;0,"増加→総重量減","中立"))</x:f>
        <x:v>増加→総重量増</x:v>
      </x:c>
      <x:c r="M386" s="92" t="str">
        <x:v>設計対象</x:v>
      </x:c>
      <x:c r="N386" s="92" t="str"/>
      <x:c r="O386" s="229" t="n">
        <x:f>--(COUNTIF($B$5:$B$560,A386)=0)</x:f>
        <x:v>1</x:v>
      </x:c>
      <x:c r="P386" s="70" t="str">
        <x:f>IF(LEFT(E386,7)&lt;&gt;"Enable_","",IFERROR(IF(OR(ISNUMBER(SEARCH("=Enable",INDEX($I$5:$I$560,MATCH(B386,$A$5:$A$560,0)))),ISNUMBER(SEARCH("×Enable",INDEX($I$5:$I$560,MATCH(B386,$A$5:$A$560,0))))),1,""),""))</x:f>
      </x:c>
      <x:c r="Q386" t="n">
        <x:f>IF(E386="","",--(XMATCH(E386,$E$5:E386,0)=ROWS($E$5:E386)))</x:f>
        <x:v>1</x:v>
      </x:c>
      <x:c r="R386" t="n">
        <x:f>IF(Q386=1,SUM($Q$5:Q386),"")</x:f>
        <x:v>292</x:v>
      </x:c>
    </x:row>
    <x:row r="387">
      <x:c r="A387" s="92" t="str">
        <x:v>T383</x:v>
      </x:c>
      <x:c r="B387" s="92" t="str">
        <x:v>T380</x:v>
      </x:c>
      <x:c r="C387" s="92" t="n">
        <x:v>7</x:v>
      </x:c>
      <x:c r="D387" s="92" t="str">
        <x:v>C熱抵抗</x:v>
      </x:c>
      <x:c r="E387" s="92" t="str">
        <x:v>Rth_cap</x:v>
      </x:c>
      <x:c r="F387" s="93" t="n">
        <x:f>'01_入力仕様'!D191</x:f>
        <x:v>2</x:v>
      </x:c>
      <x:c r="G387" s="93" t="str">
        <x:v>K/W</x:v>
      </x:c>
      <x:c r="H387" s="93" t="n">
        <x:f>ABS(K387)*$F$5</x:f>
        <x:v>0.38114394121336465</x:v>
      </x:c>
      <x:c r="I387" s="92" t="str">
        <x:v>入力仕様</x:v>
      </x:c>
      <x:c r="J387" s="93" t="n">
        <x:f>('01_入力仕様'!D188^2*'01_入力仕様'!D190*'01_入力仕様'!D191)/F384</x:f>
        <x:v>0.07692307692307693</x:v>
      </x:c>
      <x:c r="K387" s="93" t="n">
        <x:f>K384*J387</x:f>
        <x:v>0.04259620010895744</x:v>
      </x:c>
      <x:c r="L387" s="92" t="str">
        <x:f>IF(K387&gt;0,"増加→総重量増",IF(K387&lt;0,"増加→総重量減","中立"))</x:f>
        <x:v>増加→総重量増</x:v>
      </x:c>
      <x:c r="M387" s="92" t="str">
        <x:v>設計対象</x:v>
      </x:c>
      <x:c r="N387" s="92" t="str"/>
      <x:c r="O387" s="229" t="n">
        <x:f>--(COUNTIF($B$5:$B$560,A387)=0)</x:f>
        <x:v>1</x:v>
      </x:c>
      <x:c r="P387" s="70" t="str">
        <x:f>IF(LEFT(E387,7)&lt;&gt;"Enable_","",IFERROR(IF(OR(ISNUMBER(SEARCH("=Enable",INDEX($I$5:$I$560,MATCH(B387,$A$5:$A$560,0)))),ISNUMBER(SEARCH("×Enable",INDEX($I$5:$I$560,MATCH(B387,$A$5:$A$560,0))))),1,""),""))</x:f>
      </x:c>
      <x:c r="Q387" t="n">
        <x:f>IF(E387="","",--(XMATCH(E387,$E$5:E387,0)=ROWS($E$5:E387)))</x:f>
        <x:v>1</x:v>
      </x:c>
      <x:c r="R387" t="n">
        <x:f>IF(Q387=1,SUM($Q$5:Q387),"")</x:f>
        <x:v>293</x:v>
      </x:c>
    </x:row>
    <x:row r="388">
      <x:c r="A388" s="92" t="str">
        <x:v>T384</x:v>
      </x:c>
      <x:c r="B388" s="92" t="str">
        <x:v>T379</x:v>
      </x:c>
      <x:c r="C388" s="92" t="n">
        <x:v>6</x:v>
      </x:c>
      <x:c r="D388" s="92" t="str">
        <x:v>寿命基準温度</x:v>
      </x:c>
      <x:c r="E388" s="92" t="str">
        <x:v>T_cap_life_ref</x:v>
      </x:c>
      <x:c r="F388" s="93" t="n">
        <x:f>'01_入力仕様'!D192</x:f>
        <x:v>85</x:v>
      </x:c>
      <x:c r="G388" s="93" t="str">
        <x:v>°C</x:v>
      </x:c>
      <x:c r="H388" s="93" t="n">
        <x:f>ABS(K388)*$F$5</x:f>
        <x:v>8.639262667502932</x:v>
      </x:c>
      <x:c r="I388" s="92" t="str">
        <x:v>入力仕様</x:v>
      </x:c>
      <x:c r="J388" s="93" t="n">
        <x:f>'01_入力仕様'!D192*(LN(2)/10)</x:f>
        <x:v>5.891751034759535</x:v>
      </x:c>
      <x:c r="K388" s="93" t="n">
        <x:f>K383*J388</x:f>
        <x:v>-0.9655138691363687</x:v>
      </x:c>
      <x:c r="L388" s="92" t="str">
        <x:f>IF(K388&gt;0,"増加→総重量増",IF(K388&lt;0,"増加→総重量減","中立"))</x:f>
        <x:v>増加→総重量減</x:v>
      </x:c>
      <x:c r="M388" s="92" t="str">
        <x:v>設計対象</x:v>
      </x:c>
      <x:c r="N388" s="92" t="str"/>
      <x:c r="O388" s="229" t="n">
        <x:f>--(COUNTIF($B$5:$B$560,A388)=0)</x:f>
        <x:v>1</x:v>
      </x:c>
      <x:c r="P388" s="70" t="str">
        <x:f>IF(LEFT(E388,7)&lt;&gt;"Enable_","",IFERROR(IF(OR(ISNUMBER(SEARCH("=Enable",INDEX($I$5:$I$560,MATCH(B388,$A$5:$A$560,0)))),ISNUMBER(SEARCH("×Enable",INDEX($I$5:$I$560,MATCH(B388,$A$5:$A$560,0))))),1,""),""))</x:f>
      </x:c>
      <x:c r="Q388" t="n">
        <x:f>IF(E388="","",--(XMATCH(E388,$E$5:E388,0)=ROWS($E$5:E388)))</x:f>
        <x:v>1</x:v>
      </x:c>
      <x:c r="R388" t="n">
        <x:f>IF(Q388=1,SUM($Q$5:Q388),"")</x:f>
        <x:v>294</x:v>
      </x:c>
    </x:row>
    <x:row r="389">
      <x:c r="A389" s="92" t="str">
        <x:v>T385</x:v>
      </x:c>
      <x:c r="B389" s="92" t="str">
        <x:v>T379</x:v>
      </x:c>
      <x:c r="C389" s="92" t="n">
        <x:v>6</x:v>
      </x:c>
      <x:c r="D389" s="92" t="str">
        <x:v>基準寿命</x:v>
      </x:c>
      <x:c r="E389" s="92" t="str">
        <x:v>life_cap_ref</x:v>
      </x:c>
      <x:c r="F389" s="93" t="n">
        <x:f>'01_入力仕様'!D193</x:f>
        <x:v>10000</x:v>
      </x:c>
      <x:c r="G389" s="93" t="str">
        <x:v>h</x:v>
      </x:c>
      <x:c r="H389" s="93" t="n">
        <x:f>ABS(K389)*$F$5</x:f>
        <x:v>1.466331930275722</x:v>
      </x:c>
      <x:c r="I389" s="92" t="str">
        <x:v>入力仕様</x:v>
      </x:c>
      <x:c r="J389" s="93" t="n">
        <x:f>1</x:f>
        <x:v>1</x:v>
      </x:c>
      <x:c r="K389" s="93" t="n">
        <x:f>K383*J389</x:f>
        <x:v>-0.1638755377544182</x:v>
      </x:c>
      <x:c r="L389" s="92" t="str">
        <x:f>IF(K389&gt;0,"増加→総重量増",IF(K389&lt;0,"増加→総重量減","中立"))</x:f>
        <x:v>増加→総重量減</x:v>
      </x:c>
      <x:c r="M389" s="92" t="str">
        <x:v>設計対象</x:v>
      </x:c>
      <x:c r="N389" s="92" t="str"/>
      <x:c r="O389" s="229" t="n">
        <x:f>--(COUNTIF($B$5:$B$560,A389)=0)</x:f>
        <x:v>1</x:v>
      </x:c>
      <x:c r="P389" s="70" t="str">
        <x:f>IF(LEFT(E389,7)&lt;&gt;"Enable_","",IFERROR(IF(OR(ISNUMBER(SEARCH("=Enable",INDEX($I$5:$I$560,MATCH(B389,$A$5:$A$560,0)))),ISNUMBER(SEARCH("×Enable",INDEX($I$5:$I$560,MATCH(B389,$A$5:$A$560,0))))),1,""),""))</x:f>
      </x:c>
      <x:c r="Q389" t="n">
        <x:f>IF(E389="","",--(XMATCH(E389,$E$5:E389,0)=ROWS($E$5:E389)))</x:f>
        <x:v>1</x:v>
      </x:c>
      <x:c r="R389" t="n">
        <x:f>IF(Q389=1,SUM($Q$5:Q389),"")</x:f>
        <x:v>295</x:v>
      </x:c>
    </x:row>
    <x:row r="390">
      <x:c r="A390" s="92" t="str">
        <x:v>T386</x:v>
      </x:c>
      <x:c r="B390" s="92" t="str">
        <x:v>T378</x:v>
      </x:c>
      <x:c r="C390" s="92" t="n">
        <x:v>5</x:v>
      </x:c>
      <x:c r="D390" s="92" t="str">
        <x:v>要求寿命</x:v>
      </x:c>
      <x:c r="E390" s="92" t="str">
        <x:v>life_cap_req</x:v>
      </x:c>
      <x:c r="F390" s="93" t="n">
        <x:f>'01_入力仕様'!D194</x:f>
        <x:v>150000</x:v>
      </x:c>
      <x:c r="G390" s="93" t="str">
        <x:v>h</x:v>
      </x:c>
      <x:c r="H390" s="93" t="n">
        <x:f>ABS(K390)*$F$5</x:f>
        <x:v>1.466331930275722</x:v>
      </x:c>
      <x:c r="I390" s="92" t="str">
        <x:v>入力仕様</x:v>
      </x:c>
      <x:c r="J390" s="93" t="n">
        <x:f>IF(('01_入力仕様'!D194&gt;F383),1,0)</x:f>
        <x:v>1</x:v>
      </x:c>
      <x:c r="K390" s="93" t="n">
        <x:f>K382*J390</x:f>
        <x:v>0.1638755377544182</x:v>
      </x:c>
      <x:c r="L390" s="92" t="str">
        <x:f>IF(K390&gt;0,"増加→総重量増",IF(K390&lt;0,"増加→総重量減","中立"))</x:f>
        <x:v>増加→総重量増</x:v>
      </x:c>
      <x:c r="M390" s="92" t="str">
        <x:v>設計対象</x:v>
      </x:c>
      <x:c r="N390" s="92" t="str"/>
      <x:c r="O390" s="229" t="n">
        <x:f>--(COUNTIF($B$5:$B$560,A390)=0)</x:f>
        <x:v>1</x:v>
      </x:c>
      <x:c r="P390" s="70" t="str">
        <x:f>IF(LEFT(E390,7)&lt;&gt;"Enable_","",IFERROR(IF(OR(ISNUMBER(SEARCH("=Enable",INDEX($I$5:$I$560,MATCH(B390,$A$5:$A$560,0)))),ISNUMBER(SEARCH("×Enable",INDEX($I$5:$I$560,MATCH(B390,$A$5:$A$560,0))))),1,""),""))</x:f>
      </x:c>
      <x:c r="Q390" t="n">
        <x:f>IF(E390="","",--(XMATCH(E390,$E$5:E390,0)=ROWS($E$5:E390)))</x:f>
        <x:v>1</x:v>
      </x:c>
      <x:c r="R390" t="n">
        <x:f>IF(Q390=1,SUM($Q$5:Q390),"")</x:f>
        <x:v>296</x:v>
      </x:c>
    </x:row>
    <x:row r="391">
      <x:c r="A391" s="90" t="str">
        <x:v>T387</x:v>
      </x:c>
      <x:c r="B391" s="90" t="str">
        <x:v>T371</x:v>
      </x:c>
      <x:c r="C391" s="90" t="n">
        <x:v>3</x:v>
      </x:c>
      <x:c r="D391" s="90" t="str">
        <x:v>エネルギー等価個数</x:v>
      </x:c>
      <x:c r="E391" s="90" t="str">
        <x:v>N_cap_energy</x:v>
      </x:c>
      <x:c r="F391" s="91" t="n">
        <x:f>F399/'01_入力仕様'!D189</x:f>
        <x:v>3.2226373506380575</x:v>
      </x:c>
      <x:c r="G391" s="91" t="str">
        <x:v>個</x:v>
      </x:c>
      <x:c r="H391" s="91" t="n">
        <x:f>ABS(K391)*$F$5</x:f>
        <x:v>1.1279230727233203</x:v>
      </x:c>
      <x:c r="I391" s="90" t="str">
        <x:v>m_cap_active/m_cap_unit</x:v>
      </x:c>
      <x:c r="J391" s="91" t="n">
        <x:f>IF(((F376-F391)&gt;0),-F391/(F376-F391),0)</x:f>
        <x:v>-3.3330187657652064</x:v>
      </x:c>
      <x:c r="K391" s="91" t="n">
        <x:f>K375*J391</x:f>
        <x:v>-0.12605536050312538</x:v>
      </x:c>
      <x:c r="L391" s="90" t="str">
        <x:f>IF(K391&gt;0,"増加→総重量増",IF(K391&lt;0,"増加→総重量減","中立"))</x:f>
        <x:v>増加→総重量減</x:v>
      </x:c>
      <x:c r="M391" s="90" t="str">
        <x:v>設計対象</x:v>
      </x:c>
      <x:c r="N391" s="90" t="str"/>
      <x:c r="O391" s="229" t="n">
        <x:f>--(COUNTIF($B$5:$B$560,A391)=0)</x:f>
        <x:v>0</x:v>
      </x:c>
      <x:c r="P391" s="70" t="str">
        <x:f>IF(LEFT(E391,7)&lt;&gt;"Enable_","",IFERROR(IF(OR(ISNUMBER(SEARCH("=Enable",INDEX($I$5:$I$560,MATCH(B391,$A$5:$A$560,0)))),ISNUMBER(SEARCH("×Enable",INDEX($I$5:$I$560,MATCH(B391,$A$5:$A$560,0))))),1,""),""))</x:f>
      </x:c>
      <x:c r="Q391" t="n">
        <x:f>IF(E391="","",--(XMATCH(E391,$E$5:E391,0)=ROWS($E$5:E391)))</x:f>
        <x:v>1</x:v>
      </x:c>
      <x:c r="R391" t="n">
        <x:f>IF(Q391=1,SUM($Q$5:Q391),"")</x:f>
        <x:v>297</x:v>
      </x:c>
    </x:row>
    <x:row r="392">
      <x:c r="A392" s="92" t="str">
        <x:v>T388</x:v>
      </x:c>
      <x:c r="B392" s="92" t="str">
        <x:v>T371</x:v>
      </x:c>
      <x:c r="C392" s="92" t="n">
        <x:v>3</x:v>
      </x:c>
      <x:c r="D392" s="92" t="str">
        <x:v>C単体重量</x:v>
      </x:c>
      <x:c r="E392" s="92" t="str">
        <x:v>m_cap_unit</x:v>
      </x:c>
      <x:c r="F392" s="93" t="n">
        <x:f>'01_入力仕様'!D189</x:f>
        <x:v>0.35</x:v>
      </x:c>
      <x:c r="G392" s="93" t="str">
        <x:v>kg/個</x:v>
      </x:c>
      <x:c r="H392" s="93" t="n">
        <x:f>ABS(K392)*$F$5</x:f>
        <x:v>0.33840885755240196</x:v>
      </x:c>
      <x:c r="I392" s="92" t="str">
        <x:v>入力仕様</x:v>
      </x:c>
      <x:c r="J392" s="93" t="n">
        <x:f>IF(((F376-F391)&gt;0),1,0)</x:f>
        <x:v>1</x:v>
      </x:c>
      <x:c r="K392" s="93" t="n">
        <x:f>K375*J392</x:f>
        <x:v>0.03782017725129284</x:v>
      </x:c>
      <x:c r="L392" s="92" t="str">
        <x:f>IF(K392&gt;0,"増加→総重量増",IF(K392&lt;0,"増加→総重量減","中立"))</x:f>
        <x:v>増加→総重量増</x:v>
      </x:c>
      <x:c r="M392" s="92" t="str">
        <x:v>設計対象</x:v>
      </x:c>
      <x:c r="N392" s="92" t="str"/>
      <x:c r="O392" s="229" t="n">
        <x:f>--(COUNTIF($B$5:$B$560,A392)=0)</x:f>
        <x:v>1</x:v>
      </x:c>
      <x:c r="P392" s="70" t="str">
        <x:f>IF(LEFT(E392,7)&lt;&gt;"Enable_","",IFERROR(IF(OR(ISNUMBER(SEARCH("=Enable",INDEX($I$5:$I$560,MATCH(B392,$A$5:$A$560,0)))),ISNUMBER(SEARCH("×Enable",INDEX($I$5:$I$560,MATCH(B392,$A$5:$A$560,0))))),1,""),""))</x:f>
      </x:c>
      <x:c r="Q392" t="n">
        <x:f>IF(E392="","",--(XMATCH(E392,$E$5:E392,0)=ROWS($E$5:E392)))</x:f>
        <x:v>1</x:v>
      </x:c>
      <x:c r="R392" t="n">
        <x:f>IF(Q392=1,SUM($Q$5:Q392),"")</x:f>
        <x:v>298</x:v>
      </x:c>
    </x:row>
    <x:row r="393">
      <x:c r="A393" s="92" t="str">
        <x:v>T389</x:v>
      </x:c>
      <x:c r="B393" s="92" t="str">
        <x:v>T308</x:v>
      </x:c>
      <x:c r="C393" s="92" t="n">
        <x:v>3</x:v>
      </x:c>
      <x:c r="D393" s="92" t="str">
        <x:v>スルーレート基準電圧</x:v>
      </x:c>
      <x:c r="E393" s="92" t="str">
        <x:v>V_slew_ref</x:v>
      </x:c>
      <x:c r="F393" s="93" t="n">
        <x:f>'01_入力仕様'!D195</x:f>
        <x:v>800</x:v>
      </x:c>
      <x:c r="G393" s="93" t="str">
        <x:v>V</x:v>
      </x:c>
      <x:c r="H393" s="93" t="n">
        <x:f>ABS(K393)*$F$5</x:f>
        <x:v>0.056</x:v>
      </x:c>
      <x:c r="I393" s="92" t="str">
        <x:v>入力仕様</x:v>
      </x:c>
      <x:c r="J393" s="93" t="n">
        <x:f>-'01_入力仕様'!D159</x:f>
        <x:v>-0.7</x:v>
      </x:c>
      <x:c r="K393" s="93" t="n">
        <x:f>K312*J393</x:f>
        <x:v>-0.006258494359133143</x:v>
      </x:c>
      <x:c r="L393" s="92" t="str">
        <x:f>IF(K393&gt;0,"増加→総重量増",IF(K393&lt;0,"増加→総重量減","中立"))</x:f>
        <x:v>増加→総重量減</x:v>
      </x:c>
      <x:c r="M393" s="92" t="str">
        <x:v>設計対象</x:v>
      </x:c>
      <x:c r="N393" s="92" t="str"/>
      <x:c r="O393" s="229" t="n">
        <x:f>--(COUNTIF($B$5:$B$560,A393)=0)</x:f>
        <x:v>1</x:v>
      </x:c>
      <x:c r="P393" s="70" t="str">
        <x:f>IF(LEFT(E393,7)&lt;&gt;"Enable_","",IFERROR(IF(OR(ISNUMBER(SEARCH("=Enable",INDEX($I$5:$I$560,MATCH(B393,$A$5:$A$560,0)))),ISNUMBER(SEARCH("×Enable",INDEX($I$5:$I$560,MATCH(B393,$A$5:$A$560,0))))),1,""),""))</x:f>
      </x:c>
      <x:c r="Q393" t="n">
        <x:f>IF(E393="","",--(XMATCH(E393,$E$5:E393,0)=ROWS($E$5:E393)))</x:f>
        <x:v>1</x:v>
      </x:c>
      <x:c r="R393" t="n">
        <x:f>IF(Q393=1,SUM($Q$5:Q393),"")</x:f>
        <x:v>299</x:v>
      </x:c>
    </x:row>
    <x:row r="394">
      <x:c r="A394" s="92" t="str">
        <x:v>T390</x:v>
      </x:c>
      <x:c r="B394" s="92" t="str">
        <x:v>T336</x:v>
      </x:c>
      <x:c r="C394" s="92" t="n">
        <x:v>3</x:v>
      </x:c>
      <x:c r="D394" s="92" t="str">
        <x:v>分離Rg追加重量</x:v>
      </x:c>
      <x:c r="E394" s="92" t="str">
        <x:v>m_split_Rg</x:v>
      </x:c>
      <x:c r="F394" s="93" t="n">
        <x:f>'01_入力仕様'!D157</x:f>
        <x:v>0.003</x:v>
      </x:c>
      <x:c r="G394" s="93" t="str">
        <x:v>kg</x:v>
      </x:c>
      <x:c r="H394" s="93" t="n">
        <x:f>ABS(K394)*$F$5</x:f>
        <x:v>0</x:v>
      </x:c>
      <x:c r="I394" s="92" t="str">
        <x:v>入力仕様</x:v>
      </x:c>
      <x:c r="J394" s="93" t="n">
        <x:f>0</x:f>
        <x:v>0</x:v>
      </x:c>
      <x:c r="K394" s="93" t="n">
        <x:f>K340*J394</x:f>
        <x:v>0</x:v>
      </x:c>
      <x:c r="L394" s="92" t="str">
        <x:f>IF(K394&gt;0,"増加→総重量増",IF(K394&lt;0,"増加→総重量減","中立"))</x:f>
        <x:v>中立</x:v>
      </x:c>
      <x:c r="M394" s="92" t="str">
        <x:v>設計対象</x:v>
      </x:c>
      <x:c r="N394" s="92" t="str"/>
      <x:c r="O394" s="229" t="n">
        <x:f>--(COUNTIF($B$5:$B$560,A394)=0)</x:f>
        <x:v>1</x:v>
      </x:c>
      <x:c r="P394" s="70" t="str">
        <x:f>IF(LEFT(E394,7)&lt;&gt;"Enable_","",IFERROR(IF(OR(ISNUMBER(SEARCH("=Enable",INDEX($I$5:$I$560,MATCH(B394,$A$5:$A$560,0)))),ISNUMBER(SEARCH("×Enable",INDEX($I$5:$I$560,MATCH(B394,$A$5:$A$560,0))))),1,""),""))</x:f>
      </x:c>
      <x:c r="Q394" t="n">
        <x:f>IF(E394="","",--(XMATCH(E394,$E$5:E394,0)=ROWS($E$5:E394)))</x:f>
        <x:v>1</x:v>
      </x:c>
      <x:c r="R394" t="n">
        <x:f>IF(Q394=1,SUM($Q$5:Q394),"")</x:f>
        <x:v>300</x:v>
      </x:c>
    </x:row>
    <x:row r="395">
      <x:c r="A395" s="92" t="str">
        <x:v>T391</x:v>
      </x:c>
      <x:c r="B395" s="92" t="str">
        <x:v>T336</x:v>
      </x:c>
      <x:c r="C395" s="92" t="n">
        <x:v>3</x:v>
      </x:c>
      <x:c r="D395" s="92" t="str">
        <x:v>適応DT追加重量</x:v>
      </x:c>
      <x:c r="E395" s="92" t="str">
        <x:v>m_adapt_DT</x:v>
      </x:c>
      <x:c r="F395" s="93" t="n">
        <x:f>'01_入力仕様'!D164</x:f>
        <x:v>0.015</x:v>
      </x:c>
      <x:c r="G395" s="93" t="str">
        <x:v>kg</x:v>
      </x:c>
      <x:c r="H395" s="93" t="n">
        <x:f>ABS(K395)*$F$5</x:f>
        <x:v>0</x:v>
      </x:c>
      <x:c r="I395" s="92" t="str">
        <x:v>入力仕様</x:v>
      </x:c>
      <x:c r="J395" s="93" t="n">
        <x:f>0</x:f>
        <x:v>0</x:v>
      </x:c>
      <x:c r="K395" s="93" t="n">
        <x:f>K340*J395</x:f>
        <x:v>0</x:v>
      </x:c>
      <x:c r="L395" s="92" t="str">
        <x:f>IF(K395&gt;0,"増加→総重量増",IF(K395&lt;0,"増加→総重量減","中立"))</x:f>
        <x:v>中立</x:v>
      </x:c>
      <x:c r="M395" s="92" t="str">
        <x:v>設計対象</x:v>
      </x:c>
      <x:c r="N395" s="92" t="str"/>
      <x:c r="O395" s="229" t="n">
        <x:f>--(COUNTIF($B$5:$B$560,A395)=0)</x:f>
        <x:v>1</x:v>
      </x:c>
      <x:c r="P395" s="70" t="str">
        <x:f>IF(LEFT(E395,7)&lt;&gt;"Enable_","",IFERROR(IF(OR(ISNUMBER(SEARCH("=Enable",INDEX($I$5:$I$560,MATCH(B395,$A$5:$A$560,0)))),ISNUMBER(SEARCH("×Enable",INDEX($I$5:$I$560,MATCH(B395,$A$5:$A$560,0))))),1,""),""))</x:f>
      </x:c>
      <x:c r="Q395" t="n">
        <x:f>IF(E395="","",--(XMATCH(E395,$E$5:E395,0)=ROWS($E$5:E395)))</x:f>
        <x:v>1</x:v>
      </x:c>
      <x:c r="R395" t="n">
        <x:f>IF(Q395=1,SUM($Q$5:Q395),"")</x:f>
        <x:v>301</x:v>
      </x:c>
    </x:row>
    <x:row r="396">
      <x:c r="A396" s="90" t="str">
        <x:v>T392</x:v>
      </x:c>
      <x:c r="B396" s="90" t="str">
        <x:v>T333</x:v>
      </x:c>
      <x:c r="C396" s="90" t="n">
        <x:v>2</x:v>
      </x:c>
      <x:c r="D396" s="90" t="str">
        <x:v>ゲート駆動損失参照</x:v>
      </x:c>
      <x:c r="E396" s="90" t="str">
        <x:v>P_gate</x:v>
      </x:c>
      <x:c r="F396" s="91" t="n">
        <x:f>F332</x:f>
        <x:v>0.24191999999999997</x:v>
      </x:c>
      <x:c r="G396" s="91" t="str">
        <x:v>W</x:v>
      </x:c>
      <x:c r="H396" s="91" t="n">
        <x:f>ABS(K396)*$F$5</x:f>
        <x:v>0.007257599999999999</x:v>
      </x:c>
      <x:c r="I396" s="90" t="str">
        <x:v>P_loss側と同一値</x:v>
      </x:c>
      <x:c r="J396" s="91" t="n">
        <x:f>IF(F337=0,0,('01_入力仕様'!D170*F332)/F337)</x:f>
        <x:v>0.37686939182452633</x:v>
      </x:c>
      <x:c r="K396" s="91" t="n">
        <x:f>K337*J396</x:f>
        <x:v>0.0008111008689436551</x:v>
      </x:c>
      <x:c r="L396" s="90" t="str">
        <x:f>IF(K396&gt;0,"増加→総重量増",IF(K396&lt;0,"増加→総重量減","中立"))</x:f>
        <x:v>増加→総重量増</x:v>
      </x:c>
      <x:c r="M396" s="90" t="str">
        <x:v>設計対象</x:v>
      </x:c>
      <x:c r="N396" s="90" t="str"/>
      <x:c r="O396" s="229" t="n">
        <x:f>--(COUNTIF($B$5:$B$560,A396)=0)</x:f>
        <x:v>1</x:v>
      </x:c>
      <x:c r="P396" s="70" t="str">
        <x:f>IF(LEFT(E396,7)&lt;&gt;"Enable_","",IFERROR(IF(OR(ISNUMBER(SEARCH("=Enable",INDEX($I$5:$I$560,MATCH(B396,$A$5:$A$560,0)))),ISNUMBER(SEARCH("×Enable",INDEX($I$5:$I$560,MATCH(B396,$A$5:$A$560,0))))),1,""),""))</x:f>
      </x:c>
      <x:c r="Q396" t="n">
        <x:f>IF(E396="","",--(XMATCH(E396,$E$5:E396,0)=ROWS($E$5:E396)))</x:f>
        <x:v>0</x:v>
      </x:c>
      <x:c r="R396" t="str">
        <x:f>IF(Q396=1,SUM($Q$5:Q396),"")</x:f>
      </x:c>
    </x:row>
    <x:row r="397">
      <x:c r="A397" s="92" t="str">
        <x:v>T393</x:v>
      </x:c>
      <x:c r="B397" s="92" t="str">
        <x:v>T333</x:v>
      </x:c>
      <x:c r="C397" s="92" t="n">
        <x:v>2</x:v>
      </x:c>
      <x:c r="D397" s="92" t="str">
        <x:v>負ゲート電圧</x:v>
      </x:c>
      <x:c r="E397" s="92" t="str">
        <x:v>Vgs_off</x:v>
      </x:c>
      <x:c r="F397" s="93" t="n">
        <x:f>'01_入力仕様'!D166</x:f>
        <x:v>-3</x:v>
      </x:c>
      <x:c r="G397" s="93" t="str">
        <x:v>V</x:v>
      </x:c>
      <x:c r="H397" s="93" t="n">
        <x:f>ABS(K397)*$F$5</x:f>
        <x:v>0.012</x:v>
      </x:c>
      <x:c r="I397" s="92" t="str">
        <x:v>入力仕様</x:v>
      </x:c>
      <x:c r="J397" s="93" t="n">
        <x:f>IF(F337=0,0,('01_入力仕様'!D171*ABS('01_入力仕様'!D166))/F337)</x:f>
        <x:v>0.6231306081754736</x:v>
      </x:c>
      <x:c r="K397" s="93" t="n">
        <x:f>K337*J397</x:f>
        <x:v>0.0013411059340999593</x:v>
      </x:c>
      <x:c r="L397" s="92" t="str">
        <x:f>IF(K397&gt;0,"増加→総重量増",IF(K397&lt;0,"増加→総重量減","中立"))</x:f>
        <x:v>増加→総重量増</x:v>
      </x:c>
      <x:c r="M397" s="92" t="str">
        <x:v>設計対象</x:v>
      </x:c>
      <x:c r="N397" s="92" t="str"/>
      <x:c r="O397" s="229" t="n">
        <x:f>--(COUNTIF($B$5:$B$560,A397)=0)</x:f>
        <x:v>1</x:v>
      </x:c>
      <x:c r="P397" s="70" t="str">
        <x:f>IF(LEFT(E397,7)&lt;&gt;"Enable_","",IFERROR(IF(OR(ISNUMBER(SEARCH("=Enable",INDEX($I$5:$I$560,MATCH(B397,$A$5:$A$560,0)))),ISNUMBER(SEARCH("×Enable",INDEX($I$5:$I$560,MATCH(B397,$A$5:$A$560,0))))),1,""),""))</x:f>
      </x:c>
      <x:c r="Q397" t="n">
        <x:f>IF(E397="","",--(XMATCH(E397,$E$5:E397,0)=ROWS($E$5:E397)))</x:f>
        <x:v>0</x:v>
      </x:c>
      <x:c r="R397" t="str">
        <x:f>IF(Q397=1,SUM($Q$5:Q397),"")</x:f>
      </x:c>
    </x:row>
    <x:row r="398">
      <x:c r="A398" s="92" t="str">
        <x:v>T394</x:v>
      </x:c>
      <x:c r="B398" s="92" t="str">
        <x:v>T380</x:v>
      </x:c>
      <x:c r="C398" s="92" t="n">
        <x:v>7</x:v>
      </x:c>
      <x:c r="D398" s="92" t="str">
        <x:v>C単体リップル定格</x:v>
      </x:c>
      <x:c r="E398" s="92" t="str">
        <x:v>I_cap_unit_rating</x:v>
      </x:c>
      <x:c r="F398" s="93" t="n">
        <x:f>'01_入力仕様'!D188</x:f>
        <x:v>25</x:v>
      </x:c>
      <x:c r="G398" s="93" t="str">
        <x:v>A</x:v>
      </x:c>
      <x:c r="H398" s="93" t="n">
        <x:f>ABS(K398)*$F$5</x:f>
        <x:v>0.7622878824267293</x:v>
      </x:c>
      <x:c r="I398" s="92" t="str">
        <x:v>入力仕様</x:v>
      </x:c>
      <x:c r="J398" s="93" t="n">
        <x:f>2*('01_入力仕様'!D188^2*'01_入力仕様'!D190*'01_入力仕様'!D191)/F384</x:f>
        <x:v>0.15384615384615385</x:v>
      </x:c>
      <x:c r="K398" s="93" t="n">
        <x:f>K384*J398</x:f>
        <x:v>0.08519240021791488</x:v>
      </x:c>
      <x:c r="L398" s="92" t="str">
        <x:f>IF(K398&gt;0,"増加→総重量増",IF(K398&lt;0,"増加→総重量減","中立"))</x:f>
        <x:v>増加→総重量増</x:v>
      </x:c>
      <x:c r="M398" s="92" t="str">
        <x:v>設計対象</x:v>
      </x:c>
      <x:c r="N398" s="92" t="str"/>
      <x:c r="O398" s="229" t="n">
        <x:f>--(COUNTIF($B$5:$B$560,A398)=0)</x:f>
        <x:v>1</x:v>
      </x:c>
      <x:c r="P398" s="70" t="str">
        <x:f>IF(LEFT(E398,7)&lt;&gt;"Enable_","",IFERROR(IF(OR(ISNUMBER(SEARCH("=Enable",INDEX($I$5:$I$560,MATCH(B398,$A$5:$A$560,0)))),ISNUMBER(SEARCH("×Enable",INDEX($I$5:$I$560,MATCH(B398,$A$5:$A$560,0))))),1,""),""))</x:f>
      </x:c>
      <x:c r="Q398" t="n">
        <x:f>IF(E398="","",--(XMATCH(E398,$E$5:E398,0)=ROWS($E$5:E398)))</x:f>
        <x:v>0</x:v>
      </x:c>
      <x:c r="R398" t="str">
        <x:f>IF(Q398=1,SUM($Q$5:Q398),"")</x:f>
      </x:c>
    </x:row>
    <x:row r="399">
      <x:c r="A399" s="94" t="str">
        <x:v>T395</x:v>
      </x:c>
      <x:c r="B399" s="94" t="str">
        <x:v>T387</x:v>
      </x:c>
      <x:c r="C399" s="94" t="n">
        <x:v>4</x:v>
      </x:c>
      <x:c r="D399" s="94" t="str">
        <x:v>容量依存重量</x:v>
      </x:c>
      <x:c r="E399" s="94" t="str">
        <x:v>m_cap_active</x:v>
      </x:c>
      <x:c r="F399" s="95" t="n">
        <x:f>F97</x:f>
        <x:v>1.12792307272332</x:v>
      </x:c>
      <x:c r="G399" s="95" t="str">
        <x:v>kg</x:v>
      </x:c>
      <x:c r="H399" s="95" t="n">
        <x:f>ABS(K399)*$F$5</x:f>
        <x:v>1.1279230727233203</x:v>
      </x:c>
      <x:c r="I399" s="94" t="str">
        <x:v>既存T093参照</x:v>
      </x:c>
      <x:c r="J399" s="95" t="n">
        <x:f>1</x:f>
        <x:v>1</x:v>
      </x:c>
      <x:c r="K399" s="95" t="n">
        <x:f>K391*J399</x:f>
        <x:v>-0.12605536050312538</x:v>
      </x:c>
      <x:c r="L399" s="94" t="str">
        <x:f>IF(K399&gt;0,"増加→総重量増",IF(K399&lt;0,"増加→総重量減","中立"))</x:f>
        <x:v>増加→総重量減</x:v>
      </x:c>
      <x:c r="M399" s="94" t="str">
        <x:v>設計対象</x:v>
      </x:c>
      <x:c r="N399" s="94" t="str"/>
      <x:c r="O399" s="229" t="n">
        <x:f>--(COUNTIF($B$5:$B$560,A399)=0)</x:f>
        <x:v>1</x:v>
      </x:c>
      <x:c r="P399" s="70" t="str">
        <x:f>IF(LEFT(E399,7)&lt;&gt;"Enable_","",IFERROR(IF(OR(ISNUMBER(SEARCH("=Enable",INDEX($I$5:$I$560,MATCH(B399,$A$5:$A$560,0)))),ISNUMBER(SEARCH("×Enable",INDEX($I$5:$I$560,MATCH(B399,$A$5:$A$560,0))))),1,""),""))</x:f>
      </x:c>
      <x:c r="Q399" t="n">
        <x:f>IF(E399="","",--(XMATCH(E399,$E$5:E399,0)=ROWS($E$5:E399)))</x:f>
        <x:v>0</x:v>
      </x:c>
      <x:c r="R399" t="str">
        <x:f>IF(Q399=1,SUM($Q$5:Q399),"")</x:f>
      </x:c>
    </x:row>
    <x:row r="400">
      <x:c r="A400" s="92" t="str">
        <x:v>T396</x:v>
      </x:c>
      <x:c r="B400" s="92" t="str">
        <x:v>T387</x:v>
      </x:c>
      <x:c r="C400" s="92" t="n">
        <x:v>4</x:v>
      </x:c>
      <x:c r="D400" s="92" t="str">
        <x:v>C単体重量</x:v>
      </x:c>
      <x:c r="E400" s="92" t="str">
        <x:v>m_cap_unit</x:v>
      </x:c>
      <x:c r="F400" s="93" t="n">
        <x:f>'01_入力仕様'!D189</x:f>
        <x:v>0.35</x:v>
      </x:c>
      <x:c r="G400" s="93" t="str">
        <x:v>kg/個</x:v>
      </x:c>
      <x:c r="H400" s="93" t="n">
        <x:f>ABS(K400)*$F$5</x:f>
        <x:v>1.1279230727233203</x:v>
      </x:c>
      <x:c r="I400" s="92" t="str">
        <x:v>入力仕様</x:v>
      </x:c>
      <x:c r="J400" s="93" t="n">
        <x:f>-1</x:f>
        <x:v>-1</x:v>
      </x:c>
      <x:c r="K400" s="93" t="n">
        <x:f>K391*J400</x:f>
        <x:v>0.12605536050312538</x:v>
      </x:c>
      <x:c r="L400" s="92" t="str">
        <x:f>IF(K400&gt;0,"増加→総重量増",IF(K400&lt;0,"増加→総重量減","中立"))</x:f>
        <x:v>増加→総重量増</x:v>
      </x:c>
      <x:c r="M400" s="92" t="str">
        <x:v>設計対象</x:v>
      </x:c>
      <x:c r="N400" s="92" t="str"/>
      <x:c r="O400" s="229" t="n">
        <x:f>--(COUNTIF($B$5:$B$560,A400)=0)</x:f>
        <x:v>1</x:v>
      </x:c>
      <x:c r="P400" s="70" t="str">
        <x:f>IF(LEFT(E400,7)&lt;&gt;"Enable_","",IFERROR(IF(OR(ISNUMBER(SEARCH("=Enable",INDEX($I$5:$I$560,MATCH(B400,$A$5:$A$560,0)))),ISNUMBER(SEARCH("×Enable",INDEX($I$5:$I$560,MATCH(B400,$A$5:$A$560,0))))),1,""),""))</x:f>
      </x:c>
      <x:c r="Q400" t="n">
        <x:f>IF(E400="","",--(XMATCH(E400,$E$5:E400,0)=ROWS($E$5:E400)))</x:f>
        <x:v>0</x:v>
      </x:c>
      <x:c r="R400" t="str">
        <x:f>IF(Q400=1,SUM($Q$5:Q400),"")</x:f>
      </x:c>
    </x:row>
    <x:row r="401">
      <x:c r="A401" s="92" t="str">
        <x:v>T397</x:v>
      </x:c>
      <x:c r="B401" s="92" t="str">
        <x:v>T343</x:v>
      </x:c>
      <x:c r="C401" s="92" t="n">
        <x:v>13</x:v>
      </x:c>
      <x:c r="D401" s="92" t="str">
        <x:v>実効ループインダクタンス</x:v>
      </x:c>
      <x:c r="E401" s="92" t="str">
        <x:v>L_loop_eff</x:v>
      </x:c>
      <x:c r="F401" s="93" t="n">
        <x:f>('01_入力仕様'!D172+'01_入力仕様'!D196)*'01_入力仕様'!D220/'01_入力仕様'!D221/'01_入力仕様'!D222*(1-'01_入力仕様'!D197*'01_入力仕様'!D198)</x:f>
        <x:v>2.6999999999999997e-8</x:v>
      </x:c>
      <x:c r="G401" s="93" t="str">
        <x:v>H</x:v>
      </x:c>
      <x:c r="H401" s="93" t="n">
        <x:f>ABS(K401)*$F$5</x:f>
        <x:v>0.000030202550627805907</x:v>
      </x:c>
      <x:c r="I401" s="92" t="str">
        <x:v>L_loop_eff=(L_stray+ESL_dc)×gap/gap_ref/overlap×(1-Enable_hf×k_reduce)</x:v>
      </x:c>
      <x:c r="J401" s="93" t="n">
        <x:f>1</x:f>
        <x:v>1</x:v>
      </x:c>
      <x:c r="K401" s="93" t="n">
        <x:f>K347*J401</x:f>
        <x:v>0.000003375401655992079</x:v>
      </x:c>
      <x:c r="L401" s="92" t="str">
        <x:f>IF(K401&gt;0,"増加→総重量増",IF(K401&lt;0,"増加→総重量減","中立"))</x:f>
        <x:v>増加→総重量増</x:v>
      </x:c>
      <x:c r="M401" s="92" t="str">
        <x:v>設計対象</x:v>
      </x:c>
      <x:c r="N401" s="92" t="str"/>
      <x:c r="O401" s="229" t="n">
        <x:f>--(COUNTIF($B$5:$B$560,A401)=0)</x:f>
        <x:v>0</x:v>
      </x:c>
      <x:c r="P401" s="70" t="str">
        <x:f>IF(LEFT(E401,7)&lt;&gt;"Enable_","",IFERROR(IF(OR(ISNUMBER(SEARCH("=Enable",INDEX($I$5:$I$560,MATCH(B401,$A$5:$A$560,0)))),ISNUMBER(SEARCH("×Enable",INDEX($I$5:$I$560,MATCH(B401,$A$5:$A$560,0))))),1,""),""))</x:f>
      </x:c>
      <x:c r="Q401" t="n">
        <x:f>IF(E401="","",--(XMATCH(E401,$E$5:E401,0)=ROWS($E$5:E401)))</x:f>
        <x:v>1</x:v>
      </x:c>
      <x:c r="R401" t="n">
        <x:f>IF(Q401=1,SUM($Q$5:Q401),"")</x:f>
        <x:v>302</x:v>
      </x:c>
    </x:row>
    <x:row r="402">
      <x:c r="A402" s="90" t="str">
        <x:v>T398</x:v>
      </x:c>
      <x:c r="B402" s="90" t="str">
        <x:v>T343</x:v>
      </x:c>
      <x:c r="C402" s="90" t="n">
        <x:v>13</x:v>
      </x:c>
      <x:c r="D402" s="90" t="str">
        <x:v>電流スルーレート</x:v>
      </x:c>
      <x:c r="E402" s="90" t="str">
        <x:v>di_dt</x:v>
      </x:c>
      <x:c r="F402" s="91" t="n">
        <x:f>F403/F404</x:f>
        <x:v>3132665595.1688867</x:v>
      </x:c>
      <x:c r="G402" s="91" t="str">
        <x:v>A/s</x:v>
      </x:c>
      <x:c r="H402" s="91" t="n">
        <x:f>ABS(K402)*$F$5</x:f>
        <x:v>0.000030202550627805907</x:v>
      </x:c>
      <x:c r="I402" s="90" t="str">
        <x:v>di_dt=I_phase/t_off</x:v>
      </x:c>
      <x:c r="J402" s="91" t="n">
        <x:f>1</x:f>
        <x:v>1</x:v>
      </x:c>
      <x:c r="K402" s="91" t="n">
        <x:f>K347*J402</x:f>
        <x:v>0.000003375401655992079</x:v>
      </x:c>
      <x:c r="L402" s="90" t="str">
        <x:f>IF(K402&gt;0,"増加→総重量増",IF(K402&lt;0,"増加→総重量減","中立"))</x:f>
        <x:v>増加→総重量増</x:v>
      </x:c>
      <x:c r="M402" s="90" t="str">
        <x:v>設計対象</x:v>
      </x:c>
      <x:c r="N402" s="90" t="str"/>
      <x:c r="O402" s="229" t="n">
        <x:f>--(COUNTIF($B$5:$B$560,A402)=0)</x:f>
        <x:v>0</x:v>
      </x:c>
      <x:c r="P402" s="70" t="str">
        <x:f>IF(LEFT(E402,7)&lt;&gt;"Enable_","",IFERROR(IF(OR(ISNUMBER(SEARCH("=Enable",INDEX($I$5:$I$560,MATCH(B402,$A$5:$A$560,0)))),ISNUMBER(SEARCH("×Enable",INDEX($I$5:$I$560,MATCH(B402,$A$5:$A$560,0))))),1,""),""))</x:f>
      </x:c>
      <x:c r="Q402" t="n">
        <x:f>IF(E402="","",--(XMATCH(E402,$E$5:E402,0)=ROWS($E$5:E402)))</x:f>
        <x:v>1</x:v>
      </x:c>
      <x:c r="R402" t="n">
        <x:f>IF(Q402=1,SUM($Q$5:Q402),"")</x:f>
        <x:v>303</x:v>
      </x:c>
    </x:row>
    <x:row r="403">
      <x:c r="A403" s="90" t="str">
        <x:v>T399</x:v>
      </x:c>
      <x:c r="B403" s="90" t="str">
        <x:v>T398</x:v>
      </x:c>
      <x:c r="C403" s="90" t="n">
        <x:v>14</x:v>
      </x:c>
      <x:c r="D403" s="90" t="str">
        <x:v>相電流</x:v>
      </x:c>
      <x:c r="E403" s="90" t="str">
        <x:v>I_phase</x:v>
      </x:c>
      <x:c r="F403" s="91" t="n">
        <x:f>'01_入力仕様'!D5*1000/(SQRT(3)*'01_入力仕様'!D7*'01_入力仕様'!D8*'01_入力仕様'!D9)</x:f>
        <x:v>156.63327975844433</x:v>
      </x:c>
      <x:c r="G403" s="91" t="str">
        <x:v>A</x:v>
      </x:c>
      <x:c r="H403" s="91" t="n">
        <x:f>ABS(K403)*$F$5</x:f>
        <x:v>0.000030202550627805907</x:v>
      </x:c>
      <x:c r="I403" s="90" t="str">
        <x:v>P_out固定要求から計算</x:v>
      </x:c>
      <x:c r="J403" s="91" t="n">
        <x:f>1</x:f>
        <x:v>1</x:v>
      </x:c>
      <x:c r="K403" s="91" t="n">
        <x:f>K402*J403</x:f>
        <x:v>0.000003375401655992079</x:v>
      </x:c>
      <x:c r="L403" s="90" t="str">
        <x:f>IF(K403&gt;0,"増加→総重量増",IF(K403&lt;0,"増加→総重量減","中立"))</x:f>
        <x:v>増加→総重量増</x:v>
      </x:c>
      <x:c r="M403" s="90" t="str">
        <x:v>設計対象</x:v>
      </x:c>
      <x:c r="N403" s="90" t="str"/>
      <x:c r="O403" s="229" t="n">
        <x:f>--(COUNTIF($B$5:$B$560,A403)=0)</x:f>
        <x:v>1</x:v>
      </x:c>
      <x:c r="P403" s="70" t="str">
        <x:f>IF(LEFT(E403,7)&lt;&gt;"Enable_","",IFERROR(IF(OR(ISNUMBER(SEARCH("=Enable",INDEX($I$5:$I$560,MATCH(B403,$A$5:$A$560,0)))),ISNUMBER(SEARCH("×Enable",INDEX($I$5:$I$560,MATCH(B403,$A$5:$A$560,0))))),1,""),""))</x:f>
      </x:c>
      <x:c r="Q403" t="n">
        <x:f>IF(E403="","",--(XMATCH(E403,$E$5:E403,0)=ROWS($E$5:E403)))</x:f>
        <x:v>0</x:v>
      </x:c>
      <x:c r="R403" t="str">
        <x:f>IF(Q403=1,SUM($Q$5:Q403),"")</x:f>
      </x:c>
    </x:row>
    <x:row r="404">
      <x:c r="A404" s="90" t="str">
        <x:v>T400</x:v>
      </x:c>
      <x:c r="B404" s="90" t="str">
        <x:v>T398</x:v>
      </x:c>
      <x:c r="C404" s="90" t="n">
        <x:v>14</x:v>
      </x:c>
      <x:c r="D404" s="90" t="str">
        <x:v>ターンオフ時間</x:v>
      </x:c>
      <x:c r="E404" s="90" t="str">
        <x:v>t_off</x:v>
      </x:c>
      <x:c r="F404" s="91" t="n">
        <x:f>F305</x:f>
        <x:v>5e-8</x:v>
      </x:c>
      <x:c r="G404" s="91" t="str">
        <x:v>s</x:v>
      </x:c>
      <x:c r="H404" s="91" t="n">
        <x:f>ABS(K404)*$F$5</x:f>
        <x:v>0.000030202550627805907</x:v>
      </x:c>
      <x:c r="I404" s="90" t="str">
        <x:v>t_off=t_off_ref×R_g_off/R_g_ref</x:v>
      </x:c>
      <x:c r="J404" s="91" t="n">
        <x:f>-1</x:f>
        <x:v>-1</x:v>
      </x:c>
      <x:c r="K404" s="91" t="n">
        <x:f>K402*J404</x:f>
        <x:v>-0.000003375401655992079</x:v>
      </x:c>
      <x:c r="L404" s="90" t="str">
        <x:f>IF(K404&gt;0,"増加→総重量増",IF(K404&lt;0,"増加→総重量減","中立"))</x:f>
        <x:v>増加→総重量減</x:v>
      </x:c>
      <x:c r="M404" s="90" t="str">
        <x:v>設計対象</x:v>
      </x:c>
      <x:c r="N404" s="90" t="str"/>
      <x:c r="O404" s="229" t="n">
        <x:f>--(COUNTIF($B$5:$B$560,A404)=0)</x:f>
        <x:v>1</x:v>
      </x:c>
      <x:c r="P404" s="70" t="str">
        <x:f>IF(LEFT(E404,7)&lt;&gt;"Enable_","",IFERROR(IF(OR(ISNUMBER(SEARCH("=Enable",INDEX($I$5:$I$560,MATCH(B404,$A$5:$A$560,0)))),ISNUMBER(SEARCH("×Enable",INDEX($I$5:$I$560,MATCH(B404,$A$5:$A$560,0))))),1,""),""))</x:f>
      </x:c>
      <x:c r="Q404" t="n">
        <x:f>IF(E404="","",--(XMATCH(E404,$E$5:E404,0)=ROWS($E$5:E404)))</x:f>
        <x:v>0</x:v>
      </x:c>
      <x:c r="R404" t="str">
        <x:f>IF(Q404=1,SUM($Q$5:Q404),"")</x:f>
      </x:c>
    </x:row>
    <x:row r="405">
      <x:c r="A405" s="90" t="str">
        <x:v>T401</x:v>
      </x:c>
      <x:c r="B405" s="90" t="str">
        <x:v>T343</x:v>
      </x:c>
      <x:c r="C405" s="90" t="n">
        <x:v>13</x:v>
      </x:c>
      <x:c r="D405" s="90" t="str">
        <x:v>スナバ低減係数</x:v>
      </x:c>
      <x:c r="E405" s="90" t="str">
        <x:v>k_snub_eff</x:v>
      </x:c>
      <x:c r="F405" s="91" t="n">
        <x:f>1-'01_入力仕様'!D175*'01_入力仕様'!D176</x:f>
        <x:v>1</x:v>
      </x:c>
      <x:c r="G405" s="91" t="str">
        <x:v>-</x:v>
      </x:c>
      <x:c r="H405" s="91" t="n">
        <x:f>ABS(K405)*$F$5</x:f>
        <x:v>0.000030202550627805907</x:v>
      </x:c>
      <x:c r="I405" s="90" t="str">
        <x:v>1-Enable_snubber×k_snub_reduce</x:v>
      </x:c>
      <x:c r="J405" s="91" t="n">
        <x:f>1</x:f>
        <x:v>1</x:v>
      </x:c>
      <x:c r="K405" s="91" t="n">
        <x:f>K347*J405</x:f>
        <x:v>0.000003375401655992079</x:v>
      </x:c>
      <x:c r="L405" s="90" t="str">
        <x:f>IF(K405&gt;0,"増加→総重量増",IF(K405&lt;0,"増加→総重量減","中立"))</x:f>
        <x:v>増加→総重量増</x:v>
      </x:c>
      <x:c r="M405" s="90" t="str">
        <x:v>設計対象</x:v>
      </x:c>
      <x:c r="N405" s="90" t="str"/>
      <x:c r="O405" s="229" t="n">
        <x:f>--(COUNTIF($B$5:$B$560,A405)=0)</x:f>
        <x:v>0</x:v>
      </x:c>
      <x:c r="P405" s="70" t="str">
        <x:f>IF(LEFT(E405,7)&lt;&gt;"Enable_","",IFERROR(IF(OR(ISNUMBER(SEARCH("=Enable",INDEX($I$5:$I$560,MATCH(B405,$A$5:$A$560,0)))),ISNUMBER(SEARCH("×Enable",INDEX($I$5:$I$560,MATCH(B405,$A$5:$A$560,0))))),1,""),""))</x:f>
      </x:c>
      <x:c r="Q405" t="n">
        <x:f>IF(E405="","",--(XMATCH(E405,$E$5:E405,0)=ROWS($E$5:E405)))</x:f>
        <x:v>1</x:v>
      </x:c>
      <x:c r="R405" t="n">
        <x:f>IF(Q405=1,SUM($Q$5:Q405),"")</x:f>
        <x:v>304</x:v>
      </x:c>
    </x:row>
    <x:row r="406">
      <x:c r="A406" s="92" t="str">
        <x:v>T402</x:v>
      </x:c>
      <x:c r="B406" s="92" t="str">
        <x:v>T401</x:v>
      </x:c>
      <x:c r="C406" s="92" t="n">
        <x:v>14</x:v>
      </x:c>
      <x:c r="D406" s="92" t="str">
        <x:v>スナバ有効</x:v>
      </x:c>
      <x:c r="E406" s="92" t="str">
        <x:v>Enable_snubber</x:v>
      </x:c>
      <x:c r="F406" s="93" t="n">
        <x:f>'01_入力仕様'!D175</x:f>
        <x:v>0</x:v>
      </x:c>
      <x:c r="G406" s="93" t="str">
        <x:v>0/1</x:v>
      </x:c>
      <x:c r="H406" s="93" t="n">
        <x:f>ABS(K406)*$F$5</x:f>
        <x:v>0.000019631657908073837</x:v>
      </x:c>
      <x:c r="I406" s="92" t="str">
        <x:v>入力仕様</x:v>
      </x:c>
      <x:c r="J406" s="93" t="n">
        <x:f>0</x:f>
        <x:v>0</x:v>
      </x:c>
      <x:c r="K406" s="93" t="n">
        <x:f>K347*(-'01_入力仕様'!D176)</x:f>
        <x:v>-0.0000021940110763948512</x:v>
      </x:c>
      <x:c r="L406" s="92" t="str">
        <x:f>IF(K406&gt;0,"増加→総重量増",IF(K406&lt;0,"増加→総重量減","中立"))</x:f>
        <x:v>増加→総重量減</x:v>
      </x:c>
      <x:c r="M406" s="92" t="str">
        <x:v>設計対象</x:v>
      </x:c>
      <x:c r="N406" s="92" t="str">
        <x:v>0→1採用差分</x:v>
      </x:c>
      <x:c r="O406" s="229" t="n">
        <x:f>--(COUNTIF($B$5:$B$560,A406)=0)</x:f>
        <x:v>1</x:v>
      </x:c>
      <x:c r="P406" s="70" t="str">
        <x:f>IF(LEFT(E406,7)&lt;&gt;"Enable_","",IFERROR(IF(OR(ISNUMBER(SEARCH("=Enable",INDEX($I$5:$I$560,MATCH(B406,$A$5:$A$560,0)))),ISNUMBER(SEARCH("×Enable",INDEX($I$5:$I$560,MATCH(B406,$A$5:$A$560,0))))),1,""),""))</x:f>
      </x:c>
      <x:c r="Q406" t="n">
        <x:f>IF(E406="","",--(XMATCH(E406,$E$5:E406,0)=ROWS($E$5:E406)))</x:f>
        <x:v>0</x:v>
      </x:c>
      <x:c r="R406" t="str">
        <x:f>IF(Q406=1,SUM($Q$5:Q406),"")</x:f>
      </x:c>
    </x:row>
    <x:row r="407">
      <x:c r="A407" s="92" t="str">
        <x:v>T403</x:v>
      </x:c>
      <x:c r="B407" s="92" t="str">
        <x:v>T401</x:v>
      </x:c>
      <x:c r="C407" s="92" t="n">
        <x:v>14</x:v>
      </x:c>
      <x:c r="D407" s="92" t="str">
        <x:v>オーバーシュート低減率</x:v>
      </x:c>
      <x:c r="E407" s="92" t="str">
        <x:v>k_snub_reduce</x:v>
      </x:c>
      <x:c r="F407" s="93" t="n">
        <x:f>'01_入力仕様'!D176</x:f>
        <x:v>0.65</x:v>
      </x:c>
      <x:c r="G407" s="93" t="str">
        <x:v>-</x:v>
      </x:c>
      <x:c r="H407" s="93" t="n">
        <x:f>ABS(K407)*$F$5</x:f>
        <x:v>0</x:v>
      </x:c>
      <x:c r="I407" s="92" t="str">
        <x:v>入力仕様</x:v>
      </x:c>
      <x:c r="J407" s="93" t="n">
        <x:f>IF(F405=0,0,-'01_入力仕様'!D175*'01_入力仕様'!D176/F405)</x:f>
        <x:v>0</x:v>
      </x:c>
      <x:c r="K407" s="93" t="n">
        <x:f>K405*J407</x:f>
        <x:v>0</x:v>
      </x:c>
      <x:c r="L407" s="92" t="str">
        <x:f>IF(K407&gt;0,"増加→総重量増",IF(K407&lt;0,"増加→総重量減","中立"))</x:f>
        <x:v>中立</x:v>
      </x:c>
      <x:c r="M407" s="92" t="str">
        <x:v>設計対象</x:v>
      </x:c>
      <x:c r="N407" s="92" t="str"/>
      <x:c r="O407" s="229" t="n">
        <x:f>--(COUNTIF($B$5:$B$560,A407)=0)</x:f>
        <x:v>1</x:v>
      </x:c>
      <x:c r="P407" s="70" t="str">
        <x:f>IF(LEFT(E407,7)&lt;&gt;"Enable_","",IFERROR(IF(OR(ISNUMBER(SEARCH("=Enable",INDEX($I$5:$I$560,MATCH(B407,$A$5:$A$560,0)))),ISNUMBER(SEARCH("×Enable",INDEX($I$5:$I$560,MATCH(B407,$A$5:$A$560,0))))),1,""),""))</x:f>
      </x:c>
      <x:c r="Q407" t="n">
        <x:f>IF(E407="","",--(XMATCH(E407,$E$5:E407,0)=ROWS($E$5:E407)))</x:f>
        <x:v>1</x:v>
      </x:c>
      <x:c r="R407" t="n">
        <x:f>IF(Q407=1,SUM($Q$5:Q407),"")</x:f>
        <x:v>305</x:v>
      </x:c>
    </x:row>
    <x:row r="408">
      <x:c r="A408" s="92" t="str">
        <x:v>T404</x:v>
      </x:c>
      <x:c r="B408" s="92" t="str">
        <x:v>T344</x:v>
      </x:c>
      <x:c r="C408" s="92" t="n">
        <x:v>12</x:v>
      </x:c>
      <x:c r="D408" s="92" t="str">
        <x:v>実効ループインダクタンス</x:v>
      </x:c>
      <x:c r="E408" s="92" t="str">
        <x:v>L_loop_eff</x:v>
      </x:c>
      <x:c r="F408" s="93" t="n">
        <x:f>('01_入力仕様'!D172+'01_入力仕様'!D196)*'01_入力仕様'!D220/'01_入力仕様'!D221/'01_入力仕様'!D222*(1-'01_入力仕様'!D197*'01_入力仕様'!D198)</x:f>
        <x:v>2.6999999999999997e-8</x:v>
      </x:c>
      <x:c r="G408" s="93" t="str">
        <x:v>H</x:v>
      </x:c>
      <x:c r="H408" s="93" t="n">
        <x:f>ABS(K408)*$F$5</x:f>
        <x:v>0.000025168792189838258</x:v>
      </x:c>
      <x:c r="I408" s="92" t="str">
        <x:v>L_loop_eff=(L_stray+ESL_dc)×gap/gap_ref/overlap×(1-Enable_hf×k_reduce)</x:v>
      </x:c>
      <x:c r="J408" s="93" t="n">
        <x:f>1</x:f>
        <x:v>1</x:v>
      </x:c>
      <x:c r="K408" s="93" t="n">
        <x:f>K348*J408</x:f>
        <x:v>0.000002812834713326733</x:v>
      </x:c>
      <x:c r="L408" s="92" t="str">
        <x:f>IF(K408&gt;0,"増加→総重量増",IF(K408&lt;0,"増加→総重量減","中立"))</x:f>
        <x:v>増加→総重量増</x:v>
      </x:c>
      <x:c r="M408" s="92" t="str">
        <x:v>設計対象</x:v>
      </x:c>
      <x:c r="N408" s="92" t="str"/>
      <x:c r="O408" s="229" t="n">
        <x:f>--(COUNTIF($B$5:$B$560,A408)=0)</x:f>
        <x:v>0</x:v>
      </x:c>
      <x:c r="P408" s="70" t="str">
        <x:f>IF(LEFT(E408,7)&lt;&gt;"Enable_","",IFERROR(IF(OR(ISNUMBER(SEARCH("=Enable",INDEX($I$5:$I$560,MATCH(B408,$A$5:$A$560,0)))),ISNUMBER(SEARCH("×Enable",INDEX($I$5:$I$560,MATCH(B408,$A$5:$A$560,0))))),1,""),""))</x:f>
      </x:c>
      <x:c r="Q408" t="n">
        <x:f>IF(E408="","",--(XMATCH(E408,$E$5:E408,0)=ROWS($E$5:E408)))</x:f>
        <x:v>0</x:v>
      </x:c>
      <x:c r="R408" t="str">
        <x:f>IF(Q408=1,SUM($Q$5:Q408),"")</x:f>
      </x:c>
    </x:row>
    <x:row r="409">
      <x:c r="A409" s="90" t="str">
        <x:v>T405</x:v>
      </x:c>
      <x:c r="B409" s="90" t="str">
        <x:v>T344</x:v>
      </x:c>
      <x:c r="C409" s="90" t="n">
        <x:v>12</x:v>
      </x:c>
      <x:c r="D409" s="90" t="str">
        <x:v>電流スルーレート</x:v>
      </x:c>
      <x:c r="E409" s="90" t="str">
        <x:v>di_dt</x:v>
      </x:c>
      <x:c r="F409" s="91" t="n">
        <x:f>F410/F411</x:f>
        <x:v>3132665595.1688867</x:v>
      </x:c>
      <x:c r="G409" s="91" t="str">
        <x:v>A/s</x:v>
      </x:c>
      <x:c r="H409" s="91" t="n">
        <x:f>ABS(K409)*$F$5</x:f>
        <x:v>0.000025168792189838258</x:v>
      </x:c>
      <x:c r="I409" s="90" t="str">
        <x:v>di_dt=I_phase/t_off</x:v>
      </x:c>
      <x:c r="J409" s="91" t="n">
        <x:f>1</x:f>
        <x:v>1</x:v>
      </x:c>
      <x:c r="K409" s="91" t="n">
        <x:f>K348*J409</x:f>
        <x:v>0.000002812834713326733</x:v>
      </x:c>
      <x:c r="L409" s="90" t="str">
        <x:f>IF(K409&gt;0,"増加→総重量増",IF(K409&lt;0,"増加→総重量減","中立"))</x:f>
        <x:v>増加→総重量増</x:v>
      </x:c>
      <x:c r="M409" s="90" t="str">
        <x:v>設計対象</x:v>
      </x:c>
      <x:c r="N409" s="90" t="str"/>
      <x:c r="O409" s="229" t="n">
        <x:f>--(COUNTIF($B$5:$B$560,A409)=0)</x:f>
        <x:v>0</x:v>
      </x:c>
      <x:c r="P409" s="70" t="str">
        <x:f>IF(LEFT(E409,7)&lt;&gt;"Enable_","",IFERROR(IF(OR(ISNUMBER(SEARCH("=Enable",INDEX($I$5:$I$560,MATCH(B409,$A$5:$A$560,0)))),ISNUMBER(SEARCH("×Enable",INDEX($I$5:$I$560,MATCH(B409,$A$5:$A$560,0))))),1,""),""))</x:f>
      </x:c>
      <x:c r="Q409" t="n">
        <x:f>IF(E409="","",--(XMATCH(E409,$E$5:E409,0)=ROWS($E$5:E409)))</x:f>
        <x:v>0</x:v>
      </x:c>
      <x:c r="R409" t="str">
        <x:f>IF(Q409=1,SUM($Q$5:Q409),"")</x:f>
      </x:c>
    </x:row>
    <x:row r="410">
      <x:c r="A410" s="90" t="str">
        <x:v>T406</x:v>
      </x:c>
      <x:c r="B410" s="90" t="str">
        <x:v>T405</x:v>
      </x:c>
      <x:c r="C410" s="90" t="n">
        <x:v>13</x:v>
      </x:c>
      <x:c r="D410" s="90" t="str">
        <x:v>相電流</x:v>
      </x:c>
      <x:c r="E410" s="90" t="str">
        <x:v>I_phase</x:v>
      </x:c>
      <x:c r="F410" s="91" t="n">
        <x:f>'01_入力仕様'!D5*1000/(SQRT(3)*'01_入力仕様'!D7*'01_入力仕様'!D8*'01_入力仕様'!D9)</x:f>
        <x:v>156.63327975844433</x:v>
      </x:c>
      <x:c r="G410" s="91" t="str">
        <x:v>A</x:v>
      </x:c>
      <x:c r="H410" s="91" t="n">
        <x:f>ABS(K410)*$F$5</x:f>
        <x:v>0.000025168792189838258</x:v>
      </x:c>
      <x:c r="I410" s="90" t="str">
        <x:v>P_out固定要求から計算</x:v>
      </x:c>
      <x:c r="J410" s="91" t="n">
        <x:f>1</x:f>
        <x:v>1</x:v>
      </x:c>
      <x:c r="K410" s="91" t="n">
        <x:f>K409*J410</x:f>
        <x:v>0.000002812834713326733</x:v>
      </x:c>
      <x:c r="L410" s="90" t="str">
        <x:f>IF(K410&gt;0,"増加→総重量増",IF(K410&lt;0,"増加→総重量減","中立"))</x:f>
        <x:v>増加→総重量増</x:v>
      </x:c>
      <x:c r="M410" s="90" t="str">
        <x:v>設計対象</x:v>
      </x:c>
      <x:c r="N410" s="90" t="str"/>
      <x:c r="O410" s="229" t="n">
        <x:f>--(COUNTIF($B$5:$B$560,A410)=0)</x:f>
        <x:v>1</x:v>
      </x:c>
      <x:c r="P410" s="70" t="str">
        <x:f>IF(LEFT(E410,7)&lt;&gt;"Enable_","",IFERROR(IF(OR(ISNUMBER(SEARCH("=Enable",INDEX($I$5:$I$560,MATCH(B410,$A$5:$A$560,0)))),ISNUMBER(SEARCH("×Enable",INDEX($I$5:$I$560,MATCH(B410,$A$5:$A$560,0))))),1,""),""))</x:f>
      </x:c>
      <x:c r="Q410" t="n">
        <x:f>IF(E410="","",--(XMATCH(E410,$E$5:E410,0)=ROWS($E$5:E410)))</x:f>
        <x:v>0</x:v>
      </x:c>
      <x:c r="R410" t="str">
        <x:f>IF(Q410=1,SUM($Q$5:Q410),"")</x:f>
      </x:c>
    </x:row>
    <x:row r="411">
      <x:c r="A411" s="90" t="str">
        <x:v>T407</x:v>
      </x:c>
      <x:c r="B411" s="90" t="str">
        <x:v>T405</x:v>
      </x:c>
      <x:c r="C411" s="90" t="n">
        <x:v>13</x:v>
      </x:c>
      <x:c r="D411" s="90" t="str">
        <x:v>ターンオフ時間</x:v>
      </x:c>
      <x:c r="E411" s="90" t="str">
        <x:v>t_off</x:v>
      </x:c>
      <x:c r="F411" s="91" t="n">
        <x:f>F305</x:f>
        <x:v>5e-8</x:v>
      </x:c>
      <x:c r="G411" s="91" t="str">
        <x:v>s</x:v>
      </x:c>
      <x:c r="H411" s="91" t="n">
        <x:f>ABS(K411)*$F$5</x:f>
        <x:v>0.000025168792189838258</x:v>
      </x:c>
      <x:c r="I411" s="90" t="str">
        <x:v>t_off=t_off_ref×R_g_off/R_g_ref</x:v>
      </x:c>
      <x:c r="J411" s="91" t="n">
        <x:f>-1</x:f>
        <x:v>-1</x:v>
      </x:c>
      <x:c r="K411" s="91" t="n">
        <x:f>K409*J411</x:f>
        <x:v>-0.000002812834713326733</x:v>
      </x:c>
      <x:c r="L411" s="90" t="str">
        <x:f>IF(K411&gt;0,"増加→総重量増",IF(K411&lt;0,"増加→総重量減","中立"))</x:f>
        <x:v>増加→総重量減</x:v>
      </x:c>
      <x:c r="M411" s="90" t="str">
        <x:v>設計対象</x:v>
      </x:c>
      <x:c r="N411" s="90" t="str"/>
      <x:c r="O411" s="229" t="n">
        <x:f>--(COUNTIF($B$5:$B$560,A411)=0)</x:f>
        <x:v>1</x:v>
      </x:c>
      <x:c r="P411" s="70" t="str">
        <x:f>IF(LEFT(E411,7)&lt;&gt;"Enable_","",IFERROR(IF(OR(ISNUMBER(SEARCH("=Enable",INDEX($I$5:$I$560,MATCH(B411,$A$5:$A$560,0)))),ISNUMBER(SEARCH("×Enable",INDEX($I$5:$I$560,MATCH(B411,$A$5:$A$560,0))))),1,""),""))</x:f>
      </x:c>
      <x:c r="Q411" t="n">
        <x:f>IF(E411="","",--(XMATCH(E411,$E$5:E411,0)=ROWS($E$5:E411)))</x:f>
        <x:v>0</x:v>
      </x:c>
      <x:c r="R411" t="str">
        <x:f>IF(Q411=1,SUM($Q$5:Q411),"")</x:f>
      </x:c>
    </x:row>
    <x:row r="412">
      <x:c r="A412" s="90" t="str">
        <x:v>T408</x:v>
      </x:c>
      <x:c r="B412" s="90" t="str">
        <x:v>T344</x:v>
      </x:c>
      <x:c r="C412" s="90" t="n">
        <x:v>12</x:v>
      </x:c>
      <x:c r="D412" s="90" t="str">
        <x:v>スナバ低減係数</x:v>
      </x:c>
      <x:c r="E412" s="90" t="str">
        <x:v>k_snub_eff</x:v>
      </x:c>
      <x:c r="F412" s="91" t="n">
        <x:f>1-'01_入力仕様'!D175*'01_入力仕様'!D176</x:f>
        <x:v>1</x:v>
      </x:c>
      <x:c r="G412" s="91" t="str">
        <x:v>-</x:v>
      </x:c>
      <x:c r="H412" s="91" t="n">
        <x:f>ABS(K412)*$F$5</x:f>
        <x:v>0.000025168792189838258</x:v>
      </x:c>
      <x:c r="I412" s="90" t="str">
        <x:v>1-Enable_snubber×k_snub_reduce</x:v>
      </x:c>
      <x:c r="J412" s="91" t="n">
        <x:f>1</x:f>
        <x:v>1</x:v>
      </x:c>
      <x:c r="K412" s="91" t="n">
        <x:f>K348*J412</x:f>
        <x:v>0.000002812834713326733</x:v>
      </x:c>
      <x:c r="L412" s="90" t="str">
        <x:f>IF(K412&gt;0,"増加→総重量増",IF(K412&lt;0,"増加→総重量減","中立"))</x:f>
        <x:v>増加→総重量増</x:v>
      </x:c>
      <x:c r="M412" s="90" t="str">
        <x:v>設計対象</x:v>
      </x:c>
      <x:c r="N412" s="90" t="str"/>
      <x:c r="O412" s="229" t="n">
        <x:f>--(COUNTIF($B$5:$B$560,A412)=0)</x:f>
        <x:v>0</x:v>
      </x:c>
      <x:c r="P412" s="70" t="str">
        <x:f>IF(LEFT(E412,7)&lt;&gt;"Enable_","",IFERROR(IF(OR(ISNUMBER(SEARCH("=Enable",INDEX($I$5:$I$560,MATCH(B412,$A$5:$A$560,0)))),ISNUMBER(SEARCH("×Enable",INDEX($I$5:$I$560,MATCH(B412,$A$5:$A$560,0))))),1,""),""))</x:f>
      </x:c>
      <x:c r="Q412" t="n">
        <x:f>IF(E412="","",--(XMATCH(E412,$E$5:E412,0)=ROWS($E$5:E412)))</x:f>
        <x:v>0</x:v>
      </x:c>
      <x:c r="R412" t="str">
        <x:f>IF(Q412=1,SUM($Q$5:Q412),"")</x:f>
      </x:c>
    </x:row>
    <x:row r="413">
      <x:c r="A413" s="92" t="str">
        <x:v>T409</x:v>
      </x:c>
      <x:c r="B413" s="92" t="str">
        <x:v>T408</x:v>
      </x:c>
      <x:c r="C413" s="92" t="n">
        <x:v>13</x:v>
      </x:c>
      <x:c r="D413" s="92" t="str">
        <x:v>スナバ有効</x:v>
      </x:c>
      <x:c r="E413" s="92" t="str">
        <x:v>Enable_snubber</x:v>
      </x:c>
      <x:c r="F413" s="93" t="n">
        <x:f>'01_入力仕様'!D175</x:f>
        <x:v>0</x:v>
      </x:c>
      <x:c r="G413" s="93" t="str">
        <x:v>0/1</x:v>
      </x:c>
      <x:c r="H413" s="93" t="n">
        <x:f>ABS(K413)*$F$5</x:f>
        <x:v>0.00001635971492339487</x:v>
      </x:c>
      <x:c r="I413" s="92" t="str">
        <x:v>入力仕様</x:v>
      </x:c>
      <x:c r="J413" s="93" t="n">
        <x:f>0</x:f>
        <x:v>0</x:v>
      </x:c>
      <x:c r="K413" s="93" t="n">
        <x:f>K348*(-'01_入力仕様'!D176)</x:f>
        <x:v>-0.0000018283425636623764</x:v>
      </x:c>
      <x:c r="L413" s="92" t="str">
        <x:f>IF(K413&gt;0,"増加→総重量増",IF(K413&lt;0,"増加→総重量減","中立"))</x:f>
        <x:v>増加→総重量減</x:v>
      </x:c>
      <x:c r="M413" s="92" t="str">
        <x:v>設計対象</x:v>
      </x:c>
      <x:c r="N413" s="92" t="str">
        <x:v>0→1採用差分</x:v>
      </x:c>
      <x:c r="O413" s="229" t="n">
        <x:f>--(COUNTIF($B$5:$B$560,A413)=0)</x:f>
        <x:v>1</x:v>
      </x:c>
      <x:c r="P413" s="70" t="str">
        <x:f>IF(LEFT(E413,7)&lt;&gt;"Enable_","",IFERROR(IF(OR(ISNUMBER(SEARCH("=Enable",INDEX($I$5:$I$560,MATCH(B413,$A$5:$A$560,0)))),ISNUMBER(SEARCH("×Enable",INDEX($I$5:$I$560,MATCH(B413,$A$5:$A$560,0))))),1,""),""))</x:f>
      </x:c>
      <x:c r="Q413" t="n">
        <x:f>IF(E413="","",--(XMATCH(E413,$E$5:E413,0)=ROWS($E$5:E413)))</x:f>
        <x:v>0</x:v>
      </x:c>
      <x:c r="R413" t="str">
        <x:f>IF(Q413=1,SUM($Q$5:Q413),"")</x:f>
      </x:c>
    </x:row>
    <x:row r="414">
      <x:c r="A414" s="92" t="str">
        <x:v>T410</x:v>
      </x:c>
      <x:c r="B414" s="92" t="str">
        <x:v>T408</x:v>
      </x:c>
      <x:c r="C414" s="92" t="n">
        <x:v>13</x:v>
      </x:c>
      <x:c r="D414" s="92" t="str">
        <x:v>オーバーシュート低減率</x:v>
      </x:c>
      <x:c r="E414" s="92" t="str">
        <x:v>k_snub_reduce</x:v>
      </x:c>
      <x:c r="F414" s="93" t="n">
        <x:f>'01_入力仕様'!D176</x:f>
        <x:v>0.65</x:v>
      </x:c>
      <x:c r="G414" s="93" t="str">
        <x:v>-</x:v>
      </x:c>
      <x:c r="H414" s="93" t="n">
        <x:f>ABS(K414)*$F$5</x:f>
        <x:v>0</x:v>
      </x:c>
      <x:c r="I414" s="92" t="str">
        <x:v>入力仕様</x:v>
      </x:c>
      <x:c r="J414" s="93" t="n">
        <x:f>IF(F412=0,0,-'01_入力仕様'!D175*'01_入力仕様'!D176/F412)</x:f>
        <x:v>0</x:v>
      </x:c>
      <x:c r="K414" s="93" t="n">
        <x:f>K412*J414</x:f>
        <x:v>0</x:v>
      </x:c>
      <x:c r="L414" s="92" t="str">
        <x:f>IF(K414&gt;0,"増加→総重量増",IF(K414&lt;0,"増加→総重量減","中立"))</x:f>
        <x:v>中立</x:v>
      </x:c>
      <x:c r="M414" s="92" t="str">
        <x:v>設計対象</x:v>
      </x:c>
      <x:c r="N414" s="92" t="str"/>
      <x:c r="O414" s="229" t="n">
        <x:f>--(COUNTIF($B$5:$B$560,A414)=0)</x:f>
        <x:v>1</x:v>
      </x:c>
      <x:c r="P414" s="70" t="str">
        <x:f>IF(LEFT(E414,7)&lt;&gt;"Enable_","",IFERROR(IF(OR(ISNUMBER(SEARCH("=Enable",INDEX($I$5:$I$560,MATCH(B414,$A$5:$A$560,0)))),ISNUMBER(SEARCH("×Enable",INDEX($I$5:$I$560,MATCH(B414,$A$5:$A$560,0))))),1,""),""))</x:f>
      </x:c>
      <x:c r="Q414" t="n">
        <x:f>IF(E414="","",--(XMATCH(E414,$E$5:E414,0)=ROWS($E$5:E414)))</x:f>
        <x:v>0</x:v>
      </x:c>
      <x:c r="R414" t="str">
        <x:f>IF(Q414=1,SUM($Q$5:Q414),"")</x:f>
      </x:c>
    </x:row>
    <x:row r="415">
      <x:c r="A415" s="92" t="str">
        <x:v>T411</x:v>
      </x:c>
      <x:c r="B415" s="92" t="str">
        <x:v>T345</x:v>
      </x:c>
      <x:c r="C415" s="92" t="n">
        <x:v>10</x:v>
      </x:c>
      <x:c r="D415" s="92" t="str">
        <x:v>実効ループインダクタンス</x:v>
      </x:c>
      <x:c r="E415" s="92" t="str">
        <x:v>L_loop_eff</x:v>
      </x:c>
      <x:c r="F415" s="93" t="n">
        <x:f>('01_入力仕様'!D172+'01_入力仕様'!D196)*'01_入力仕様'!D220/'01_入力仕様'!D221/'01_入力仕様'!D222*(1-'01_入力仕様'!D197*'01_入力仕様'!D198)</x:f>
        <x:v>2.6999999999999997e-8</x:v>
      </x:c>
      <x:c r="G415" s="93" t="str">
        <x:v>H</x:v>
      </x:c>
      <x:c r="H415" s="93" t="n">
        <x:f>ABS(K415)*$F$5</x:f>
        <x:v>0.0010563591756912333</x:v>
      </x:c>
      <x:c r="I415" s="92" t="str">
        <x:v>L_loop_eff=(L_stray+ESL_dc)×gap/gap_ref/overlap×(1-Enable_hf×k_reduce)</x:v>
      </x:c>
      <x:c r="J415" s="93" t="n">
        <x:f>1</x:f>
        <x:v>1</x:v>
      </x:c>
      <x:c r="K415" s="93" t="n">
        <x:f>K349*J415</x:f>
        <x:v>-0.00011805746325503786</x:v>
      </x:c>
      <x:c r="L415" s="92" t="str">
        <x:f>IF(K415&gt;0,"増加→総重量増",IF(K415&lt;0,"増加→総重量減","中立"))</x:f>
        <x:v>増加→総重量減</x:v>
      </x:c>
      <x:c r="M415" s="92" t="str">
        <x:v>設計対象</x:v>
      </x:c>
      <x:c r="N415" s="92" t="str"/>
      <x:c r="O415" s="229" t="n">
        <x:f>--(COUNTIF($B$5:$B$560,A415)=0)</x:f>
        <x:v>0</x:v>
      </x:c>
      <x:c r="P415" s="70" t="str">
        <x:f>IF(LEFT(E415,7)&lt;&gt;"Enable_","",IFERROR(IF(OR(ISNUMBER(SEARCH("=Enable",INDEX($I$5:$I$560,MATCH(B415,$A$5:$A$560,0)))),ISNUMBER(SEARCH("×Enable",INDEX($I$5:$I$560,MATCH(B415,$A$5:$A$560,0))))),1,""),""))</x:f>
      </x:c>
      <x:c r="Q415" t="n">
        <x:f>IF(E415="","",--(XMATCH(E415,$E$5:E415,0)=ROWS($E$5:E415)))</x:f>
        <x:v>0</x:v>
      </x:c>
      <x:c r="R415" t="str">
        <x:f>IF(Q415=1,SUM($Q$5:Q415),"")</x:f>
      </x:c>
    </x:row>
    <x:row r="416">
      <x:c r="A416" s="90" t="str">
        <x:v>T412</x:v>
      </x:c>
      <x:c r="B416" s="90" t="str">
        <x:v>T345</x:v>
      </x:c>
      <x:c r="C416" s="90" t="n">
        <x:v>10</x:v>
      </x:c>
      <x:c r="D416" s="90" t="str">
        <x:v>電流スルーレート</x:v>
      </x:c>
      <x:c r="E416" s="90" t="str">
        <x:v>di_dt</x:v>
      </x:c>
      <x:c r="F416" s="91" t="n">
        <x:f>F417/F418</x:f>
        <x:v>3132665595.1688867</x:v>
      </x:c>
      <x:c r="G416" s="91" t="str">
        <x:v>A/s</x:v>
      </x:c>
      <x:c r="H416" s="91" t="n">
        <x:f>ABS(K416)*$F$5</x:f>
        <x:v>0.0010563591756912333</x:v>
      </x:c>
      <x:c r="I416" s="90" t="str">
        <x:v>di_dt=I_phase/t_off</x:v>
      </x:c>
      <x:c r="J416" s="91" t="n">
        <x:f>1</x:f>
        <x:v>1</x:v>
      </x:c>
      <x:c r="K416" s="91" t="n">
        <x:f>K349*J416</x:f>
        <x:v>-0.00011805746325503786</x:v>
      </x:c>
      <x:c r="L416" s="90" t="str">
        <x:f>IF(K416&gt;0,"増加→総重量増",IF(K416&lt;0,"増加→総重量減","中立"))</x:f>
        <x:v>増加→総重量減</x:v>
      </x:c>
      <x:c r="M416" s="90" t="str">
        <x:v>設計対象</x:v>
      </x:c>
      <x:c r="N416" s="90" t="str"/>
      <x:c r="O416" s="229" t="n">
        <x:f>--(COUNTIF($B$5:$B$560,A416)=0)</x:f>
        <x:v>0</x:v>
      </x:c>
      <x:c r="P416" s="70" t="str">
        <x:f>IF(LEFT(E416,7)&lt;&gt;"Enable_","",IFERROR(IF(OR(ISNUMBER(SEARCH("=Enable",INDEX($I$5:$I$560,MATCH(B416,$A$5:$A$560,0)))),ISNUMBER(SEARCH("×Enable",INDEX($I$5:$I$560,MATCH(B416,$A$5:$A$560,0))))),1,""),""))</x:f>
      </x:c>
      <x:c r="Q416" t="n">
        <x:f>IF(E416="","",--(XMATCH(E416,$E$5:E416,0)=ROWS($E$5:E416)))</x:f>
        <x:v>0</x:v>
      </x:c>
      <x:c r="R416" t="str">
        <x:f>IF(Q416=1,SUM($Q$5:Q416),"")</x:f>
      </x:c>
    </x:row>
    <x:row r="417">
      <x:c r="A417" s="90" t="str">
        <x:v>T413</x:v>
      </x:c>
      <x:c r="B417" s="90" t="str">
        <x:v>T412</x:v>
      </x:c>
      <x:c r="C417" s="90" t="n">
        <x:v>11</x:v>
      </x:c>
      <x:c r="D417" s="90" t="str">
        <x:v>相電流</x:v>
      </x:c>
      <x:c r="E417" s="90" t="str">
        <x:v>I_phase</x:v>
      </x:c>
      <x:c r="F417" s="91" t="n">
        <x:f>'01_入力仕様'!D5*1000/(SQRT(3)*'01_入力仕様'!D7*'01_入力仕様'!D8*'01_入力仕様'!D9)</x:f>
        <x:v>156.63327975844433</x:v>
      </x:c>
      <x:c r="G417" s="91" t="str">
        <x:v>A</x:v>
      </x:c>
      <x:c r="H417" s="91" t="n">
        <x:f>ABS(K417)*$F$5</x:f>
        <x:v>0.0010563591756912333</x:v>
      </x:c>
      <x:c r="I417" s="90" t="str">
        <x:v>P_out固定要求から計算</x:v>
      </x:c>
      <x:c r="J417" s="91" t="n">
        <x:f>1</x:f>
        <x:v>1</x:v>
      </x:c>
      <x:c r="K417" s="91" t="n">
        <x:f>K416*J417</x:f>
        <x:v>-0.00011805746325503786</x:v>
      </x:c>
      <x:c r="L417" s="90" t="str">
        <x:f>IF(K417&gt;0,"増加→総重量増",IF(K417&lt;0,"増加→総重量減","中立"))</x:f>
        <x:v>増加→総重量減</x:v>
      </x:c>
      <x:c r="M417" s="90" t="str">
        <x:v>設計対象</x:v>
      </x:c>
      <x:c r="N417" s="90" t="str"/>
      <x:c r="O417" s="229" t="n">
        <x:f>--(COUNTIF($B$5:$B$560,A417)=0)</x:f>
        <x:v>1</x:v>
      </x:c>
      <x:c r="P417" s="70" t="str">
        <x:f>IF(LEFT(E417,7)&lt;&gt;"Enable_","",IFERROR(IF(OR(ISNUMBER(SEARCH("=Enable",INDEX($I$5:$I$560,MATCH(B417,$A$5:$A$560,0)))),ISNUMBER(SEARCH("×Enable",INDEX($I$5:$I$560,MATCH(B417,$A$5:$A$560,0))))),1,""),""))</x:f>
      </x:c>
      <x:c r="Q417" t="n">
        <x:f>IF(E417="","",--(XMATCH(E417,$E$5:E417,0)=ROWS($E$5:E417)))</x:f>
        <x:v>0</x:v>
      </x:c>
      <x:c r="R417" t="str">
        <x:f>IF(Q417=1,SUM($Q$5:Q417),"")</x:f>
      </x:c>
    </x:row>
    <x:row r="418">
      <x:c r="A418" s="90" t="str">
        <x:v>T414</x:v>
      </x:c>
      <x:c r="B418" s="90" t="str">
        <x:v>T412</x:v>
      </x:c>
      <x:c r="C418" s="90" t="n">
        <x:v>11</x:v>
      </x:c>
      <x:c r="D418" s="90" t="str">
        <x:v>ターンオフ時間</x:v>
      </x:c>
      <x:c r="E418" s="90" t="str">
        <x:v>t_off</x:v>
      </x:c>
      <x:c r="F418" s="91" t="n">
        <x:f>F305</x:f>
        <x:v>5e-8</x:v>
      </x:c>
      <x:c r="G418" s="91" t="str">
        <x:v>s</x:v>
      </x:c>
      <x:c r="H418" s="91" t="n">
        <x:f>ABS(K418)*$F$5</x:f>
        <x:v>0.0010563591756912333</x:v>
      </x:c>
      <x:c r="I418" s="90" t="str">
        <x:v>t_off=t_off_ref×R_g_off/R_g_ref</x:v>
      </x:c>
      <x:c r="J418" s="91" t="n">
        <x:f>-1</x:f>
        <x:v>-1</x:v>
      </x:c>
      <x:c r="K418" s="91" t="n">
        <x:f>K416*J418</x:f>
        <x:v>0.00011805746325503786</x:v>
      </x:c>
      <x:c r="L418" s="90" t="str">
        <x:f>IF(K418&gt;0,"増加→総重量増",IF(K418&lt;0,"増加→総重量減","中立"))</x:f>
        <x:v>増加→総重量増</x:v>
      </x:c>
      <x:c r="M418" s="90" t="str">
        <x:v>設計対象</x:v>
      </x:c>
      <x:c r="N418" s="90" t="str"/>
      <x:c r="O418" s="229" t="n">
        <x:f>--(COUNTIF($B$5:$B$560,A418)=0)</x:f>
        <x:v>1</x:v>
      </x:c>
      <x:c r="P418" s="70" t="str">
        <x:f>IF(LEFT(E418,7)&lt;&gt;"Enable_","",IFERROR(IF(OR(ISNUMBER(SEARCH("=Enable",INDEX($I$5:$I$560,MATCH(B418,$A$5:$A$560,0)))),ISNUMBER(SEARCH("×Enable",INDEX($I$5:$I$560,MATCH(B418,$A$5:$A$560,0))))),1,""),""))</x:f>
      </x:c>
      <x:c r="Q418" t="n">
        <x:f>IF(E418="","",--(XMATCH(E418,$E$5:E418,0)=ROWS($E$5:E418)))</x:f>
        <x:v>0</x:v>
      </x:c>
      <x:c r="R418" t="str">
        <x:f>IF(Q418=1,SUM($Q$5:Q418),"")</x:f>
      </x:c>
    </x:row>
    <x:row r="419">
      <x:c r="A419" s="90" t="str">
        <x:v>T415</x:v>
      </x:c>
      <x:c r="B419" s="90" t="str">
        <x:v>T345</x:v>
      </x:c>
      <x:c r="C419" s="90" t="n">
        <x:v>10</x:v>
      </x:c>
      <x:c r="D419" s="90" t="str">
        <x:v>スナバ低減係数</x:v>
      </x:c>
      <x:c r="E419" s="90" t="str">
        <x:v>k_snub_eff</x:v>
      </x:c>
      <x:c r="F419" s="91" t="n">
        <x:f>1-'01_入力仕様'!D175*'01_入力仕様'!D176</x:f>
        <x:v>1</x:v>
      </x:c>
      <x:c r="G419" s="91" t="str">
        <x:v>-</x:v>
      </x:c>
      <x:c r="H419" s="91" t="n">
        <x:f>ABS(K419)*$F$5</x:f>
        <x:v>0.0010563591756912333</x:v>
      </x:c>
      <x:c r="I419" s="90" t="str">
        <x:v>1-Enable_snubber×k_snub_reduce</x:v>
      </x:c>
      <x:c r="J419" s="91" t="n">
        <x:f>1</x:f>
        <x:v>1</x:v>
      </x:c>
      <x:c r="K419" s="91" t="n">
        <x:f>K349*J419</x:f>
        <x:v>-0.00011805746325503786</x:v>
      </x:c>
      <x:c r="L419" s="90" t="str">
        <x:f>IF(K419&gt;0,"増加→総重量増",IF(K419&lt;0,"増加→総重量減","中立"))</x:f>
        <x:v>増加→総重量減</x:v>
      </x:c>
      <x:c r="M419" s="90" t="str">
        <x:v>設計対象</x:v>
      </x:c>
      <x:c r="N419" s="90" t="str"/>
      <x:c r="O419" s="229" t="n">
        <x:f>--(COUNTIF($B$5:$B$560,A419)=0)</x:f>
        <x:v>0</x:v>
      </x:c>
      <x:c r="P419" s="70" t="str">
        <x:f>IF(LEFT(E419,7)&lt;&gt;"Enable_","",IFERROR(IF(OR(ISNUMBER(SEARCH("=Enable",INDEX($I$5:$I$560,MATCH(B419,$A$5:$A$560,0)))),ISNUMBER(SEARCH("×Enable",INDEX($I$5:$I$560,MATCH(B419,$A$5:$A$560,0))))),1,""),""))</x:f>
      </x:c>
      <x:c r="Q419" t="n">
        <x:f>IF(E419="","",--(XMATCH(E419,$E$5:E419,0)=ROWS($E$5:E419)))</x:f>
        <x:v>0</x:v>
      </x:c>
      <x:c r="R419" t="str">
        <x:f>IF(Q419=1,SUM($Q$5:Q419),"")</x:f>
      </x:c>
    </x:row>
    <x:row r="420">
      <x:c r="A420" s="92" t="str">
        <x:v>T416</x:v>
      </x:c>
      <x:c r="B420" s="92" t="str">
        <x:v>T415</x:v>
      </x:c>
      <x:c r="C420" s="92" t="n">
        <x:v>11</x:v>
      </x:c>
      <x:c r="D420" s="92" t="str">
        <x:v>スナバ有効</x:v>
      </x:c>
      <x:c r="E420" s="92" t="str">
        <x:v>Enable_snubber</x:v>
      </x:c>
      <x:c r="F420" s="93" t="n">
        <x:f>'01_入力仕様'!D175</x:f>
        <x:v>0</x:v>
      </x:c>
      <x:c r="G420" s="93" t="str">
        <x:v>0/1</x:v>
      </x:c>
      <x:c r="H420" s="93" t="n">
        <x:f>ABS(K420)*$F$5</x:f>
        <x:v>0.0006866334641993016</x:v>
      </x:c>
      <x:c r="I420" s="92" t="str">
        <x:v>入力仕様</x:v>
      </x:c>
      <x:c r="J420" s="93" t="n">
        <x:f>0</x:f>
        <x:v>0</x:v>
      </x:c>
      <x:c r="K420" s="93" t="n">
        <x:f>K349*(-'01_入力仕様'!D176)</x:f>
        <x:v>0.0000767373511157746</x:v>
      </x:c>
      <x:c r="L420" s="92" t="str">
        <x:f>IF(K420&gt;0,"増加→総重量増",IF(K420&lt;0,"増加→総重量減","中立"))</x:f>
        <x:v>増加→総重量増</x:v>
      </x:c>
      <x:c r="M420" s="92" t="str">
        <x:v>設計対象</x:v>
      </x:c>
      <x:c r="N420" s="92" t="str">
        <x:v>0→1採用差分</x:v>
      </x:c>
      <x:c r="O420" s="229" t="n">
        <x:f>--(COUNTIF($B$5:$B$560,A420)=0)</x:f>
        <x:v>1</x:v>
      </x:c>
      <x:c r="P420" s="70" t="str">
        <x:f>IF(LEFT(E420,7)&lt;&gt;"Enable_","",IFERROR(IF(OR(ISNUMBER(SEARCH("=Enable",INDEX($I$5:$I$560,MATCH(B420,$A$5:$A$560,0)))),ISNUMBER(SEARCH("×Enable",INDEX($I$5:$I$560,MATCH(B420,$A$5:$A$560,0))))),1,""),""))</x:f>
      </x:c>
      <x:c r="Q420" t="n">
        <x:f>IF(E420="","",--(XMATCH(E420,$E$5:E420,0)=ROWS($E$5:E420)))</x:f>
        <x:v>0</x:v>
      </x:c>
      <x:c r="R420" t="str">
        <x:f>IF(Q420=1,SUM($Q$5:Q420),"")</x:f>
      </x:c>
    </x:row>
    <x:row r="421">
      <x:c r="A421" s="92" t="str">
        <x:v>T417</x:v>
      </x:c>
      <x:c r="B421" s="92" t="str">
        <x:v>T415</x:v>
      </x:c>
      <x:c r="C421" s="92" t="n">
        <x:v>11</x:v>
      </x:c>
      <x:c r="D421" s="92" t="str">
        <x:v>オーバーシュート低減率</x:v>
      </x:c>
      <x:c r="E421" s="92" t="str">
        <x:v>k_snub_reduce</x:v>
      </x:c>
      <x:c r="F421" s="93" t="n">
        <x:f>'01_入力仕様'!D176</x:f>
        <x:v>0.65</x:v>
      </x:c>
      <x:c r="G421" s="93" t="str">
        <x:v>-</x:v>
      </x:c>
      <x:c r="H421" s="93" t="n">
        <x:f>ABS(K421)*$F$5</x:f>
        <x:v>0</x:v>
      </x:c>
      <x:c r="I421" s="92" t="str">
        <x:v>入力仕様</x:v>
      </x:c>
      <x:c r="J421" s="93" t="n">
        <x:f>IF(F419=0,0,-'01_入力仕様'!D175*'01_入力仕様'!D176/F419)</x:f>
        <x:v>0</x:v>
      </x:c>
      <x:c r="K421" s="93" t="n">
        <x:f>K419*J421</x:f>
        <x:v>0</x:v>
      </x:c>
      <x:c r="L421" s="92" t="str">
        <x:f>IF(K421&gt;0,"増加→総重量増",IF(K421&lt;0,"増加→総重量減","中立"))</x:f>
        <x:v>中立</x:v>
      </x:c>
      <x:c r="M421" s="92" t="str">
        <x:v>設計対象</x:v>
      </x:c>
      <x:c r="N421" s="92" t="str"/>
      <x:c r="O421" s="229" t="n">
        <x:f>--(COUNTIF($B$5:$B$560,A421)=0)</x:f>
        <x:v>1</x:v>
      </x:c>
      <x:c r="P421" s="70" t="str">
        <x:f>IF(LEFT(E421,7)&lt;&gt;"Enable_","",IFERROR(IF(OR(ISNUMBER(SEARCH("=Enable",INDEX($I$5:$I$560,MATCH(B421,$A$5:$A$560,0)))),ISNUMBER(SEARCH("×Enable",INDEX($I$5:$I$560,MATCH(B421,$A$5:$A$560,0))))),1,""),""))</x:f>
      </x:c>
      <x:c r="Q421" t="n">
        <x:f>IF(E421="","",--(XMATCH(E421,$E$5:E421,0)=ROWS($E$5:E421)))</x:f>
        <x:v>0</x:v>
      </x:c>
      <x:c r="R421" t="str">
        <x:f>IF(Q421=1,SUM($Q$5:Q421),"")</x:f>
      </x:c>
    </x:row>
    <x:row r="422">
      <x:c r="A422" s="12" t="str">
        <x:v>T418</x:v>
      </x:c>
      <x:c r="B422" s="12" t="str">
        <x:v>T397</x:v>
      </x:c>
      <x:c r="C422" s="12" t="n">
        <x:v>14</x:v>
      </x:c>
      <x:c r="D422" s="12" t="str">
        <x:v>パワーループ寄生L</x:v>
      </x:c>
      <x:c r="E422" s="12" t="str">
        <x:v>L_stray</x:v>
      </x:c>
      <x:c r="F422" s="48" t="n">
        <x:f>'01_入力仕様'!D172</x:f>
        <x:v>1.5e-8</x:v>
      </x:c>
      <x:c r="G422" s="48" t="str">
        <x:v>H</x:v>
      </x:c>
      <x:c r="H422" s="48" t="n">
        <x:f>ABS(K422)*$F$5</x:f>
        <x:v>0.000030202550627805907</x:v>
      </x:c>
      <x:c r="I422" s="12" t="str">
        <x:v>入力仕様</x:v>
      </x:c>
      <x:c r="J422" s="48" t="n">
        <x:f>1</x:f>
        <x:v>1</x:v>
      </x:c>
      <x:c r="K422" s="48" t="n">
        <x:f>K401*J422</x:f>
        <x:v>0.000003375401655992079</x:v>
      </x:c>
      <x:c r="L422" s="12" t="str">
        <x:f>IF(K422&gt;0,"増加→総重量増",IF(K422&lt;0,"増加→総重量減","中立"))</x:f>
        <x:v>増加→総重量増</x:v>
      </x:c>
      <x:c r="M422" s="12" t="str">
        <x:v>設計対象</x:v>
      </x:c>
      <x:c r="N422" s="12" t="str"/>
      <x:c r="O422" s="229" t="n">
        <x:f>--(COUNTIF($B$5:$B$560,A422)=0)</x:f>
        <x:v>1</x:v>
      </x:c>
      <x:c r="P422" s="70" t="str">
        <x:f>IF(LEFT(E422,7)&lt;&gt;"Enable_","",IFERROR(IF(OR(ISNUMBER(SEARCH("=Enable",INDEX($I$5:$I$560,MATCH(B422,$A$5:$A$560,0)))),ISNUMBER(SEARCH("×Enable",INDEX($I$5:$I$560,MATCH(B422,$A$5:$A$560,0))))),1,""),""))</x:f>
      </x:c>
      <x:c r="Q422" t="n">
        <x:f>IF(E422="","",--(XMATCH(E422,$E$5:E422,0)=ROWS($E$5:E422)))</x:f>
        <x:v>0</x:v>
      </x:c>
      <x:c r="R422" t="str">
        <x:f>IF(Q422=1,SUM($Q$5:Q422),"")</x:f>
      </x:c>
    </x:row>
    <x:row r="423">
      <x:c r="A423" s="12" t="str">
        <x:v>T419</x:v>
      </x:c>
      <x:c r="B423" s="12" t="str">
        <x:v>T397</x:v>
      </x:c>
      <x:c r="C423" s="12" t="n">
        <x:v>14</x:v>
      </x:c>
      <x:c r="D423" s="12" t="str">
        <x:v>DCリンクESL</x:v>
      </x:c>
      <x:c r="E423" s="12" t="str">
        <x:v>ESL_dc</x:v>
      </x:c>
      <x:c r="F423" s="48" t="n">
        <x:f>'01_入力仕様'!D196</x:f>
        <x:v>1.2e-8</x:v>
      </x:c>
      <x:c r="G423" s="48" t="str">
        <x:v>H</x:v>
      </x:c>
      <x:c r="H423" s="48" t="n">
        <x:f>ABS(K423)*$F$5</x:f>
        <x:v>0.000013423355834580404</x:v>
      </x:c>
      <x:c r="I423" s="12" t="str">
        <x:v>入力仕様</x:v>
      </x:c>
      <x:c r="J423" s="48" t="n">
        <x:f>'01_入力仕様'!D196/('01_入力仕様'!D172+'01_入力仕様'!D196)</x:f>
        <x:v>0.4444444444444445</x:v>
      </x:c>
      <x:c r="K423" s="48" t="n">
        <x:f>K401*J423</x:f>
        <x:v>0.0000015001785137742575</x:v>
      </x:c>
      <x:c r="L423" s="12" t="str">
        <x:f>IF(K423&gt;0,"増加→総重量増",IF(K423&lt;0,"増加→総重量減","中立"))</x:f>
        <x:v>増加→総重量増</x:v>
      </x:c>
      <x:c r="M423" s="12" t="str">
        <x:v>設計対象</x:v>
      </x:c>
      <x:c r="N423" s="12" t="str"/>
      <x:c r="O423" s="229" t="n">
        <x:f>--(COUNTIF($B$5:$B$560,A423)=0)</x:f>
        <x:v>1</x:v>
      </x:c>
      <x:c r="P423" s="70" t="str">
        <x:f>IF(LEFT(E423,7)&lt;&gt;"Enable_","",IFERROR(IF(OR(ISNUMBER(SEARCH("=Enable",INDEX($I$5:$I$560,MATCH(B423,$A$5:$A$560,0)))),ISNUMBER(SEARCH("×Enable",INDEX($I$5:$I$560,MATCH(B423,$A$5:$A$560,0))))),1,""),""))</x:f>
      </x:c>
      <x:c r="Q423" t="n">
        <x:f>IF(E423="","",--(XMATCH(E423,$E$5:E423,0)=ROWS($E$5:E423)))</x:f>
        <x:v>1</x:v>
      </x:c>
      <x:c r="R423" t="n">
        <x:f>IF(Q423=1,SUM($Q$5:Q423),"")</x:f>
        <x:v>306</x:v>
      </x:c>
    </x:row>
    <x:row r="424">
      <x:c r="A424" s="12" t="str">
        <x:v>T420</x:v>
      </x:c>
      <x:c r="B424" s="12" t="str">
        <x:v>T397</x:v>
      </x:c>
      <x:c r="C424" s="12" t="n">
        <x:v>14</x:v>
      </x:c>
      <x:c r="D424" s="12" t="str">
        <x:v>極間ギャップ</x:v>
      </x:c>
      <x:c r="E424" s="12" t="str">
        <x:v>gap_bus</x:v>
      </x:c>
      <x:c r="F424" s="48" t="n">
        <x:f>'01_入力仕様'!D220</x:f>
        <x:v>0.001</x:v>
      </x:c>
      <x:c r="G424" s="48" t="str">
        <x:v>m</x:v>
      </x:c>
      <x:c r="H424" s="48" t="n">
        <x:f>ABS(K424)*$F$5</x:f>
        <x:v>0.000030202550627805907</x:v>
      </x:c>
      <x:c r="I424" s="12" t="str">
        <x:v>入力仕様</x:v>
      </x:c>
      <x:c r="J424" s="48" t="n">
        <x:f>1</x:f>
        <x:v>1</x:v>
      </x:c>
      <x:c r="K424" s="48" t="n">
        <x:f>K401*J424</x:f>
        <x:v>0.000003375401655992079</x:v>
      </x:c>
      <x:c r="L424" s="12" t="str">
        <x:f>IF(K424&gt;0,"増加→総重量増",IF(K424&lt;0,"増加→総重量減","中立"))</x:f>
        <x:v>増加→総重量増</x:v>
      </x:c>
      <x:c r="M424" s="12" t="str">
        <x:v>設計対象</x:v>
      </x:c>
      <x:c r="N424" s="12" t="str"/>
      <x:c r="O424" s="229" t="n">
        <x:f>--(COUNTIF($B$5:$B$560,A424)=0)</x:f>
        <x:v>1</x:v>
      </x:c>
      <x:c r="P424" s="70" t="str">
        <x:f>IF(LEFT(E424,7)&lt;&gt;"Enable_","",IFERROR(IF(OR(ISNUMBER(SEARCH("=Enable",INDEX($I$5:$I$560,MATCH(B424,$A$5:$A$560,0)))),ISNUMBER(SEARCH("×Enable",INDEX($I$5:$I$560,MATCH(B424,$A$5:$A$560,0))))),1,""),""))</x:f>
      </x:c>
      <x:c r="Q424" t="n">
        <x:f>IF(E424="","",--(XMATCH(E424,$E$5:E424,0)=ROWS($E$5:E424)))</x:f>
        <x:v>1</x:v>
      </x:c>
      <x:c r="R424" t="n">
        <x:f>IF(Q424=1,SUM($Q$5:Q424),"")</x:f>
        <x:v>307</x:v>
      </x:c>
    </x:row>
    <x:row r="425">
      <x:c r="A425" s="12" t="str">
        <x:v>T421</x:v>
      </x:c>
      <x:c r="B425" s="12" t="str">
        <x:v>T397</x:v>
      </x:c>
      <x:c r="C425" s="12" t="n">
        <x:v>14</x:v>
      </x:c>
      <x:c r="D425" s="12" t="str">
        <x:v>重なり係数</x:v>
      </x:c>
      <x:c r="E425" s="12" t="str">
        <x:v>overlap_bus</x:v>
      </x:c>
      <x:c r="F425" s="48" t="n">
        <x:f>'01_入力仕様'!D222</x:f>
        <x:v>1</x:v>
      </x:c>
      <x:c r="G425" s="48" t="str">
        <x:v>-</x:v>
      </x:c>
      <x:c r="H425" s="48" t="n">
        <x:f>ABS(K425)*$F$5</x:f>
        <x:v>0.000030202550627805907</x:v>
      </x:c>
      <x:c r="I425" s="12" t="str">
        <x:v>入力仕様</x:v>
      </x:c>
      <x:c r="J425" s="48" t="n">
        <x:f>-1</x:f>
        <x:v>-1</x:v>
      </x:c>
      <x:c r="K425" s="48" t="n">
        <x:f>K401*J425</x:f>
        <x:v>-0.000003375401655992079</x:v>
      </x:c>
      <x:c r="L425" s="12" t="str">
        <x:f>IF(K425&gt;0,"増加→総重量増",IF(K425&lt;0,"増加→総重量減","中立"))</x:f>
        <x:v>増加→総重量減</x:v>
      </x:c>
      <x:c r="M425" s="12" t="str">
        <x:v>設計対象</x:v>
      </x:c>
      <x:c r="N425" s="12" t="str"/>
      <x:c r="O425" s="229" t="n">
        <x:f>--(COUNTIF($B$5:$B$560,A425)=0)</x:f>
        <x:v>1</x:v>
      </x:c>
      <x:c r="P425" s="70" t="str">
        <x:f>IF(LEFT(E425,7)&lt;&gt;"Enable_","",IFERROR(IF(OR(ISNUMBER(SEARCH("=Enable",INDEX($I$5:$I$560,MATCH(B425,$A$5:$A$560,0)))),ISNUMBER(SEARCH("×Enable",INDEX($I$5:$I$560,MATCH(B425,$A$5:$A$560,0))))),1,""),""))</x:f>
      </x:c>
      <x:c r="Q425" t="n">
        <x:f>IF(E425="","",--(XMATCH(E425,$E$5:E425,0)=ROWS($E$5:E425)))</x:f>
        <x:v>1</x:v>
      </x:c>
      <x:c r="R425" t="n">
        <x:f>IF(Q425=1,SUM($Q$5:Q425),"")</x:f>
        <x:v>308</x:v>
      </x:c>
    </x:row>
    <x:row r="426">
      <x:c r="A426" s="12" t="str">
        <x:v>T422</x:v>
      </x:c>
      <x:c r="B426" s="12" t="str">
        <x:v>T397</x:v>
      </x:c>
      <x:c r="C426" s="12" t="n">
        <x:v>14</x:v>
      </x:c>
      <x:c r="D426" s="12" t="str">
        <x:v>HFデカップリング有効</x:v>
      </x:c>
      <x:c r="E426" s="12" t="str">
        <x:v>Enable_hf_decouple</x:v>
      </x:c>
      <x:c r="F426" s="48" t="n">
        <x:f>'01_入力仕様'!D197</x:f>
        <x:v>0</x:v>
      </x:c>
      <x:c r="G426" s="48" t="str">
        <x:v>0/1</x:v>
      </x:c>
      <x:c r="H426" s="48" t="n">
        <x:f>ABS(K426)*$F$5</x:f>
        <x:v>0.000013591147782512658</x:v>
      </x:c>
      <x:c r="I426" s="12" t="str">
        <x:v>入力仕様</x:v>
      </x:c>
      <x:c r="J426" s="48" t="n">
        <x:f>0</x:f>
        <x:v>0</x:v>
      </x:c>
      <x:c r="K426" s="48" t="n">
        <x:f>K401*(-'01_入力仕様'!D198)</x:f>
        <x:v>-0.0000015189307451964356</x:v>
      </x:c>
      <x:c r="L426" s="12" t="str">
        <x:f>IF(K426&gt;0,"増加→総重量増",IF(K426&lt;0,"増加→総重量減","中立"))</x:f>
        <x:v>増加→総重量減</x:v>
      </x:c>
      <x:c r="M426" s="12" t="str">
        <x:v>設計対象</x:v>
      </x:c>
      <x:c r="N426" s="12" t="str">
        <x:v>0→1採用差分</x:v>
      </x:c>
      <x:c r="O426" s="229" t="n">
        <x:f>--(COUNTIF($B$5:$B$560,A426)=0)</x:f>
        <x:v>1</x:v>
      </x:c>
      <x:c r="P426" s="70" t="str">
        <x:f>IF(LEFT(E426,7)&lt;&gt;"Enable_","",IFERROR(IF(OR(ISNUMBER(SEARCH("=Enable",INDEX($I$5:$I$560,MATCH(B426,$A$5:$A$560,0)))),ISNUMBER(SEARCH("×Enable",INDEX($I$5:$I$560,MATCH(B426,$A$5:$A$560,0))))),1,""),""))</x:f>
      </x:c>
      <x:c r="Q426" t="n">
        <x:f>IF(E426="","",--(XMATCH(E426,$E$5:E426,0)=ROWS($E$5:E426)))</x:f>
        <x:v>1</x:v>
      </x:c>
      <x:c r="R426" t="n">
        <x:f>IF(Q426=1,SUM($Q$5:Q426),"")</x:f>
        <x:v>309</x:v>
      </x:c>
    </x:row>
    <x:row r="427">
      <x:c r="A427" s="12" t="str">
        <x:v>T423</x:v>
      </x:c>
      <x:c r="B427" s="12" t="str">
        <x:v>T397</x:v>
      </x:c>
      <x:c r="C427" s="12" t="n">
        <x:v>14</x:v>
      </x:c>
      <x:c r="D427" s="12" t="str">
        <x:v>HF寄生L低減率</x:v>
      </x:c>
      <x:c r="E427" s="12" t="str">
        <x:v>k_hf_L_reduce</x:v>
      </x:c>
      <x:c r="F427" s="48" t="n">
        <x:f>'01_入力仕様'!D198</x:f>
        <x:v>0.45</x:v>
      </x:c>
      <x:c r="G427" s="48" t="str">
        <x:v>-</x:v>
      </x:c>
      <x:c r="H427" s="48" t="n">
        <x:f>ABS(K427)*$F$5</x:f>
        <x:v>0</x:v>
      </x:c>
      <x:c r="I427" s="12" t="str">
        <x:v>入力仕様</x:v>
      </x:c>
      <x:c r="J427" s="48" t="n">
        <x:f>0</x:f>
        <x:v>0</x:v>
      </x:c>
      <x:c r="K427" s="48" t="n">
        <x:f>0</x:f>
        <x:v>0</x:v>
      </x:c>
      <x:c r="L427" s="12" t="str">
        <x:f>IF(K427&gt;0,"増加→総重量増",IF(K427&lt;0,"増加→総重量減","中立"))</x:f>
        <x:v>中立</x:v>
      </x:c>
      <x:c r="M427" s="12" t="str">
        <x:v>設計対象</x:v>
      </x:c>
      <x:c r="N427" s="12" t="str"/>
      <x:c r="O427" s="229" t="n">
        <x:f>--(COUNTIF($B$5:$B$560,A427)=0)</x:f>
        <x:v>1</x:v>
      </x:c>
      <x:c r="P427" s="70" t="str">
        <x:f>IF(LEFT(E427,7)&lt;&gt;"Enable_","",IFERROR(IF(OR(ISNUMBER(SEARCH("=Enable",INDEX($I$5:$I$560,MATCH(B427,$A$5:$A$560,0)))),ISNUMBER(SEARCH("×Enable",INDEX($I$5:$I$560,MATCH(B427,$A$5:$A$560,0))))),1,""),""))</x:f>
      </x:c>
      <x:c r="Q427" t="n">
        <x:f>IF(E427="","",--(XMATCH(E427,$E$5:E427,0)=ROWS($E$5:E427)))</x:f>
        <x:v>1</x:v>
      </x:c>
      <x:c r="R427" t="n">
        <x:f>IF(Q427=1,SUM($Q$5:Q427),"")</x:f>
        <x:v>310</x:v>
      </x:c>
    </x:row>
    <x:row r="428">
      <x:c r="A428" s="12" t="str">
        <x:v>T424</x:v>
      </x:c>
      <x:c r="B428" s="12" t="str">
        <x:v>T404</x:v>
      </x:c>
      <x:c r="C428" s="12" t="n">
        <x:v>13</x:v>
      </x:c>
      <x:c r="D428" s="12" t="str">
        <x:v>パワーループ寄生L</x:v>
      </x:c>
      <x:c r="E428" s="12" t="str">
        <x:v>L_stray</x:v>
      </x:c>
      <x:c r="F428" s="48" t="n">
        <x:f>'01_入力仕様'!D172</x:f>
        <x:v>1.5e-8</x:v>
      </x:c>
      <x:c r="G428" s="48" t="str">
        <x:v>H</x:v>
      </x:c>
      <x:c r="H428" s="48" t="n">
        <x:f>ABS(K428)*$F$5</x:f>
        <x:v>0.000025168792189838258</x:v>
      </x:c>
      <x:c r="I428" s="12" t="str">
        <x:v>入力仕様</x:v>
      </x:c>
      <x:c r="J428" s="48" t="n">
        <x:f>1</x:f>
        <x:v>1</x:v>
      </x:c>
      <x:c r="K428" s="48" t="n">
        <x:f>K408*J428</x:f>
        <x:v>0.000002812834713326733</x:v>
      </x:c>
      <x:c r="L428" s="12" t="str">
        <x:f>IF(K428&gt;0,"増加→総重量増",IF(K428&lt;0,"増加→総重量減","中立"))</x:f>
        <x:v>増加→総重量増</x:v>
      </x:c>
      <x:c r="M428" s="12" t="str">
        <x:v>設計対象</x:v>
      </x:c>
      <x:c r="N428" s="12" t="str"/>
      <x:c r="O428" s="229" t="n">
        <x:f>--(COUNTIF($B$5:$B$560,A428)=0)</x:f>
        <x:v>1</x:v>
      </x:c>
      <x:c r="P428" s="70" t="str">
        <x:f>IF(LEFT(E428,7)&lt;&gt;"Enable_","",IFERROR(IF(OR(ISNUMBER(SEARCH("=Enable",INDEX($I$5:$I$560,MATCH(B428,$A$5:$A$560,0)))),ISNUMBER(SEARCH("×Enable",INDEX($I$5:$I$560,MATCH(B428,$A$5:$A$560,0))))),1,""),""))</x:f>
      </x:c>
      <x:c r="Q428" t="n">
        <x:f>IF(E428="","",--(XMATCH(E428,$E$5:E428,0)=ROWS($E$5:E428)))</x:f>
        <x:v>0</x:v>
      </x:c>
      <x:c r="R428" t="str">
        <x:f>IF(Q428=1,SUM($Q$5:Q428),"")</x:f>
      </x:c>
    </x:row>
    <x:row r="429">
      <x:c r="A429" s="12" t="str">
        <x:v>T425</x:v>
      </x:c>
      <x:c r="B429" s="12" t="str">
        <x:v>T404</x:v>
      </x:c>
      <x:c r="C429" s="12" t="n">
        <x:v>13</x:v>
      </x:c>
      <x:c r="D429" s="12" t="str">
        <x:v>DCリンクESL</x:v>
      </x:c>
      <x:c r="E429" s="12" t="str">
        <x:v>ESL_dc</x:v>
      </x:c>
      <x:c r="F429" s="48" t="n">
        <x:f>'01_入力仕様'!D196</x:f>
        <x:v>1.2e-8</x:v>
      </x:c>
      <x:c r="G429" s="48" t="str">
        <x:v>H</x:v>
      </x:c>
      <x:c r="H429" s="48" t="n">
        <x:f>ABS(K429)*$F$5</x:f>
        <x:v>0.000011186129862150338</x:v>
      </x:c>
      <x:c r="I429" s="12" t="str">
        <x:v>入力仕様</x:v>
      </x:c>
      <x:c r="J429" s="48" t="n">
        <x:f>'01_入力仕様'!D196/('01_入力仕様'!D172+'01_入力仕様'!D196)</x:f>
        <x:v>0.4444444444444445</x:v>
      </x:c>
      <x:c r="K429" s="48" t="n">
        <x:f>K408*J429</x:f>
        <x:v>0.000001250148761478548</x:v>
      </x:c>
      <x:c r="L429" s="12" t="str">
        <x:f>IF(K429&gt;0,"増加→総重量増",IF(K429&lt;0,"増加→総重量減","中立"))</x:f>
        <x:v>増加→総重量増</x:v>
      </x:c>
      <x:c r="M429" s="12" t="str">
        <x:v>設計対象</x:v>
      </x:c>
      <x:c r="N429" s="12" t="str"/>
      <x:c r="O429" s="229" t="n">
        <x:f>--(COUNTIF($B$5:$B$560,A429)=0)</x:f>
        <x:v>1</x:v>
      </x:c>
      <x:c r="P429" s="70" t="str">
        <x:f>IF(LEFT(E429,7)&lt;&gt;"Enable_","",IFERROR(IF(OR(ISNUMBER(SEARCH("=Enable",INDEX($I$5:$I$560,MATCH(B429,$A$5:$A$560,0)))),ISNUMBER(SEARCH("×Enable",INDEX($I$5:$I$560,MATCH(B429,$A$5:$A$560,0))))),1,""),""))</x:f>
      </x:c>
      <x:c r="Q429" t="n">
        <x:f>IF(E429="","",--(XMATCH(E429,$E$5:E429,0)=ROWS($E$5:E429)))</x:f>
        <x:v>0</x:v>
      </x:c>
      <x:c r="R429" t="str">
        <x:f>IF(Q429=1,SUM($Q$5:Q429),"")</x:f>
      </x:c>
    </x:row>
    <x:row r="430">
      <x:c r="A430" s="12" t="str">
        <x:v>T426</x:v>
      </x:c>
      <x:c r="B430" s="12" t="str">
        <x:v>T404</x:v>
      </x:c>
      <x:c r="C430" s="12" t="n">
        <x:v>13</x:v>
      </x:c>
      <x:c r="D430" s="12" t="str">
        <x:v>極間ギャップ</x:v>
      </x:c>
      <x:c r="E430" s="12" t="str">
        <x:v>gap_bus</x:v>
      </x:c>
      <x:c r="F430" s="48" t="n">
        <x:f>'01_入力仕様'!D220</x:f>
        <x:v>0.001</x:v>
      </x:c>
      <x:c r="G430" s="48" t="str">
        <x:v>m</x:v>
      </x:c>
      <x:c r="H430" s="48" t="n">
        <x:f>ABS(K430)*$F$5</x:f>
        <x:v>0.000025168792189838258</x:v>
      </x:c>
      <x:c r="I430" s="12" t="str">
        <x:v>入力仕様</x:v>
      </x:c>
      <x:c r="J430" s="48" t="n">
        <x:f>1</x:f>
        <x:v>1</x:v>
      </x:c>
      <x:c r="K430" s="48" t="n">
        <x:f>K408*J430</x:f>
        <x:v>0.000002812834713326733</x:v>
      </x:c>
      <x:c r="L430" s="12" t="str">
        <x:f>IF(K430&gt;0,"増加→総重量増",IF(K430&lt;0,"増加→総重量減","中立"))</x:f>
        <x:v>増加→総重量増</x:v>
      </x:c>
      <x:c r="M430" s="12" t="str">
        <x:v>設計対象</x:v>
      </x:c>
      <x:c r="N430" s="12" t="str"/>
      <x:c r="O430" s="229" t="n">
        <x:f>--(COUNTIF($B$5:$B$560,A430)=0)</x:f>
        <x:v>1</x:v>
      </x:c>
      <x:c r="P430" s="70" t="str">
        <x:f>IF(LEFT(E430,7)&lt;&gt;"Enable_","",IFERROR(IF(OR(ISNUMBER(SEARCH("=Enable",INDEX($I$5:$I$560,MATCH(B430,$A$5:$A$560,0)))),ISNUMBER(SEARCH("×Enable",INDEX($I$5:$I$560,MATCH(B430,$A$5:$A$560,0))))),1,""),""))</x:f>
      </x:c>
      <x:c r="Q430" t="n">
        <x:f>IF(E430="","",--(XMATCH(E430,$E$5:E430,0)=ROWS($E$5:E430)))</x:f>
        <x:v>0</x:v>
      </x:c>
      <x:c r="R430" t="str">
        <x:f>IF(Q430=1,SUM($Q$5:Q430),"")</x:f>
      </x:c>
    </x:row>
    <x:row r="431">
      <x:c r="A431" s="12" t="str">
        <x:v>T427</x:v>
      </x:c>
      <x:c r="B431" s="12" t="str">
        <x:v>T404</x:v>
      </x:c>
      <x:c r="C431" s="12" t="n">
        <x:v>13</x:v>
      </x:c>
      <x:c r="D431" s="12" t="str">
        <x:v>重なり係数</x:v>
      </x:c>
      <x:c r="E431" s="12" t="str">
        <x:v>overlap_bus</x:v>
      </x:c>
      <x:c r="F431" s="48" t="n">
        <x:f>'01_入力仕様'!D222</x:f>
        <x:v>1</x:v>
      </x:c>
      <x:c r="G431" s="48" t="str">
        <x:v>-</x:v>
      </x:c>
      <x:c r="H431" s="48" t="n">
        <x:f>ABS(K431)*$F$5</x:f>
        <x:v>0.000025168792189838258</x:v>
      </x:c>
      <x:c r="I431" s="12" t="str">
        <x:v>入力仕様</x:v>
      </x:c>
      <x:c r="J431" s="48" t="n">
        <x:f>-1</x:f>
        <x:v>-1</x:v>
      </x:c>
      <x:c r="K431" s="48" t="n">
        <x:f>K408*J431</x:f>
        <x:v>-0.000002812834713326733</x:v>
      </x:c>
      <x:c r="L431" s="12" t="str">
        <x:f>IF(K431&gt;0,"増加→総重量増",IF(K431&lt;0,"増加→総重量減","中立"))</x:f>
        <x:v>増加→総重量減</x:v>
      </x:c>
      <x:c r="M431" s="12" t="str">
        <x:v>設計対象</x:v>
      </x:c>
      <x:c r="N431" s="12" t="str"/>
      <x:c r="O431" s="229" t="n">
        <x:f>--(COUNTIF($B$5:$B$560,A431)=0)</x:f>
        <x:v>1</x:v>
      </x:c>
      <x:c r="P431" s="70" t="str">
        <x:f>IF(LEFT(E431,7)&lt;&gt;"Enable_","",IFERROR(IF(OR(ISNUMBER(SEARCH("=Enable",INDEX($I$5:$I$560,MATCH(B431,$A$5:$A$560,0)))),ISNUMBER(SEARCH("×Enable",INDEX($I$5:$I$560,MATCH(B431,$A$5:$A$560,0))))),1,""),""))</x:f>
      </x:c>
      <x:c r="Q431" t="n">
        <x:f>IF(E431="","",--(XMATCH(E431,$E$5:E431,0)=ROWS($E$5:E431)))</x:f>
        <x:v>0</x:v>
      </x:c>
      <x:c r="R431" t="str">
        <x:f>IF(Q431=1,SUM($Q$5:Q431),"")</x:f>
      </x:c>
    </x:row>
    <x:row r="432">
      <x:c r="A432" s="12" t="str">
        <x:v>T428</x:v>
      </x:c>
      <x:c r="B432" s="12" t="str">
        <x:v>T404</x:v>
      </x:c>
      <x:c r="C432" s="12" t="n">
        <x:v>13</x:v>
      </x:c>
      <x:c r="D432" s="12" t="str">
        <x:v>HFデカップリング有効</x:v>
      </x:c>
      <x:c r="E432" s="12" t="str">
        <x:v>Enable_hf_decouple</x:v>
      </x:c>
      <x:c r="F432" s="48" t="n">
        <x:f>'01_入力仕様'!D197</x:f>
        <x:v>0</x:v>
      </x:c>
      <x:c r="G432" s="48" t="str">
        <x:v>0/1</x:v>
      </x:c>
      <x:c r="H432" s="48" t="n">
        <x:f>ABS(K432)*$F$5</x:f>
        <x:v>0.000011325956485427217</x:v>
      </x:c>
      <x:c r="I432" s="12" t="str">
        <x:v>入力仕様</x:v>
      </x:c>
      <x:c r="J432" s="48" t="n">
        <x:f>0</x:f>
        <x:v>0</x:v>
      </x:c>
      <x:c r="K432" s="48" t="n">
        <x:f>K408*(-'01_入力仕様'!D198)</x:f>
        <x:v>-0.0000012657756209970299</x:v>
      </x:c>
      <x:c r="L432" s="12" t="str">
        <x:f>IF(K432&gt;0,"増加→総重量増",IF(K432&lt;0,"増加→総重量減","中立"))</x:f>
        <x:v>増加→総重量減</x:v>
      </x:c>
      <x:c r="M432" s="12" t="str">
        <x:v>設計対象</x:v>
      </x:c>
      <x:c r="N432" s="12" t="str">
        <x:v>0→1採用差分</x:v>
      </x:c>
      <x:c r="O432" s="229" t="n">
        <x:f>--(COUNTIF($B$5:$B$560,A432)=0)</x:f>
        <x:v>1</x:v>
      </x:c>
      <x:c r="P432" s="70" t="str">
        <x:f>IF(LEFT(E432,7)&lt;&gt;"Enable_","",IFERROR(IF(OR(ISNUMBER(SEARCH("=Enable",INDEX($I$5:$I$560,MATCH(B432,$A$5:$A$560,0)))),ISNUMBER(SEARCH("×Enable",INDEX($I$5:$I$560,MATCH(B432,$A$5:$A$560,0))))),1,""),""))</x:f>
      </x:c>
      <x:c r="Q432" t="n">
        <x:f>IF(E432="","",--(XMATCH(E432,$E$5:E432,0)=ROWS($E$5:E432)))</x:f>
        <x:v>0</x:v>
      </x:c>
      <x:c r="R432" t="str">
        <x:f>IF(Q432=1,SUM($Q$5:Q432),"")</x:f>
      </x:c>
    </x:row>
    <x:row r="433">
      <x:c r="A433" s="12" t="str">
        <x:v>T429</x:v>
      </x:c>
      <x:c r="B433" s="12" t="str">
        <x:v>T404</x:v>
      </x:c>
      <x:c r="C433" s="12" t="n">
        <x:v>13</x:v>
      </x:c>
      <x:c r="D433" s="12" t="str">
        <x:v>HF寄生L低減率</x:v>
      </x:c>
      <x:c r="E433" s="12" t="str">
        <x:v>k_hf_L_reduce</x:v>
      </x:c>
      <x:c r="F433" s="48" t="n">
        <x:f>'01_入力仕様'!D198</x:f>
        <x:v>0.45</x:v>
      </x:c>
      <x:c r="G433" s="48" t="str">
        <x:v>-</x:v>
      </x:c>
      <x:c r="H433" s="48" t="n">
        <x:f>ABS(K433)*$F$5</x:f>
        <x:v>0</x:v>
      </x:c>
      <x:c r="I433" s="12" t="str">
        <x:v>入力仕様</x:v>
      </x:c>
      <x:c r="J433" s="48" t="n">
        <x:f>0</x:f>
        <x:v>0</x:v>
      </x:c>
      <x:c r="K433" s="48" t="n">
        <x:f>0</x:f>
        <x:v>0</x:v>
      </x:c>
      <x:c r="L433" s="12" t="str">
        <x:f>IF(K433&gt;0,"増加→総重量増",IF(K433&lt;0,"増加→総重量減","中立"))</x:f>
        <x:v>中立</x:v>
      </x:c>
      <x:c r="M433" s="12" t="str">
        <x:v>設計対象</x:v>
      </x:c>
      <x:c r="N433" s="12" t="str"/>
      <x:c r="O433" s="229" t="n">
        <x:f>--(COUNTIF($B$5:$B$560,A433)=0)</x:f>
        <x:v>1</x:v>
      </x:c>
      <x:c r="P433" s="70" t="str">
        <x:f>IF(LEFT(E433,7)&lt;&gt;"Enable_","",IFERROR(IF(OR(ISNUMBER(SEARCH("=Enable",INDEX($I$5:$I$560,MATCH(B433,$A$5:$A$560,0)))),ISNUMBER(SEARCH("×Enable",INDEX($I$5:$I$560,MATCH(B433,$A$5:$A$560,0))))),1,""),""))</x:f>
      </x:c>
      <x:c r="Q433" t="n">
        <x:f>IF(E433="","",--(XMATCH(E433,$E$5:E433,0)=ROWS($E$5:E433)))</x:f>
        <x:v>0</x:v>
      </x:c>
      <x:c r="R433" t="str">
        <x:f>IF(Q433=1,SUM($Q$5:Q433),"")</x:f>
      </x:c>
    </x:row>
    <x:row r="434">
      <x:c r="A434" s="12" t="str">
        <x:v>T430</x:v>
      </x:c>
      <x:c r="B434" s="12" t="str">
        <x:v>T411</x:v>
      </x:c>
      <x:c r="C434" s="12" t="n">
        <x:v>11</x:v>
      </x:c>
      <x:c r="D434" s="12" t="str">
        <x:v>パワーループ寄生L</x:v>
      </x:c>
      <x:c r="E434" s="12" t="str">
        <x:v>L_stray</x:v>
      </x:c>
      <x:c r="F434" s="48" t="n">
        <x:f>'01_入力仕様'!D172</x:f>
        <x:v>1.5e-8</x:v>
      </x:c>
      <x:c r="G434" s="48" t="str">
        <x:v>H</x:v>
      </x:c>
      <x:c r="H434" s="48" t="n">
        <x:f>ABS(K434)*$F$5</x:f>
        <x:v>0.0010563591756912333</x:v>
      </x:c>
      <x:c r="I434" s="12" t="str">
        <x:v>入力仕様</x:v>
      </x:c>
      <x:c r="J434" s="48" t="n">
        <x:f>1</x:f>
        <x:v>1</x:v>
      </x:c>
      <x:c r="K434" s="48" t="n">
        <x:f>K415*J434</x:f>
        <x:v>-0.00011805746325503786</x:v>
      </x:c>
      <x:c r="L434" s="12" t="str">
        <x:f>IF(K434&gt;0,"増加→総重量増",IF(K434&lt;0,"増加→総重量減","中立"))</x:f>
        <x:v>増加→総重量減</x:v>
      </x:c>
      <x:c r="M434" s="12" t="str">
        <x:v>設計対象</x:v>
      </x:c>
      <x:c r="N434" s="12" t="str"/>
      <x:c r="O434" s="229" t="n">
        <x:f>--(COUNTIF($B$5:$B$560,A434)=0)</x:f>
        <x:v>1</x:v>
      </x:c>
      <x:c r="P434" s="70" t="str">
        <x:f>IF(LEFT(E434,7)&lt;&gt;"Enable_","",IFERROR(IF(OR(ISNUMBER(SEARCH("=Enable",INDEX($I$5:$I$560,MATCH(B434,$A$5:$A$560,0)))),ISNUMBER(SEARCH("×Enable",INDEX($I$5:$I$560,MATCH(B434,$A$5:$A$560,0))))),1,""),""))</x:f>
      </x:c>
      <x:c r="Q434" t="n">
        <x:f>IF(E434="","",--(XMATCH(E434,$E$5:E434,0)=ROWS($E$5:E434)))</x:f>
        <x:v>0</x:v>
      </x:c>
      <x:c r="R434" t="str">
        <x:f>IF(Q434=1,SUM($Q$5:Q434),"")</x:f>
      </x:c>
    </x:row>
    <x:row r="435">
      <x:c r="A435" s="12" t="str">
        <x:v>T431</x:v>
      </x:c>
      <x:c r="B435" s="12" t="str">
        <x:v>T411</x:v>
      </x:c>
      <x:c r="C435" s="12" t="n">
        <x:v>11</x:v>
      </x:c>
      <x:c r="D435" s="12" t="str">
        <x:v>DCリンクESL</x:v>
      </x:c>
      <x:c r="E435" s="12" t="str">
        <x:v>ESL_dc</x:v>
      </x:c>
      <x:c r="F435" s="48" t="n">
        <x:f>'01_入力仕様'!D196</x:f>
        <x:v>1.2e-8</x:v>
      </x:c>
      <x:c r="G435" s="48" t="str">
        <x:v>H</x:v>
      </x:c>
      <x:c r="H435" s="48" t="n">
        <x:f>ABS(K435)*$F$5</x:f>
        <x:v>0.00046949296697388146</x:v>
      </x:c>
      <x:c r="I435" s="12" t="str">
        <x:v>入力仕様</x:v>
      </x:c>
      <x:c r="J435" s="48" t="n">
        <x:f>'01_入力仕様'!D196/('01_入力仕様'!D172+'01_入力仕様'!D196)</x:f>
        <x:v>0.4444444444444445</x:v>
      </x:c>
      <x:c r="K435" s="48" t="n">
        <x:f>K415*J435</x:f>
        <x:v>-0.00005246998366890572</x:v>
      </x:c>
      <x:c r="L435" s="12" t="str">
        <x:f>IF(K435&gt;0,"増加→総重量増",IF(K435&lt;0,"増加→総重量減","中立"))</x:f>
        <x:v>増加→総重量減</x:v>
      </x:c>
      <x:c r="M435" s="12" t="str">
        <x:v>設計対象</x:v>
      </x:c>
      <x:c r="N435" s="12" t="str"/>
      <x:c r="O435" s="229" t="n">
        <x:f>--(COUNTIF($B$5:$B$560,A435)=0)</x:f>
        <x:v>1</x:v>
      </x:c>
      <x:c r="P435" s="70" t="str">
        <x:f>IF(LEFT(E435,7)&lt;&gt;"Enable_","",IFERROR(IF(OR(ISNUMBER(SEARCH("=Enable",INDEX($I$5:$I$560,MATCH(B435,$A$5:$A$560,0)))),ISNUMBER(SEARCH("×Enable",INDEX($I$5:$I$560,MATCH(B435,$A$5:$A$560,0))))),1,""),""))</x:f>
      </x:c>
      <x:c r="Q435" t="n">
        <x:f>IF(E435="","",--(XMATCH(E435,$E$5:E435,0)=ROWS($E$5:E435)))</x:f>
        <x:v>0</x:v>
      </x:c>
      <x:c r="R435" t="str">
        <x:f>IF(Q435=1,SUM($Q$5:Q435),"")</x:f>
      </x:c>
    </x:row>
    <x:row r="436">
      <x:c r="A436" s="12" t="str">
        <x:v>T432</x:v>
      </x:c>
      <x:c r="B436" s="12" t="str">
        <x:v>T411</x:v>
      </x:c>
      <x:c r="C436" s="12" t="n">
        <x:v>11</x:v>
      </x:c>
      <x:c r="D436" s="12" t="str">
        <x:v>極間ギャップ</x:v>
      </x:c>
      <x:c r="E436" s="12" t="str">
        <x:v>gap_bus</x:v>
      </x:c>
      <x:c r="F436" s="48" t="n">
        <x:f>'01_入力仕様'!D220</x:f>
        <x:v>0.001</x:v>
      </x:c>
      <x:c r="G436" s="48" t="str">
        <x:v>m</x:v>
      </x:c>
      <x:c r="H436" s="48" t="n">
        <x:f>ABS(K436)*$F$5</x:f>
        <x:v>0.0010563591756912333</x:v>
      </x:c>
      <x:c r="I436" s="12" t="str">
        <x:v>入力仕様</x:v>
      </x:c>
      <x:c r="J436" s="48" t="n">
        <x:f>1</x:f>
        <x:v>1</x:v>
      </x:c>
      <x:c r="K436" s="48" t="n">
        <x:f>K415*J436</x:f>
        <x:v>-0.00011805746325503786</x:v>
      </x:c>
      <x:c r="L436" s="12" t="str">
        <x:f>IF(K436&gt;0,"増加→総重量増",IF(K436&lt;0,"増加→総重量減","中立"))</x:f>
        <x:v>増加→総重量減</x:v>
      </x:c>
      <x:c r="M436" s="12" t="str">
        <x:v>設計対象</x:v>
      </x:c>
      <x:c r="N436" s="12" t="str"/>
      <x:c r="O436" s="229" t="n">
        <x:f>--(COUNTIF($B$5:$B$560,A436)=0)</x:f>
        <x:v>1</x:v>
      </x:c>
      <x:c r="P436" s="70" t="str">
        <x:f>IF(LEFT(E436,7)&lt;&gt;"Enable_","",IFERROR(IF(OR(ISNUMBER(SEARCH("=Enable",INDEX($I$5:$I$560,MATCH(B436,$A$5:$A$560,0)))),ISNUMBER(SEARCH("×Enable",INDEX($I$5:$I$560,MATCH(B436,$A$5:$A$560,0))))),1,""),""))</x:f>
      </x:c>
      <x:c r="Q436" t="n">
        <x:f>IF(E436="","",--(XMATCH(E436,$E$5:E436,0)=ROWS($E$5:E436)))</x:f>
        <x:v>0</x:v>
      </x:c>
      <x:c r="R436" t="str">
        <x:f>IF(Q436=1,SUM($Q$5:Q436),"")</x:f>
      </x:c>
    </x:row>
    <x:row r="437">
      <x:c r="A437" s="12" t="str">
        <x:v>T433</x:v>
      </x:c>
      <x:c r="B437" s="12" t="str">
        <x:v>T411</x:v>
      </x:c>
      <x:c r="C437" s="12" t="n">
        <x:v>11</x:v>
      </x:c>
      <x:c r="D437" s="12" t="str">
        <x:v>重なり係数</x:v>
      </x:c>
      <x:c r="E437" s="12" t="str">
        <x:v>overlap_bus</x:v>
      </x:c>
      <x:c r="F437" s="48" t="n">
        <x:f>'01_入力仕様'!D222</x:f>
        <x:v>1</x:v>
      </x:c>
      <x:c r="G437" s="48" t="str">
        <x:v>-</x:v>
      </x:c>
      <x:c r="H437" s="48" t="n">
        <x:f>ABS(K437)*$F$5</x:f>
        <x:v>0.0010563591756912333</x:v>
      </x:c>
      <x:c r="I437" s="12" t="str">
        <x:v>入力仕様</x:v>
      </x:c>
      <x:c r="J437" s="48" t="n">
        <x:f>-1</x:f>
        <x:v>-1</x:v>
      </x:c>
      <x:c r="K437" s="48" t="n">
        <x:f>K415*J437</x:f>
        <x:v>0.00011805746325503786</x:v>
      </x:c>
      <x:c r="L437" s="12" t="str">
        <x:f>IF(K437&gt;0,"増加→総重量増",IF(K437&lt;0,"増加→総重量減","中立"))</x:f>
        <x:v>増加→総重量増</x:v>
      </x:c>
      <x:c r="M437" s="12" t="str">
        <x:v>設計対象</x:v>
      </x:c>
      <x:c r="N437" s="12" t="str"/>
      <x:c r="O437" s="229" t="n">
        <x:f>--(COUNTIF($B$5:$B$560,A437)=0)</x:f>
        <x:v>1</x:v>
      </x:c>
      <x:c r="P437" s="70" t="str">
        <x:f>IF(LEFT(E437,7)&lt;&gt;"Enable_","",IFERROR(IF(OR(ISNUMBER(SEARCH("=Enable",INDEX($I$5:$I$560,MATCH(B437,$A$5:$A$560,0)))),ISNUMBER(SEARCH("×Enable",INDEX($I$5:$I$560,MATCH(B437,$A$5:$A$560,0))))),1,""),""))</x:f>
      </x:c>
      <x:c r="Q437" t="n">
        <x:f>IF(E437="","",--(XMATCH(E437,$E$5:E437,0)=ROWS($E$5:E437)))</x:f>
        <x:v>0</x:v>
      </x:c>
      <x:c r="R437" t="str">
        <x:f>IF(Q437=1,SUM($Q$5:Q437),"")</x:f>
      </x:c>
    </x:row>
    <x:row r="438">
      <x:c r="A438" s="12" t="str">
        <x:v>T434</x:v>
      </x:c>
      <x:c r="B438" s="12" t="str">
        <x:v>T411</x:v>
      </x:c>
      <x:c r="C438" s="12" t="n">
        <x:v>11</x:v>
      </x:c>
      <x:c r="D438" s="12" t="str">
        <x:v>HFデカップリング有効</x:v>
      </x:c>
      <x:c r="E438" s="12" t="str">
        <x:v>Enable_hf_decouple</x:v>
      </x:c>
      <x:c r="F438" s="48" t="n">
        <x:f>'01_入力仕様'!D197</x:f>
        <x:v>0</x:v>
      </x:c>
      <x:c r="G438" s="48" t="str">
        <x:v>0/1</x:v>
      </x:c>
      <x:c r="H438" s="48" t="n">
        <x:f>ABS(K438)*$F$5</x:f>
        <x:v>0.000475361629061055</x:v>
      </x:c>
      <x:c r="I438" s="12" t="str">
        <x:v>入力仕様</x:v>
      </x:c>
      <x:c r="J438" s="48" t="n">
        <x:f>0</x:f>
        <x:v>0</x:v>
      </x:c>
      <x:c r="K438" s="48" t="n">
        <x:f>K415*(-'01_入力仕様'!D198)</x:f>
        <x:v>0.000053125858464767037</x:v>
      </x:c>
      <x:c r="L438" s="12" t="str">
        <x:f>IF(K438&gt;0,"増加→総重量増",IF(K438&lt;0,"増加→総重量減","中立"))</x:f>
        <x:v>増加→総重量増</x:v>
      </x:c>
      <x:c r="M438" s="12" t="str">
        <x:v>設計対象</x:v>
      </x:c>
      <x:c r="N438" s="12" t="str">
        <x:v>0→1採用差分</x:v>
      </x:c>
      <x:c r="O438" s="229" t="n">
        <x:f>--(COUNTIF($B$5:$B$560,A438)=0)</x:f>
        <x:v>1</x:v>
      </x:c>
      <x:c r="P438" s="70" t="str">
        <x:f>IF(LEFT(E438,7)&lt;&gt;"Enable_","",IFERROR(IF(OR(ISNUMBER(SEARCH("=Enable",INDEX($I$5:$I$560,MATCH(B438,$A$5:$A$560,0)))),ISNUMBER(SEARCH("×Enable",INDEX($I$5:$I$560,MATCH(B438,$A$5:$A$560,0))))),1,""),""))</x:f>
      </x:c>
      <x:c r="Q438" t="n">
        <x:f>IF(E438="","",--(XMATCH(E438,$E$5:E438,0)=ROWS($E$5:E438)))</x:f>
        <x:v>0</x:v>
      </x:c>
      <x:c r="R438" t="str">
        <x:f>IF(Q438=1,SUM($Q$5:Q438),"")</x:f>
      </x:c>
    </x:row>
    <x:row r="439">
      <x:c r="A439" s="12" t="str">
        <x:v>T435</x:v>
      </x:c>
      <x:c r="B439" s="12" t="str">
        <x:v>T411</x:v>
      </x:c>
      <x:c r="C439" s="12" t="n">
        <x:v>11</x:v>
      </x:c>
      <x:c r="D439" s="12" t="str">
        <x:v>HF寄生L低減率</x:v>
      </x:c>
      <x:c r="E439" s="12" t="str">
        <x:v>k_hf_L_reduce</x:v>
      </x:c>
      <x:c r="F439" s="48" t="n">
        <x:f>'01_入力仕様'!D198</x:f>
        <x:v>0.45</x:v>
      </x:c>
      <x:c r="G439" s="48" t="str">
        <x:v>-</x:v>
      </x:c>
      <x:c r="H439" s="48" t="n">
        <x:f>ABS(K439)*$F$5</x:f>
        <x:v>0</x:v>
      </x:c>
      <x:c r="I439" s="12" t="str">
        <x:v>入力仕様</x:v>
      </x:c>
      <x:c r="J439" s="48" t="n">
        <x:f>0</x:f>
        <x:v>0</x:v>
      </x:c>
      <x:c r="K439" s="48" t="n">
        <x:f>0</x:f>
        <x:v>0</x:v>
      </x:c>
      <x:c r="L439" s="12" t="str">
        <x:f>IF(K439&gt;0,"増加→総重量増",IF(K439&lt;0,"増加→総重量減","中立"))</x:f>
        <x:v>中立</x:v>
      </x:c>
      <x:c r="M439" s="12" t="str">
        <x:v>設計対象</x:v>
      </x:c>
      <x:c r="N439" s="12" t="str"/>
      <x:c r="O439" s="229" t="n">
        <x:f>--(COUNTIF($B$5:$B$560,A439)=0)</x:f>
        <x:v>1</x:v>
      </x:c>
      <x:c r="P439" s="70" t="str">
        <x:f>IF(LEFT(E439,7)&lt;&gt;"Enable_","",IFERROR(IF(OR(ISNUMBER(SEARCH("=Enable",INDEX($I$5:$I$560,MATCH(B439,$A$5:$A$560,0)))),ISNUMBER(SEARCH("×Enable",INDEX($I$5:$I$560,MATCH(B439,$A$5:$A$560,0))))),1,""),""))</x:f>
      </x:c>
      <x:c r="Q439" t="n">
        <x:f>IF(E439="","",--(XMATCH(E439,$E$5:E439,0)=ROWS($E$5:E439)))</x:f>
        <x:v>0</x:v>
      </x:c>
      <x:c r="R439" t="str">
        <x:f>IF(Q439=1,SUM($Q$5:Q439),"")</x:f>
      </x:c>
    </x:row>
    <x:row r="440">
      <x:c r="A440" s="12" t="str">
        <x:v>T436</x:v>
      </x:c>
      <x:c r="B440" s="12" t="str">
        <x:v>T001</x:v>
      </x:c>
      <x:c r="C440" s="12" t="n">
        <x:v>1</x:v>
      </x:c>
      <x:c r="D440" s="12" t="str">
        <x:v>HFローカルデカップリング追加重量</x:v>
      </x:c>
      <x:c r="E440" s="12" t="str">
        <x:v>M_hfcap</x:v>
      </x:c>
      <x:c r="F440" s="48" t="n">
        <x:f>'01_入力仕様'!D197*'01_入力仕様'!D199</x:f>
        <x:v>0</x:v>
      </x:c>
      <x:c r="G440" s="48" t="str">
        <x:v>kg</x:v>
      </x:c>
      <x:c r="H440" s="48" t="n">
        <x:f>ABS(K440)*$F$5</x:f>
        <x:v>0</x:v>
      </x:c>
      <x:c r="I440" s="12" t="str">
        <x:v>Enable_hf×m_hfcap</x:v>
      </x:c>
      <x:c r="J440" s="48" t="n">
        <x:f>F440/$F$5</x:f>
        <x:v>0</x:v>
      </x:c>
      <x:c r="K440" s="48" t="n">
        <x:f>J440</x:f>
        <x:v>0</x:v>
      </x:c>
      <x:c r="L440" s="12" t="str">
        <x:f>IF(K440&gt;0,"増加→総重量増",IF(K440&lt;0,"増加→総重量減","中立"))</x:f>
        <x:v>中立</x:v>
      </x:c>
      <x:c r="M440" s="12" t="str">
        <x:v>設計対象</x:v>
      </x:c>
      <x:c r="N440" s="12" t="str"/>
      <x:c r="O440" s="229" t="n">
        <x:f>--(COUNTIF($B$5:$B$560,A440)=0)</x:f>
        <x:v>0</x:v>
      </x:c>
      <x:c r="P440" s="70" t="str">
        <x:f>IF(LEFT(E440,7)&lt;&gt;"Enable_","",IFERROR(IF(OR(ISNUMBER(SEARCH("=Enable",INDEX($I$5:$I$560,MATCH(B440,$A$5:$A$560,0)))),ISNUMBER(SEARCH("×Enable",INDEX($I$5:$I$560,MATCH(B440,$A$5:$A$560,0))))),1,""),""))</x:f>
      </x:c>
      <x:c r="Q440" t="n">
        <x:f>IF(E440="","",--(XMATCH(E440,$E$5:E440,0)=ROWS($E$5:E440)))</x:f>
        <x:v>1</x:v>
      </x:c>
      <x:c r="R440" t="n">
        <x:f>IF(Q440=1,SUM($Q$5:Q440),"")</x:f>
        <x:v>311</x:v>
      </x:c>
    </x:row>
    <x:row r="441">
      <x:c r="A441" s="12" t="str">
        <x:v>T437</x:v>
      </x:c>
      <x:c r="B441" s="12" t="str">
        <x:v>T436</x:v>
      </x:c>
      <x:c r="C441" s="12" t="n">
        <x:v>2</x:v>
      </x:c>
      <x:c r="D441" s="12" t="str">
        <x:v>HFデカップリング有効</x:v>
      </x:c>
      <x:c r="E441" s="12" t="str">
        <x:v>Enable_hf_decouple</x:v>
      </x:c>
      <x:c r="F441" s="48" t="n">
        <x:f>'01_入力仕様'!D197</x:f>
        <x:v>0</x:v>
      </x:c>
      <x:c r="G441" s="48" t="str">
        <x:v>0/1</x:v>
      </x:c>
      <x:c r="H441" s="48" t="n">
        <x:f>ABS(K441)*$F$5</x:f>
        <x:v>0.035</x:v>
      </x:c>
      <x:c r="I441" s="12" t="str">
        <x:v>入力仕様</x:v>
      </x:c>
      <x:c r="J441" s="48" t="n">
        <x:f>0</x:f>
        <x:v>0</x:v>
      </x:c>
      <x:c r="K441" s="48" t="n">
        <x:f>'01_入力仕様'!D199/$F$5</x:f>
        <x:v>0.0039115589744582145</x:v>
      </x:c>
      <x:c r="L441" s="12" t="str">
        <x:f>IF(K441&gt;0,"増加→総重量増",IF(K441&lt;0,"増加→総重量減","中立"))</x:f>
        <x:v>増加→総重量増</x:v>
      </x:c>
      <x:c r="M441" s="12" t="str">
        <x:v>設計対象</x:v>
      </x:c>
      <x:c r="N441" s="12" t="str">
        <x:v>0→1追加重量</x:v>
      </x:c>
      <x:c r="O441" s="229" t="n">
        <x:f>--(COUNTIF($B$5:$B$560,A441)=0)</x:f>
        <x:v>1</x:v>
      </x:c>
      <x:c r="P441" s="70" t="str">
        <x:f>IF(LEFT(E441,7)&lt;&gt;"Enable_","",IFERROR(IF(OR(ISNUMBER(SEARCH("=Enable",INDEX($I$5:$I$560,MATCH(B441,$A$5:$A$560,0)))),ISNUMBER(SEARCH("×Enable",INDEX($I$5:$I$560,MATCH(B441,$A$5:$A$560,0))))),1,""),""))</x:f>
      </x:c>
      <x:c r="Q441" t="n">
        <x:f>IF(E441="","",--(XMATCH(E441,$E$5:E441,0)=ROWS($E$5:E441)))</x:f>
        <x:v>0</x:v>
      </x:c>
      <x:c r="R441" t="str">
        <x:f>IF(Q441=1,SUM($Q$5:Q441),"")</x:f>
      </x:c>
    </x:row>
    <x:row r="442">
      <x:c r="A442" s="12" t="str">
        <x:v>T438</x:v>
      </x:c>
      <x:c r="B442" s="12" t="str">
        <x:v>T436</x:v>
      </x:c>
      <x:c r="C442" s="12" t="n">
        <x:v>2</x:v>
      </x:c>
      <x:c r="D442" s="12" t="str">
        <x:v>HF追加重量</x:v>
      </x:c>
      <x:c r="E442" s="12" t="str">
        <x:v>m_hfcap</x:v>
      </x:c>
      <x:c r="F442" s="48" t="n">
        <x:f>'01_入力仕様'!D199</x:f>
        <x:v>0.035</x:v>
      </x:c>
      <x:c r="G442" s="48" t="str">
        <x:v>kg</x:v>
      </x:c>
      <x:c r="H442" s="48" t="n">
        <x:f>ABS(K442)*$F$5</x:f>
        <x:v>0</x:v>
      </x:c>
      <x:c r="I442" s="12" t="str">
        <x:v>入力仕様</x:v>
      </x:c>
      <x:c r="J442" s="48" t="n">
        <x:f>0</x:f>
        <x:v>0</x:v>
      </x:c>
      <x:c r="K442" s="48" t="n">
        <x:f>0</x:f>
        <x:v>0</x:v>
      </x:c>
      <x:c r="L442" s="12" t="str">
        <x:f>IF(K442&gt;0,"増加→総重量増",IF(K442&lt;0,"増加→総重量減","中立"))</x:f>
        <x:v>中立</x:v>
      </x:c>
      <x:c r="M442" s="12" t="str">
        <x:v>設計対象</x:v>
      </x:c>
      <x:c r="N442" s="12" t="str"/>
      <x:c r="O442" s="229" t="n">
        <x:f>--(COUNTIF($B$5:$B$560,A442)=0)</x:f>
        <x:v>1</x:v>
      </x:c>
      <x:c r="P442" s="70" t="str">
        <x:f>IF(LEFT(E442,7)&lt;&gt;"Enable_","",IFERROR(IF(OR(ISNUMBER(SEARCH("=Enable",INDEX($I$5:$I$560,MATCH(B442,$A$5:$A$560,0)))),ISNUMBER(SEARCH("×Enable",INDEX($I$5:$I$560,MATCH(B442,$A$5:$A$560,0))))),1,""),""))</x:f>
      </x:c>
      <x:c r="Q442" t="n">
        <x:f>IF(E442="","",--(XMATCH(E442,$E$5:E442,0)=ROWS($E$5:E442)))</x:f>
        <x:v>0</x:v>
      </x:c>
      <x:c r="R442" t="str">
        <x:f>IF(Q442=1,SUM($Q$5:Q442),"")</x:f>
      </x:c>
    </x:row>
    <x:row r="443">
      <x:c r="A443" s="12" t="str">
        <x:v>T439</x:v>
      </x:c>
      <x:c r="B443" s="12" t="str">
        <x:v>T030</x:v>
      </x:c>
      <x:c r="C443" s="12" t="n">
        <x:v>2</x:v>
      </x:c>
      <x:c r="D443" s="12" t="str">
        <x:v>ポンプ重量</x:v>
      </x:c>
      <x:c r="E443" s="12" t="str">
        <x:v>m_pump</x:v>
      </x:c>
      <x:c r="F443" s="48" t="n">
        <x:f>'01_入力仕様'!D205*F444</x:f>
        <x:v>0.15</x:v>
      </x:c>
      <x:c r="G443" s="48" t="str">
        <x:v>kg</x:v>
      </x:c>
      <x:c r="H443" s="48" t="n">
        <x:f>ABS(K443)*$F$5</x:f>
        <x:v>0.14999999999999997</x:v>
      </x:c>
      <x:c r="I443" s="12" t="str">
        <x:v>m_pump=k_m_pump×P_pump</x:v>
      </x:c>
      <x:c r="J443" s="48" t="n">
        <x:f>F443/F34</x:f>
        <x:v>0.2001904150933015</x:v>
      </x:c>
      <x:c r="K443" s="48" t="n">
        <x:f>K34*J443</x:f>
        <x:v>0.016763824176249487</x:v>
      </x:c>
      <x:c r="L443" s="12" t="str">
        <x:f>IF(K443&gt;0,"増加→総重量増",IF(K443&lt;0,"増加→総重量減","中立"))</x:f>
        <x:v>増加→総重量増</x:v>
      </x:c>
      <x:c r="M443" s="12" t="str">
        <x:v>設計対象</x:v>
      </x:c>
      <x:c r="N443" s="12" t="str"/>
      <x:c r="O443" s="229" t="n">
        <x:f>--(COUNTIF($B$5:$B$560,A443)=0)</x:f>
        <x:v>0</x:v>
      </x:c>
      <x:c r="P443" s="70" t="str">
        <x:f>IF(LEFT(E443,7)&lt;&gt;"Enable_","",IFERROR(IF(OR(ISNUMBER(SEARCH("=Enable",INDEX($I$5:$I$560,MATCH(B443,$A$5:$A$560,0)))),ISNUMBER(SEARCH("×Enable",INDEX($I$5:$I$560,MATCH(B443,$A$5:$A$560,0))))),1,""),""))</x:f>
      </x:c>
      <x:c r="Q443" t="n">
        <x:f>IF(E443="","",--(XMATCH(E443,$E$5:E443,0)=ROWS($E$5:E443)))</x:f>
        <x:v>1</x:v>
      </x:c>
      <x:c r="R443" t="n">
        <x:f>IF(Q443=1,SUM($Q$5:Q443),"")</x:f>
        <x:v>312</x:v>
      </x:c>
    </x:row>
    <x:row r="444">
      <x:c r="A444" s="12" t="str">
        <x:v>T440</x:v>
      </x:c>
      <x:c r="B444" s="12" t="str">
        <x:v>T032</x:v>
      </x:c>
      <x:c r="C444" s="12" t="n">
        <x:v>4</x:v>
      </x:c>
      <x:c r="D444" s="12" t="str">
        <x:v>ポンプ損失</x:v>
      </x:c>
      <x:c r="E444" s="12" t="str">
        <x:v>P_pump</x:v>
      </x:c>
      <x:c r="F444" s="48" t="n">
        <x:f>F445*'01_入力仕様'!D200/'01_入力仕様'!D204</x:f>
        <x:v>14.999999999999998</x:v>
      </x:c>
      <x:c r="G444" s="48" t="str">
        <x:v>W</x:v>
      </x:c>
      <x:c r="H444" s="48" t="n">
        <x:f>ABS(K444)*$F$5</x:f>
        <x:v>0.0005691865141696415</x:v>
      </x:c>
      <x:c r="I444" s="12" t="str">
        <x:v>DeltaP×Q_flow/eta_pump</x:v>
      </x:c>
      <x:c r="J444" s="48" t="n">
        <x:f>F444/(F38+F444+F471+F479)</x:f>
        <x:v>0.0028561200284014606</x:v>
      </x:c>
      <x:c r="K444" s="48" t="n">
        <x:f>K36*J444</x:f>
        <x:v>0.00006361161764688139</x:v>
      </x:c>
      <x:c r="L444" s="12" t="str">
        <x:f>IF(K444&gt;0,"増加→総重量増",IF(K444&lt;0,"増加→総重量減","中立"))</x:f>
        <x:v>増加→総重量増</x:v>
      </x:c>
      <x:c r="M444" s="12" t="str">
        <x:v>設計対象</x:v>
      </x:c>
      <x:c r="N444" s="12" t="str"/>
      <x:c r="O444" s="229" t="n">
        <x:f>--(COUNTIF($B$5:$B$560,A444)=0)</x:f>
        <x:v>0</x:v>
      </x:c>
      <x:c r="P444" s="70" t="str">
        <x:f>IF(LEFT(E444,7)&lt;&gt;"Enable_","",IFERROR(IF(OR(ISNUMBER(SEARCH("=Enable",INDEX($I$5:$I$560,MATCH(B444,$A$5:$A$560,0)))),ISNUMBER(SEARCH("×Enable",INDEX($I$5:$I$560,MATCH(B444,$A$5:$A$560,0))))),1,""),""))</x:f>
      </x:c>
      <x:c r="Q444" t="n">
        <x:f>IF(E444="","",--(XMATCH(E444,$E$5:E444,0)=ROWS($E$5:E444)))</x:f>
        <x:v>1</x:v>
      </x:c>
      <x:c r="R444" t="n">
        <x:f>IF(Q444=1,SUM($Q$5:Q444),"")</x:f>
        <x:v>313</x:v>
      </x:c>
    </x:row>
    <x:row r="445">
      <x:c r="A445" s="12" t="str">
        <x:v>T441</x:v>
      </x:c>
      <x:c r="B445" s="12" t="str">
        <x:v>T440</x:v>
      </x:c>
      <x:c r="C445" s="12" t="n">
        <x:v>5</x:v>
      </x:c>
      <x:c r="D445" s="12" t="str">
        <x:v>圧力損失</x:v>
      </x:c>
      <x:c r="E445" s="12" t="str">
        <x:v>DeltaP</x:v>
      </x:c>
      <x:c r="F445" s="48" t="n">
        <x:f>'01_入力仕様'!D202*('01_入力仕様'!D200/'01_入力仕様'!D201)^'01_入力仕様'!D203*'01_入力仕様'!D206^'01_入力仕様'!D208</x:f>
        <x:v>45000</x:v>
      </x:c>
      <x:c r="G445" s="48" t="str">
        <x:v>Pa</x:v>
      </x:c>
      <x:c r="H445" s="48" t="n">
        <x:f>ABS(K445)*$F$5</x:f>
        <x:v>0.0005691865141696415</x:v>
      </x:c>
      <x:c r="I445" s="12" t="str">
        <x:v>DeltaP_ref×(Q/Qref)^a×fin^b</x:v>
      </x:c>
      <x:c r="J445" s="48" t="n">
        <x:f>1</x:f>
        <x:v>1</x:v>
      </x:c>
      <x:c r="K445" s="48" t="n">
        <x:f>K444*J445</x:f>
        <x:v>0.00006361161764688139</x:v>
      </x:c>
      <x:c r="L445" s="12" t="str">
        <x:f>IF(K445&gt;0,"増加→総重量増",IF(K445&lt;0,"増加→総重量減","中立"))</x:f>
        <x:v>増加→総重量増</x:v>
      </x:c>
      <x:c r="M445" s="12" t="str">
        <x:v>設計対象</x:v>
      </x:c>
      <x:c r="N445" s="12" t="str"/>
      <x:c r="O445" s="229" t="n">
        <x:f>--(COUNTIF($B$5:$B$560,A445)=0)</x:f>
        <x:v>0</x:v>
      </x:c>
      <x:c r="P445" s="70" t="str">
        <x:f>IF(LEFT(E445,7)&lt;&gt;"Enable_","",IFERROR(IF(OR(ISNUMBER(SEARCH("=Enable",INDEX($I$5:$I$560,MATCH(B445,$A$5:$A$560,0)))),ISNUMBER(SEARCH("×Enable",INDEX($I$5:$I$560,MATCH(B445,$A$5:$A$560,0))))),1,""),""))</x:f>
      </x:c>
      <x:c r="Q445" t="n">
        <x:f>IF(E445="","",--(XMATCH(E445,$E$5:E445,0)=ROWS($E$5:E445)))</x:f>
        <x:v>1</x:v>
      </x:c>
      <x:c r="R445" t="n">
        <x:f>IF(Q445=1,SUM($Q$5:Q445),"")</x:f>
        <x:v>314</x:v>
      </x:c>
    </x:row>
    <x:row r="446">
      <x:c r="A446" s="12" t="str">
        <x:v>T442</x:v>
      </x:c>
      <x:c r="B446" s="12" t="str">
        <x:v>T441</x:v>
      </x:c>
      <x:c r="C446" s="12" t="n">
        <x:v>6</x:v>
      </x:c>
      <x:c r="D446" s="12" t="str">
        <x:v>冷媒流量</x:v>
      </x:c>
      <x:c r="E446" s="12" t="str">
        <x:v>Q_flow</x:v>
      </x:c>
      <x:c r="F446" s="48" t="n">
        <x:f>'01_入力仕様'!D200</x:f>
        <x:v>0.00015</x:v>
      </x:c>
      <x:c r="G446" s="48" t="str">
        <x:v>m3/s</x:v>
      </x:c>
      <x:c r="H446" s="48" t="n">
        <x:f>ABS(K446)*$F$5</x:f>
        <x:v>0.0010245357255053546</x:v>
      </x:c>
      <x:c r="I446" s="12" t="str">
        <x:v>入力仕様</x:v>
      </x:c>
      <x:c r="J446" s="48" t="n">
        <x:f>'01_入力仕様'!D203</x:f>
        <x:v>1.8</x:v>
      </x:c>
      <x:c r="K446" s="48" t="n">
        <x:f>K445*J446</x:f>
        <x:v>0.0001145009117643865</x:v>
      </x:c>
      <x:c r="L446" s="12" t="str">
        <x:f>IF(K446&gt;0,"増加→総重量増",IF(K446&lt;0,"増加→総重量減","中立"))</x:f>
        <x:v>増加→総重量増</x:v>
      </x:c>
      <x:c r="M446" s="12" t="str">
        <x:v>設計対象</x:v>
      </x:c>
      <x:c r="N446" s="12" t="str"/>
      <x:c r="O446" s="229" t="n">
        <x:f>--(COUNTIF($B$5:$B$560,A446)=0)</x:f>
        <x:v>1</x:v>
      </x:c>
      <x:c r="P446" s="70" t="str">
        <x:f>IF(LEFT(E446,7)&lt;&gt;"Enable_","",IFERROR(IF(OR(ISNUMBER(SEARCH("=Enable",INDEX($I$5:$I$560,MATCH(B446,$A$5:$A$560,0)))),ISNUMBER(SEARCH("×Enable",INDEX($I$5:$I$560,MATCH(B446,$A$5:$A$560,0))))),1,""),""))</x:f>
      </x:c>
      <x:c r="Q446" t="n">
        <x:f>IF(E446="","",--(XMATCH(E446,$E$5:E446,0)=ROWS($E$5:E446)))</x:f>
        <x:v>1</x:v>
      </x:c>
      <x:c r="R446" t="n">
        <x:f>IF(Q446=1,SUM($Q$5:Q446),"")</x:f>
        <x:v>315</x:v>
      </x:c>
    </x:row>
    <x:row r="447">
      <x:c r="A447" s="12" t="str">
        <x:v>T443</x:v>
      </x:c>
      <x:c r="B447" s="12" t="str">
        <x:v>T441</x:v>
      </x:c>
      <x:c r="C447" s="12" t="n">
        <x:v>6</x:v>
      </x:c>
      <x:c r="D447" s="12" t="str">
        <x:v>フィン/流路密度</x:v>
      </x:c>
      <x:c r="E447" s="12" t="str">
        <x:v>fin_density</x:v>
      </x:c>
      <x:c r="F447" s="48" t="n">
        <x:f>'01_入力仕様'!D206</x:f>
        <x:v>1</x:v>
      </x:c>
      <x:c r="G447" s="48" t="str">
        <x:v>-</x:v>
      </x:c>
      <x:c r="H447" s="48" t="n">
        <x:f>ABS(K447)*$F$5</x:f>
        <x:v>0.0009676170740883905</x:v>
      </x:c>
      <x:c r="I447" s="12" t="str">
        <x:v>入力仕様</x:v>
      </x:c>
      <x:c r="J447" s="48" t="n">
        <x:f>'01_入力仕様'!D208</x:f>
        <x:v>1.7</x:v>
      </x:c>
      <x:c r="K447" s="48" t="n">
        <x:f>K445*J447</x:f>
        <x:v>0.00010813974999969836</x:v>
      </x:c>
      <x:c r="L447" s="12" t="str">
        <x:f>IF(K447&gt;0,"増加→総重量増",IF(K447&lt;0,"増加→総重量減","中立"))</x:f>
        <x:v>増加→総重量増</x:v>
      </x:c>
      <x:c r="M447" s="12" t="str">
        <x:v>設計対象</x:v>
      </x:c>
      <x:c r="N447" s="12" t="str"/>
      <x:c r="O447" s="229" t="n">
        <x:f>--(COUNTIF($B$5:$B$560,A447)=0)</x:f>
        <x:v>1</x:v>
      </x:c>
      <x:c r="P447" s="70" t="str">
        <x:f>IF(LEFT(E447,7)&lt;&gt;"Enable_","",IFERROR(IF(OR(ISNUMBER(SEARCH("=Enable",INDEX($I$5:$I$560,MATCH(B447,$A$5:$A$560,0)))),ISNUMBER(SEARCH("×Enable",INDEX($I$5:$I$560,MATCH(B447,$A$5:$A$560,0))))),1,""),""))</x:f>
      </x:c>
      <x:c r="Q447" t="n">
        <x:f>IF(E447="","",--(XMATCH(E447,$E$5:E447,0)=ROWS($E$5:E447)))</x:f>
        <x:v>1</x:v>
      </x:c>
      <x:c r="R447" t="n">
        <x:f>IF(Q447=1,SUM($Q$5:Q447),"")</x:f>
        <x:v>316</x:v>
      </x:c>
    </x:row>
    <x:row r="448">
      <x:c r="A448" s="12" t="str">
        <x:v>T444</x:v>
      </x:c>
      <x:c r="B448" s="12" t="str">
        <x:v>T440</x:v>
      </x:c>
      <x:c r="C448" s="12" t="n">
        <x:v>5</x:v>
      </x:c>
      <x:c r="D448" s="12" t="str">
        <x:v>ポンプ効率</x:v>
      </x:c>
      <x:c r="E448" s="12" t="str">
        <x:v>eta_pump</x:v>
      </x:c>
      <x:c r="F448" s="48" t="n">
        <x:f>'01_入力仕様'!D204</x:f>
        <x:v>0.45</x:v>
      </x:c>
      <x:c r="G448" s="48" t="str">
        <x:v>-</x:v>
      </x:c>
      <x:c r="H448" s="48" t="n">
        <x:f>ABS(K448)*$F$5</x:f>
        <x:v>0.0005691865141696415</x:v>
      </x:c>
      <x:c r="I448" s="12" t="str">
        <x:v>入力仕様</x:v>
      </x:c>
      <x:c r="J448" s="48" t="n">
        <x:f>-1</x:f>
        <x:v>-1</x:v>
      </x:c>
      <x:c r="K448" s="48" t="n">
        <x:f>K444*J448</x:f>
        <x:v>-0.00006361161764688139</x:v>
      </x:c>
      <x:c r="L448" s="12" t="str">
        <x:f>IF(K448&gt;0,"増加→総重量増",IF(K448&lt;0,"増加→総重量減","中立"))</x:f>
        <x:v>増加→総重量減</x:v>
      </x:c>
      <x:c r="M448" s="12" t="str">
        <x:v>設計対象</x:v>
      </x:c>
      <x:c r="N448" s="12" t="str"/>
      <x:c r="O448" s="229" t="n">
        <x:f>--(COUNTIF($B$5:$B$560,A448)=0)</x:f>
        <x:v>1</x:v>
      </x:c>
      <x:c r="P448" s="70" t="str">
        <x:f>IF(LEFT(E448,7)&lt;&gt;"Enable_","",IFERROR(IF(OR(ISNUMBER(SEARCH("=Enable",INDEX($I$5:$I$560,MATCH(B448,$A$5:$A$560,0)))),ISNUMBER(SEARCH("×Enable",INDEX($I$5:$I$560,MATCH(B448,$A$5:$A$560,0))))),1,""),""))</x:f>
      </x:c>
      <x:c r="Q448" t="n">
        <x:f>IF(E448="","",--(XMATCH(E448,$E$5:E448,0)=ROWS($E$5:E448)))</x:f>
        <x:v>1</x:v>
      </x:c>
      <x:c r="R448" t="n">
        <x:f>IF(Q448=1,SUM($Q$5:Q448),"")</x:f>
        <x:v>317</x:v>
      </x:c>
    </x:row>
    <x:row r="449">
      <x:c r="A449" s="12" t="str">
        <x:v>T445</x:v>
      </x:c>
      <x:c r="B449" s="12" t="str">
        <x:v>T439</x:v>
      </x:c>
      <x:c r="C449" s="12" t="n">
        <x:v>3</x:v>
      </x:c>
      <x:c r="D449" s="12" t="str">
        <x:v>ポンプ比重量</x:v>
      </x:c>
      <x:c r="E449" s="12" t="str">
        <x:v>k_m_pump</x:v>
      </x:c>
      <x:c r="F449" s="48" t="n">
        <x:f>'01_入力仕様'!D205</x:f>
        <x:v>0.01</x:v>
      </x:c>
      <x:c r="G449" s="48" t="str">
        <x:v>kg/W</x:v>
      </x:c>
      <x:c r="H449" s="48" t="n">
        <x:f>ABS(K449)*$F$5</x:f>
        <x:v>0.14999999999999997</x:v>
      </x:c>
      <x:c r="I449" s="12" t="str">
        <x:v>入力仕様</x:v>
      </x:c>
      <x:c r="J449" s="48" t="n">
        <x:f>1</x:f>
        <x:v>1</x:v>
      </x:c>
      <x:c r="K449" s="48" t="n">
        <x:f>K443*J449</x:f>
        <x:v>0.016763824176249487</x:v>
      </x:c>
      <x:c r="L449" s="12" t="str">
        <x:f>IF(K449&gt;0,"増加→総重量増",IF(K449&lt;0,"増加→総重量減","中立"))</x:f>
        <x:v>増加→総重量増</x:v>
      </x:c>
      <x:c r="M449" s="12" t="str">
        <x:v>設計対象</x:v>
      </x:c>
      <x:c r="N449" s="12" t="str"/>
      <x:c r="O449" s="229" t="n">
        <x:f>--(COUNTIF($B$5:$B$560,A449)=0)</x:f>
        <x:v>1</x:v>
      </x:c>
      <x:c r="P449" s="70" t="str">
        <x:f>IF(LEFT(E449,7)&lt;&gt;"Enable_","",IFERROR(IF(OR(ISNUMBER(SEARCH("=Enable",INDEX($I$5:$I$560,MATCH(B449,$A$5:$A$560,0)))),ISNUMBER(SEARCH("×Enable",INDEX($I$5:$I$560,MATCH(B449,$A$5:$A$560,0))))),1,""),""))</x:f>
      </x:c>
      <x:c r="Q449" t="n">
        <x:f>IF(E449="","",--(XMATCH(E449,$E$5:E449,0)=ROWS($E$5:E449)))</x:f>
        <x:v>1</x:v>
      </x:c>
      <x:c r="R449" t="n">
        <x:f>IF(Q449=1,SUM($Q$5:Q449),"")</x:f>
        <x:v>318</x:v>
      </x:c>
    </x:row>
    <x:row r="450">
      <x:c r="A450" s="12" t="str">
        <x:v>T446</x:v>
      </x:c>
      <x:c r="B450" s="12" t="str">
        <x:v>T079</x:v>
      </x:c>
      <x:c r="C450" s="12" t="n">
        <x:v>5</x:v>
      </x:c>
      <x:c r="D450" s="12" t="str">
        <x:v>流路密度熱伝達係数</x:v>
      </x:c>
      <x:c r="E450" s="12" t="str">
        <x:v>k_fin_density</x:v>
      </x:c>
      <x:c r="F450" s="48" t="n">
        <x:f>'01_入力仕様'!D206^'01_入力仕様'!D207</x:f>
        <x:v>1</x:v>
      </x:c>
      <x:c r="G450" s="48" t="str">
        <x:v>-</x:v>
      </x:c>
      <x:c r="H450" s="48" t="n">
        <x:f>ABS(K450)*$F$5</x:f>
        <x:v>0.19928662258925056</x:v>
      </x:c>
      <x:c r="I450" s="12" t="str">
        <x:v>fin_density^a_h_fin</x:v>
      </x:c>
      <x:c r="J450" s="48" t="n">
        <x:f>1</x:f>
        <x:v>1</x:v>
      </x:c>
      <x:c r="K450" s="48" t="n">
        <x:f>K83*J450</x:f>
        <x:v>-0.022272039345098575</x:v>
      </x:c>
      <x:c r="L450" s="12" t="str">
        <x:f>IF(K450&gt;0,"増加→総重量増",IF(K450&lt;0,"増加→総重量減","中立"))</x:f>
        <x:v>増加→総重量減</x:v>
      </x:c>
      <x:c r="M450" s="12" t="str">
        <x:v>設計対象</x:v>
      </x:c>
      <x:c r="N450" s="12" t="str"/>
      <x:c r="O450" s="229" t="n">
        <x:f>--(COUNTIF($B$5:$B$560,A450)=0)</x:f>
        <x:v>0</x:v>
      </x:c>
      <x:c r="P450" s="70" t="str">
        <x:f>IF(LEFT(E450,7)&lt;&gt;"Enable_","",IFERROR(IF(OR(ISNUMBER(SEARCH("=Enable",INDEX($I$5:$I$560,MATCH(B450,$A$5:$A$560,0)))),ISNUMBER(SEARCH("×Enable",INDEX($I$5:$I$560,MATCH(B450,$A$5:$A$560,0))))),1,""),""))</x:f>
      </x:c>
      <x:c r="Q450" t="n">
        <x:f>IF(E450="","",--(XMATCH(E450,$E$5:E450,0)=ROWS($E$5:E450)))</x:f>
        <x:v>1</x:v>
      </x:c>
      <x:c r="R450" t="n">
        <x:f>IF(Q450=1,SUM($Q$5:Q450),"")</x:f>
        <x:v>319</x:v>
      </x:c>
    </x:row>
    <x:row r="451">
      <x:c r="A451" s="12" t="str">
        <x:v>T447</x:v>
      </x:c>
      <x:c r="B451" s="12" t="str">
        <x:v>T446</x:v>
      </x:c>
      <x:c r="C451" s="12" t="n">
        <x:v>6</x:v>
      </x:c>
      <x:c r="D451" s="12" t="str">
        <x:v>フィン/流路密度</x:v>
      </x:c>
      <x:c r="E451" s="12" t="str">
        <x:v>fin_density</x:v>
      </x:c>
      <x:c r="F451" s="48" t="n">
        <x:f>'01_入力仕様'!D206</x:f>
        <x:v>1</x:v>
      </x:c>
      <x:c r="G451" s="48" t="str">
        <x:v>-</x:v>
      </x:c>
      <x:c r="H451" s="48" t="n">
        <x:f>ABS(K451)*$F$5</x:f>
        <x:v>0.12953630468301286</x:v>
      </x:c>
      <x:c r="I451" s="12" t="str">
        <x:v>入力仕様</x:v>
      </x:c>
      <x:c r="J451" s="48" t="n">
        <x:f>'01_入力仕様'!D207</x:f>
        <x:v>0.65</x:v>
      </x:c>
      <x:c r="K451" s="48" t="n">
        <x:f>K450*J451</x:f>
        <x:v>-0.014476825574314074</x:v>
      </x:c>
      <x:c r="L451" s="12" t="str">
        <x:f>IF(K451&gt;0,"増加→総重量増",IF(K451&lt;0,"増加→総重量減","中立"))</x:f>
        <x:v>増加→総重量減</x:v>
      </x:c>
      <x:c r="M451" s="12" t="str">
        <x:v>設計対象</x:v>
      </x:c>
      <x:c r="N451" s="12" t="str"/>
      <x:c r="O451" s="229" t="n">
        <x:f>--(COUNTIF($B$5:$B$560,A451)=0)</x:f>
        <x:v>1</x:v>
      </x:c>
      <x:c r="P451" s="70" t="str">
        <x:f>IF(LEFT(E451,7)&lt;&gt;"Enable_","",IFERROR(IF(OR(ISNUMBER(SEARCH("=Enable",INDEX($I$5:$I$560,MATCH(B451,$A$5:$A$560,0)))),ISNUMBER(SEARCH("×Enable",INDEX($I$5:$I$560,MATCH(B451,$A$5:$A$560,0))))),1,""),""))</x:f>
      </x:c>
      <x:c r="Q451" t="n">
        <x:f>IF(E451="","",--(XMATCH(E451,$E$5:E451,0)=ROWS($E$5:E451)))</x:f>
        <x:v>0</x:v>
      </x:c>
      <x:c r="R451" t="str">
        <x:f>IF(Q451=1,SUM($Q$5:Q451),"")</x:f>
      </x:c>
    </x:row>
    <x:row r="452">
      <x:c r="A452" s="12" t="str">
        <x:v>T448</x:v>
      </x:c>
      <x:c r="B452" s="12" t="str">
        <x:v>T031</x:v>
      </x:c>
      <x:c r="C452" s="12" t="n">
        <x:v>3</x:v>
      </x:c>
      <x:c r="D452" s="12" t="str">
        <x:v>TIM熱抵抗係数</x:v>
      </x:c>
      <x:c r="E452" s="12" t="str">
        <x:v>k_TIM_cool</x:v>
      </x:c>
      <x:c r="F452" s="48" t="n">
        <x:f>F453/'01_入力仕様'!D212</x:f>
        <x:v>1</x:v>
      </x:c>
      <x:c r="G452" s="48" t="str">
        <x:v>-</x:v>
      </x:c>
      <x:c r="H452" s="48" t="n">
        <x:f>ABS(K452)*$F$5</x:f>
        <x:v>0.19928662258925056</x:v>
      </x:c>
      <x:c r="I452" s="12" t="str">
        <x:v>Rth_TIM/Rth_TIM_ref</x:v>
      </x:c>
      <x:c r="J452" s="48" t="n">
        <x:f>1</x:f>
        <x:v>1</x:v>
      </x:c>
      <x:c r="K452" s="48" t="n">
        <x:f>K35*J452</x:f>
        <x:v>0.022272039345098575</x:v>
      </x:c>
      <x:c r="L452" s="12" t="str">
        <x:f>IF(K452&gt;0,"増加→総重量増",IF(K452&lt;0,"増加→総重量減","中立"))</x:f>
        <x:v>増加→総重量増</x:v>
      </x:c>
      <x:c r="M452" s="12" t="str">
        <x:v>設計対象</x:v>
      </x:c>
      <x:c r="N452" s="12" t="str"/>
      <x:c r="O452" s="229" t="n">
        <x:f>--(COUNTIF($B$5:$B$560,A452)=0)</x:f>
        <x:v>0</x:v>
      </x:c>
      <x:c r="P452" s="70" t="str">
        <x:f>IF(LEFT(E452,7)&lt;&gt;"Enable_","",IFERROR(IF(OR(ISNUMBER(SEARCH("=Enable",INDEX($I$5:$I$560,MATCH(B452,$A$5:$A$560,0)))),ISNUMBER(SEARCH("×Enable",INDEX($I$5:$I$560,MATCH(B452,$A$5:$A$560,0))))),1,""),""))</x:f>
      </x:c>
      <x:c r="Q452" t="n">
        <x:f>IF(E452="","",--(XMATCH(E452,$E$5:E452,0)=ROWS($E$5:E452)))</x:f>
        <x:v>1</x:v>
      </x:c>
      <x:c r="R452" t="n">
        <x:f>IF(Q452=1,SUM($Q$5:Q452),"")</x:f>
        <x:v>320</x:v>
      </x:c>
    </x:row>
    <x:row r="453">
      <x:c r="A453" s="12" t="str">
        <x:v>T449</x:v>
      </x:c>
      <x:c r="B453" s="12" t="str">
        <x:v>T448</x:v>
      </x:c>
      <x:c r="C453" s="12" t="n">
        <x:v>4</x:v>
      </x:c>
      <x:c r="D453" s="12" t="str">
        <x:v>TIM熱抵抗</x:v>
      </x:c>
      <x:c r="E453" s="12" t="str">
        <x:v>Rth_TIM</x:v>
      </x:c>
      <x:c r="F453" s="48" t="n">
        <x:f>'01_入力仕様'!D209/('01_入力仕様'!D210*'01_入力仕様'!D211*'01_入力仕様'!D213^'01_入力仕様'!D214)</x:f>
        <x:v>0.0012</x:v>
      </x:c>
      <x:c r="G453" s="48" t="str">
        <x:v>K/W</x:v>
      </x:c>
      <x:c r="H453" s="48" t="n">
        <x:f>ABS(K453)*$F$5</x:f>
        <x:v>0.19928662258925056</x:v>
      </x:c>
      <x:c r="I453" s="12" t="str">
        <x:v>t_TIM/(k_TIM A_TIM p^a)</x:v>
      </x:c>
      <x:c r="J453" s="48" t="n">
        <x:f>1</x:f>
        <x:v>1</x:v>
      </x:c>
      <x:c r="K453" s="48" t="n">
        <x:f>K452*J453</x:f>
        <x:v>0.022272039345098575</x:v>
      </x:c>
      <x:c r="L453" s="12" t="str">
        <x:f>IF(K453&gt;0,"増加→総重量増",IF(K453&lt;0,"増加→総重量減","中立"))</x:f>
        <x:v>増加→総重量増</x:v>
      </x:c>
      <x:c r="M453" s="12" t="str">
        <x:v>設計対象</x:v>
      </x:c>
      <x:c r="N453" s="12" t="str"/>
      <x:c r="O453" s="229" t="n">
        <x:f>--(COUNTIF($B$5:$B$560,A453)=0)</x:f>
        <x:v>0</x:v>
      </x:c>
      <x:c r="P453" s="70" t="str">
        <x:f>IF(LEFT(E453,7)&lt;&gt;"Enable_","",IFERROR(IF(OR(ISNUMBER(SEARCH("=Enable",INDEX($I$5:$I$560,MATCH(B453,$A$5:$A$560,0)))),ISNUMBER(SEARCH("×Enable",INDEX($I$5:$I$560,MATCH(B453,$A$5:$A$560,0))))),1,""),""))</x:f>
      </x:c>
      <x:c r="Q453" t="n">
        <x:f>IF(E453="","",--(XMATCH(E453,$E$5:E453,0)=ROWS($E$5:E453)))</x:f>
        <x:v>1</x:v>
      </x:c>
      <x:c r="R453" t="n">
        <x:f>IF(Q453=1,SUM($Q$5:Q453),"")</x:f>
        <x:v>321</x:v>
      </x:c>
    </x:row>
    <x:row r="454">
      <x:c r="A454" s="12" t="str">
        <x:v>T450</x:v>
      </x:c>
      <x:c r="B454" s="12" t="str">
        <x:v>T449</x:v>
      </x:c>
      <x:c r="C454" s="12" t="n">
        <x:v>5</x:v>
      </x:c>
      <x:c r="D454" s="12" t="str">
        <x:v>TIM厚さ</x:v>
      </x:c>
      <x:c r="E454" s="12" t="str">
        <x:v>t_TIM</x:v>
      </x:c>
      <x:c r="F454" s="48" t="n">
        <x:f>'01_入力仕様'!D209</x:f>
        <x:v>0.00015</x:v>
      </x:c>
      <x:c r="G454" s="48" t="str">
        <x:v>m</x:v>
      </x:c>
      <x:c r="H454" s="48" t="n">
        <x:f>ABS(K454)*$F$5</x:f>
        <x:v>0.19928662258925056</x:v>
      </x:c>
      <x:c r="I454" s="12" t="str">
        <x:v>入力仕様</x:v>
      </x:c>
      <x:c r="J454" s="48" t="n">
        <x:f>1</x:f>
        <x:v>1</x:v>
      </x:c>
      <x:c r="K454" s="48" t="n">
        <x:f>K453*J454</x:f>
        <x:v>0.022272039345098575</x:v>
      </x:c>
      <x:c r="L454" s="12" t="str">
        <x:f>IF(K454&gt;0,"増加→総重量増",IF(K454&lt;0,"増加→総重量減","中立"))</x:f>
        <x:v>増加→総重量増</x:v>
      </x:c>
      <x:c r="M454" s="12" t="str">
        <x:v>設計対象</x:v>
      </x:c>
      <x:c r="N454" s="12" t="str"/>
      <x:c r="O454" s="229" t="n">
        <x:f>--(COUNTIF($B$5:$B$560,A454)=0)</x:f>
        <x:v>1</x:v>
      </x:c>
      <x:c r="P454" s="70" t="str">
        <x:f>IF(LEFT(E454,7)&lt;&gt;"Enable_","",IFERROR(IF(OR(ISNUMBER(SEARCH("=Enable",INDEX($I$5:$I$560,MATCH(B454,$A$5:$A$560,0)))),ISNUMBER(SEARCH("×Enable",INDEX($I$5:$I$560,MATCH(B454,$A$5:$A$560,0))))),1,""),""))</x:f>
      </x:c>
      <x:c r="Q454" t="n">
        <x:f>IF(E454="","",--(XMATCH(E454,$E$5:E454,0)=ROWS($E$5:E454)))</x:f>
        <x:v>1</x:v>
      </x:c>
      <x:c r="R454" t="n">
        <x:f>IF(Q454=1,SUM($Q$5:Q454),"")</x:f>
        <x:v>322</x:v>
      </x:c>
    </x:row>
    <x:row r="455">
      <x:c r="A455" s="12" t="str">
        <x:v>T451</x:v>
      </x:c>
      <x:c r="B455" s="12" t="str">
        <x:v>T449</x:v>
      </x:c>
      <x:c r="C455" s="12" t="n">
        <x:v>5</x:v>
      </x:c>
      <x:c r="D455" s="12" t="str">
        <x:v>TIM熱伝導率</x:v>
      </x:c>
      <x:c r="E455" s="12" t="str">
        <x:v>k_TIM</x:v>
      </x:c>
      <x:c r="F455" s="48" t="n">
        <x:f>'01_入力仕様'!D210</x:f>
        <x:v>5</x:v>
      </x:c>
      <x:c r="G455" s="48" t="str">
        <x:v>W/(mK)</x:v>
      </x:c>
      <x:c r="H455" s="48" t="n">
        <x:f>ABS(K455)*$F$5</x:f>
        <x:v>0.19928662258925056</x:v>
      </x:c>
      <x:c r="I455" s="12" t="str">
        <x:v>入力仕様</x:v>
      </x:c>
      <x:c r="J455" s="48" t="n">
        <x:f>-1</x:f>
        <x:v>-1</x:v>
      </x:c>
      <x:c r="K455" s="48" t="n">
        <x:f>K453*J455</x:f>
        <x:v>-0.022272039345098575</x:v>
      </x:c>
      <x:c r="L455" s="12" t="str">
        <x:f>IF(K455&gt;0,"増加→総重量増",IF(K455&lt;0,"増加→総重量減","中立"))</x:f>
        <x:v>増加→総重量減</x:v>
      </x:c>
      <x:c r="M455" s="12" t="str">
        <x:v>設計対象</x:v>
      </x:c>
      <x:c r="N455" s="12" t="str"/>
      <x:c r="O455" s="229" t="n">
        <x:f>--(COUNTIF($B$5:$B$560,A455)=0)</x:f>
        <x:v>1</x:v>
      </x:c>
      <x:c r="P455" s="70" t="str">
        <x:f>IF(LEFT(E455,7)&lt;&gt;"Enable_","",IFERROR(IF(OR(ISNUMBER(SEARCH("=Enable",INDEX($I$5:$I$560,MATCH(B455,$A$5:$A$560,0)))),ISNUMBER(SEARCH("×Enable",INDEX($I$5:$I$560,MATCH(B455,$A$5:$A$560,0))))),1,""),""))</x:f>
      </x:c>
      <x:c r="Q455" t="n">
        <x:f>IF(E455="","",--(XMATCH(E455,$E$5:E455,0)=ROWS($E$5:E455)))</x:f>
        <x:v>1</x:v>
      </x:c>
      <x:c r="R455" t="n">
        <x:f>IF(Q455=1,SUM($Q$5:Q455),"")</x:f>
        <x:v>323</x:v>
      </x:c>
    </x:row>
    <x:row r="456">
      <x:c r="A456" s="12" t="str">
        <x:v>T452</x:v>
      </x:c>
      <x:c r="B456" s="12" t="str">
        <x:v>T449</x:v>
      </x:c>
      <x:c r="C456" s="12" t="n">
        <x:v>5</x:v>
      </x:c>
      <x:c r="D456" s="12" t="str">
        <x:v>締結圧係数</x:v>
      </x:c>
      <x:c r="E456" s="12" t="str">
        <x:v>p_mount</x:v>
      </x:c>
      <x:c r="F456" s="48" t="n">
        <x:f>'01_入力仕様'!D213</x:f>
        <x:v>1</x:v>
      </x:c>
      <x:c r="G456" s="48" t="str">
        <x:v>-</x:v>
      </x:c>
      <x:c r="H456" s="48" t="n">
        <x:f>ABS(K456)*$F$5</x:f>
        <x:v>0.04982165564731264</x:v>
      </x:c>
      <x:c r="I456" s="12" t="str">
        <x:v>入力仕様</x:v>
      </x:c>
      <x:c r="J456" s="48" t="n">
        <x:f>-'01_入力仕様'!D214</x:f>
        <x:v>-0.25</x:v>
      </x:c>
      <x:c r="K456" s="48" t="n">
        <x:f>K453*J456</x:f>
        <x:v>-0.005568009836274644</x:v>
      </x:c>
      <x:c r="L456" s="12" t="str">
        <x:f>IF(K456&gt;0,"増加→総重量増",IF(K456&lt;0,"増加→総重量減","中立"))</x:f>
        <x:v>増加→総重量減</x:v>
      </x:c>
      <x:c r="M456" s="12" t="str">
        <x:v>設計対象</x:v>
      </x:c>
      <x:c r="N456" s="12" t="str"/>
      <x:c r="O456" s="229" t="n">
        <x:f>--(COUNTIF($B$5:$B$560,A456)=0)</x:f>
        <x:v>1</x:v>
      </x:c>
      <x:c r="P456" s="70" t="str">
        <x:f>IF(LEFT(E456,7)&lt;&gt;"Enable_","",IFERROR(IF(OR(ISNUMBER(SEARCH("=Enable",INDEX($I$5:$I$560,MATCH(B456,$A$5:$A$560,0)))),ISNUMBER(SEARCH("×Enable",INDEX($I$5:$I$560,MATCH(B456,$A$5:$A$560,0))))),1,""),""))</x:f>
      </x:c>
      <x:c r="Q456" t="n">
        <x:f>IF(E456="","",--(XMATCH(E456,$E$5:E456,0)=ROWS($E$5:E456)))</x:f>
        <x:v>1</x:v>
      </x:c>
      <x:c r="R456" t="n">
        <x:f>IF(Q456=1,SUM($Q$5:Q456),"")</x:f>
        <x:v>324</x:v>
      </x:c>
    </x:row>
    <x:row r="457">
      <x:c r="A457" s="12" t="str">
        <x:v>T453</x:v>
      </x:c>
      <x:c r="B457" s="12" t="str">
        <x:v>T030</x:v>
      </x:c>
      <x:c r="C457" s="12" t="n">
        <x:v>2</x:v>
      </x:c>
      <x:c r="D457" s="12" t="str">
        <x:v>TIM締結機構重量</x:v>
      </x:c>
      <x:c r="E457" s="12" t="str">
        <x:v>m_clamp</x:v>
      </x:c>
      <x:c r="F457" s="48" t="n">
        <x:f>'01_入力仕様'!D215*SQRT('01_入力仕様'!D213)</x:f>
        <x:v>0.05</x:v>
      </x:c>
      <x:c r="G457" s="48" t="str">
        <x:v>kg</x:v>
      </x:c>
      <x:c r="H457" s="48" t="n">
        <x:f>ABS(K457)*$F$5</x:f>
        <x:v>0.05</x:v>
      </x:c>
      <x:c r="I457" s="12" t="str">
        <x:v>m_clamp_ref×SQRT(p_mount)</x:v>
      </x:c>
      <x:c r="J457" s="48" t="n">
        <x:f>F457/F34</x:f>
        <x:v>0.06673013836443384</x:v>
      </x:c>
      <x:c r="K457" s="48" t="n">
        <x:f>K34*J457</x:f>
        <x:v>0.005587941392083164</x:v>
      </x:c>
      <x:c r="L457" s="12" t="str">
        <x:f>IF(K457&gt;0,"増加→総重量増",IF(K457&lt;0,"増加→総重量減","中立"))</x:f>
        <x:v>増加→総重量増</x:v>
      </x:c>
      <x:c r="M457" s="12" t="str">
        <x:v>設計対象</x:v>
      </x:c>
      <x:c r="N457" s="12" t="str"/>
      <x:c r="O457" s="229" t="n">
        <x:f>--(COUNTIF($B$5:$B$560,A457)=0)</x:f>
        <x:v>0</x:v>
      </x:c>
      <x:c r="P457" s="70" t="str">
        <x:f>IF(LEFT(E457,7)&lt;&gt;"Enable_","",IFERROR(IF(OR(ISNUMBER(SEARCH("=Enable",INDEX($I$5:$I$560,MATCH(B457,$A$5:$A$560,0)))),ISNUMBER(SEARCH("×Enable",INDEX($I$5:$I$560,MATCH(B457,$A$5:$A$560,0))))),1,""),""))</x:f>
      </x:c>
      <x:c r="Q457" t="n">
        <x:f>IF(E457="","",--(XMATCH(E457,$E$5:E457,0)=ROWS($E$5:E457)))</x:f>
        <x:v>1</x:v>
      </x:c>
      <x:c r="R457" t="n">
        <x:f>IF(Q457=1,SUM($Q$5:Q457),"")</x:f>
        <x:v>325</x:v>
      </x:c>
    </x:row>
    <x:row r="458">
      <x:c r="A458" s="12" t="str">
        <x:v>T454</x:v>
      </x:c>
      <x:c r="B458" s="12" t="str">
        <x:v>T453</x:v>
      </x:c>
      <x:c r="C458" s="12" t="n">
        <x:v>3</x:v>
      </x:c>
      <x:c r="D458" s="12" t="str">
        <x:v>締結圧係数</x:v>
      </x:c>
      <x:c r="E458" s="12" t="str">
        <x:v>p_mount</x:v>
      </x:c>
      <x:c r="F458" s="48" t="n">
        <x:f>'01_入力仕様'!D213</x:f>
        <x:v>1</x:v>
      </x:c>
      <x:c r="G458" s="48" t="str">
        <x:v>-</x:v>
      </x:c>
      <x:c r="H458" s="48" t="n">
        <x:f>ABS(K458)*$F$5</x:f>
        <x:v>0.025</x:v>
      </x:c>
      <x:c r="I458" s="12" t="str">
        <x:v>入力仕様</x:v>
      </x:c>
      <x:c r="J458" s="48" t="n">
        <x:f>0.5</x:f>
        <x:v>0.5</x:v>
      </x:c>
      <x:c r="K458" s="48" t="n">
        <x:f>K457*J458</x:f>
        <x:v>0.002793970696041582</x:v>
      </x:c>
      <x:c r="L458" s="12" t="str">
        <x:f>IF(K458&gt;0,"増加→総重量増",IF(K458&lt;0,"増加→総重量減","中立"))</x:f>
        <x:v>増加→総重量増</x:v>
      </x:c>
      <x:c r="M458" s="12" t="str">
        <x:v>設計対象</x:v>
      </x:c>
      <x:c r="N458" s="12" t="str"/>
      <x:c r="O458" s="229" t="n">
        <x:f>--(COUNTIF($B$5:$B$560,A458)=0)</x:f>
        <x:v>1</x:v>
      </x:c>
      <x:c r="P458" s="70" t="str">
        <x:f>IF(LEFT(E458,7)&lt;&gt;"Enable_","",IFERROR(IF(OR(ISNUMBER(SEARCH("=Enable",INDEX($I$5:$I$560,MATCH(B458,$A$5:$A$560,0)))),ISNUMBER(SEARCH("×Enable",INDEX($I$5:$I$560,MATCH(B458,$A$5:$A$560,0))))),1,""),""))</x:f>
      </x:c>
      <x:c r="Q458" t="n">
        <x:f>IF(E458="","",--(XMATCH(E458,$E$5:E458,0)=ROWS($E$5:E458)))</x:f>
        <x:v>0</x:v>
      </x:c>
      <x:c r="R458" t="str">
        <x:f>IF(Q458=1,SUM($Q$5:Q458),"")</x:f>
      </x:c>
    </x:row>
    <x:row r="459">
      <x:c r="A459" s="12" t="str">
        <x:v>T455</x:v>
      </x:c>
      <x:c r="B459" s="12" t="str">
        <x:v>T031</x:v>
      </x:c>
      <x:c r="C459" s="12" t="n">
        <x:v>3</x:v>
      </x:c>
      <x:c r="D459" s="12" t="str">
        <x:v>接合温度冷却係数</x:v>
      </x:c>
      <x:c r="E459" s="12" t="str">
        <x:v>k_Tj_cool</x:v>
      </x:c>
      <x:c r="F459" s="48" t="n">
        <x:f>('01_入力仕様'!D217-'01_入力仕様'!D218)/('01_入力仕様'!D216-'01_入力仕様'!D218)</x:f>
        <x:v>0.7058823529411765</x:v>
      </x:c>
      <x:c r="G459" s="48" t="str">
        <x:v>-</x:v>
      </x:c>
      <x:c r="H459" s="48" t="n">
        <x:f>ABS(K459)*$F$5</x:f>
        <x:v>0.19928662258925056</x:v>
      </x:c>
      <x:c r="I459" s="12" t="str">
        <x:v>(Tj_ref-Tcool)/(Tj_target-Tcool)</x:v>
      </x:c>
      <x:c r="J459" s="48" t="n">
        <x:f>1</x:f>
        <x:v>1</x:v>
      </x:c>
      <x:c r="K459" s="48" t="n">
        <x:f>K35*J459</x:f>
        <x:v>0.022272039345098575</x:v>
      </x:c>
      <x:c r="L459" s="12" t="str">
        <x:f>IF(K459&gt;0,"増加→総重量増",IF(K459&lt;0,"増加→総重量減","中立"))</x:f>
        <x:v>増加→総重量増</x:v>
      </x:c>
      <x:c r="M459" s="12" t="str">
        <x:v>設計対象</x:v>
      </x:c>
      <x:c r="N459" s="12" t="str"/>
      <x:c r="O459" s="229" t="n">
        <x:f>--(COUNTIF($B$5:$B$560,A459)=0)</x:f>
        <x:v>0</x:v>
      </x:c>
      <x:c r="P459" s="70" t="str">
        <x:f>IF(LEFT(E459,7)&lt;&gt;"Enable_","",IFERROR(IF(OR(ISNUMBER(SEARCH("=Enable",INDEX($I$5:$I$560,MATCH(B459,$A$5:$A$560,0)))),ISNUMBER(SEARCH("×Enable",INDEX($I$5:$I$560,MATCH(B459,$A$5:$A$560,0))))),1,""),""))</x:f>
      </x:c>
      <x:c r="Q459" t="n">
        <x:f>IF(E459="","",--(XMATCH(E459,$E$5:E459,0)=ROWS($E$5:E459)))</x:f>
        <x:v>1</x:v>
      </x:c>
      <x:c r="R459" t="n">
        <x:f>IF(Q459=1,SUM($Q$5:Q459),"")</x:f>
        <x:v>326</x:v>
      </x:c>
    </x:row>
    <x:row r="460">
      <x:c r="A460" s="12" t="str">
        <x:v>T456</x:v>
      </x:c>
      <x:c r="B460" s="12" t="str">
        <x:v>T455</x:v>
      </x:c>
      <x:c r="C460" s="12" t="n">
        <x:v>4</x:v>
      </x:c>
      <x:c r="D460" s="12" t="str">
        <x:v>目標接合温度</x:v>
      </x:c>
      <x:c r="E460" s="12" t="str">
        <x:v>Tj_target</x:v>
      </x:c>
      <x:c r="F460" s="48" t="n">
        <x:f>'01_入力仕様'!D216</x:f>
        <x:v>150</x:v>
      </x:c>
      <x:c r="G460" s="48" t="str">
        <x:v>degC</x:v>
      </x:c>
      <x:c r="H460" s="48" t="n">
        <x:f>ABS(K460)*$F$5</x:f>
        <x:v>0.351682275157501</x:v>
      </x:c>
      <x:c r="I460" s="12" t="str">
        <x:v>入力仕様</x:v>
      </x:c>
      <x:c r="J460" s="48" t="n">
        <x:f>-'01_入力仕様'!D216/('01_入力仕様'!D216-'01_入力仕様'!D218)</x:f>
        <x:v>-1.7647058823529411</x:v>
      </x:c>
      <x:c r="K460" s="48" t="n">
        <x:f>K459*J460</x:f>
        <x:v>-0.039303598844291604</x:v>
      </x:c>
      <x:c r="L460" s="12" t="str">
        <x:f>IF(K460&gt;0,"増加→総重量増",IF(K460&lt;0,"増加→総重量減","中立"))</x:f>
        <x:v>増加→総重量減</x:v>
      </x:c>
      <x:c r="M460" s="12" t="str">
        <x:v>設計対象</x:v>
      </x:c>
      <x:c r="N460" s="12" t="str"/>
      <x:c r="O460" s="229" t="n">
        <x:f>--(COUNTIF($B$5:$B$560,A460)=0)</x:f>
        <x:v>1</x:v>
      </x:c>
      <x:c r="P460" s="70" t="str">
        <x:f>IF(LEFT(E460,7)&lt;&gt;"Enable_","",IFERROR(IF(OR(ISNUMBER(SEARCH("=Enable",INDEX($I$5:$I$560,MATCH(B460,$A$5:$A$560,0)))),ISNUMBER(SEARCH("×Enable",INDEX($I$5:$I$560,MATCH(B460,$A$5:$A$560,0))))),1,""),""))</x:f>
      </x:c>
      <x:c r="Q460" t="n">
        <x:f>IF(E460="","",--(XMATCH(E460,$E$5:E460,0)=ROWS($E$5:E460)))</x:f>
        <x:v>1</x:v>
      </x:c>
      <x:c r="R460" t="n">
        <x:f>IF(Q460=1,SUM($Q$5:Q460),"")</x:f>
        <x:v>327</x:v>
      </x:c>
    </x:row>
    <x:row r="461">
      <x:c r="A461" s="12" t="str">
        <x:v>T457</x:v>
      </x:c>
      <x:c r="B461" s="12" t="str">
        <x:v>T040</x:v>
      </x:c>
      <x:c r="C461" s="12" t="n">
        <x:v>7</x:v>
      </x:c>
      <x:c r="D461" s="12" t="str">
        <x:v>温度Ron係数</x:v>
      </x:c>
      <x:c r="E461" s="12" t="str">
        <x:v>k_Ron_T</x:v>
      </x:c>
      <x:c r="F461" s="48" t="n">
        <x:f>1+'01_入力仕様'!D219*('01_入力仕様'!D216-'01_入力仕様'!D217)</x:f>
        <x:v>1.0875</x:v>
      </x:c>
      <x:c r="G461" s="48" t="str">
        <x:v>-</x:v>
      </x:c>
      <x:c r="H461" s="48" t="n">
        <x:f>ABS(K461)*$F$5</x:f>
        <x:v>0.0005759754530960755</x:v>
      </x:c>
      <x:c r="I461" s="12" t="str">
        <x:v>1+alpha(Tj-Tref)</x:v>
      </x:c>
      <x:c r="J461" s="48" t="n">
        <x:f>1</x:f>
        <x:v>1</x:v>
      </x:c>
      <x:c r="K461" s="48" t="n">
        <x:f>K44*J461</x:f>
        <x:v>0.00006437034150358829</x:v>
      </x:c>
      <x:c r="L461" s="12" t="str">
        <x:f>IF(K461&gt;0,"増加→総重量増",IF(K461&lt;0,"増加→総重量減","中立"))</x:f>
        <x:v>増加→総重量増</x:v>
      </x:c>
      <x:c r="M461" s="12" t="str">
        <x:v>設計対象</x:v>
      </x:c>
      <x:c r="N461" s="12" t="str"/>
      <x:c r="O461" s="229" t="n">
        <x:f>--(COUNTIF($B$5:$B$560,A461)=0)</x:f>
        <x:v>0</x:v>
      </x:c>
      <x:c r="P461" s="70" t="str">
        <x:f>IF(LEFT(E461,7)&lt;&gt;"Enable_","",IFERROR(IF(OR(ISNUMBER(SEARCH("=Enable",INDEX($I$5:$I$560,MATCH(B461,$A$5:$A$560,0)))),ISNUMBER(SEARCH("×Enable",INDEX($I$5:$I$560,MATCH(B461,$A$5:$A$560,0))))),1,""),""))</x:f>
      </x:c>
      <x:c r="Q461" t="n">
        <x:f>IF(E461="","",--(XMATCH(E461,$E$5:E461,0)=ROWS($E$5:E461)))</x:f>
        <x:v>1</x:v>
      </x:c>
      <x:c r="R461" t="n">
        <x:f>IF(Q461=1,SUM($Q$5:Q461),"")</x:f>
        <x:v>328</x:v>
      </x:c>
    </x:row>
    <x:row r="462">
      <x:c r="A462" s="12" t="str">
        <x:v>T458</x:v>
      </x:c>
      <x:c r="B462" s="12" t="str">
        <x:v>T457</x:v>
      </x:c>
      <x:c r="C462" s="12" t="n">
        <x:v>8</x:v>
      </x:c>
      <x:c r="D462" s="12" t="str">
        <x:v>目標接合温度</x:v>
      </x:c>
      <x:c r="E462" s="12" t="str">
        <x:v>Tj_target</x:v>
      </x:c>
      <x:c r="F462" s="48" t="n">
        <x:f>'01_入力仕様'!D216</x:f>
        <x:v>150</x:v>
      </x:c>
      <x:c r="G462" s="48" t="str">
        <x:v>degC</x:v>
      </x:c>
      <x:c r="H462" s="48" t="n">
        <x:f>ABS(K462)*$F$5</x:f>
        <x:v>0.0002780571152877606</x:v>
      </x:c>
      <x:c r="I462" s="12" t="str">
        <x:v>入力仕様</x:v>
      </x:c>
      <x:c r="J462" s="48" t="n">
        <x:f>'01_入力仕様'!D216*'01_入力仕様'!D219/(1+'01_入力仕様'!D219*('01_入力仕様'!D216-'01_入力仕様'!D217))</x:f>
        <x:v>0.48275862068965525</x:v>
      </x:c>
      <x:c r="K462" s="48" t="n">
        <x:f>K461*J462</x:f>
        <x:v>0.00003107533727759435</x:v>
      </x:c>
      <x:c r="L462" s="12" t="str">
        <x:f>IF(K462&gt;0,"増加→総重量増",IF(K462&lt;0,"増加→総重量減","中立"))</x:f>
        <x:v>増加→総重量増</x:v>
      </x:c>
      <x:c r="M462" s="12" t="str">
        <x:v>設計対象</x:v>
      </x:c>
      <x:c r="N462" s="12" t="str"/>
      <x:c r="O462" s="229" t="n">
        <x:f>--(COUNTIF($B$5:$B$560,A462)=0)</x:f>
        <x:v>1</x:v>
      </x:c>
      <x:c r="P462" s="70" t="str">
        <x:f>IF(LEFT(E462,7)&lt;&gt;"Enable_","",IFERROR(IF(OR(ISNUMBER(SEARCH("=Enable",INDEX($I$5:$I$560,MATCH(B462,$A$5:$A$560,0)))),ISNUMBER(SEARCH("×Enable",INDEX($I$5:$I$560,MATCH(B462,$A$5:$A$560,0))))),1,""),""))</x:f>
      </x:c>
      <x:c r="Q462" t="n">
        <x:f>IF(E462="","",--(XMATCH(E462,$E$5:E462,0)=ROWS($E$5:E462)))</x:f>
        <x:v>0</x:v>
      </x:c>
      <x:c r="R462" t="str">
        <x:f>IF(Q462=1,SUM($Q$5:Q462),"")</x:f>
      </x:c>
    </x:row>
    <x:row r="463">
      <x:c r="A463" s="12" t="str">
        <x:v>T459</x:v>
      </x:c>
      <x:c r="B463" s="12" t="str">
        <x:v>T001</x:v>
      </x:c>
      <x:c r="C463" s="12" t="n">
        <x:v>1</x:v>
      </x:c>
      <x:c r="D463" s="12" t="str">
        <x:v>積層バスバー構造重量</x:v>
      </x:c>
      <x:c r="E463" s="12" t="str">
        <x:v>M_bus_stack</x:v>
      </x:c>
      <x:c r="F463" s="48" t="n">
        <x:f>'01_入力仕様'!D223*'01_入力仕様'!D222*'01_入力仕様'!D220/'01_入力仕様'!D221</x:f>
        <x:v>0.08</x:v>
      </x:c>
      <x:c r="G463" s="48" t="str">
        <x:v>kg</x:v>
      </x:c>
      <x:c r="H463" s="48" t="n">
        <x:f>ABS(K463)*$F$5</x:f>
        <x:v>0.08</x:v>
      </x:c>
      <x:c r="I463" s="12" t="str">
        <x:v>m_ref×overlap×gap/gap_ref</x:v>
      </x:c>
      <x:c r="J463" s="48" t="n">
        <x:f>F463/$F$5</x:f>
        <x:v>0.008940706227333062</x:v>
      </x:c>
      <x:c r="K463" s="48" t="n">
        <x:f>J463</x:f>
        <x:v>0.008940706227333062</x:v>
      </x:c>
      <x:c r="L463" s="12" t="str">
        <x:f>IF(K463&gt;0,"増加→総重量増",IF(K463&lt;0,"増加→総重量減","中立"))</x:f>
        <x:v>増加→総重量増</x:v>
      </x:c>
      <x:c r="M463" s="12" t="str">
        <x:v>設計対象</x:v>
      </x:c>
      <x:c r="N463" s="12" t="str"/>
      <x:c r="O463" s="229" t="n">
        <x:f>--(COUNTIF($B$5:$B$560,A463)=0)</x:f>
        <x:v>0</x:v>
      </x:c>
      <x:c r="P463" s="70" t="str">
        <x:f>IF(LEFT(E463,7)&lt;&gt;"Enable_","",IFERROR(IF(OR(ISNUMBER(SEARCH("=Enable",INDEX($I$5:$I$560,MATCH(B463,$A$5:$A$560,0)))),ISNUMBER(SEARCH("×Enable",INDEX($I$5:$I$560,MATCH(B463,$A$5:$A$560,0))))),1,""),""))</x:f>
      </x:c>
      <x:c r="Q463" t="n">
        <x:f>IF(E463="","",--(XMATCH(E463,$E$5:E463,0)=ROWS($E$5:E463)))</x:f>
        <x:v>1</x:v>
      </x:c>
      <x:c r="R463" t="n">
        <x:f>IF(Q463=1,SUM($Q$5:Q463),"")</x:f>
        <x:v>329</x:v>
      </x:c>
    </x:row>
    <x:row r="464">
      <x:c r="A464" s="12" t="str">
        <x:v>T460</x:v>
      </x:c>
      <x:c r="B464" s="12" t="str">
        <x:v>T459</x:v>
      </x:c>
      <x:c r="C464" s="12" t="n">
        <x:v>2</x:v>
      </x:c>
      <x:c r="D464" s="12" t="str">
        <x:v>極間ギャップ</x:v>
      </x:c>
      <x:c r="E464" s="12" t="str">
        <x:v>gap_bus</x:v>
      </x:c>
      <x:c r="F464" s="48" t="n">
        <x:f>'01_入力仕様'!D220</x:f>
        <x:v>0.001</x:v>
      </x:c>
      <x:c r="G464" s="48" t="str">
        <x:v>m</x:v>
      </x:c>
      <x:c r="H464" s="48" t="n">
        <x:f>ABS(K464)*$F$5</x:f>
        <x:v>0.08</x:v>
      </x:c>
      <x:c r="I464" s="12" t="str">
        <x:v>入力仕様</x:v>
      </x:c>
      <x:c r="J464" s="48" t="n">
        <x:f>1</x:f>
        <x:v>1</x:v>
      </x:c>
      <x:c r="K464" s="48" t="n">
        <x:f>K463*J464</x:f>
        <x:v>0.008940706227333062</x:v>
      </x:c>
      <x:c r="L464" s="12" t="str">
        <x:f>IF(K464&gt;0,"増加→総重量増",IF(K464&lt;0,"増加→総重量減","中立"))</x:f>
        <x:v>増加→総重量増</x:v>
      </x:c>
      <x:c r="M464" s="12" t="str">
        <x:v>設計対象</x:v>
      </x:c>
      <x:c r="N464" s="12" t="str"/>
      <x:c r="O464" s="229" t="n">
        <x:f>--(COUNTIF($B$5:$B$560,A464)=0)</x:f>
        <x:v>1</x:v>
      </x:c>
      <x:c r="P464" s="70" t="str">
        <x:f>IF(LEFT(E464,7)&lt;&gt;"Enable_","",IFERROR(IF(OR(ISNUMBER(SEARCH("=Enable",INDEX($I$5:$I$560,MATCH(B464,$A$5:$A$560,0)))),ISNUMBER(SEARCH("×Enable",INDEX($I$5:$I$560,MATCH(B464,$A$5:$A$560,0))))),1,""),""))</x:f>
      </x:c>
      <x:c r="Q464" t="n">
        <x:f>IF(E464="","",--(XMATCH(E464,$E$5:E464,0)=ROWS($E$5:E464)))</x:f>
        <x:v>0</x:v>
      </x:c>
      <x:c r="R464" t="str">
        <x:f>IF(Q464=1,SUM($Q$5:Q464),"")</x:f>
      </x:c>
    </x:row>
    <x:row r="465">
      <x:c r="A465" s="12" t="str">
        <x:v>T461</x:v>
      </x:c>
      <x:c r="B465" s="12" t="str">
        <x:v>T459</x:v>
      </x:c>
      <x:c r="C465" s="12" t="n">
        <x:v>2</x:v>
      </x:c>
      <x:c r="D465" s="12" t="str">
        <x:v>重なり係数</x:v>
      </x:c>
      <x:c r="E465" s="12" t="str">
        <x:v>overlap_bus</x:v>
      </x:c>
      <x:c r="F465" s="48" t="n">
        <x:f>'01_入力仕様'!D222</x:f>
        <x:v>1</x:v>
      </x:c>
      <x:c r="G465" s="48" t="str">
        <x:v>-</x:v>
      </x:c>
      <x:c r="H465" s="48" t="n">
        <x:f>ABS(K465)*$F$5</x:f>
        <x:v>0.08</x:v>
      </x:c>
      <x:c r="I465" s="12" t="str">
        <x:v>入力仕様</x:v>
      </x:c>
      <x:c r="J465" s="48" t="n">
        <x:f>1</x:f>
        <x:v>1</x:v>
      </x:c>
      <x:c r="K465" s="48" t="n">
        <x:f>K463*J465</x:f>
        <x:v>0.008940706227333062</x:v>
      </x:c>
      <x:c r="L465" s="12" t="str">
        <x:f>IF(K465&gt;0,"増加→総重量増",IF(K465&lt;0,"増加→総重量減","中立"))</x:f>
        <x:v>増加→総重量増</x:v>
      </x:c>
      <x:c r="M465" s="12" t="str">
        <x:v>設計対象</x:v>
      </x:c>
      <x:c r="N465" s="12" t="str"/>
      <x:c r="O465" s="229" t="n">
        <x:f>--(COUNTIF($B$5:$B$560,A465)=0)</x:f>
        <x:v>1</x:v>
      </x:c>
      <x:c r="P465" s="70" t="str">
        <x:f>IF(LEFT(E465,7)&lt;&gt;"Enable_","",IFERROR(IF(OR(ISNUMBER(SEARCH("=Enable",INDEX($I$5:$I$560,MATCH(B465,$A$5:$A$560,0)))),ISNUMBER(SEARCH("×Enable",INDEX($I$5:$I$560,MATCH(B465,$A$5:$A$560,0))))),1,""),""))</x:f>
      </x:c>
      <x:c r="Q465" t="n">
        <x:f>IF(E465="","",--(XMATCH(E465,$E$5:E465,0)=ROWS($E$5:E465)))</x:f>
        <x:v>0</x:v>
      </x:c>
      <x:c r="R465" t="str">
        <x:f>IF(Q465=1,SUM($Q$5:Q465),"")</x:f>
      </x:c>
    </x:row>
    <x:row r="466">
      <x:c r="A466" s="12" t="str">
        <x:v>T462</x:v>
      </x:c>
      <x:c r="B466" s="12" t="str">
        <x:v>T136</x:v>
      </x:c>
      <x:c r="C466" s="12" t="n">
        <x:v>2</x:v>
      </x:c>
      <x:c r="D466" s="12" t="str">
        <x:v>バスバー寄生C CMペナルティ</x:v>
      </x:c>
      <x:c r="E466" s="12" t="str">
        <x:v>M_bus_CM</x:v>
      </x:c>
      <x:c r="F466" s="48" t="n">
        <x:f>0.05*'01_入力仕様'!D222*'01_入力仕様'!D221/'01_入力仕様'!D220</x:f>
        <x:v>0.05</x:v>
      </x:c>
      <x:c r="G466" s="48" t="str">
        <x:v>kg</x:v>
      </x:c>
      <x:c r="H466" s="48" t="n">
        <x:f>ABS(K466)*$F$5</x:f>
        <x:v>0.05000000000000001</x:v>
      </x:c>
      <x:c r="I466" s="12" t="str">
        <x:v>0.05×overlap×gap_ref/gap</x:v>
      </x:c>
      <x:c r="J466" s="48" t="n">
        <x:f>F466/F140</x:f>
        <x:v>0.1513395477267421</x:v>
      </x:c>
      <x:c r="K466" s="48" t="n">
        <x:f>K140*J466</x:f>
        <x:v>0.0055879413920831645</x:v>
      </x:c>
      <x:c r="L466" s="12" t="str">
        <x:f>IF(K466&gt;0,"増加→総重量増",IF(K466&lt;0,"増加→総重量減","中立"))</x:f>
        <x:v>増加→総重量増</x:v>
      </x:c>
      <x:c r="M466" s="12" t="str">
        <x:v>設計対象</x:v>
      </x:c>
      <x:c r="N466" s="12" t="str"/>
      <x:c r="O466" s="229" t="n">
        <x:f>--(COUNTIF($B$5:$B$560,A466)=0)</x:f>
        <x:v>0</x:v>
      </x:c>
      <x:c r="P466" s="70" t="str">
        <x:f>IF(LEFT(E466,7)&lt;&gt;"Enable_","",IFERROR(IF(OR(ISNUMBER(SEARCH("=Enable",INDEX($I$5:$I$560,MATCH(B466,$A$5:$A$560,0)))),ISNUMBER(SEARCH("×Enable",INDEX($I$5:$I$560,MATCH(B466,$A$5:$A$560,0))))),1,""),""))</x:f>
      </x:c>
      <x:c r="Q466" t="n">
        <x:f>IF(E466="","",--(XMATCH(E466,$E$5:E466,0)=ROWS($E$5:E466)))</x:f>
        <x:v>1</x:v>
      </x:c>
      <x:c r="R466" t="n">
        <x:f>IF(Q466=1,SUM($Q$5:Q466),"")</x:f>
        <x:v>330</x:v>
      </x:c>
    </x:row>
    <x:row r="467">
      <x:c r="A467" s="12" t="str">
        <x:v>T463</x:v>
      </x:c>
      <x:c r="B467" s="12" t="str">
        <x:v>T462</x:v>
      </x:c>
      <x:c r="C467" s="12" t="n">
        <x:v>3</x:v>
      </x:c>
      <x:c r="D467" s="12" t="str">
        <x:v>重なり係数</x:v>
      </x:c>
      <x:c r="E467" s="12" t="str">
        <x:v>overlap_bus</x:v>
      </x:c>
      <x:c r="F467" s="48" t="n">
        <x:f>'01_入力仕様'!D222</x:f>
        <x:v>1</x:v>
      </x:c>
      <x:c r="G467" s="48" t="str">
        <x:v>-</x:v>
      </x:c>
      <x:c r="H467" s="48" t="n">
        <x:f>ABS(K467)*$F$5</x:f>
        <x:v>0.05000000000000001</x:v>
      </x:c>
      <x:c r="I467" s="12" t="str">
        <x:v>入力仕様</x:v>
      </x:c>
      <x:c r="J467" s="48" t="n">
        <x:f>1</x:f>
        <x:v>1</x:v>
      </x:c>
      <x:c r="K467" s="48" t="n">
        <x:f>K466*J467</x:f>
        <x:v>0.0055879413920831645</x:v>
      </x:c>
      <x:c r="L467" s="12" t="str">
        <x:f>IF(K467&gt;0,"増加→総重量増",IF(K467&lt;0,"増加→総重量減","中立"))</x:f>
        <x:v>増加→総重量増</x:v>
      </x:c>
      <x:c r="M467" s="12" t="str">
        <x:v>設計対象</x:v>
      </x:c>
      <x:c r="N467" s="12" t="str"/>
      <x:c r="O467" s="229" t="n">
        <x:f>--(COUNTIF($B$5:$B$560,A467)=0)</x:f>
        <x:v>1</x:v>
      </x:c>
      <x:c r="P467" s="70" t="str">
        <x:f>IF(LEFT(E467,7)&lt;&gt;"Enable_","",IFERROR(IF(OR(ISNUMBER(SEARCH("=Enable",INDEX($I$5:$I$560,MATCH(B467,$A$5:$A$560,0)))),ISNUMBER(SEARCH("×Enable",INDEX($I$5:$I$560,MATCH(B467,$A$5:$A$560,0))))),1,""),""))</x:f>
      </x:c>
      <x:c r="Q467" t="n">
        <x:f>IF(E467="","",--(XMATCH(E467,$E$5:E467,0)=ROWS($E$5:E467)))</x:f>
        <x:v>0</x:v>
      </x:c>
      <x:c r="R467" t="str">
        <x:f>IF(Q467=1,SUM($Q$5:Q467),"")</x:f>
      </x:c>
    </x:row>
    <x:row r="468">
      <x:c r="A468" s="12" t="str">
        <x:v>T464</x:v>
      </x:c>
      <x:c r="B468" s="12" t="str">
        <x:v>T462</x:v>
      </x:c>
      <x:c r="C468" s="12" t="n">
        <x:v>3</x:v>
      </x:c>
      <x:c r="D468" s="12" t="str">
        <x:v>極間ギャップ</x:v>
      </x:c>
      <x:c r="E468" s="12" t="str">
        <x:v>gap_bus</x:v>
      </x:c>
      <x:c r="F468" s="48" t="n">
        <x:f>'01_入力仕様'!D220</x:f>
        <x:v>0.001</x:v>
      </x:c>
      <x:c r="G468" s="48" t="str">
        <x:v>m</x:v>
      </x:c>
      <x:c r="H468" s="48" t="n">
        <x:f>ABS(K468)*$F$5</x:f>
        <x:v>0.05000000000000001</x:v>
      </x:c>
      <x:c r="I468" s="12" t="str">
        <x:v>入力仕様</x:v>
      </x:c>
      <x:c r="J468" s="48" t="n">
        <x:f>-1</x:f>
        <x:v>-1</x:v>
      </x:c>
      <x:c r="K468" s="48" t="n">
        <x:f>K466*J468</x:f>
        <x:v>-0.0055879413920831645</x:v>
      </x:c>
      <x:c r="L468" s="12" t="str">
        <x:f>IF(K468&gt;0,"増加→総重量増",IF(K468&lt;0,"増加→総重量減","中立"))</x:f>
        <x:v>増加→総重量減</x:v>
      </x:c>
      <x:c r="M468" s="12" t="str">
        <x:v>設計対象</x:v>
      </x:c>
      <x:c r="N468" s="12" t="str"/>
      <x:c r="O468" s="229" t="n">
        <x:f>--(COUNTIF($B$5:$B$560,A468)=0)</x:f>
        <x:v>1</x:v>
      </x:c>
      <x:c r="P468" s="70" t="str">
        <x:f>IF(LEFT(E468,7)&lt;&gt;"Enable_","",IFERROR(IF(OR(ISNUMBER(SEARCH("=Enable",INDEX($I$5:$I$560,MATCH(B468,$A$5:$A$560,0)))),ISNUMBER(SEARCH("×Enable",INDEX($I$5:$I$560,MATCH(B468,$A$5:$A$560,0))))),1,""),""))</x:f>
      </x:c>
      <x:c r="Q468" t="n">
        <x:f>IF(E468="","",--(XMATCH(E468,$E$5:E468,0)=ROWS($E$5:E468)))</x:f>
        <x:v>0</x:v>
      </x:c>
      <x:c r="R468" t="str">
        <x:f>IF(Q468=1,SUM($Q$5:Q468),"")</x:f>
      </x:c>
    </x:row>
    <x:row r="469">
      <x:c r="A469" s="12" t="str">
        <x:v>T465</x:v>
      </x:c>
      <x:c r="B469" s="12" t="str">
        <x:v>T123</x:v>
      </x:c>
      <x:c r="C469" s="12" t="n">
        <x:v>4</x:v>
      </x:c>
      <x:c r="D469" s="12" t="str">
        <x:v>Al導体選択</x:v>
      </x:c>
      <x:c r="E469" s="12" t="str">
        <x:v>Enable_Al_bus</x:v>
      </x:c>
      <x:c r="F469" s="48" t="n">
        <x:f>'01_入力仕様'!D224</x:f>
        <x:v>0</x:v>
      </x:c>
      <x:c r="G469" s="48" t="str">
        <x:v>0/1</x:v>
      </x:c>
      <x:c r="H469" s="48" t="n">
        <x:f>ABS(K469)*$F$5</x:f>
        <x:v>0.0007734660948321348</x:v>
      </x:c>
      <x:c r="I469" s="12" t="str">
        <x:v>入力仕様</x:v>
      </x:c>
      <x:c r="J469" s="48" t="n">
        <x:f>0</x:f>
        <x:v>0</x:v>
      </x:c>
      <x:c r="K469" s="48" t="n">
        <x:f>K127*('01_入力仕様'!D225-1)</x:f>
        <x:v>-0.00008644166413370815</x:v>
      </x:c>
      <x:c r="L469" s="12" t="str">
        <x:f>IF(K469&gt;0,"増加→総重量増",IF(K469&lt;0,"増加→総重量減","中立"))</x:f>
        <x:v>増加→総重量減</x:v>
      </x:c>
      <x:c r="M469" s="12" t="str">
        <x:v>設計対象</x:v>
      </x:c>
      <x:c r="N469" s="12" t="str">
        <x:v>0→1密度差分</x:v>
      </x:c>
      <x:c r="O469" s="229" t="n">
        <x:f>--(COUNTIF($B$5:$B$560,A469)=0)</x:f>
        <x:v>1</x:v>
      </x:c>
      <x:c r="P469" s="70" t="str">
        <x:f>IF(LEFT(E469,7)&lt;&gt;"Enable_","",IFERROR(IF(OR(ISNUMBER(SEARCH("=Enable",INDEX($I$5:$I$560,MATCH(B469,$A$5:$A$560,0)))),ISNUMBER(SEARCH("×Enable",INDEX($I$5:$I$560,MATCH(B469,$A$5:$A$560,0))))),1,""),""))</x:f>
      </x:c>
      <x:c r="Q469" t="n">
        <x:f>IF(E469="","",--(XMATCH(E469,$E$5:E469,0)=ROWS($E$5:E469)))</x:f>
        <x:v>1</x:v>
      </x:c>
      <x:c r="R469" t="n">
        <x:f>IF(Q469=1,SUM($Q$5:Q469),"")</x:f>
        <x:v>331</x:v>
      </x:c>
    </x:row>
    <x:row r="470">
      <x:c r="A470" s="12" t="str">
        <x:v>T466</x:v>
      </x:c>
      <x:c r="B470" s="12" t="str">
        <x:v>T240</x:v>
      </x:c>
      <x:c r="C470" s="12" t="n">
        <x:v>6</x:v>
      </x:c>
      <x:c r="D470" s="12" t="str">
        <x:v>Al導体選択</x:v>
      </x:c>
      <x:c r="E470" s="12" t="str">
        <x:v>Enable_Al_bus</x:v>
      </x:c>
      <x:c r="F470" s="48" t="n">
        <x:f>'01_入力仕様'!D224</x:f>
        <x:v>0</x:v>
      </x:c>
      <x:c r="G470" s="48" t="str">
        <x:v>0/1</x:v>
      </x:c>
      <x:c r="H470" s="48" t="n">
        <x:f>ABS(K470)*$F$5</x:f>
        <x:v>0.00035385069869137684</x:v>
      </x:c>
      <x:c r="I470" s="12" t="str">
        <x:v>入力仕様</x:v>
      </x:c>
      <x:c r="J470" s="48" t="n">
        <x:f>0</x:f>
        <x:v>0</x:v>
      </x:c>
      <x:c r="K470" s="48" t="n">
        <x:f>K244*(-0.5)*('01_入力仕様'!D226-1)</x:f>
        <x:v>0.00003954593931670185</x:v>
      </x:c>
      <x:c r="L470" s="12" t="str">
        <x:f>IF(K470&gt;0,"増加→総重量増",IF(K470&lt;0,"増加→総重量減","中立"))</x:f>
        <x:v>増加→総重量増</x:v>
      </x:c>
      <x:c r="M470" s="12" t="str">
        <x:v>設計対象</x:v>
      </x:c>
      <x:c r="N470" s="12" t="str">
        <x:v>0→1抵抗率差分</x:v>
      </x:c>
      <x:c r="O470" s="229" t="n">
        <x:f>--(COUNTIF($B$5:$B$560,A470)=0)</x:f>
        <x:v>1</x:v>
      </x:c>
      <x:c r="P470" s="70" t="str">
        <x:f>IF(LEFT(E470,7)&lt;&gt;"Enable_","",IFERROR(IF(OR(ISNUMBER(SEARCH("=Enable",INDEX($I$5:$I$560,MATCH(B470,$A$5:$A$560,0)))),ISNUMBER(SEARCH("×Enable",INDEX($I$5:$I$560,MATCH(B470,$A$5:$A$560,0))))),1,""),""))</x:f>
      </x:c>
      <x:c r="Q470" t="n">
        <x:f>IF(E470="","",--(XMATCH(E470,$E$5:E470,0)=ROWS($E$5:E470)))</x:f>
        <x:v>0</x:v>
      </x:c>
      <x:c r="R470" t="str">
        <x:f>IF(Q470=1,SUM($Q$5:Q470),"")</x:f>
      </x:c>
    </x:row>
    <x:row r="471">
      <x:c r="A471" s="12" t="str">
        <x:v>T467</x:v>
      </x:c>
      <x:c r="B471" s="12" t="str">
        <x:v>T032</x:v>
      </x:c>
      <x:c r="C471" s="12" t="n">
        <x:v>4</x:v>
      </x:c>
      <x:c r="D471" s="12" t="str">
        <x:v>バスバー高周波追加損失</x:v>
      </x:c>
      <x:c r="E471" s="12" t="str">
        <x:v>P_bus_ac</x:v>
      </x:c>
      <x:c r="F471" s="48" t="n">
        <x:f>F116^2*('01_入力仕様'!D121*'01_入力仕様'!D63/(F115*1E-6))*MAX(0,F472-1)</x:f>
        <x:v>3437.9624311600733</x:v>
      </x:c>
      <x:c r="G471" s="48" t="str">
        <x:v>W</x:v>
      </x:c>
      <x:c r="H471" s="48" t="n">
        <x:f>ABS(K471)*$F$5</x:f>
        <x:v>0.13045612346921254</x:v>
      </x:c>
      <x:c r="I471" s="12" t="str">
        <x:v>Pdc_bus×MAX(0,k_ac-1)</x:v>
      </x:c>
      <x:c r="J471" s="48" t="n">
        <x:f>F471/(F38+F444+F471+F479)</x:f>
        <x:v>0.6546155571018709</x:v>
      </x:c>
      <x:c r="K471" s="48" t="n">
        <x:f>K36*J471</x:f>
        <x:v>0.014579623443686492</x:v>
      </x:c>
      <x:c r="L471" s="12" t="str">
        <x:f>IF(K471&gt;0,"増加→総重量増",IF(K471&lt;0,"増加→総重量減","中立"))</x:f>
        <x:v>増加→総重量増</x:v>
      </x:c>
      <x:c r="M471" s="12" t="str">
        <x:v>設計対象</x:v>
      </x:c>
      <x:c r="N471" s="12" t="str"/>
      <x:c r="O471" s="229" t="n">
        <x:f>--(COUNTIF($B$5:$B$560,A471)=0)</x:f>
        <x:v>0</x:v>
      </x:c>
      <x:c r="P471" s="70" t="str">
        <x:f>IF(LEFT(E471,7)&lt;&gt;"Enable_","",IFERROR(IF(OR(ISNUMBER(SEARCH("=Enable",INDEX($I$5:$I$560,MATCH(B471,$A$5:$A$560,0)))),ISNUMBER(SEARCH("×Enable",INDEX($I$5:$I$560,MATCH(B471,$A$5:$A$560,0))))),1,""),""))</x:f>
      </x:c>
      <x:c r="Q471" t="n">
        <x:f>IF(E471="","",--(XMATCH(E471,$E$5:E471,0)=ROWS($E$5:E471)))</x:f>
        <x:v>1</x:v>
      </x:c>
      <x:c r="R471" t="n">
        <x:f>IF(Q471=1,SUM($Q$5:Q471),"")</x:f>
        <x:v>332</x:v>
      </x:c>
    </x:row>
    <x:row r="472">
      <x:c r="A472" s="12" t="str">
        <x:v>T468</x:v>
      </x:c>
      <x:c r="B472" s="12" t="str">
        <x:v>T467</x:v>
      </x:c>
      <x:c r="C472" s="12" t="n">
        <x:v>5</x:v>
      </x:c>
      <x:c r="D472" s="12" t="str">
        <x:v>AC抵抗係数</x:v>
      </x:c>
      <x:c r="E472" s="12" t="str">
        <x:v>k_ac_bus</x:v>
      </x:c>
      <x:c r="F472" s="48" t="n">
        <x:f>MAX(1,'01_入力仕様'!D227/(2*'01_入力仕様'!D228*SQRT(10000/'01_入力仕様'!D10)*'01_入力仕様'!D229))</x:f>
        <x:v>1.4373989364401722</x:v>
      </x:c>
      <x:c r="G472" s="48" t="str">
        <x:v>-</x:v>
      </x:c>
      <x:c r="H472" s="48" t="n">
        <x:f>ABS(K472)*$F$5</x:f>
        <x:v>0</x:v>
      </x:c>
      <x:c r="I472" s="12" t="str">
        <x:v>MAX(1,t/(2deltaN))</x:v>
      </x:c>
      <x:c r="J472" s="48" t="n">
        <x:f>0</x:f>
        <x:v>0</x:v>
      </x:c>
      <x:c r="K472" s="48" t="n">
        <x:f>0</x:f>
        <x:v>0</x:v>
      </x:c>
      <x:c r="L472" s="12" t="str">
        <x:f>IF(K472&gt;0,"増加→総重量増",IF(K472&lt;0,"増加→総重量減","中立"))</x:f>
        <x:v>中立</x:v>
      </x:c>
      <x:c r="M472" s="12" t="str">
        <x:v>設計対象</x:v>
      </x:c>
      <x:c r="N472" s="12" t="str"/>
      <x:c r="O472" s="229" t="n">
        <x:f>--(COUNTIF($B$5:$B$560,A472)=0)</x:f>
        <x:v>0</x:v>
      </x:c>
      <x:c r="P472" s="70" t="str">
        <x:f>IF(LEFT(E472,7)&lt;&gt;"Enable_","",IFERROR(IF(OR(ISNUMBER(SEARCH("=Enable",INDEX($I$5:$I$560,MATCH(B472,$A$5:$A$560,0)))),ISNUMBER(SEARCH("×Enable",INDEX($I$5:$I$560,MATCH(B472,$A$5:$A$560,0))))),1,""),""))</x:f>
      </x:c>
      <x:c r="Q472" t="n">
        <x:f>IF(E472="","",--(XMATCH(E472,$E$5:E472,0)=ROWS($E$5:E472)))</x:f>
        <x:v>1</x:v>
      </x:c>
      <x:c r="R472" t="n">
        <x:f>IF(Q472=1,SUM($Q$5:Q472),"")</x:f>
        <x:v>333</x:v>
      </x:c>
    </x:row>
    <x:row r="473">
      <x:c r="A473" s="12" t="str">
        <x:v>T469</x:v>
      </x:c>
      <x:c r="B473" s="12" t="str">
        <x:v>T468</x:v>
      </x:c>
      <x:c r="C473" s="12" t="n">
        <x:v>6</x:v>
      </x:c>
      <x:c r="D473" s="12" t="str">
        <x:v>f_sw</x:v>
      </x:c>
      <x:c r="E473" s="12" t="str">
        <x:v>f_sw</x:v>
      </x:c>
      <x:c r="F473" s="48" t="n">
        <x:f>'01_入力仕様'!D10</x:f>
        <x:v>16000</x:v>
      </x:c>
      <x:c r="G473" s="48" t="str">
        <x:v>Hz</x:v>
      </x:c>
      <x:c r="H473" s="48" t="n">
        <x:f>ABS(K473)*$F$5</x:f>
        <x:v>0</x:v>
      </x:c>
      <x:c r="I473" s="12" t="str">
        <x:v>入力仕様</x:v>
      </x:c>
      <x:c r="J473" s="48" t="n">
        <x:f>0.5</x:f>
        <x:v>0.5</x:v>
      </x:c>
      <x:c r="K473" s="48" t="n">
        <x:f>K472*J473</x:f>
        <x:v>0</x:v>
      </x:c>
      <x:c r="L473" s="12" t="str">
        <x:f>IF(K473&gt;0,"増加→総重量増",IF(K473&lt;0,"増加→総重量減","中立"))</x:f>
        <x:v>中立</x:v>
      </x:c>
      <x:c r="M473" s="12" t="str">
        <x:v>設計対象</x:v>
      </x:c>
      <x:c r="N473" s="12" t="str"/>
      <x:c r="O473" s="229" t="n">
        <x:f>--(COUNTIF($B$5:$B$560,A473)=0)</x:f>
        <x:v>1</x:v>
      </x:c>
      <x:c r="P473" s="70" t="str">
        <x:f>IF(LEFT(E473,7)&lt;&gt;"Enable_","",IFERROR(IF(OR(ISNUMBER(SEARCH("=Enable",INDEX($I$5:$I$560,MATCH(B473,$A$5:$A$560,0)))),ISNUMBER(SEARCH("×Enable",INDEX($I$5:$I$560,MATCH(B473,$A$5:$A$560,0))))),1,""),""))</x:f>
      </x:c>
      <x:c r="Q473" t="n">
        <x:f>IF(E473="","",--(XMATCH(E473,$E$5:E473,0)=ROWS($E$5:E473)))</x:f>
        <x:v>0</x:v>
      </x:c>
      <x:c r="R473" t="str">
        <x:f>IF(Q473=1,SUM($Q$5:Q473),"")</x:f>
      </x:c>
    </x:row>
    <x:row r="474">
      <x:c r="A474" s="12" t="str">
        <x:v>T470</x:v>
      </x:c>
      <x:c r="B474" s="12" t="str">
        <x:v>T468</x:v>
      </x:c>
      <x:c r="C474" s="12" t="n">
        <x:v>6</x:v>
      </x:c>
      <x:c r="D474" s="12" t="str">
        <x:v>積層数</x:v>
      </x:c>
      <x:c r="E474" s="12" t="str">
        <x:v>N_laminate</x:v>
      </x:c>
      <x:c r="F474" s="48" t="n">
        <x:f>'01_入力仕様'!D229</x:f>
        <x:v>1</x:v>
      </x:c>
      <x:c r="G474" s="48" t="str">
        <x:v>-</x:v>
      </x:c>
      <x:c r="H474" s="48" t="n">
        <x:f>ABS(K474)*$F$5</x:f>
        <x:v>0</x:v>
      </x:c>
      <x:c r="I474" s="12" t="str">
        <x:v>入力仕様</x:v>
      </x:c>
      <x:c r="J474" s="48" t="n">
        <x:f>-1</x:f>
        <x:v>-1</x:v>
      </x:c>
      <x:c r="K474" s="48" t="n">
        <x:f>K472*J474</x:f>
        <x:v>0</x:v>
      </x:c>
      <x:c r="L474" s="12" t="str">
        <x:f>IF(K474&gt;0,"増加→総重量増",IF(K474&lt;0,"増加→総重量減","中立"))</x:f>
        <x:v>中立</x:v>
      </x:c>
      <x:c r="M474" s="12" t="str">
        <x:v>設計対象</x:v>
      </x:c>
      <x:c r="N474" s="12" t="str"/>
      <x:c r="O474" s="229" t="n">
        <x:f>--(COUNTIF($B$5:$B$560,A474)=0)</x:f>
        <x:v>1</x:v>
      </x:c>
      <x:c r="P474" s="70" t="str">
        <x:f>IF(LEFT(E474,7)&lt;&gt;"Enable_","",IFERROR(IF(OR(ISNUMBER(SEARCH("=Enable",INDEX($I$5:$I$560,MATCH(B474,$A$5:$A$560,0)))),ISNUMBER(SEARCH("×Enable",INDEX($I$5:$I$560,MATCH(B474,$A$5:$A$560,0))))),1,""),""))</x:f>
      </x:c>
      <x:c r="Q474" t="n">
        <x:f>IF(E474="","",--(XMATCH(E474,$E$5:E474,0)=ROWS($E$5:E474)))</x:f>
        <x:v>1</x:v>
      </x:c>
      <x:c r="R474" t="n">
        <x:f>IF(Q474=1,SUM($Q$5:Q474),"")</x:f>
        <x:v>334</x:v>
      </x:c>
    </x:row>
    <x:row r="475">
      <x:c r="A475" s="12" t="str">
        <x:v>T471</x:v>
      </x:c>
      <x:c r="B475" s="12" t="str">
        <x:v>T001</x:v>
      </x:c>
      <x:c r="C475" s="12" t="n">
        <x:v>1</x:v>
      </x:c>
      <x:c r="D475" s="12" t="str">
        <x:v>バスバー積層追加重量</x:v>
      </x:c>
      <x:c r="E475" s="12" t="str">
        <x:v>M_laminate</x:v>
      </x:c>
      <x:c r="F475" s="48" t="n">
        <x:f>'01_入力仕様'!D229*'01_入力仕様'!D230</x:f>
        <x:v>0.035</x:v>
      </x:c>
      <x:c r="G475" s="48" t="str">
        <x:v>kg</x:v>
      </x:c>
      <x:c r="H475" s="48" t="n">
        <x:f>ABS(K475)*$F$5</x:f>
        <x:v>0.035</x:v>
      </x:c>
      <x:c r="I475" s="12" t="str">
        <x:v>N_laminate×m_laminate_unit</x:v>
      </x:c>
      <x:c r="J475" s="48" t="n">
        <x:f>F475/$F$5</x:f>
        <x:v>0.0039115589744582145</x:v>
      </x:c>
      <x:c r="K475" s="48" t="n">
        <x:f>J475</x:f>
        <x:v>0.0039115589744582145</x:v>
      </x:c>
      <x:c r="L475" s="12" t="str">
        <x:f>IF(K475&gt;0,"増加→総重量増",IF(K475&lt;0,"増加→総重量減","中立"))</x:f>
        <x:v>増加→総重量増</x:v>
      </x:c>
      <x:c r="M475" s="12" t="str">
        <x:v>設計対象</x:v>
      </x:c>
      <x:c r="N475" s="12" t="str"/>
      <x:c r="O475" s="229" t="n">
        <x:f>--(COUNTIF($B$5:$B$560,A475)=0)</x:f>
        <x:v>0</x:v>
      </x:c>
      <x:c r="P475" s="70" t="str">
        <x:f>IF(LEFT(E475,7)&lt;&gt;"Enable_","",IFERROR(IF(OR(ISNUMBER(SEARCH("=Enable",INDEX($I$5:$I$560,MATCH(B475,$A$5:$A$560,0)))),ISNUMBER(SEARCH("×Enable",INDEX($I$5:$I$560,MATCH(B475,$A$5:$A$560,0))))),1,""),""))</x:f>
      </x:c>
      <x:c r="Q475" t="n">
        <x:f>IF(E475="","",--(XMATCH(E475,$E$5:E475,0)=ROWS($E$5:E475)))</x:f>
        <x:v>1</x:v>
      </x:c>
      <x:c r="R475" t="n">
        <x:f>IF(Q475=1,SUM($Q$5:Q475),"")</x:f>
        <x:v>335</x:v>
      </x:c>
    </x:row>
    <x:row r="476">
      <x:c r="A476" s="12" t="str">
        <x:v>T472</x:v>
      </x:c>
      <x:c r="B476" s="12" t="str">
        <x:v>T471</x:v>
      </x:c>
      <x:c r="C476" s="12" t="n">
        <x:v>2</x:v>
      </x:c>
      <x:c r="D476" s="12" t="str">
        <x:v>積層数</x:v>
      </x:c>
      <x:c r="E476" s="12" t="str">
        <x:v>N_laminate</x:v>
      </x:c>
      <x:c r="F476" s="48" t="n">
        <x:f>'01_入力仕様'!D229</x:f>
        <x:v>1</x:v>
      </x:c>
      <x:c r="G476" s="48" t="str">
        <x:v>-</x:v>
      </x:c>
      <x:c r="H476" s="48" t="n">
        <x:f>ABS(K476)*$F$5</x:f>
        <x:v>0.035</x:v>
      </x:c>
      <x:c r="I476" s="12" t="str">
        <x:v>入力仕様</x:v>
      </x:c>
      <x:c r="J476" s="48" t="n">
        <x:f>1</x:f>
        <x:v>1</x:v>
      </x:c>
      <x:c r="K476" s="48" t="n">
        <x:f>K475*J476</x:f>
        <x:v>0.0039115589744582145</x:v>
      </x:c>
      <x:c r="L476" s="12" t="str">
        <x:f>IF(K476&gt;0,"増加→総重量増",IF(K476&lt;0,"増加→総重量減","中立"))</x:f>
        <x:v>増加→総重量増</x:v>
      </x:c>
      <x:c r="M476" s="12" t="str">
        <x:v>設計対象</x:v>
      </x:c>
      <x:c r="N476" s="12" t="str"/>
      <x:c r="O476" s="229" t="n">
        <x:f>--(COUNTIF($B$5:$B$560,A476)=0)</x:f>
        <x:v>1</x:v>
      </x:c>
      <x:c r="P476" s="70" t="str">
        <x:f>IF(LEFT(E476,7)&lt;&gt;"Enable_","",IFERROR(IF(OR(ISNUMBER(SEARCH("=Enable",INDEX($I$5:$I$560,MATCH(B476,$A$5:$A$560,0)))),ISNUMBER(SEARCH("×Enable",INDEX($I$5:$I$560,MATCH(B476,$A$5:$A$560,0))))),1,""),""))</x:f>
      </x:c>
      <x:c r="Q476" t="n">
        <x:f>IF(E476="","",--(XMATCH(E476,$E$5:E476,0)=ROWS($E$5:E476)))</x:f>
        <x:v>0</x:v>
      </x:c>
      <x:c r="R476" t="str">
        <x:f>IF(Q476=1,SUM($Q$5:Q476),"")</x:f>
      </x:c>
    </x:row>
    <x:row r="477">
      <x:c r="A477" s="12" t="str">
        <x:v>T473</x:v>
      </x:c>
      <x:c r="B477" s="12" t="str">
        <x:v>T001</x:v>
      </x:c>
      <x:c r="C477" s="12" t="n">
        <x:v>1</x:v>
      </x:c>
      <x:c r="D477" s="12" t="str">
        <x:v>dv/dt出力フィルタ重量</x:v>
      </x:c>
      <x:c r="E477" s="12" t="str">
        <x:v>M_dvdt_filter</x:v>
      </x:c>
      <x:c r="F477" s="48" t="n">
        <x:f>'01_入力仕様'!D231*'01_入力仕様'!D232</x:f>
        <x:v>0</x:v>
      </x:c>
      <x:c r="G477" s="48" t="str">
        <x:v>kg</x:v>
      </x:c>
      <x:c r="H477" s="48" t="n">
        <x:f>ABS(K477)*$F$5</x:f>
        <x:v>0</x:v>
      </x:c>
      <x:c r="I477" s="12" t="str">
        <x:v>Enable×m_filter</x:v>
      </x:c>
      <x:c r="J477" s="48" t="n">
        <x:f>F477/$F$5</x:f>
        <x:v>0</x:v>
      </x:c>
      <x:c r="K477" s="48" t="n">
        <x:f>J477</x:f>
        <x:v>0</x:v>
      </x:c>
      <x:c r="L477" s="12" t="str">
        <x:f>IF(K477&gt;0,"増加→総重量増",IF(K477&lt;0,"増加→総重量減","中立"))</x:f>
        <x:v>中立</x:v>
      </x:c>
      <x:c r="M477" s="12" t="str">
        <x:v>設計対象</x:v>
      </x:c>
      <x:c r="N477" s="12" t="str"/>
      <x:c r="O477" s="229" t="n">
        <x:f>--(COUNTIF($B$5:$B$560,A477)=0)</x:f>
        <x:v>0</x:v>
      </x:c>
      <x:c r="P477" s="70" t="str">
        <x:f>IF(LEFT(E477,7)&lt;&gt;"Enable_","",IFERROR(IF(OR(ISNUMBER(SEARCH("=Enable",INDEX($I$5:$I$560,MATCH(B477,$A$5:$A$560,0)))),ISNUMBER(SEARCH("×Enable",INDEX($I$5:$I$560,MATCH(B477,$A$5:$A$560,0))))),1,""),""))</x:f>
      </x:c>
      <x:c r="Q477" t="n">
        <x:f>IF(E477="","",--(XMATCH(E477,$E$5:E477,0)=ROWS($E$5:E477)))</x:f>
        <x:v>1</x:v>
      </x:c>
      <x:c r="R477" t="n">
        <x:f>IF(Q477=1,SUM($Q$5:Q477),"")</x:f>
        <x:v>336</x:v>
      </x:c>
    </x:row>
    <x:row r="478">
      <x:c r="A478" s="12" t="str">
        <x:v>T474</x:v>
      </x:c>
      <x:c r="B478" s="12" t="str">
        <x:v>T473</x:v>
      </x:c>
      <x:c r="C478" s="12" t="n">
        <x:v>2</x:v>
      </x:c>
      <x:c r="D478" s="12" t="str">
        <x:v>dv/dtフィルタ有効</x:v>
      </x:c>
      <x:c r="E478" s="12" t="str">
        <x:v>Enable_dvdt_filter</x:v>
      </x:c>
      <x:c r="F478" s="48" t="n">
        <x:f>'01_入力仕様'!D231</x:f>
        <x:v>0</x:v>
      </x:c>
      <x:c r="G478" s="48" t="str">
        <x:v>0/1</x:v>
      </x:c>
      <x:c r="H478" s="48" t="n">
        <x:f>ABS(K478)*$F$5</x:f>
        <x:v>0.17999999999999997</x:v>
      </x:c>
      <x:c r="I478" s="12" t="str">
        <x:v>入力仕様</x:v>
      </x:c>
      <x:c r="J478" s="48" t="n">
        <x:f>0</x:f>
        <x:v>0</x:v>
      </x:c>
      <x:c r="K478" s="48" t="n">
        <x:f>'01_入力仕様'!D232/$F$5</x:f>
        <x:v>0.020116589011499385</x:v>
      </x:c>
      <x:c r="L478" s="12" t="str">
        <x:f>IF(K478&gt;0,"増加→総重量増",IF(K478&lt;0,"増加→総重量減","中立"))</x:f>
        <x:v>増加→総重量増</x:v>
      </x:c>
      <x:c r="M478" s="12" t="str">
        <x:v>設計対象</x:v>
      </x:c>
      <x:c r="N478" s="12" t="str">
        <x:v>0→1追加重量</x:v>
      </x:c>
      <x:c r="O478" s="229" t="n">
        <x:f>--(COUNTIF($B$5:$B$560,A478)=0)</x:f>
        <x:v>1</x:v>
      </x:c>
      <x:c r="P478" s="70" t="str">
        <x:f>IF(LEFT(E478,7)&lt;&gt;"Enable_","",IFERROR(IF(OR(ISNUMBER(SEARCH("=Enable",INDEX($I$5:$I$560,MATCH(B478,$A$5:$A$560,0)))),ISNUMBER(SEARCH("×Enable",INDEX($I$5:$I$560,MATCH(B478,$A$5:$A$560,0))))),1,""),""))</x:f>
      </x:c>
      <x:c r="Q478" t="n">
        <x:f>IF(E478="","",--(XMATCH(E478,$E$5:E478,0)=ROWS($E$5:E478)))</x:f>
        <x:v>1</x:v>
      </x:c>
      <x:c r="R478" t="n">
        <x:f>IF(Q478=1,SUM($Q$5:Q478),"")</x:f>
        <x:v>337</x:v>
      </x:c>
    </x:row>
    <x:row r="479">
      <x:c r="A479" s="12" t="str">
        <x:v>T475</x:v>
      </x:c>
      <x:c r="B479" s="12" t="str">
        <x:v>T032</x:v>
      </x:c>
      <x:c r="C479" s="12" t="n">
        <x:v>4</x:v>
      </x:c>
      <x:c r="D479" s="12" t="str">
        <x:v>dv/dtフィルタ損失</x:v>
      </x:c>
      <x:c r="E479" s="12" t="str">
        <x:v>P_dvdt_filter</x:v>
      </x:c>
      <x:c r="F479" s="48" t="n">
        <x:f>'01_入力仕様'!D231*'01_入力仕様'!D234</x:f>
        <x:v>0</x:v>
      </x:c>
      <x:c r="G479" s="48" t="str">
        <x:v>W</x:v>
      </x:c>
      <x:c r="H479" s="48" t="n">
        <x:f>ABS(K479)*$F$5</x:f>
        <x:v>0</x:v>
      </x:c>
      <x:c r="I479" s="12" t="str">
        <x:v>Enable×P_on</x:v>
      </x:c>
      <x:c r="J479" s="48" t="n">
        <x:f>F479/(F38+F444+F471+F479)</x:f>
        <x:v>0</x:v>
      </x:c>
      <x:c r="K479" s="48" t="n">
        <x:f>K36*J479</x:f>
        <x:v>0</x:v>
      </x:c>
      <x:c r="L479" s="12" t="str">
        <x:f>IF(K479&gt;0,"増加→総重量増",IF(K479&lt;0,"増加→総重量減","中立"))</x:f>
        <x:v>中立</x:v>
      </x:c>
      <x:c r="M479" s="12" t="str">
        <x:v>設計対象</x:v>
      </x:c>
      <x:c r="N479" s="12" t="str"/>
      <x:c r="O479" s="229" t="n">
        <x:f>--(COUNTIF($B$5:$B$560,A479)=0)</x:f>
        <x:v>0</x:v>
      </x:c>
      <x:c r="P479" s="70" t="str">
        <x:f>IF(LEFT(E479,7)&lt;&gt;"Enable_","",IFERROR(IF(OR(ISNUMBER(SEARCH("=Enable",INDEX($I$5:$I$560,MATCH(B479,$A$5:$A$560,0)))),ISNUMBER(SEARCH("×Enable",INDEX($I$5:$I$560,MATCH(B479,$A$5:$A$560,0))))),1,""),""))</x:f>
      </x:c>
      <x:c r="Q479" t="n">
        <x:f>IF(E479="","",--(XMATCH(E479,$E$5:E479,0)=ROWS($E$5:E479)))</x:f>
        <x:v>1</x:v>
      </x:c>
      <x:c r="R479" t="n">
        <x:f>IF(Q479=1,SUM($Q$5:Q479),"")</x:f>
        <x:v>338</x:v>
      </x:c>
    </x:row>
    <x:row r="480">
      <x:c r="A480" s="12" t="str">
        <x:v>T476</x:v>
      </x:c>
      <x:c r="B480" s="12" t="str">
        <x:v>T475</x:v>
      </x:c>
      <x:c r="C480" s="12" t="n">
        <x:v>5</x:v>
      </x:c>
      <x:c r="D480" s="12" t="str">
        <x:v>dv/dtフィルタ有効</x:v>
      </x:c>
      <x:c r="E480" s="12" t="str">
        <x:v>Enable_dvdt_filter</x:v>
      </x:c>
      <x:c r="F480" s="48" t="n">
        <x:f>'01_入力仕様'!D231</x:f>
        <x:v>0</x:v>
      </x:c>
      <x:c r="G480" s="48" t="str">
        <x:v>0/1</x:v>
      </x:c>
      <x:c r="H480" s="48" t="n">
        <x:f>ABS(K480)*$F$5</x:f>
        <x:v>0.004553492113357132</x:v>
      </x:c>
      <x:c r="I480" s="12" t="str">
        <x:v>入力仕様</x:v>
      </x:c>
      <x:c r="J480" s="48" t="n">
        <x:f>0</x:f>
        <x:v>0</x:v>
      </x:c>
      <x:c r="K480" s="48" t="n">
        <x:f>K36*'01_入力仕様'!D234/(F38+F444+F471+1E-12)</x:f>
        <x:v>0.0005088929411750511</x:v>
      </x:c>
      <x:c r="L480" s="12" t="str">
        <x:f>IF(K480&gt;0,"増加→総重量増",IF(K480&lt;0,"増加→総重量減","中立"))</x:f>
        <x:v>増加→総重量増</x:v>
      </x:c>
      <x:c r="M480" s="12" t="str">
        <x:v>設計対象</x:v>
      </x:c>
      <x:c r="N480" s="12" t="str">
        <x:v>0→1損失差分</x:v>
      </x:c>
      <x:c r="O480" s="229" t="n">
        <x:f>--(COUNTIF($B$5:$B$560,A480)=0)</x:f>
        <x:v>1</x:v>
      </x:c>
      <x:c r="P480" s="70" t="str">
        <x:f>IF(LEFT(E480,7)&lt;&gt;"Enable_","",IFERROR(IF(OR(ISNUMBER(SEARCH("=Enable",INDEX($I$5:$I$560,MATCH(B480,$A$5:$A$560,0)))),ISNUMBER(SEARCH("×Enable",INDEX($I$5:$I$560,MATCH(B480,$A$5:$A$560,0))))),1,""),""))</x:f>
      </x:c>
      <x:c r="Q480" t="n">
        <x:f>IF(E480="","",--(XMATCH(E480,$E$5:E480,0)=ROWS($E$5:E480)))</x:f>
        <x:v>0</x:v>
      </x:c>
      <x:c r="R480" t="str">
        <x:f>IF(Q480=1,SUM($Q$5:Q480),"")</x:f>
      </x:c>
    </x:row>
    <x:row r="481">
      <x:c r="A481" s="12" t="str">
        <x:v>T477</x:v>
      </x:c>
      <x:c r="B481" s="12" t="str">
        <x:v>T308</x:v>
      </x:c>
      <x:c r="C481" s="12" t="n">
        <x:v>3</x:v>
      </x:c>
      <x:c r="D481" s="12" t="str">
        <x:v>dv/dtフィルタ有効</x:v>
      </x:c>
      <x:c r="E481" s="12" t="str">
        <x:v>Enable_dvdt_filter</x:v>
      </x:c>
      <x:c r="F481" s="48" t="n">
        <x:f>'01_入力仕様'!D231</x:f>
        <x:v>0</x:v>
      </x:c>
      <x:c r="G481" s="48" t="str">
        <x:v>0/1</x:v>
      </x:c>
      <x:c r="H481" s="48" t="n">
        <x:f>ABS(K481)*$F$5</x:f>
        <x:v>0.060000000000000005</x:v>
      </x:c>
      <x:c r="I481" s="12" t="str">
        <x:v>入力仕様</x:v>
      </x:c>
      <x:c r="J481" s="48" t="n">
        <x:f>0</x:f>
        <x:v>0</x:v>
      </x:c>
      <x:c r="K481" s="48" t="n">
        <x:f>-K312*'01_入力仕様'!D233</x:f>
        <x:v>-0.006705529670499796</x:v>
      </x:c>
      <x:c r="L481" s="12" t="str">
        <x:f>IF(K481&gt;0,"増加→総重量増",IF(K481&lt;0,"増加→総重量減","中立"))</x:f>
        <x:v>増加→総重量減</x:v>
      </x:c>
      <x:c r="M481" s="12" t="str">
        <x:v>設計対象</x:v>
      </x:c>
      <x:c r="N481" s="12" t="str">
        <x:v>0→1 EMI重量低減</x:v>
      </x:c>
      <x:c r="O481" s="229" t="n">
        <x:f>--(COUNTIF($B$5:$B$560,A481)=0)</x:f>
        <x:v>1</x:v>
      </x:c>
      <x:c r="P481" s="70" t="str">
        <x:f>IF(LEFT(E481,7)&lt;&gt;"Enable_","",IFERROR(IF(OR(ISNUMBER(SEARCH("=Enable",INDEX($I$5:$I$560,MATCH(B481,$A$5:$A$560,0)))),ISNUMBER(SEARCH("×Enable",INDEX($I$5:$I$560,MATCH(B481,$A$5:$A$560,0))))),1,""),""))</x:f>
      </x:c>
      <x:c r="Q481" t="n">
        <x:f>IF(E481="","",--(XMATCH(E481,$E$5:E481,0)=ROWS($E$5:E481)))</x:f>
        <x:v>0</x:v>
      </x:c>
      <x:c r="R481" t="str">
        <x:f>IF(Q481=1,SUM($Q$5:Q481),"")</x:f>
      </x:c>
    </x:row>
    <x:row r="482">
      <x:c r="A482" s="12" t="str">
        <x:v>T478</x:v>
      </x:c>
      <x:c r="B482" s="12" t="str">
        <x:v>T001</x:v>
      </x:c>
      <x:c r="C482" s="12" t="n">
        <x:v>1</x:v>
      </x:c>
      <x:c r="D482" s="12" t="str">
        <x:v>追加CMチョーク/Y-Cap重量</x:v>
      </x:c>
      <x:c r="E482" s="12" t="str">
        <x:v>M_CM_filter2</x:v>
      </x:c>
      <x:c r="F482" s="48" t="n">
        <x:f>'01_入力仕様'!D235*('01_入力仕様'!D236+'01_入力仕様'!D238)</x:f>
        <x:v>0</x:v>
      </x:c>
      <x:c r="G482" s="48" t="str">
        <x:v>kg</x:v>
      </x:c>
      <x:c r="H482" s="48" t="n">
        <x:f>ABS(K482)*$F$5</x:f>
        <x:v>0</x:v>
      </x:c>
      <x:c r="I482" s="12" t="str">
        <x:v>Enable×(部品+漏れ対策)</x:v>
      </x:c>
      <x:c r="J482" s="48" t="n">
        <x:f>F482/$F$5</x:f>
        <x:v>0</x:v>
      </x:c>
      <x:c r="K482" s="48" t="n">
        <x:f>J482</x:f>
        <x:v>0</x:v>
      </x:c>
      <x:c r="L482" s="12" t="str">
        <x:f>IF(K482&gt;0,"増加→総重量増",IF(K482&lt;0,"増加→総重量減","中立"))</x:f>
        <x:v>中立</x:v>
      </x:c>
      <x:c r="M482" s="12" t="str">
        <x:v>設計対象</x:v>
      </x:c>
      <x:c r="N482" s="12" t="str"/>
      <x:c r="O482" s="229" t="n">
        <x:f>--(COUNTIF($B$5:$B$560,A482)=0)</x:f>
        <x:v>0</x:v>
      </x:c>
      <x:c r="P482" s="70" t="str">
        <x:f>IF(LEFT(E482,7)&lt;&gt;"Enable_","",IFERROR(IF(OR(ISNUMBER(SEARCH("=Enable",INDEX($I$5:$I$560,MATCH(B482,$A$5:$A$560,0)))),ISNUMBER(SEARCH("×Enable",INDEX($I$5:$I$560,MATCH(B482,$A$5:$A$560,0))))),1,""),""))</x:f>
      </x:c>
      <x:c r="Q482" t="n">
        <x:f>IF(E482="","",--(XMATCH(E482,$E$5:E482,0)=ROWS($E$5:E482)))</x:f>
        <x:v>1</x:v>
      </x:c>
      <x:c r="R482" t="n">
        <x:f>IF(Q482=1,SUM($Q$5:Q482),"")</x:f>
        <x:v>339</x:v>
      </x:c>
    </x:row>
    <x:row r="483">
      <x:c r="A483" s="12" t="str">
        <x:v>T479</x:v>
      </x:c>
      <x:c r="B483" s="12" t="str">
        <x:v>T478</x:v>
      </x:c>
      <x:c r="C483" s="12" t="n">
        <x:v>2</x:v>
      </x:c>
      <x:c r="D483" s="12" t="str">
        <x:v>CMフィルタ有効</x:v>
      </x:c>
      <x:c r="E483" s="12" t="str">
        <x:v>Enable_CM_filter</x:v>
      </x:c>
      <x:c r="F483" s="48" t="n">
        <x:f>'01_入力仕様'!D235</x:f>
        <x:v>0</x:v>
      </x:c>
      <x:c r="G483" s="48" t="str">
        <x:v>0/1</x:v>
      </x:c>
      <x:c r="H483" s="48" t="n">
        <x:f>ABS(K483)*$F$5</x:f>
        <x:v>0.135</x:v>
      </x:c>
      <x:c r="I483" s="12" t="str">
        <x:v>入力仕様</x:v>
      </x:c>
      <x:c r="J483" s="48" t="n">
        <x:f>0</x:f>
        <x:v>0</x:v>
      </x:c>
      <x:c r="K483" s="48" t="n">
        <x:f>('01_入力仕様'!D236+'01_入力仕様'!D238)/$F$5</x:f>
        <x:v>0.015087441758624542</x:v>
      </x:c>
      <x:c r="L483" s="12" t="str">
        <x:f>IF(K483&gt;0,"増加→総重量増",IF(K483&lt;0,"増加→総重量減","中立"))</x:f>
        <x:v>増加→総重量増</x:v>
      </x:c>
      <x:c r="M483" s="12" t="str">
        <x:v>設計対象</x:v>
      </x:c>
      <x:c r="N483" s="12" t="str">
        <x:v>0→1追加重量</x:v>
      </x:c>
      <x:c r="O483" s="229" t="n">
        <x:f>--(COUNTIF($B$5:$B$560,A483)=0)</x:f>
        <x:v>1</x:v>
      </x:c>
      <x:c r="P483" s="70" t="str">
        <x:f>IF(LEFT(E483,7)&lt;&gt;"Enable_","",IFERROR(IF(OR(ISNUMBER(SEARCH("=Enable",INDEX($I$5:$I$560,MATCH(B483,$A$5:$A$560,0)))),ISNUMBER(SEARCH("×Enable",INDEX($I$5:$I$560,MATCH(B483,$A$5:$A$560,0))))),1,""),""))</x:f>
      </x:c>
      <x:c r="Q483" t="n">
        <x:f>IF(E483="","",--(XMATCH(E483,$E$5:E483,0)=ROWS($E$5:E483)))</x:f>
        <x:v>1</x:v>
      </x:c>
      <x:c r="R483" t="n">
        <x:f>IF(Q483=1,SUM($Q$5:Q483),"")</x:f>
        <x:v>340</x:v>
      </x:c>
    </x:row>
    <x:row r="484">
      <x:c r="A484" s="12" t="str">
        <x:v>T480</x:v>
      </x:c>
      <x:c r="B484" s="12" t="str">
        <x:v>T364</x:v>
      </x:c>
      <x:c r="C484" s="12" t="n">
        <x:v>3</x:v>
      </x:c>
      <x:c r="D484" s="12" t="str">
        <x:v>追加CMフィルタ有効</x:v>
      </x:c>
      <x:c r="E484" s="12" t="str">
        <x:v>Enable_CM_filter</x:v>
      </x:c>
      <x:c r="F484" s="48" t="n">
        <x:f>'01_入力仕様'!D235</x:f>
        <x:v>0</x:v>
      </x:c>
      <x:c r="G484" s="48" t="str">
        <x:v>0/1</x:v>
      </x:c>
      <x:c r="H484" s="48" t="n">
        <x:f>ABS(K484)*$F$5</x:f>
        <x:v>0.13000000000000003</x:v>
      </x:c>
      <x:c r="I484" s="12" t="str">
        <x:v>入力仕様</x:v>
      </x:c>
      <x:c r="J484" s="48" t="n">
        <x:f>0</x:f>
        <x:v>0</x:v>
      </x:c>
      <x:c r="K484" s="48" t="n">
        <x:f>-K368*'01_入力仕様'!D237</x:f>
        <x:v>-0.014528647619416229</x:v>
      </x:c>
      <x:c r="L484" s="12" t="str">
        <x:f>IF(K484&gt;0,"増加→総重量増",IF(K484&lt;0,"増加→総重量減","中立"))</x:f>
        <x:v>増加→総重量減</x:v>
      </x:c>
      <x:c r="M484" s="12" t="str">
        <x:v>設計対象</x:v>
      </x:c>
      <x:c r="N484" s="12" t="str">
        <x:v>0→1既存CM対策低減</x:v>
      </x:c>
      <x:c r="O484" s="229" t="n">
        <x:f>--(COUNTIF($B$5:$B$560,A484)=0)</x:f>
        <x:v>1</x:v>
      </x:c>
      <x:c r="P484" s="70" t="str">
        <x:f>IF(LEFT(E484,7)&lt;&gt;"Enable_","",IFERROR(IF(OR(ISNUMBER(SEARCH("=Enable",INDEX($I$5:$I$560,MATCH(B484,$A$5:$A$560,0)))),ISNUMBER(SEARCH("×Enable",INDEX($I$5:$I$560,MATCH(B484,$A$5:$A$560,0))))),1,""),""))</x:f>
      </x:c>
      <x:c r="Q484" t="n">
        <x:f>IF(E484="","",--(XMATCH(E484,$E$5:E484,0)=ROWS($E$5:E484)))</x:f>
        <x:v>0</x:v>
      </x:c>
      <x:c r="R484" t="str">
        <x:f>IF(Q484=1,SUM($Q$5:Q484),"")</x:f>
      </x:c>
    </x:row>
    <x:row r="485">
      <x:c r="A485" s="12" t="str">
        <x:v>T481</x:v>
      </x:c>
      <x:c r="B485" s="12" t="str">
        <x:v>T001</x:v>
      </x:c>
      <x:c r="C485" s="12" t="n">
        <x:v>1</x:v>
      </x:c>
      <x:c r="D485" s="12" t="str">
        <x:v>EMIシールド追加重量</x:v>
      </x:c>
      <x:c r="E485" s="12" t="str">
        <x:v>M_shield</x:v>
      </x:c>
      <x:c r="F485" s="48" t="n">
        <x:f>'01_入力仕様'!D239*'01_入力仕様'!D240</x:f>
        <x:v>0</x:v>
      </x:c>
      <x:c r="G485" s="48" t="str">
        <x:v>kg</x:v>
      </x:c>
      <x:c r="H485" s="48" t="n">
        <x:f>ABS(K485)*$F$5</x:f>
        <x:v>0</x:v>
      </x:c>
      <x:c r="I485" s="12" t="str">
        <x:v>Enable_shield×m_shield</x:v>
      </x:c>
      <x:c r="J485" s="48" t="n">
        <x:f>F485/$F$5</x:f>
        <x:v>0</x:v>
      </x:c>
      <x:c r="K485" s="48" t="n">
        <x:f>J485</x:f>
        <x:v>0</x:v>
      </x:c>
      <x:c r="L485" s="12" t="str">
        <x:f>IF(K485&gt;0,"増加→総重量増",IF(K485&lt;0,"増加→総重量減","中立"))</x:f>
        <x:v>中立</x:v>
      </x:c>
      <x:c r="M485" s="12" t="str">
        <x:v>設計対象</x:v>
      </x:c>
      <x:c r="N485" s="12" t="str"/>
      <x:c r="O485" s="229" t="n">
        <x:f>--(COUNTIF($B$5:$B$560,A485)=0)</x:f>
        <x:v>0</x:v>
      </x:c>
      <x:c r="P485" s="70" t="str">
        <x:f>IF(LEFT(E485,7)&lt;&gt;"Enable_","",IFERROR(IF(OR(ISNUMBER(SEARCH("=Enable",INDEX($I$5:$I$560,MATCH(B485,$A$5:$A$560,0)))),ISNUMBER(SEARCH("×Enable",INDEX($I$5:$I$560,MATCH(B485,$A$5:$A$560,0))))),1,""),""))</x:f>
      </x:c>
      <x:c r="Q485" t="n">
        <x:f>IF(E485="","",--(XMATCH(E485,$E$5:E485,0)=ROWS($E$5:E485)))</x:f>
        <x:v>1</x:v>
      </x:c>
      <x:c r="R485" t="n">
        <x:f>IF(Q485=1,SUM($Q$5:Q485),"")</x:f>
        <x:v>341</x:v>
      </x:c>
    </x:row>
    <x:row r="486">
      <x:c r="A486" s="12" t="str">
        <x:v>T482</x:v>
      </x:c>
      <x:c r="B486" s="12" t="str">
        <x:v>T481</x:v>
      </x:c>
      <x:c r="C486" s="12" t="n">
        <x:v>2</x:v>
      </x:c>
      <x:c r="D486" s="12" t="str">
        <x:v>シールド有効</x:v>
      </x:c>
      <x:c r="E486" s="12" t="str">
        <x:v>Enable_shield</x:v>
      </x:c>
      <x:c r="F486" s="48" t="n">
        <x:f>'01_入力仕様'!D239</x:f>
        <x:v>0</x:v>
      </x:c>
      <x:c r="G486" s="48" t="str">
        <x:v>0/1</x:v>
      </x:c>
      <x:c r="H486" s="48" t="n">
        <x:f>ABS(K486)*$F$5</x:f>
        <x:v>0.12</x:v>
      </x:c>
      <x:c r="I486" s="12" t="str">
        <x:v>入力仕様</x:v>
      </x:c>
      <x:c r="J486" s="48" t="n">
        <x:f>0</x:f>
        <x:v>0</x:v>
      </x:c>
      <x:c r="K486" s="48" t="n">
        <x:f>'01_入力仕様'!D240/$F$5</x:f>
        <x:v>0.013411059340999591</x:v>
      </x:c>
      <x:c r="L486" s="12" t="str">
        <x:f>IF(K486&gt;0,"増加→総重量増",IF(K486&lt;0,"増加→総重量減","中立"))</x:f>
        <x:v>増加→総重量増</x:v>
      </x:c>
      <x:c r="M486" s="12" t="str">
        <x:v>設計対象</x:v>
      </x:c>
      <x:c r="N486" s="12" t="str">
        <x:v>0→1重量増</x:v>
      </x:c>
      <x:c r="O486" s="229" t="n">
        <x:f>--(COUNTIF($B$5:$B$560,A486)=0)</x:f>
        <x:v>1</x:v>
      </x:c>
      <x:c r="P486" s="70" t="str">
        <x:f>IF(LEFT(E486,7)&lt;&gt;"Enable_","",IFERROR(IF(OR(ISNUMBER(SEARCH("=Enable",INDEX($I$5:$I$560,MATCH(B486,$A$5:$A$560,0)))),ISNUMBER(SEARCH("×Enable",INDEX($I$5:$I$560,MATCH(B486,$A$5:$A$560,0))))),1,""),""))</x:f>
      </x:c>
      <x:c r="Q486" t="n">
        <x:f>IF(E486="","",--(XMATCH(E486,$E$5:E486,0)=ROWS($E$5:E486)))</x:f>
        <x:v>1</x:v>
      </x:c>
      <x:c r="R486" t="n">
        <x:f>IF(Q486=1,SUM($Q$5:Q486),"")</x:f>
        <x:v>342</x:v>
      </x:c>
    </x:row>
    <x:row r="487">
      <x:c r="A487" s="12" t="str">
        <x:v>T483</x:v>
      </x:c>
      <x:c r="B487" s="12" t="str">
        <x:v>T136</x:v>
      </x:c>
      <x:c r="C487" s="12" t="n">
        <x:v>2</x:v>
      </x:c>
      <x:c r="D487" s="12" t="str">
        <x:v>シールド有効</x:v>
      </x:c>
      <x:c r="E487" s="12" t="str">
        <x:v>Enable_shield</x:v>
      </x:c>
      <x:c r="F487" s="48" t="n">
        <x:f>'01_入力仕様'!D239</x:f>
        <x:v>0</x:v>
      </x:c>
      <x:c r="G487" s="48" t="str">
        <x:v>0/1</x:v>
      </x:c>
      <x:c r="H487" s="48" t="n">
        <x:f>ABS(K487)*$F$5</x:f>
        <x:v>0.11563401809286435</x:v>
      </x:c>
      <x:c r="I487" s="12" t="str">
        <x:v>入力仕様</x:v>
      </x:c>
      <x:c r="J487" s="48" t="n">
        <x:f>0</x:f>
        <x:v>0</x:v>
      </x:c>
      <x:c r="K487" s="48" t="n">
        <x:f>-K140*'01_入力仕様'!D241</x:f>
        <x:v>-0.012923122320680202</x:v>
      </x:c>
      <x:c r="L487" s="12" t="str">
        <x:f>IF(K487&gt;0,"増加→総重量増",IF(K487&lt;0,"増加→総重量減","中立"))</x:f>
        <x:v>増加→総重量減</x:v>
      </x:c>
      <x:c r="M487" s="12" t="str">
        <x:v>設計対象</x:v>
      </x:c>
      <x:c r="N487" s="12" t="str">
        <x:v>0→1 EMI重量低減</x:v>
      </x:c>
      <x:c r="O487" s="229" t="n">
        <x:f>--(COUNTIF($B$5:$B$560,A487)=0)</x:f>
        <x:v>1</x:v>
      </x:c>
      <x:c r="P487" s="70" t="str">
        <x:f>IF(LEFT(E487,7)&lt;&gt;"Enable_","",IFERROR(IF(OR(ISNUMBER(SEARCH("=Enable",INDEX($I$5:$I$560,MATCH(B487,$A$5:$A$560,0)))),ISNUMBER(SEARCH("×Enable",INDEX($I$5:$I$560,MATCH(B487,$A$5:$A$560,0))))),1,""),""))</x:f>
      </x:c>
      <x:c r="Q487" t="n">
        <x:f>IF(E487="","",--(XMATCH(E487,$E$5:E487,0)=ROWS($E$5:E487)))</x:f>
        <x:v>0</x:v>
      </x:c>
      <x:c r="R487" t="str">
        <x:f>IF(Q487=1,SUM($Q$5:Q487),"")</x:f>
      </x:c>
    </x:row>
    <x:row r="488">
      <x:c r="A488" s="12" t="str">
        <x:v>T484</x:v>
      </x:c>
      <x:c r="B488" s="12" t="str">
        <x:v>T032</x:v>
      </x:c>
      <x:c r="C488" s="12" t="n">
        <x:v>4</x:v>
      </x:c>
      <x:c r="D488" s="12" t="str">
        <x:v>シャント損失</x:v>
      </x:c>
      <x:c r="E488" s="12" t="str">
        <x:v>P_shunt</x:v>
      </x:c>
      <x:c r="F488" s="48" t="n">
        <x:f>3*F12^2*'01_入力仕様'!D242</x:f>
        <x:v>36.80097649183063</x:v>
      </x:c>
      <x:c r="G488" s="48" t="str">
        <x:v>W</x:v>
      </x:c>
      <x:c r="H488" s="48" t="n">
        <x:f>ABS(K488)*$F$5</x:f>
        <x:v>0.0013867242471269777</x:v>
      </x:c>
      <x:c r="I488" s="12" t="str">
        <x:v>3×Iphase²×R_shunt</x:v>
      </x:c>
      <x:c r="J488" s="48" t="n">
        <x:f>F488/(F38+F444+F471+F479+F488+1E-12)</x:f>
        <x:v>0.006958441209499313</x:v>
      </x:c>
      <x:c r="K488" s="48" t="n">
        <x:f>K36*J488</x:f>
        <x:v>0.000154978676398524</x:v>
      </x:c>
      <x:c r="L488" s="12" t="str">
        <x:f>IF(K488&gt;0,"増加→総重量増",IF(K488&lt;0,"増加→総重量減","中立"))</x:f>
        <x:v>増加→総重量増</x:v>
      </x:c>
      <x:c r="M488" s="12" t="str">
        <x:v>設計対象</x:v>
      </x:c>
      <x:c r="N488" s="12" t="str"/>
      <x:c r="O488" s="229" t="n">
        <x:f>--(COUNTIF($B$5:$B$560,A488)=0)</x:f>
        <x:v>0</x:v>
      </x:c>
      <x:c r="P488" s="70" t="str">
        <x:f>IF(LEFT(E488,7)&lt;&gt;"Enable_","",IFERROR(IF(OR(ISNUMBER(SEARCH("=Enable",INDEX($I$5:$I$560,MATCH(B488,$A$5:$A$560,0)))),ISNUMBER(SEARCH("×Enable",INDEX($I$5:$I$560,MATCH(B488,$A$5:$A$560,0))))),1,""),""))</x:f>
      </x:c>
      <x:c r="Q488" t="n">
        <x:f>IF(E488="","",--(XMATCH(E488,$E$5:E488,0)=ROWS($E$5:E488)))</x:f>
        <x:v>1</x:v>
      </x:c>
      <x:c r="R488" t="n">
        <x:f>IF(Q488=1,SUM($Q$5:Q488),"")</x:f>
        <x:v>343</x:v>
      </x:c>
    </x:row>
    <x:row r="489">
      <x:c r="A489" s="12" t="str">
        <x:v>T485</x:v>
      </x:c>
      <x:c r="B489" s="12" t="str">
        <x:v>T484</x:v>
      </x:c>
      <x:c r="C489" s="12" t="n">
        <x:v>5</x:v>
      </x:c>
      <x:c r="D489" s="12" t="str">
        <x:v>シャント抵抗</x:v>
      </x:c>
      <x:c r="E489" s="12" t="str">
        <x:v>R_shunt</x:v>
      </x:c>
      <x:c r="F489" s="48" t="n">
        <x:f>'01_入力仕様'!D242</x:f>
        <x:v>0.0005</x:v>
      </x:c>
      <x:c r="G489" s="48" t="str">
        <x:v>ohm</x:v>
      </x:c>
      <x:c r="H489" s="48" t="n">
        <x:f>ABS(K489)*$F$5</x:f>
        <x:v>0.0013867242471269777</x:v>
      </x:c>
      <x:c r="I489" s="12" t="str">
        <x:v>入力仕様</x:v>
      </x:c>
      <x:c r="J489" s="48" t="n">
        <x:f>1</x:f>
        <x:v>1</x:v>
      </x:c>
      <x:c r="K489" s="48" t="n">
        <x:f>K488*J489</x:f>
        <x:v>0.000154978676398524</x:v>
      </x:c>
      <x:c r="L489" s="12" t="str">
        <x:f>IF(K489&gt;0,"増加→総重量増",IF(K489&lt;0,"増加→総重量減","中立"))</x:f>
        <x:v>増加→総重量増</x:v>
      </x:c>
      <x:c r="M489" s="12" t="str">
        <x:v>設計対象</x:v>
      </x:c>
      <x:c r="N489" s="12" t="str"/>
      <x:c r="O489" s="229" t="n">
        <x:f>--(COUNTIF($B$5:$B$560,A489)=0)</x:f>
        <x:v>1</x:v>
      </x:c>
      <x:c r="P489" s="70" t="str">
        <x:f>IF(LEFT(E489,7)&lt;&gt;"Enable_","",IFERROR(IF(OR(ISNUMBER(SEARCH("=Enable",INDEX($I$5:$I$560,MATCH(B489,$A$5:$A$560,0)))),ISNUMBER(SEARCH("×Enable",INDEX($I$5:$I$560,MATCH(B489,$A$5:$A$560,0))))),1,""),""))</x:f>
      </x:c>
      <x:c r="Q489" t="n">
        <x:f>IF(E489="","",--(XMATCH(E489,$E$5:E489,0)=ROWS($E$5:E489)))</x:f>
        <x:v>1</x:v>
      </x:c>
      <x:c r="R489" t="n">
        <x:f>IF(Q489=1,SUM($Q$5:Q489),"")</x:f>
        <x:v>344</x:v>
      </x:c>
    </x:row>
    <x:row r="490">
      <x:c r="A490" s="12" t="str">
        <x:v>T486</x:v>
      </x:c>
      <x:c r="B490" s="12" t="str">
        <x:v>T171</x:v>
      </x:c>
      <x:c r="C490" s="12" t="n">
        <x:v>2</x:v>
      </x:c>
      <x:c r="D490" s="12" t="str">
        <x:v>電流検出アンプ重量</x:v>
      </x:c>
      <x:c r="E490" s="12" t="str">
        <x:v>M_CSA</x:v>
      </x:c>
      <x:c r="F490" s="48" t="n">
        <x:f>'01_入力仕様'!D244*('01_入力仕様'!D243/'01_入力仕様'!D242)^0.3</x:f>
        <x:v>0.035</x:v>
      </x:c>
      <x:c r="G490" s="48" t="str">
        <x:v>kg</x:v>
      </x:c>
      <x:c r="H490" s="48" t="n">
        <x:f>ABS(K490)*$F$5</x:f>
        <x:v>0.035</x:v>
      </x:c>
      <x:c r="I490" s="12" t="str">
        <x:v>m_CSA_ref×(Rref/Rshunt)^0.3</x:v>
      </x:c>
      <x:c r="J490" s="48" t="n">
        <x:f>F490/F175</x:f>
        <x:v>0.1111111111111111</x:v>
      </x:c>
      <x:c r="K490" s="48" t="n">
        <x:f>K175*J490</x:f>
        <x:v>0.0039115589744582145</x:v>
      </x:c>
      <x:c r="L490" s="12" t="str">
        <x:f>IF(K490&gt;0,"増加→総重量増",IF(K490&lt;0,"増加→総重量減","中立"))</x:f>
        <x:v>増加→総重量増</x:v>
      </x:c>
      <x:c r="M490" s="12" t="str">
        <x:v>設計対象</x:v>
      </x:c>
      <x:c r="N490" s="12" t="str"/>
      <x:c r="O490" s="229" t="n">
        <x:f>--(COUNTIF($B$5:$B$560,A490)=0)</x:f>
        <x:v>0</x:v>
      </x:c>
      <x:c r="P490" s="70" t="str">
        <x:f>IF(LEFT(E490,7)&lt;&gt;"Enable_","",IFERROR(IF(OR(ISNUMBER(SEARCH("=Enable",INDEX($I$5:$I$560,MATCH(B490,$A$5:$A$560,0)))),ISNUMBER(SEARCH("×Enable",INDEX($I$5:$I$560,MATCH(B490,$A$5:$A$560,0))))),1,""),""))</x:f>
      </x:c>
      <x:c r="Q490" t="n">
        <x:f>IF(E490="","",--(XMATCH(E490,$E$5:E490,0)=ROWS($E$5:E490)))</x:f>
        <x:v>1</x:v>
      </x:c>
      <x:c r="R490" t="n">
        <x:f>IF(Q490=1,SUM($Q$5:Q490),"")</x:f>
        <x:v>345</x:v>
      </x:c>
    </x:row>
    <x:row r="491">
      <x:c r="A491" s="12" t="str">
        <x:v>T487</x:v>
      </x:c>
      <x:c r="B491" s="12" t="str">
        <x:v>T486</x:v>
      </x:c>
      <x:c r="C491" s="12" t="n">
        <x:v>3</x:v>
      </x:c>
      <x:c r="D491" s="12" t="str">
        <x:v>シャント抵抗</x:v>
      </x:c>
      <x:c r="E491" s="12" t="str">
        <x:v>R_shunt</x:v>
      </x:c>
      <x:c r="F491" s="48" t="n">
        <x:f>'01_入力仕様'!D242</x:f>
        <x:v>0.0005</x:v>
      </x:c>
      <x:c r="G491" s="48" t="str">
        <x:v>ohm</x:v>
      </x:c>
      <x:c r="H491" s="48" t="n">
        <x:f>ABS(K491)*$F$5</x:f>
        <x:v>0.0105</x:v>
      </x:c>
      <x:c r="I491" s="12" t="str">
        <x:v>入力仕様</x:v>
      </x:c>
      <x:c r="J491" s="48" t="n">
        <x:f>-0.3</x:f>
        <x:v>-0.3</x:v>
      </x:c>
      <x:c r="K491" s="48" t="n">
        <x:f>K490*J491</x:f>
        <x:v>-0.0011734676923374644</x:v>
      </x:c>
      <x:c r="L491" s="12" t="str">
        <x:f>IF(K491&gt;0,"増加→総重量増",IF(K491&lt;0,"増加→総重量減","中立"))</x:f>
        <x:v>増加→総重量減</x:v>
      </x:c>
      <x:c r="M491" s="12" t="str">
        <x:v>設計対象</x:v>
      </x:c>
      <x:c r="N491" s="12" t="str"/>
      <x:c r="O491" s="229" t="n">
        <x:f>--(COUNTIF($B$5:$B$560,A491)=0)</x:f>
        <x:v>1</x:v>
      </x:c>
      <x:c r="P491" s="70" t="str">
        <x:f>IF(LEFT(E491,7)&lt;&gt;"Enable_","",IFERROR(IF(OR(ISNUMBER(SEARCH("=Enable",INDEX($I$5:$I$560,MATCH(B491,$A$5:$A$560,0)))),ISNUMBER(SEARCH("×Enable",INDEX($I$5:$I$560,MATCH(B491,$A$5:$A$560,0))))),1,""),""))</x:f>
      </x:c>
      <x:c r="Q491" t="n">
        <x:f>IF(E491="","",--(XMATCH(E491,$E$5:E491,0)=ROWS($E$5:E491)))</x:f>
        <x:v>0</x:v>
      </x:c>
      <x:c r="R491" t="str">
        <x:f>IF(Q491=1,SUM($Q$5:Q491),"")</x:f>
      </x:c>
    </x:row>
    <x:row r="492">
      <x:c r="A492" s="12" t="str">
        <x:v>T488</x:v>
      </x:c>
      <x:c r="B492" s="12" t="str">
        <x:v>T171</x:v>
      </x:c>
      <x:c r="C492" s="12" t="n">
        <x:v>2</x:v>
      </x:c>
      <x:c r="D492" s="12" t="str">
        <x:v>センシング方式差分重量</x:v>
      </x:c>
      <x:c r="E492" s="12" t="str">
        <x:v>M_sensor_option</x:v>
      </x:c>
      <x:c r="F492" s="48" t="n">
        <x:f>IF('01_入力仕様'!D245=1,-'01_入力仕様'!D247,IF('01_入力仕様'!D245=2,'01_入力仕様'!D246,0))</x:f>
        <x:v>0</x:v>
      </x:c>
      <x:c r="G492" s="48" t="str">
        <x:v>kg</x:v>
      </x:c>
      <x:c r="H492" s="48" t="n">
        <x:f>ABS(K492)*$F$5</x:f>
        <x:v>0</x:v>
      </x:c>
      <x:c r="I492" s="12" t="str">
        <x:v>IF(mode=1,-save,IF(mode=2,Hall_delta,0))</x:v>
      </x:c>
      <x:c r="J492" s="48" t="n">
        <x:f>F492/F175</x:f>
        <x:v>0</x:v>
      </x:c>
      <x:c r="K492" s="48" t="n">
        <x:f>K175*J492</x:f>
        <x:v>0</x:v>
      </x:c>
      <x:c r="L492" s="12" t="str">
        <x:f>IF(K492&gt;0,"増加→総重量増",IF(K492&lt;0,"増加→総重量減","中立"))</x:f>
        <x:v>中立</x:v>
      </x:c>
      <x:c r="M492" s="12" t="str">
        <x:v>設計対象</x:v>
      </x:c>
      <x:c r="N492" s="12" t="str"/>
      <x:c r="O492" s="229" t="n">
        <x:f>--(COUNTIF($B$5:$B$560,A492)=0)</x:f>
        <x:v>0</x:v>
      </x:c>
      <x:c r="P492" s="70" t="str">
        <x:f>IF(LEFT(E492,7)&lt;&gt;"Enable_","",IFERROR(IF(OR(ISNUMBER(SEARCH("=Enable",INDEX($I$5:$I$560,MATCH(B492,$A$5:$A$560,0)))),ISNUMBER(SEARCH("×Enable",INDEX($I$5:$I$560,MATCH(B492,$A$5:$A$560,0))))),1,""),""))</x:f>
      </x:c>
      <x:c r="Q492" t="n">
        <x:f>IF(E492="","",--(XMATCH(E492,$E$5:E492,0)=ROWS($E$5:E492)))</x:f>
        <x:v>1</x:v>
      </x:c>
      <x:c r="R492" t="n">
        <x:f>IF(Q492=1,SUM($Q$5:Q492),"")</x:f>
        <x:v>346</x:v>
      </x:c>
    </x:row>
    <x:row r="493">
      <x:c r="A493" s="12" t="str">
        <x:v>T489</x:v>
      </x:c>
      <x:c r="B493" s="12" t="str">
        <x:v>T488</x:v>
      </x:c>
      <x:c r="C493" s="12" t="n">
        <x:v>3</x:v>
      </x:c>
      <x:c r="D493" s="12" t="str">
        <x:v>電流検出方式</x:v>
      </x:c>
      <x:c r="E493" s="12" t="str">
        <x:v>Sense_mode</x:v>
      </x:c>
      <x:c r="F493" s="48" t="n">
        <x:f>'01_入力仕様'!D245</x:f>
        <x:v>0</x:v>
      </x:c>
      <x:c r="G493" s="48" t="str">
        <x:v>0/1/2</x:v>
      </x:c>
      <x:c r="H493" s="48" t="n">
        <x:f>ABS(K493)*$F$5</x:f>
        <x:v>0</x:v>
      </x:c>
      <x:c r="I493" s="12" t="str">
        <x:v>入力仕様</x:v>
      </x:c>
      <x:c r="J493" s="48" t="n">
        <x:f>0</x:f>
        <x:v>0</x:v>
      </x:c>
      <x:c r="K493" s="48" t="n">
        <x:f>0</x:f>
        <x:v>0</x:v>
      </x:c>
      <x:c r="L493" s="12" t="str">
        <x:f>IF(K493&gt;0,"増加→総重量増",IF(K493&lt;0,"増加→総重量減","中立"))</x:f>
        <x:v>中立</x:v>
      </x:c>
      <x:c r="M493" s="12" t="str">
        <x:v>設計対象</x:v>
      </x:c>
      <x:c r="N493" s="12" t="str">
        <x:v>0=3shunt基準、1=1shunt、2=Hall。離散シナリオ値として比較</x:v>
      </x:c>
      <x:c r="O493" s="229" t="n">
        <x:f>--(COUNTIF($B$5:$B$560,A493)=0)</x:f>
        <x:v>1</x:v>
      </x:c>
      <x:c r="P493" s="70" t="str">
        <x:f>IF(LEFT(E493,7)&lt;&gt;"Enable_","",IFERROR(IF(OR(ISNUMBER(SEARCH("=Enable",INDEX($I$5:$I$560,MATCH(B493,$A$5:$A$560,0)))),ISNUMBER(SEARCH("×Enable",INDEX($I$5:$I$560,MATCH(B493,$A$5:$A$560,0))))),1,""),""))</x:f>
      </x:c>
      <x:c r="Q493" t="n">
        <x:f>IF(E493="","",--(XMATCH(E493,$E$5:E493,0)=ROWS($E$5:E493)))</x:f>
        <x:v>1</x:v>
      </x:c>
      <x:c r="R493" t="n">
        <x:f>IF(Q493=1,SUM($Q$5:Q493),"")</x:f>
        <x:v>347</x:v>
      </x:c>
    </x:row>
    <x:row r="494">
      <x:c r="A494" s="12" t="str">
        <x:v>T490</x:v>
      </x:c>
      <x:c r="B494" s="12" t="str">
        <x:v>T001</x:v>
      </x:c>
      <x:c r="C494" s="12" t="n">
        <x:v>1</x:v>
      </x:c>
      <x:c r="D494" s="12" t="str">
        <x:v>ゲート絶縁/バイアス構成重量</x:v>
      </x:c>
      <x:c r="E494" s="12" t="str">
        <x:v>M_gate_iso</x:v>
      </x:c>
      <x:c r="F494" s="48" t="n">
        <x:f>'01_入力仕様'!D248*'01_入力仕様'!D249+(1-'01_入力仕様'!D248)*'01_入力仕様'!D250</x:f>
        <x:v>0.09</x:v>
      </x:c>
      <x:c r="G494" s="48" t="str">
        <x:v>kg</x:v>
      </x:c>
      <x:c r="H494" s="48" t="n">
        <x:f>ABS(K494)*$F$5</x:f>
        <x:v>0.08999999999999998</x:v>
      </x:c>
      <x:c r="I494" s="12" t="str">
        <x:v>Enable_iso×m_iso+(1-Enable_iso)×bootstrap_penalty</x:v>
      </x:c>
      <x:c r="J494" s="48" t="n">
        <x:f>F494/$F$5</x:f>
        <x:v>0.010058294505749693</x:v>
      </x:c>
      <x:c r="K494" s="48" t="n">
        <x:f>J494</x:f>
        <x:v>0.010058294505749693</x:v>
      </x:c>
      <x:c r="L494" s="12" t="str">
        <x:f>IF(K494&gt;0,"増加→総重量増",IF(K494&lt;0,"増加→総重量減","中立"))</x:f>
        <x:v>増加→総重量増</x:v>
      </x:c>
      <x:c r="M494" s="12" t="str">
        <x:v>設計対象</x:v>
      </x:c>
      <x:c r="N494" s="12" t="str"/>
      <x:c r="O494" s="229" t="n">
        <x:f>--(COUNTIF($B$5:$B$560,A494)=0)</x:f>
        <x:v>0</x:v>
      </x:c>
      <x:c r="P494" s="70" t="str">
        <x:f>IF(LEFT(E494,7)&lt;&gt;"Enable_","",IFERROR(IF(OR(ISNUMBER(SEARCH("=Enable",INDEX($I$5:$I$560,MATCH(B494,$A$5:$A$560,0)))),ISNUMBER(SEARCH("×Enable",INDEX($I$5:$I$560,MATCH(B494,$A$5:$A$560,0))))),1,""),""))</x:f>
      </x:c>
      <x:c r="Q494" t="n">
        <x:f>IF(E494="","",--(XMATCH(E494,$E$5:E494,0)=ROWS($E$5:E494)))</x:f>
        <x:v>1</x:v>
      </x:c>
      <x:c r="R494" t="n">
        <x:f>IF(Q494=1,SUM($Q$5:Q494),"")</x:f>
        <x:v>348</x:v>
      </x:c>
    </x:row>
    <x:row r="495">
      <x:c r="A495" s="12" t="str">
        <x:v>T491</x:v>
      </x:c>
      <x:c r="B495" s="12" t="str">
        <x:v>T490</x:v>
      </x:c>
      <x:c r="C495" s="12" t="n">
        <x:v>2</x:v>
      </x:c>
      <x:c r="D495" s="12" t="str">
        <x:v>絶縁バイアス有効</x:v>
      </x:c>
      <x:c r="E495" s="12" t="str">
        <x:v>Enable_isolated_bias</x:v>
      </x:c>
      <x:c r="F495" s="48" t="n">
        <x:f>'01_入力仕様'!D248</x:f>
        <x:v>1</x:v>
      </x:c>
      <x:c r="G495" s="48" t="str">
        <x:v>0/1</x:v>
      </x:c>
      <x:c r="H495" s="48" t="n">
        <x:f>ABS(K495)*$F$5</x:f>
        <x:v>0.049999999999999996</x:v>
      </x:c>
      <x:c r="I495" s="12" t="str">
        <x:v>入力仕様</x:v>
      </x:c>
      <x:c r="J495" s="48" t="n">
        <x:f>0</x:f>
        <x:v>0</x:v>
      </x:c>
      <x:c r="K495" s="48" t="n">
        <x:f>('01_入力仕様'!D249-'01_入力仕様'!D250)/$F$5</x:f>
        <x:v>0.005587941392083163</x:v>
      </x:c>
      <x:c r="L495" s="12" t="str">
        <x:f>IF(K495&gt;0,"増加→総重量増",IF(K495&lt;0,"増加→総重量減","中立"))</x:f>
        <x:v>増加→総重量増</x:v>
      </x:c>
      <x:c r="M495" s="12" t="str">
        <x:v>設計対象</x:v>
      </x:c>
      <x:c r="N495" s="12" t="str">
        <x:v>0→1構成差分</x:v>
      </x:c>
      <x:c r="O495" s="229" t="n">
        <x:f>--(COUNTIF($B$5:$B$560,A495)=0)</x:f>
        <x:v>1</x:v>
      </x:c>
      <x:c r="P495" s="70" t="str">
        <x:f>IF(LEFT(E495,7)&lt;&gt;"Enable_","",IFERROR(IF(OR(ISNUMBER(SEARCH("=Enable",INDEX($I$5:$I$560,MATCH(B495,$A$5:$A$560,0)))),ISNUMBER(SEARCH("×Enable",INDEX($I$5:$I$560,MATCH(B495,$A$5:$A$560,0))))),1,""),""))</x:f>
      </x:c>
      <x:c r="Q495" t="n">
        <x:f>IF(E495="","",--(XMATCH(E495,$E$5:E495,0)=ROWS($E$5:E495)))</x:f>
        <x:v>1</x:v>
      </x:c>
      <x:c r="R495" t="n">
        <x:f>IF(Q495=1,SUM($Q$5:Q495),"")</x:f>
        <x:v>349</x:v>
      </x:c>
    </x:row>
    <x:row r="496">
      <x:c r="A496" s="12" t="str">
        <x:v>T492</x:v>
      </x:c>
      <x:c r="B496" s="12" t="str">
        <x:v>T001</x:v>
      </x:c>
      <x:c r="C496" s="12" t="n">
        <x:v>1</x:v>
      </x:c>
      <x:c r="D496" s="12" t="str">
        <x:v>DESAT保護回路重量</x:v>
      </x:c>
      <x:c r="E496" s="12" t="str">
        <x:v>M_DESAT</x:v>
      </x:c>
      <x:c r="F496" s="48" t="n">
        <x:f>'01_入力仕様'!D251*'01_入力仕様'!D252</x:f>
        <x:v>0.025</x:v>
      </x:c>
      <x:c r="G496" s="48" t="str">
        <x:v>kg</x:v>
      </x:c>
      <x:c r="H496" s="48" t="n">
        <x:f>ABS(K496)*$F$5</x:f>
        <x:v>0.025</x:v>
      </x:c>
      <x:c r="I496" s="12" t="str">
        <x:v>Enable_DESAT×m_DESAT</x:v>
      </x:c>
      <x:c r="J496" s="48" t="n">
        <x:f>F496/$F$5</x:f>
        <x:v>0.002793970696041582</x:v>
      </x:c>
      <x:c r="K496" s="48" t="n">
        <x:f>J496</x:f>
        <x:v>0.002793970696041582</x:v>
      </x:c>
      <x:c r="L496" s="12" t="str">
        <x:f>IF(K496&gt;0,"増加→総重量増",IF(K496&lt;0,"増加→総重量減","中立"))</x:f>
        <x:v>増加→総重量増</x:v>
      </x:c>
      <x:c r="M496" s="12" t="str">
        <x:v>設計対象</x:v>
      </x:c>
      <x:c r="N496" s="12" t="str"/>
      <x:c r="O496" s="229" t="n">
        <x:f>--(COUNTIF($B$5:$B$560,A496)=0)</x:f>
        <x:v>0</x:v>
      </x:c>
      <x:c r="P496" s="70" t="str">
        <x:f>IF(LEFT(E496,7)&lt;&gt;"Enable_","",IFERROR(IF(OR(ISNUMBER(SEARCH("=Enable",INDEX($I$5:$I$560,MATCH(B496,$A$5:$A$560,0)))),ISNUMBER(SEARCH("×Enable",INDEX($I$5:$I$560,MATCH(B496,$A$5:$A$560,0))))),1,""),""))</x:f>
      </x:c>
      <x:c r="Q496" t="n">
        <x:f>IF(E496="","",--(XMATCH(E496,$E$5:E496,0)=ROWS($E$5:E496)))</x:f>
        <x:v>1</x:v>
      </x:c>
      <x:c r="R496" t="n">
        <x:f>IF(Q496=1,SUM($Q$5:Q496),"")</x:f>
        <x:v>350</x:v>
      </x:c>
    </x:row>
    <x:row r="497">
      <x:c r="A497" s="12" t="str">
        <x:v>T493</x:v>
      </x:c>
      <x:c r="B497" s="12" t="str">
        <x:v>T492</x:v>
      </x:c>
      <x:c r="C497" s="12" t="n">
        <x:v>2</x:v>
      </x:c>
      <x:c r="D497" s="12" t="str">
        <x:v>DESAT有効</x:v>
      </x:c>
      <x:c r="E497" s="12" t="str">
        <x:v>Enable_DESAT</x:v>
      </x:c>
      <x:c r="F497" s="48" t="n">
        <x:f>'01_入力仕様'!D251</x:f>
        <x:v>1</x:v>
      </x:c>
      <x:c r="G497" s="48" t="str">
        <x:v>0/1</x:v>
      </x:c>
      <x:c r="H497" s="48" t="n">
        <x:f>ABS(K497)*$F$5</x:f>
        <x:v>0.025</x:v>
      </x:c>
      <x:c r="I497" s="12" t="str">
        <x:v>入力仕様</x:v>
      </x:c>
      <x:c r="J497" s="48" t="n">
        <x:f>0</x:f>
        <x:v>0</x:v>
      </x:c>
      <x:c r="K497" s="48" t="n">
        <x:f>'01_入力仕様'!D252/$F$5</x:f>
        <x:v>0.002793970696041582</x:v>
      </x:c>
      <x:c r="L497" s="12" t="str">
        <x:f>IF(K497&gt;0,"増加→総重量増",IF(K497&lt;0,"増加→総重量減","中立"))</x:f>
        <x:v>増加→総重量増</x:v>
      </x:c>
      <x:c r="M497" s="12" t="str">
        <x:v>設計対象</x:v>
      </x:c>
      <x:c r="N497" s="12" t="str">
        <x:v>0→1回路重量</x:v>
      </x:c>
      <x:c r="O497" s="229" t="n">
        <x:f>--(COUNTIF($B$5:$B$560,A497)=0)</x:f>
        <x:v>1</x:v>
      </x:c>
      <x:c r="P497" s="70" t="str">
        <x:f>IF(LEFT(E497,7)&lt;&gt;"Enable_","",IFERROR(IF(OR(ISNUMBER(SEARCH("=Enable",INDEX($I$5:$I$560,MATCH(B497,$A$5:$A$560,0)))),ISNUMBER(SEARCH("×Enable",INDEX($I$5:$I$560,MATCH(B497,$A$5:$A$560,0))))),1,""),""))</x:f>
      </x:c>
      <x:c r="Q497" t="n">
        <x:f>IF(E497="","",--(XMATCH(E497,$E$5:E497,0)=ROWS($E$5:E497)))</x:f>
        <x:v>1</x:v>
      </x:c>
      <x:c r="R497" t="n">
        <x:f>IF(Q497=1,SUM($Q$5:Q497),"")</x:f>
        <x:v>351</x:v>
      </x:c>
    </x:row>
    <x:row r="498">
      <x:c r="A498" s="12" t="str">
        <x:v>T494</x:v>
      </x:c>
      <x:c r="B498" s="12" t="str">
        <x:v>T007</x:v>
      </x:c>
      <x:c r="C498" s="12" t="n">
        <x:v>6</x:v>
      </x:c>
      <x:c r="D498" s="12" t="str">
        <x:v>DESAT有効</x:v>
      </x:c>
      <x:c r="E498" s="12" t="str">
        <x:v>Enable_DESAT</x:v>
      </x:c>
      <x:c r="F498" s="48" t="n">
        <x:f>'01_入力仕様'!D251</x:f>
        <x:v>1</x:v>
      </x:c>
      <x:c r="G498" s="48" t="str">
        <x:v>0/1</x:v>
      </x:c>
      <x:c r="H498" s="48" t="n">
        <x:f>ABS(K498)*$F$5</x:f>
        <x:v>0.00006558167322060084</x:v>
      </x:c>
      <x:c r="I498" s="12" t="str">
        <x:v>入力仕様</x:v>
      </x:c>
      <x:c r="J498" s="48" t="n">
        <x:f>0</x:f>
        <x:v>0</x:v>
      </x:c>
      <x:c r="K498" s="48" t="n">
        <x:f>-K11*'01_入力仕様'!D253</x:f>
        <x:v>-0.0000073293309270293475</x:v>
      </x:c>
      <x:c r="L498" s="12" t="str">
        <x:f>IF(K498&gt;0,"増加→総重量増",IF(K498&lt;0,"増加→総重量減","中立"))</x:f>
        <x:v>増加→総重量減</x:v>
      </x:c>
      <x:c r="M498" s="12" t="str">
        <x:v>設計対象</x:v>
      </x:c>
      <x:c r="N498" s="12" t="str">
        <x:v>電流余裕低減→必要チップ数低減の簡易差分</x:v>
      </x:c>
      <x:c r="O498" s="229" t="n">
        <x:f>--(COUNTIF($B$5:$B$560,A498)=0)</x:f>
        <x:v>1</x:v>
      </x:c>
      <x:c r="P498" s="70" t="str">
        <x:f>IF(LEFT(E498,7)&lt;&gt;"Enable_","",IFERROR(IF(OR(ISNUMBER(SEARCH("=Enable",INDEX($I$5:$I$560,MATCH(B498,$A$5:$A$560,0)))),ISNUMBER(SEARCH("×Enable",INDEX($I$5:$I$560,MATCH(B498,$A$5:$A$560,0))))),1,""),""))</x:f>
      </x:c>
      <x:c r="Q498" t="n">
        <x:f>IF(E498="","",--(XMATCH(E498,$E$5:E498,0)=ROWS($E$5:E498)))</x:f>
        <x:v>0</x:v>
      </x:c>
      <x:c r="R498" t="str">
        <x:f>IF(Q498=1,SUM($Q$5:Q498),"")</x:f>
      </x:c>
    </x:row>
    <x:row r="499">
      <x:c r="A499" s="12" t="str">
        <x:v>T495</x:v>
      </x:c>
      <x:c r="B499" s="12" t="str">
        <x:v>T343</x:v>
      </x:c>
      <x:c r="C499" s="12" t="n">
        <x:v>14</x:v>
      </x:c>
      <x:c r="D499" s="12" t="str">
        <x:v>アクティブクランプ有効</x:v>
      </x:c>
      <x:c r="E499" s="12" t="str">
        <x:v>Enable_active_clamp</x:v>
      </x:c>
      <x:c r="F499" s="48" t="n">
        <x:f>'01_入力仕様'!D254</x:f>
        <x:v>0</x:v>
      </x:c>
      <x:c r="G499" s="48" t="str">
        <x:v>0/1</x:v>
      </x:c>
      <x:c r="H499" s="48" t="n">
        <x:f>ABS(K499)*$F$5</x:f>
        <x:v>0.000013591147782512658</x:v>
      </x:c>
      <x:c r="I499" s="12" t="str">
        <x:v>入力仕様</x:v>
      </x:c>
      <x:c r="J499" s="48" t="n">
        <x:f>0</x:f>
        <x:v>0</x:v>
      </x:c>
      <x:c r="K499" s="48" t="n">
        <x:f>-K347*'01_入力仕様'!D255</x:f>
        <x:v>-0.0000015189307451964356</x:v>
      </x:c>
      <x:c r="L499" s="12" t="str">
        <x:f>IF(K499&gt;0,"増加→総重量増",IF(K499&lt;0,"増加→総重量減","中立"))</x:f>
        <x:v>増加→総重量減</x:v>
      </x:c>
      <x:c r="M499" s="12" t="str">
        <x:v>設計対象</x:v>
      </x:c>
      <x:c r="N499" s="12" t="str">
        <x:v>0→1 overshoot低減差分</x:v>
      </x:c>
      <x:c r="O499" s="229" t="n">
        <x:f>--(COUNTIF($B$5:$B$560,A499)=0)</x:f>
        <x:v>1</x:v>
      </x:c>
      <x:c r="P499" s="70" t="str">
        <x:f>IF(LEFT(E499,7)&lt;&gt;"Enable_","",IFERROR(IF(OR(ISNUMBER(SEARCH("=Enable",INDEX($I$5:$I$560,MATCH(B499,$A$5:$A$560,0)))),ISNUMBER(SEARCH("×Enable",INDEX($I$5:$I$560,MATCH(B499,$A$5:$A$560,0))))),1,""),""))</x:f>
      </x:c>
      <x:c r="Q499" t="n">
        <x:f>IF(E499="","",--(XMATCH(E499,$E$5:E499,0)=ROWS($E$5:E499)))</x:f>
        <x:v>1</x:v>
      </x:c>
      <x:c r="R499" t="n">
        <x:f>IF(Q499=1,SUM($Q$5:Q499),"")</x:f>
        <x:v>352</x:v>
      </x:c>
    </x:row>
    <x:row r="500">
      <x:c r="A500" s="12" t="str">
        <x:v>T496</x:v>
      </x:c>
      <x:c r="B500" s="12" t="str">
        <x:v>T344</x:v>
      </x:c>
      <x:c r="C500" s="12" t="n">
        <x:v>13</x:v>
      </x:c>
      <x:c r="D500" s="12" t="str">
        <x:v>アクティブクランプ有効</x:v>
      </x:c>
      <x:c r="E500" s="12" t="str">
        <x:v>Enable_active_clamp</x:v>
      </x:c>
      <x:c r="F500" s="48" t="n">
        <x:f>'01_入力仕様'!D254</x:f>
        <x:v>0</x:v>
      </x:c>
      <x:c r="G500" s="48" t="str">
        <x:v>0/1</x:v>
      </x:c>
      <x:c r="H500" s="48" t="n">
        <x:f>ABS(K500)*$F$5</x:f>
        <x:v>0.000011325956485427217</x:v>
      </x:c>
      <x:c r="I500" s="12" t="str">
        <x:v>入力仕様</x:v>
      </x:c>
      <x:c r="J500" s="48" t="n">
        <x:f>0</x:f>
        <x:v>0</x:v>
      </x:c>
      <x:c r="K500" s="48" t="n">
        <x:f>-K348*'01_入力仕様'!D255</x:f>
        <x:v>-0.0000012657756209970299</x:v>
      </x:c>
      <x:c r="L500" s="12" t="str">
        <x:f>IF(K500&gt;0,"増加→総重量増",IF(K500&lt;0,"増加→総重量減","中立"))</x:f>
        <x:v>増加→総重量減</x:v>
      </x:c>
      <x:c r="M500" s="12" t="str">
        <x:v>設計対象</x:v>
      </x:c>
      <x:c r="N500" s="12" t="str">
        <x:v>0→1 overshoot低減差分</x:v>
      </x:c>
      <x:c r="O500" s="229" t="n">
        <x:f>--(COUNTIF($B$5:$B$560,A500)=0)</x:f>
        <x:v>1</x:v>
      </x:c>
      <x:c r="P500" s="70" t="str">
        <x:f>IF(LEFT(E500,7)&lt;&gt;"Enable_","",IFERROR(IF(OR(ISNUMBER(SEARCH("=Enable",INDEX($I$5:$I$560,MATCH(B500,$A$5:$A$560,0)))),ISNUMBER(SEARCH("×Enable",INDEX($I$5:$I$560,MATCH(B500,$A$5:$A$560,0))))),1,""),""))</x:f>
      </x:c>
      <x:c r="Q500" t="n">
        <x:f>IF(E500="","",--(XMATCH(E500,$E$5:E500,0)=ROWS($E$5:E500)))</x:f>
        <x:v>0</x:v>
      </x:c>
      <x:c r="R500" t="str">
        <x:f>IF(Q500=1,SUM($Q$5:Q500),"")</x:f>
      </x:c>
    </x:row>
    <x:row r="501">
      <x:c r="A501" s="12" t="str">
        <x:v>T497</x:v>
      </x:c>
      <x:c r="B501" s="12" t="str">
        <x:v>T345</x:v>
      </x:c>
      <x:c r="C501" s="12" t="n">
        <x:v>11</x:v>
      </x:c>
      <x:c r="D501" s="12" t="str">
        <x:v>アクティブクランプ有効</x:v>
      </x:c>
      <x:c r="E501" s="12" t="str">
        <x:v>Enable_active_clamp</x:v>
      </x:c>
      <x:c r="F501" s="48" t="n">
        <x:f>'01_入力仕様'!D254</x:f>
        <x:v>0</x:v>
      </x:c>
      <x:c r="G501" s="48" t="str">
        <x:v>0/1</x:v>
      </x:c>
      <x:c r="H501" s="48" t="n">
        <x:f>ABS(K501)*$F$5</x:f>
        <x:v>0.000475361629061055</x:v>
      </x:c>
      <x:c r="I501" s="12" t="str">
        <x:v>入力仕様</x:v>
      </x:c>
      <x:c r="J501" s="48" t="n">
        <x:f>0</x:f>
        <x:v>0</x:v>
      </x:c>
      <x:c r="K501" s="48" t="n">
        <x:f>-K349*'01_入力仕様'!D255</x:f>
        <x:v>0.000053125858464767037</x:v>
      </x:c>
      <x:c r="L501" s="12" t="str">
        <x:f>IF(K501&gt;0,"増加→総重量増",IF(K501&lt;0,"増加→総重量減","中立"))</x:f>
        <x:v>増加→総重量増</x:v>
      </x:c>
      <x:c r="M501" s="12" t="str">
        <x:v>設計対象</x:v>
      </x:c>
      <x:c r="N501" s="12" t="str">
        <x:v>0→1 overshoot低減差分</x:v>
      </x:c>
      <x:c r="O501" s="229" t="n">
        <x:f>--(COUNTIF($B$5:$B$560,A501)=0)</x:f>
        <x:v>1</x:v>
      </x:c>
      <x:c r="P501" s="70" t="str">
        <x:f>IF(LEFT(E501,7)&lt;&gt;"Enable_","",IFERROR(IF(OR(ISNUMBER(SEARCH("=Enable",INDEX($I$5:$I$560,MATCH(B501,$A$5:$A$560,0)))),ISNUMBER(SEARCH("×Enable",INDEX($I$5:$I$560,MATCH(B501,$A$5:$A$560,0))))),1,""),""))</x:f>
      </x:c>
      <x:c r="Q501" t="n">
        <x:f>IF(E501="","",--(XMATCH(E501,$E$5:E501,0)=ROWS($E$5:E501)))</x:f>
        <x:v>0</x:v>
      </x:c>
      <x:c r="R501" t="str">
        <x:f>IF(Q501=1,SUM($Q$5:Q501),"")</x:f>
      </x:c>
    </x:row>
    <x:row r="502">
      <x:c r="A502" s="12" t="str">
        <x:v>T498</x:v>
      </x:c>
      <x:c r="B502" s="12" t="str">
        <x:v>T001</x:v>
      </x:c>
      <x:c r="C502" s="12" t="n">
        <x:v>1</x:v>
      </x:c>
      <x:c r="D502" s="12" t="str">
        <x:v>アクティブクランプ回路重量</x:v>
      </x:c>
      <x:c r="E502" s="12" t="str">
        <x:v>M_active_clamp</x:v>
      </x:c>
      <x:c r="F502" s="48" t="n">
        <x:f>'01_入力仕様'!D254*'01_入力仕様'!D256</x:f>
        <x:v>0</x:v>
      </x:c>
      <x:c r="G502" s="48" t="str">
        <x:v>kg</x:v>
      </x:c>
      <x:c r="H502" s="48" t="n">
        <x:f>ABS(K502)*$F$5</x:f>
        <x:v>0</x:v>
      </x:c>
      <x:c r="I502" s="12" t="str">
        <x:v>Enable×m_active_clamp</x:v>
      </x:c>
      <x:c r="J502" s="48" t="n">
        <x:f>F502/$F$5</x:f>
        <x:v>0</x:v>
      </x:c>
      <x:c r="K502" s="48" t="n">
        <x:f>J502</x:f>
        <x:v>0</x:v>
      </x:c>
      <x:c r="L502" s="12" t="str">
        <x:f>IF(K502&gt;0,"増加→総重量増",IF(K502&lt;0,"増加→総重量減","中立"))</x:f>
        <x:v>中立</x:v>
      </x:c>
      <x:c r="M502" s="12" t="str">
        <x:v>設計対象</x:v>
      </x:c>
      <x:c r="N502" s="12" t="str"/>
      <x:c r="O502" s="229" t="n">
        <x:f>--(COUNTIF($B$5:$B$560,A502)=0)</x:f>
        <x:v>0</x:v>
      </x:c>
      <x:c r="P502" s="70" t="str">
        <x:f>IF(LEFT(E502,7)&lt;&gt;"Enable_","",IFERROR(IF(OR(ISNUMBER(SEARCH("=Enable",INDEX($I$5:$I$560,MATCH(B502,$A$5:$A$560,0)))),ISNUMBER(SEARCH("×Enable",INDEX($I$5:$I$560,MATCH(B502,$A$5:$A$560,0))))),1,""),""))</x:f>
      </x:c>
      <x:c r="Q502" t="n">
        <x:f>IF(E502="","",--(XMATCH(E502,$E$5:E502,0)=ROWS($E$5:E502)))</x:f>
        <x:v>1</x:v>
      </x:c>
      <x:c r="R502" t="n">
        <x:f>IF(Q502=1,SUM($Q$5:Q502),"")</x:f>
        <x:v>353</x:v>
      </x:c>
    </x:row>
    <x:row r="503">
      <x:c r="A503" s="12" t="str">
        <x:v>T499</x:v>
      </x:c>
      <x:c r="B503" s="12" t="str">
        <x:v>T498</x:v>
      </x:c>
      <x:c r="C503" s="12" t="n">
        <x:v>2</x:v>
      </x:c>
      <x:c r="D503" s="12" t="str">
        <x:v>アクティブクランプ有効</x:v>
      </x:c>
      <x:c r="E503" s="12" t="str">
        <x:v>Enable_active_clamp</x:v>
      </x:c>
      <x:c r="F503" s="48" t="n">
        <x:f>'01_入力仕様'!D254</x:f>
        <x:v>0</x:v>
      </x:c>
      <x:c r="G503" s="48" t="str">
        <x:v>0/1</x:v>
      </x:c>
      <x:c r="H503" s="48" t="n">
        <x:f>ABS(K503)*$F$5</x:f>
        <x:v>0.035</x:v>
      </x:c>
      <x:c r="I503" s="12" t="str">
        <x:v>入力仕様</x:v>
      </x:c>
      <x:c r="J503" s="48" t="n">
        <x:f>0</x:f>
        <x:v>0</x:v>
      </x:c>
      <x:c r="K503" s="48" t="n">
        <x:f>'01_入力仕様'!D256/$F$5</x:f>
        <x:v>0.0039115589744582145</x:v>
      </x:c>
      <x:c r="L503" s="12" t="str">
        <x:f>IF(K503&gt;0,"増加→総重量増",IF(K503&lt;0,"増加→総重量減","中立"))</x:f>
        <x:v>増加→総重量増</x:v>
      </x:c>
      <x:c r="M503" s="12" t="str">
        <x:v>設計対象</x:v>
      </x:c>
      <x:c r="N503" s="12" t="str">
        <x:v>0→1重量</x:v>
      </x:c>
      <x:c r="O503" s="229" t="n">
        <x:f>--(COUNTIF($B$5:$B$560,A503)=0)</x:f>
        <x:v>1</x:v>
      </x:c>
      <x:c r="P503" s="70" t="str">
        <x:f>IF(LEFT(E503,7)&lt;&gt;"Enable_","",IFERROR(IF(OR(ISNUMBER(SEARCH("=Enable",INDEX($I$5:$I$560,MATCH(B503,$A$5:$A$560,0)))),ISNUMBER(SEARCH("×Enable",INDEX($I$5:$I$560,MATCH(B503,$A$5:$A$560,0))))),1,""),""))</x:f>
      </x:c>
      <x:c r="Q503" t="n">
        <x:f>IF(E503="","",--(XMATCH(E503,$E$5:E503,0)=ROWS($E$5:E503)))</x:f>
        <x:v>0</x:v>
      </x:c>
      <x:c r="R503" t="str">
        <x:f>IF(Q503=1,SUM($Q$5:Q503),"")</x:f>
      </x:c>
    </x:row>
    <x:row r="504">
      <x:c r="A504" s="12" t="str">
        <x:v>T500</x:v>
      </x:c>
      <x:c r="B504" s="12" t="str">
        <x:v>T032</x:v>
      </x:c>
      <x:c r="C504" s="12" t="n">
        <x:v>4</x:v>
      </x:c>
      <x:c r="D504" s="12" t="str">
        <x:v>アクティブクランプ損失</x:v>
      </x:c>
      <x:c r="E504" s="12" t="str">
        <x:v>P_active_clamp</x:v>
      </x:c>
      <x:c r="F504" s="48" t="n">
        <x:f>'01_入力仕様'!D254*'01_入力仕様'!D257</x:f>
        <x:v>0</x:v>
      </x:c>
      <x:c r="G504" s="48" t="str">
        <x:v>W</x:v>
      </x:c>
      <x:c r="H504" s="48" t="n">
        <x:f>ABS(K504)*$F$5</x:f>
        <x:v>0</x:v>
      </x:c>
      <x:c r="I504" s="12" t="str">
        <x:v>Enable×P_on</x:v>
      </x:c>
      <x:c r="J504" s="48" t="n">
        <x:f>F504/(F38+F444+F471+F479+F488+F504+1E-12)</x:f>
        <x:v>0</x:v>
      </x:c>
      <x:c r="K504" s="48" t="n">
        <x:f>K36*J504</x:f>
        <x:v>0</x:v>
      </x:c>
      <x:c r="L504" s="12" t="str">
        <x:f>IF(K504&gt;0,"増加→総重量増",IF(K504&lt;0,"増加→総重量減","中立"))</x:f>
        <x:v>中立</x:v>
      </x:c>
      <x:c r="M504" s="12" t="str">
        <x:v>設計対象</x:v>
      </x:c>
      <x:c r="N504" s="12" t="str"/>
      <x:c r="O504" s="229" t="n">
        <x:f>--(COUNTIF($B$5:$B$560,A504)=0)</x:f>
        <x:v>0</x:v>
      </x:c>
      <x:c r="P504" s="70" t="str">
        <x:f>IF(LEFT(E504,7)&lt;&gt;"Enable_","",IFERROR(IF(OR(ISNUMBER(SEARCH("=Enable",INDEX($I$5:$I$560,MATCH(B504,$A$5:$A$560,0)))),ISNUMBER(SEARCH("×Enable",INDEX($I$5:$I$560,MATCH(B504,$A$5:$A$560,0))))),1,""),""))</x:f>
      </x:c>
      <x:c r="Q504" t="n">
        <x:f>IF(E504="","",--(XMATCH(E504,$E$5:E504,0)=ROWS($E$5:E504)))</x:f>
        <x:v>1</x:v>
      </x:c>
      <x:c r="R504" t="n">
        <x:f>IF(Q504=1,SUM($Q$5:Q504),"")</x:f>
        <x:v>354</x:v>
      </x:c>
    </x:row>
    <x:row r="505">
      <x:c r="A505" s="12" t="str">
        <x:v>T501</x:v>
      </x:c>
      <x:c r="B505" s="12" t="str">
        <x:v>T500</x:v>
      </x:c>
      <x:c r="C505" s="12" t="n">
        <x:v>5</x:v>
      </x:c>
      <x:c r="D505" s="12" t="str">
        <x:v>アクティブクランプ有効</x:v>
      </x:c>
      <x:c r="E505" s="12" t="str">
        <x:v>Enable_active_clamp</x:v>
      </x:c>
      <x:c r="F505" s="48" t="n">
        <x:f>'01_入力仕様'!D254</x:f>
        <x:v>0</x:v>
      </x:c>
      <x:c r="G505" s="48" t="str">
        <x:v>0/1</x:v>
      </x:c>
      <x:c r="H505" s="48" t="n">
        <x:f>ABS(K505)*$F$5</x:f>
        <x:v>0.0009420431054559201</x:v>
      </x:c>
      <x:c r="I505" s="12" t="str">
        <x:v>入力仕様</x:v>
      </x:c>
      <x:c r="J505" s="48" t="n">
        <x:f>0</x:f>
        <x:v>0</x:v>
      </x:c>
      <x:c r="K505" s="48" t="n">
        <x:f>K36*'01_入力仕様'!D257/(F38+F444+F471+F479+F488+1E-12)</x:f>
        <x:v>0.00010528163324207401</x:v>
      </x:c>
      <x:c r="L505" s="12" t="str">
        <x:f>IF(K505&gt;0,"増加→総重量増",IF(K505&lt;0,"増加→総重量減","中立"))</x:f>
        <x:v>増加→総重量増</x:v>
      </x:c>
      <x:c r="M505" s="12" t="str">
        <x:v>設計対象</x:v>
      </x:c>
      <x:c r="N505" s="12" t="str">
        <x:v>0→1損失</x:v>
      </x:c>
      <x:c r="O505" s="229" t="n">
        <x:f>--(COUNTIF($B$5:$B$560,A505)=0)</x:f>
        <x:v>1</x:v>
      </x:c>
      <x:c r="P505" s="70" t="str">
        <x:f>IF(LEFT(E505,7)&lt;&gt;"Enable_","",IFERROR(IF(OR(ISNUMBER(SEARCH("=Enable",INDEX($I$5:$I$560,MATCH(B505,$A$5:$A$560,0)))),ISNUMBER(SEARCH("×Enable",INDEX($I$5:$I$560,MATCH(B505,$A$5:$A$560,0))))),1,""),""))</x:f>
      </x:c>
      <x:c r="Q505" t="n">
        <x:f>IF(E505="","",--(XMATCH(E505,$E$5:E505,0)=ROWS($E$5:E505)))</x:f>
        <x:v>0</x:v>
      </x:c>
      <x:c r="R505" t="str">
        <x:f>IF(Q505=1,SUM($Q$5:Q505),"")</x:f>
      </x:c>
    </x:row>
    <x:row r="506">
      <x:c r="A506" s="12" t="str">
        <x:v>T502</x:v>
      </x:c>
      <x:c r="B506" s="12" t="str">
        <x:v>T001</x:v>
      </x:c>
      <x:c r="C506" s="12" t="n">
        <x:v>1</x:v>
      </x:c>
      <x:c r="D506" s="12" t="str">
        <x:v>絶縁距離・支持構造重量</x:v>
      </x:c>
      <x:c r="E506" s="12" t="str">
        <x:v>M_clearance</x:v>
      </x:c>
      <x:c r="F506" s="48" t="n">
        <x:f>'01_入力仕様'!D261*'01_入力仕様'!D6/800*(1-'01_入力仕様'!D258*'01_入力仕様'!D259)*(1-'01_入力仕様'!D262*'01_入力仕様'!D264)</x:f>
        <x:v>0.18</x:v>
      </x:c>
      <x:c r="G506" s="48" t="str">
        <x:v>kg</x:v>
      </x:c>
      <x:c r="H506" s="48" t="n">
        <x:f>ABS(K506)*$F$5</x:f>
        <x:v>0.17999999999999997</x:v>
      </x:c>
      <x:c r="I506" s="12" t="str">
        <x:v>m_clearance_ref×Vdc/800×(1-E_hi×k_reduce)×(1-E_pot×k_pot_reduce)</x:v>
      </x:c>
      <x:c r="J506" s="48" t="n">
        <x:f>F506/$F$5</x:f>
        <x:v>0.020116589011499385</x:v>
      </x:c>
      <x:c r="K506" s="48" t="n">
        <x:f>J506</x:f>
        <x:v>0.020116589011499385</x:v>
      </x:c>
      <x:c r="L506" s="12" t="str">
        <x:f>IF(K506&gt;0,"増加→総重量増",IF(K506&lt;0,"増加→総重量減","中立"))</x:f>
        <x:v>増加→総重量増</x:v>
      </x:c>
      <x:c r="M506" s="12" t="str">
        <x:v>設計対象</x:v>
      </x:c>
      <x:c r="N506" s="12" t="str"/>
      <x:c r="O506" s="229" t="n">
        <x:f>--(COUNTIF($B$5:$B$560,A506)=0)</x:f>
        <x:v>0</x:v>
      </x:c>
      <x:c r="P506" s="70" t="str">
        <x:f>IF(LEFT(E506,7)&lt;&gt;"Enable_","",IFERROR(IF(OR(ISNUMBER(SEARCH("=Enable",INDEX($I$5:$I$560,MATCH(B506,$A$5:$A$560,0)))),ISNUMBER(SEARCH("×Enable",INDEX($I$5:$I$560,MATCH(B506,$A$5:$A$560,0))))),1,""),""))</x:f>
      </x:c>
      <x:c r="Q506" t="n">
        <x:f>IF(E506="","",--(XMATCH(E506,$E$5:E506,0)=ROWS($E$5:E506)))</x:f>
        <x:v>1</x:v>
      </x:c>
      <x:c r="R506" t="n">
        <x:f>IF(Q506=1,SUM($Q$5:Q506),"")</x:f>
        <x:v>355</x:v>
      </x:c>
    </x:row>
    <x:row r="507">
      <x:c r="A507" s="12" t="str">
        <x:v>T503</x:v>
      </x:c>
      <x:c r="B507" s="12" t="str">
        <x:v>T502</x:v>
      </x:c>
      <x:c r="C507" s="12" t="n">
        <x:v>2</x:v>
      </x:c>
      <x:c r="D507" s="12" t="str">
        <x:v>DCバス電圧</x:v>
      </x:c>
      <x:c r="E507" s="12" t="str">
        <x:v>V_dc</x:v>
      </x:c>
      <x:c r="F507" s="48" t="n">
        <x:f>'01_入力仕様'!D6</x:f>
        <x:v>800</x:v>
      </x:c>
      <x:c r="G507" s="48" t="str">
        <x:v>V</x:v>
      </x:c>
      <x:c r="H507" s="48" t="n">
        <x:f>ABS(K507)*$F$5</x:f>
        <x:v>0.17999999999999997</x:v>
      </x:c>
      <x:c r="I507" s="12" t="str">
        <x:v>入力仕様</x:v>
      </x:c>
      <x:c r="J507" s="48" t="n">
        <x:f>1</x:f>
        <x:v>1</x:v>
      </x:c>
      <x:c r="K507" s="48" t="n">
        <x:f>K506*J507</x:f>
        <x:v>0.020116589011499385</x:v>
      </x:c>
      <x:c r="L507" s="12" t="str">
        <x:f>IF(K507&gt;0,"増加→総重量増",IF(K507&lt;0,"増加→総重量減","中立"))</x:f>
        <x:v>増加→総重量増</x:v>
      </x:c>
      <x:c r="M507" s="12" t="str">
        <x:v>設計対象</x:v>
      </x:c>
      <x:c r="N507" s="12" t="str"/>
      <x:c r="O507" s="229" t="n">
        <x:f>--(COUNTIF($B$5:$B$560,A507)=0)</x:f>
        <x:v>1</x:v>
      </x:c>
      <x:c r="P507" s="70" t="str">
        <x:f>IF(LEFT(E507,7)&lt;&gt;"Enable_","",IFERROR(IF(OR(ISNUMBER(SEARCH("=Enable",INDEX($I$5:$I$560,MATCH(B507,$A$5:$A$560,0)))),ISNUMBER(SEARCH("×Enable",INDEX($I$5:$I$560,MATCH(B507,$A$5:$A$560,0))))),1,""),""))</x:f>
      </x:c>
      <x:c r="Q507" t="n">
        <x:f>IF(E507="","",--(XMATCH(E507,$E$5:E507,0)=ROWS($E$5:E507)))</x:f>
        <x:v>0</x:v>
      </x:c>
      <x:c r="R507" t="str">
        <x:f>IF(Q507=1,SUM($Q$5:Q507),"")</x:f>
      </x:c>
    </x:row>
    <x:row r="508">
      <x:c r="A508" s="12" t="str">
        <x:v>T504</x:v>
      </x:c>
      <x:c r="B508" s="12" t="str">
        <x:v>T502</x:v>
      </x:c>
      <x:c r="C508" s="12" t="n">
        <x:v>2</x:v>
      </x:c>
      <x:c r="D508" s="12" t="str">
        <x:v>高性能絶縁材有効</x:v>
      </x:c>
      <x:c r="E508" s="12" t="str">
        <x:v>Enable_hi_ins</x:v>
      </x:c>
      <x:c r="F508" s="48" t="n">
        <x:f>'01_入力仕様'!D258</x:f>
        <x:v>0</x:v>
      </x:c>
      <x:c r="G508" s="48" t="str">
        <x:v>0/1</x:v>
      </x:c>
      <x:c r="H508" s="48" t="n">
        <x:f>ABS(K508)*$F$5</x:f>
        <x:v>0.05399999999999999</x:v>
      </x:c>
      <x:c r="I508" s="12" t="str">
        <x:v>入力仕様</x:v>
      </x:c>
      <x:c r="J508" s="48" t="n">
        <x:f>0</x:f>
        <x:v>0</x:v>
      </x:c>
      <x:c r="K508" s="48" t="n">
        <x:f>-K506*'01_入力仕様'!D259</x:f>
        <x:v>-0.006034976703449816</x:v>
      </x:c>
      <x:c r="L508" s="12" t="str">
        <x:f>IF(K508&gt;0,"増加→総重量増",IF(K508&lt;0,"増加→総重量減","中立"))</x:f>
        <x:v>増加→総重量減</x:v>
      </x:c>
      <x:c r="M508" s="12" t="str">
        <x:v>設計対象</x:v>
      </x:c>
      <x:c r="N508" s="12" t="str">
        <x:v>0→1距離低減</x:v>
      </x:c>
      <x:c r="O508" s="229" t="n">
        <x:f>--(COUNTIF($B$5:$B$560,A508)=0)</x:f>
        <x:v>1</x:v>
      </x:c>
      <x:c r="P508" s="70" t="str">
        <x:f>IF(LEFT(E508,7)&lt;&gt;"Enable_","",IFERROR(IF(OR(ISNUMBER(SEARCH("=Enable",INDEX($I$5:$I$560,MATCH(B508,$A$5:$A$560,0)))),ISNUMBER(SEARCH("×Enable",INDEX($I$5:$I$560,MATCH(B508,$A$5:$A$560,0))))),1,""),""))</x:f>
      </x:c>
      <x:c r="Q508" t="n">
        <x:f>IF(E508="","",--(XMATCH(E508,$E$5:E508,0)=ROWS($E$5:E508)))</x:f>
        <x:v>1</x:v>
      </x:c>
      <x:c r="R508" t="n">
        <x:f>IF(Q508=1,SUM($Q$5:Q508),"")</x:f>
        <x:v>356</x:v>
      </x:c>
    </x:row>
    <x:row r="509">
      <x:c r="A509" s="12" t="str">
        <x:v>T505</x:v>
      </x:c>
      <x:c r="B509" s="12" t="str">
        <x:v>T001</x:v>
      </x:c>
      <x:c r="C509" s="12" t="n">
        <x:v>1</x:v>
      </x:c>
      <x:c r="D509" s="12" t="str">
        <x:v>高性能絶縁材追加重量</x:v>
      </x:c>
      <x:c r="E509" s="12" t="str">
        <x:v>M_hi_ins</x:v>
      </x:c>
      <x:c r="F509" s="48" t="n">
        <x:f>'01_入力仕様'!D258*'01_入力仕様'!D260</x:f>
        <x:v>0</x:v>
      </x:c>
      <x:c r="G509" s="48" t="str">
        <x:v>kg</x:v>
      </x:c>
      <x:c r="H509" s="48" t="n">
        <x:f>ABS(K509)*$F$5</x:f>
        <x:v>0</x:v>
      </x:c>
      <x:c r="I509" s="12" t="str">
        <x:v>Enable_hi_ins×m_hi_ins</x:v>
      </x:c>
      <x:c r="J509" s="48" t="n">
        <x:f>F509/$F$5</x:f>
        <x:v>0</x:v>
      </x:c>
      <x:c r="K509" s="48" t="n">
        <x:f>J509</x:f>
        <x:v>0</x:v>
      </x:c>
      <x:c r="L509" s="12" t="str">
        <x:f>IF(K509&gt;0,"増加→総重量増",IF(K509&lt;0,"増加→総重量減","中立"))</x:f>
        <x:v>中立</x:v>
      </x:c>
      <x:c r="M509" s="12" t="str">
        <x:v>設計対象</x:v>
      </x:c>
      <x:c r="N509" s="12" t="str"/>
      <x:c r="O509" s="229" t="n">
        <x:f>--(COUNTIF($B$5:$B$560,A509)=0)</x:f>
        <x:v>0</x:v>
      </x:c>
      <x:c r="P509" s="70" t="str">
        <x:f>IF(LEFT(E509,7)&lt;&gt;"Enable_","",IFERROR(IF(OR(ISNUMBER(SEARCH("=Enable",INDEX($I$5:$I$560,MATCH(B509,$A$5:$A$560,0)))),ISNUMBER(SEARCH("×Enable",INDEX($I$5:$I$560,MATCH(B509,$A$5:$A$560,0))))),1,""),""))</x:f>
      </x:c>
      <x:c r="Q509" t="n">
        <x:f>IF(E509="","",--(XMATCH(E509,$E$5:E509,0)=ROWS($E$5:E509)))</x:f>
        <x:v>1</x:v>
      </x:c>
      <x:c r="R509" t="n">
        <x:f>IF(Q509=1,SUM($Q$5:Q509),"")</x:f>
        <x:v>357</x:v>
      </x:c>
    </x:row>
    <x:row r="510">
      <x:c r="A510" s="12" t="str">
        <x:v>T506</x:v>
      </x:c>
      <x:c r="B510" s="12" t="str">
        <x:v>T505</x:v>
      </x:c>
      <x:c r="C510" s="12" t="n">
        <x:v>2</x:v>
      </x:c>
      <x:c r="D510" s="12" t="str">
        <x:v>高性能絶縁材有効</x:v>
      </x:c>
      <x:c r="E510" s="12" t="str">
        <x:v>Enable_hi_ins</x:v>
      </x:c>
      <x:c r="F510" s="48" t="n">
        <x:f>'01_入力仕様'!D258</x:f>
        <x:v>0</x:v>
      </x:c>
      <x:c r="G510" s="48" t="str">
        <x:v>0/1</x:v>
      </x:c>
      <x:c r="H510" s="48" t="n">
        <x:f>ABS(K510)*$F$5</x:f>
        <x:v>0.06</x:v>
      </x:c>
      <x:c r="I510" s="12" t="str">
        <x:v>入力仕様</x:v>
      </x:c>
      <x:c r="J510" s="48" t="n">
        <x:f>0</x:f>
        <x:v>0</x:v>
      </x:c>
      <x:c r="K510" s="48" t="n">
        <x:f>'01_入力仕様'!D260/$F$5</x:f>
        <x:v>0.0067055296704997954</x:v>
      </x:c>
      <x:c r="L510" s="12" t="str">
        <x:f>IF(K510&gt;0,"増加→総重量増",IF(K510&lt;0,"増加→総重量減","中立"))</x:f>
        <x:v>増加→総重量増</x:v>
      </x:c>
      <x:c r="M510" s="12" t="str">
        <x:v>設計対象</x:v>
      </x:c>
      <x:c r="N510" s="12" t="str">
        <x:v>0→1重量</x:v>
      </x:c>
      <x:c r="O510" s="229" t="n">
        <x:f>--(COUNTIF($B$5:$B$560,A510)=0)</x:f>
        <x:v>1</x:v>
      </x:c>
      <x:c r="P510" s="70" t="str">
        <x:f>IF(LEFT(E510,7)&lt;&gt;"Enable_","",IFERROR(IF(OR(ISNUMBER(SEARCH("=Enable",INDEX($I$5:$I$560,MATCH(B510,$A$5:$A$560,0)))),ISNUMBER(SEARCH("×Enable",INDEX($I$5:$I$560,MATCH(B510,$A$5:$A$560,0))))),1,""),""))</x:f>
      </x:c>
      <x:c r="Q510" t="n">
        <x:f>IF(E510="","",--(XMATCH(E510,$E$5:E510,0)=ROWS($E$5:E510)))</x:f>
        <x:v>0</x:v>
      </x:c>
      <x:c r="R510" t="str">
        <x:f>IF(Q510=1,SUM($Q$5:Q510),"")</x:f>
      </x:c>
    </x:row>
    <x:row r="511">
      <x:c r="A511" s="12" t="str">
        <x:v>T507</x:v>
      </x:c>
      <x:c r="B511" s="12" t="str">
        <x:v>T001</x:v>
      </x:c>
      <x:c r="C511" s="12" t="n">
        <x:v>1</x:v>
      </x:c>
      <x:c r="D511" s="12" t="str">
        <x:v>ポッティング重量</x:v>
      </x:c>
      <x:c r="E511" s="12" t="str">
        <x:v>M_potting</x:v>
      </x:c>
      <x:c r="F511" s="48" t="n">
        <x:f>'01_入力仕様'!D262*'01_入力仕様'!D263</x:f>
        <x:v>0</x:v>
      </x:c>
      <x:c r="G511" s="48" t="str">
        <x:v>kg</x:v>
      </x:c>
      <x:c r="H511" s="48" t="n">
        <x:f>ABS(K511)*$F$5</x:f>
        <x:v>0</x:v>
      </x:c>
      <x:c r="I511" s="12" t="str">
        <x:v>Enable_potting×m_potting</x:v>
      </x:c>
      <x:c r="J511" s="48" t="n">
        <x:f>F511/$F$5</x:f>
        <x:v>0</x:v>
      </x:c>
      <x:c r="K511" s="48" t="n">
        <x:f>J511</x:f>
        <x:v>0</x:v>
      </x:c>
      <x:c r="L511" s="12" t="str">
        <x:f>IF(K511&gt;0,"増加→総重量増",IF(K511&lt;0,"増加→総重量減","中立"))</x:f>
        <x:v>中立</x:v>
      </x:c>
      <x:c r="M511" s="12" t="str">
        <x:v>設計対象</x:v>
      </x:c>
      <x:c r="N511" s="12" t="str"/>
      <x:c r="O511" s="229" t="n">
        <x:f>--(COUNTIF($B$5:$B$560,A511)=0)</x:f>
        <x:v>0</x:v>
      </x:c>
      <x:c r="P511" s="70" t="str">
        <x:f>IF(LEFT(E511,7)&lt;&gt;"Enable_","",IFERROR(IF(OR(ISNUMBER(SEARCH("=Enable",INDEX($I$5:$I$560,MATCH(B511,$A$5:$A$560,0)))),ISNUMBER(SEARCH("×Enable",INDEX($I$5:$I$560,MATCH(B511,$A$5:$A$560,0))))),1,""),""))</x:f>
      </x:c>
      <x:c r="Q511" t="n">
        <x:f>IF(E511="","",--(XMATCH(E511,$E$5:E511,0)=ROWS($E$5:E511)))</x:f>
        <x:v>1</x:v>
      </x:c>
      <x:c r="R511" t="n">
        <x:f>IF(Q511=1,SUM($Q$5:Q511),"")</x:f>
        <x:v>358</x:v>
      </x:c>
    </x:row>
    <x:row r="512">
      <x:c r="A512" s="12" t="str">
        <x:v>T508</x:v>
      </x:c>
      <x:c r="B512" s="12" t="str">
        <x:v>T507</x:v>
      </x:c>
      <x:c r="C512" s="12" t="n">
        <x:v>2</x:v>
      </x:c>
      <x:c r="D512" s="12" t="str">
        <x:v>ポッティング有効</x:v>
      </x:c>
      <x:c r="E512" s="12" t="str">
        <x:v>Enable_potting</x:v>
      </x:c>
      <x:c r="F512" s="48" t="n">
        <x:f>'01_入力仕様'!D262</x:f>
        <x:v>0</x:v>
      </x:c>
      <x:c r="G512" s="48" t="str">
        <x:v>0/1</x:v>
      </x:c>
      <x:c r="H512" s="48" t="n">
        <x:f>ABS(K512)*$F$5</x:f>
        <x:v>0.22</x:v>
      </x:c>
      <x:c r="I512" s="12" t="str">
        <x:v>入力仕様</x:v>
      </x:c>
      <x:c r="J512" s="48" t="n">
        <x:f>0</x:f>
        <x:v>0</x:v>
      </x:c>
      <x:c r="K512" s="48" t="n">
        <x:f>'01_入力仕様'!D263/$F$5</x:f>
        <x:v>0.02458694212516592</x:v>
      </x:c>
      <x:c r="L512" s="12" t="str">
        <x:f>IF(K512&gt;0,"増加→総重量増",IF(K512&lt;0,"増加→総重量減","中立"))</x:f>
        <x:v>増加→総重量増</x:v>
      </x:c>
      <x:c r="M512" s="12" t="str">
        <x:v>設計対象</x:v>
      </x:c>
      <x:c r="N512" s="12" t="str">
        <x:v>0→1重量</x:v>
      </x:c>
      <x:c r="O512" s="229" t="n">
        <x:f>--(COUNTIF($B$5:$B$560,A512)=0)</x:f>
        <x:v>1</x:v>
      </x:c>
      <x:c r="P512" s="70" t="str">
        <x:f>IF(LEFT(E512,7)&lt;&gt;"Enable_","",IFERROR(IF(OR(ISNUMBER(SEARCH("=Enable",INDEX($I$5:$I$560,MATCH(B512,$A$5:$A$560,0)))),ISNUMBER(SEARCH("×Enable",INDEX($I$5:$I$560,MATCH(B512,$A$5:$A$560,0))))),1,""),""))</x:f>
      </x:c>
      <x:c r="Q512" t="n">
        <x:f>IF(E512="","",--(XMATCH(E512,$E$5:E512,0)=ROWS($E$5:E512)))</x:f>
        <x:v>1</x:v>
      </x:c>
      <x:c r="R512" t="n">
        <x:f>IF(Q512=1,SUM($Q$5:Q512),"")</x:f>
        <x:v>359</x:v>
      </x:c>
    </x:row>
    <x:row r="513">
      <x:c r="A513" s="12" t="str">
        <x:v>T509</x:v>
      </x:c>
      <x:c r="B513" s="12" t="str">
        <x:v>T502</x:v>
      </x:c>
      <x:c r="C513" s="12" t="n">
        <x:v>2</x:v>
      </x:c>
      <x:c r="D513" s="12" t="str">
        <x:v>ポッティング有効</x:v>
      </x:c>
      <x:c r="E513" s="12" t="str">
        <x:v>Enable_potting</x:v>
      </x:c>
      <x:c r="F513" s="48" t="n">
        <x:f>'01_入力仕様'!D262</x:f>
        <x:v>0</x:v>
      </x:c>
      <x:c r="G513" s="48" t="str">
        <x:v>0/1</x:v>
      </x:c>
      <x:c r="H513" s="48" t="n">
        <x:f>ABS(K513)*$F$5</x:f>
        <x:v>0.08099999999999999</x:v>
      </x:c>
      <x:c r="I513" s="12" t="str">
        <x:v>入力仕様</x:v>
      </x:c>
      <x:c r="J513" s="48" t="n">
        <x:f>0</x:f>
        <x:v>0</x:v>
      </x:c>
      <x:c r="K513" s="48" t="n">
        <x:f>-K506*'01_入力仕様'!D264</x:f>
        <x:v>-0.009052465055174723</x:v>
      </x:c>
      <x:c r="L513" s="12" t="str">
        <x:f>IF(K513&gt;0,"増加→総重量増",IF(K513&lt;0,"増加→総重量減","中立"))</x:f>
        <x:v>増加→総重量減</x:v>
      </x:c>
      <x:c r="M513" s="12" t="str">
        <x:v>設計対象</x:v>
      </x:c>
      <x:c r="N513" s="12" t="str">
        <x:v>0→1距離低減</x:v>
      </x:c>
      <x:c r="O513" s="229" t="n">
        <x:f>--(COUNTIF($B$5:$B$560,A513)=0)</x:f>
        <x:v>1</x:v>
      </x:c>
      <x:c r="P513" s="70" t="str">
        <x:f>IF(LEFT(E513,7)&lt;&gt;"Enable_","",IFERROR(IF(OR(ISNUMBER(SEARCH("=Enable",INDEX($I$5:$I$560,MATCH(B513,$A$5:$A$560,0)))),ISNUMBER(SEARCH("×Enable",INDEX($I$5:$I$560,MATCH(B513,$A$5:$A$560,0))))),1,""),""))</x:f>
      </x:c>
      <x:c r="Q513" t="n">
        <x:f>IF(E513="","",--(XMATCH(E513,$E$5:E513,0)=ROWS($E$5:E513)))</x:f>
        <x:v>0</x:v>
      </x:c>
      <x:c r="R513" t="str">
        <x:f>IF(Q513=1,SUM($Q$5:Q513),"")</x:f>
      </x:c>
    </x:row>
    <x:row r="514">
      <x:c r="A514" s="12" t="str">
        <x:v>T510</x:v>
      </x:c>
      <x:c r="B514" s="12" t="str">
        <x:v>T031</x:v>
      </x:c>
      <x:c r="C514" s="12" t="n">
        <x:v>3</x:v>
      </x:c>
      <x:c r="D514" s="12" t="str">
        <x:v>ポッティング熱ペナルティ</x:v>
      </x:c>
      <x:c r="E514" s="12" t="str">
        <x:v>k_pot_thermal_eff</x:v>
      </x:c>
      <x:c r="F514" s="48" t="n">
        <x:f>1+'01_入力仕様'!D262*'01_入力仕様'!D265</x:f>
        <x:v>1</x:v>
      </x:c>
      <x:c r="G514" s="48" t="str">
        <x:v>-</x:v>
      </x:c>
      <x:c r="H514" s="48" t="n">
        <x:f>ABS(K514)*$F$5</x:f>
        <x:v>0.19928662258925056</x:v>
      </x:c>
      <x:c r="I514" s="12" t="str">
        <x:v>1+Enable_potting×k_pot_thermal</x:v>
      </x:c>
      <x:c r="J514" s="48" t="n">
        <x:f>1</x:f>
        <x:v>1</x:v>
      </x:c>
      <x:c r="K514" s="48" t="n">
        <x:f>K35*J514</x:f>
        <x:v>0.022272039345098575</x:v>
      </x:c>
      <x:c r="L514" s="12" t="str">
        <x:f>IF(K514&gt;0,"増加→総重量増",IF(K514&lt;0,"増加→総重量減","中立"))</x:f>
        <x:v>増加→総重量増</x:v>
      </x:c>
      <x:c r="M514" s="12" t="str">
        <x:v>設計対象</x:v>
      </x:c>
      <x:c r="N514" s="12" t="str"/>
      <x:c r="O514" s="229" t="n">
        <x:f>--(COUNTIF($B$5:$B$560,A514)=0)</x:f>
        <x:v>0</x:v>
      </x:c>
      <x:c r="P514" s="70" t="str">
        <x:f>IF(LEFT(E514,7)&lt;&gt;"Enable_","",IFERROR(IF(OR(ISNUMBER(SEARCH("=Enable",INDEX($I$5:$I$560,MATCH(B514,$A$5:$A$560,0)))),ISNUMBER(SEARCH("×Enable",INDEX($I$5:$I$560,MATCH(B514,$A$5:$A$560,0))))),1,""),""))</x:f>
      </x:c>
      <x:c r="Q514" t="n">
        <x:f>IF(E514="","",--(XMATCH(E514,$E$5:E514,0)=ROWS($E$5:E514)))</x:f>
        <x:v>1</x:v>
      </x:c>
      <x:c r="R514" t="n">
        <x:f>IF(Q514=1,SUM($Q$5:Q514),"")</x:f>
        <x:v>360</x:v>
      </x:c>
    </x:row>
    <x:row r="515">
      <x:c r="A515" s="12" t="str">
        <x:v>T511</x:v>
      </x:c>
      <x:c r="B515" s="12" t="str">
        <x:v>T510</x:v>
      </x:c>
      <x:c r="C515" s="12" t="n">
        <x:v>4</x:v>
      </x:c>
      <x:c r="D515" s="12" t="str">
        <x:v>ポッティング有効</x:v>
      </x:c>
      <x:c r="E515" s="12" t="str">
        <x:v>Enable_potting</x:v>
      </x:c>
      <x:c r="F515" s="48" t="n">
        <x:f>'01_入力仕様'!D262</x:f>
        <x:v>0</x:v>
      </x:c>
      <x:c r="G515" s="48" t="str">
        <x:v>0/1</x:v>
      </x:c>
      <x:c r="H515" s="48" t="n">
        <x:f>ABS(K515)*$F$5</x:f>
        <x:v>0.015942929807140044</x:v>
      </x:c>
      <x:c r="I515" s="12" t="str">
        <x:v>入力仕様</x:v>
      </x:c>
      <x:c r="J515" s="48" t="n">
        <x:f>0</x:f>
        <x:v>0</x:v>
      </x:c>
      <x:c r="K515" s="48" t="n">
        <x:f>K514*'01_入力仕様'!D265</x:f>
        <x:v>0.001781763147607886</x:v>
      </x:c>
      <x:c r="L515" s="12" t="str">
        <x:f>IF(K515&gt;0,"増加→総重量増",IF(K515&lt;0,"増加→総重量減","中立"))</x:f>
        <x:v>増加→総重量増</x:v>
      </x:c>
      <x:c r="M515" s="12" t="str">
        <x:v>設計対象</x:v>
      </x:c>
      <x:c r="N515" s="12" t="str">
        <x:v>0→1熱抵抗増</x:v>
      </x:c>
      <x:c r="O515" s="229" t="n">
        <x:f>--(COUNTIF($B$5:$B$560,A515)=0)</x:f>
        <x:v>1</x:v>
      </x:c>
      <x:c r="P515" s="70" t="str">
        <x:f>IF(LEFT(E515,7)&lt;&gt;"Enable_","",IFERROR(IF(OR(ISNUMBER(SEARCH("=Enable",INDEX($I$5:$I$560,MATCH(B515,$A$5:$A$560,0)))),ISNUMBER(SEARCH("×Enable",INDEX($I$5:$I$560,MATCH(B515,$A$5:$A$560,0))))),1,""),""))</x:f>
      </x:c>
      <x:c r="Q515" t="n">
        <x:f>IF(E515="","",--(XMATCH(E515,$E$5:E515,0)=ROWS($E$5:E515)))</x:f>
        <x:v>0</x:v>
      </x:c>
      <x:c r="R515" t="str">
        <x:f>IF(Q515=1,SUM($Q$5:Q515),"")</x:f>
      </x:c>
    </x:row>
    <x:row r="516">
      <x:c r="A516" s="12" t="str">
        <x:v>T512</x:v>
      </x:c>
      <x:c r="B516" s="12" t="str">
        <x:v>T032</x:v>
      </x:c>
      <x:c r="C516" s="12" t="n">
        <x:v>4</x:v>
      </x:c>
      <x:c r="D516" s="12" t="str">
        <x:v>ゲートバイアス電源損失</x:v>
      </x:c>
      <x:c r="E516" s="12" t="str">
        <x:v>P_bias_loss</x:v>
      </x:c>
      <x:c r="F516" s="48" t="n">
        <x:f>F332*(1/'01_入力仕様'!D266-1)</x:f>
        <x:v>0.05310439024390243</x:v>
      </x:c>
      <x:c r="G516" s="48" t="str">
        <x:v>W</x:v>
      </x:c>
      <x:c r="H516" s="48" t="n">
        <x:f>ABS(K516)*$F$5</x:f>
        <x:v>0.0000020010448951753095</x:v>
      </x:c>
      <x:c r="I516" s="12" t="str">
        <x:v>P_gate×(1/eta_bias-1)</x:v>
      </x:c>
      <x:c r="J516" s="48" t="n">
        <x:f>F516/(F38+F444+F471+F479+F488+F516+1E-12)</x:f>
        <x:v>0.00001004103973049742</x:v>
      </x:c>
      <x:c r="K516" s="48" t="n">
        <x:f>K36*J516</x:f>
        <x:v>2.2363443194333652e-7</x:v>
      </x:c>
      <x:c r="L516" s="12" t="str">
        <x:f>IF(K516&gt;0,"増加→総重量増",IF(K516&lt;0,"増加→総重量減","中立"))</x:f>
        <x:v>増加→総重量増</x:v>
      </x:c>
      <x:c r="M516" s="12" t="str">
        <x:v>設計対象</x:v>
      </x:c>
      <x:c r="N516" s="12" t="str"/>
      <x:c r="O516" s="229" t="n">
        <x:f>--(COUNTIF($B$5:$B$560,A516)=0)</x:f>
        <x:v>0</x:v>
      </x:c>
      <x:c r="P516" s="70" t="str">
        <x:f>IF(LEFT(E516,7)&lt;&gt;"Enable_","",IFERROR(IF(OR(ISNUMBER(SEARCH("=Enable",INDEX($I$5:$I$560,MATCH(B516,$A$5:$A$560,0)))),ISNUMBER(SEARCH("×Enable",INDEX($I$5:$I$560,MATCH(B516,$A$5:$A$560,0))))),1,""),""))</x:f>
      </x:c>
      <x:c r="Q516" t="n">
        <x:f>IF(E516="","",--(XMATCH(E516,$E$5:E516,0)=ROWS($E$5:E516)))</x:f>
        <x:v>1</x:v>
      </x:c>
      <x:c r="R516" t="n">
        <x:f>IF(Q516=1,SUM($Q$5:Q516),"")</x:f>
        <x:v>361</x:v>
      </x:c>
    </x:row>
    <x:row r="517">
      <x:c r="A517" s="12" t="str">
        <x:v>T513</x:v>
      </x:c>
      <x:c r="B517" s="12" t="str">
        <x:v>T512</x:v>
      </x:c>
      <x:c r="C517" s="12" t="n">
        <x:v>5</x:v>
      </x:c>
      <x:c r="D517" s="12" t="str">
        <x:v>バイアス電源効率</x:v>
      </x:c>
      <x:c r="E517" s="12" t="str">
        <x:v>eta_bias</x:v>
      </x:c>
      <x:c r="F517" s="48" t="n">
        <x:f>'01_入力仕様'!D266</x:f>
        <x:v>0.82</x:v>
      </x:c>
      <x:c r="G517" s="48" t="str">
        <x:v>-</x:v>
      </x:c>
      <x:c r="H517" s="48" t="n">
        <x:f>ABS(K517)*$F$5</x:f>
        <x:v>0.000011116916084307272</x:v>
      </x:c>
      <x:c r="I517" s="12" t="str">
        <x:v>入力仕様</x:v>
      </x:c>
      <x:c r="J517" s="48" t="n">
        <x:f>-1/(1-'01_入力仕様'!D266)</x:f>
        <x:v>-5.5555555555555545</x:v>
      </x:c>
      <x:c r="K517" s="48" t="n">
        <x:f>K516*J517</x:f>
        <x:v>-0.0000012424135107963137</x:v>
      </x:c>
      <x:c r="L517" s="12" t="str">
        <x:f>IF(K517&gt;0,"増加→総重量増",IF(K517&lt;0,"増加→総重量減","中立"))</x:f>
        <x:v>増加→総重量減</x:v>
      </x:c>
      <x:c r="M517" s="12" t="str">
        <x:v>設計対象</x:v>
      </x:c>
      <x:c r="N517" s="12" t="str"/>
      <x:c r="O517" s="229" t="n">
        <x:f>--(COUNTIF($B$5:$B$560,A517)=0)</x:f>
        <x:v>1</x:v>
      </x:c>
      <x:c r="P517" s="70" t="str">
        <x:f>IF(LEFT(E517,7)&lt;&gt;"Enable_","",IFERROR(IF(OR(ISNUMBER(SEARCH("=Enable",INDEX($I$5:$I$560,MATCH(B517,$A$5:$A$560,0)))),ISNUMBER(SEARCH("×Enable",INDEX($I$5:$I$560,MATCH(B517,$A$5:$A$560,0))))),1,""),""))</x:f>
      </x:c>
      <x:c r="Q517" t="n">
        <x:f>IF(E517="","",--(XMATCH(E517,$E$5:E517,0)=ROWS($E$5:E517)))</x:f>
        <x:v>1</x:v>
      </x:c>
      <x:c r="R517" t="n">
        <x:f>IF(Q517=1,SUM($Q$5:Q517),"")</x:f>
        <x:v>362</x:v>
      </x:c>
    </x:row>
    <x:row r="518">
      <x:c r="A518" s="12" t="str">
        <x:v>T514</x:v>
      </x:c>
      <x:c r="B518" s="12" t="str">
        <x:v>T001</x:v>
      </x:c>
      <x:c r="C518" s="12" t="n">
        <x:v>1</x:v>
      </x:c>
      <x:c r="D518" s="12" t="str">
        <x:v>ゲートバイアス電源重量</x:v>
      </x:c>
      <x:c r="E518" s="12" t="str">
        <x:v>M_bias_supply</x:v>
      </x:c>
      <x:c r="F518" s="48" t="n">
        <x:f>'01_入力仕様'!D267*F332/'01_入力仕様'!D266</x:f>
        <x:v>0.005900487804878049</x:v>
      </x:c>
      <x:c r="G518" s="48" t="str">
        <x:v>kg</x:v>
      </x:c>
      <x:c r="H518" s="48" t="n">
        <x:f>ABS(K518)*$F$5</x:f>
        <x:v>0.005900487804878049</x:v>
      </x:c>
      <x:c r="I518" s="12" t="str">
        <x:v>k_m_bias×P_gate/eta_bias</x:v>
      </x:c>
      <x:c r="J518" s="48" t="n">
        <x:f>F518/$F$5</x:f>
        <x:v>0.0006594316007671995</x:v>
      </x:c>
      <x:c r="K518" s="48" t="n">
        <x:f>J518</x:f>
        <x:v>0.0006594316007671995</x:v>
      </x:c>
      <x:c r="L518" s="12" t="str">
        <x:f>IF(K518&gt;0,"増加→総重量増",IF(K518&lt;0,"増加→総重量減","中立"))</x:f>
        <x:v>増加→総重量増</x:v>
      </x:c>
      <x:c r="M518" s="12" t="str">
        <x:v>設計対象</x:v>
      </x:c>
      <x:c r="N518" s="12" t="str"/>
      <x:c r="O518" s="229" t="n">
        <x:f>--(COUNTIF($B$5:$B$560,A518)=0)</x:f>
        <x:v>0</x:v>
      </x:c>
      <x:c r="P518" s="70" t="str">
        <x:f>IF(LEFT(E518,7)&lt;&gt;"Enable_","",IFERROR(IF(OR(ISNUMBER(SEARCH("=Enable",INDEX($I$5:$I$560,MATCH(B518,$A$5:$A$560,0)))),ISNUMBER(SEARCH("×Enable",INDEX($I$5:$I$560,MATCH(B518,$A$5:$A$560,0))))),1,""),""))</x:f>
      </x:c>
      <x:c r="Q518" t="n">
        <x:f>IF(E518="","",--(XMATCH(E518,$E$5:E518,0)=ROWS($E$5:E518)))</x:f>
        <x:v>1</x:v>
      </x:c>
      <x:c r="R518" t="n">
        <x:f>IF(Q518=1,SUM($Q$5:Q518),"")</x:f>
        <x:v>363</x:v>
      </x:c>
    </x:row>
    <x:row r="519">
      <x:c r="A519" s="12" t="str">
        <x:v>T515</x:v>
      </x:c>
      <x:c r="B519" s="12" t="str">
        <x:v>T514</x:v>
      </x:c>
      <x:c r="C519" s="12" t="n">
        <x:v>2</x:v>
      </x:c>
      <x:c r="D519" s="12" t="str">
        <x:v>バイアス電源効率</x:v>
      </x:c>
      <x:c r="E519" s="12" t="str">
        <x:v>eta_bias</x:v>
      </x:c>
      <x:c r="F519" s="48" t="n">
        <x:f>'01_入力仕様'!D266</x:f>
        <x:v>0.82</x:v>
      </x:c>
      <x:c r="G519" s="48" t="str">
        <x:v>-</x:v>
      </x:c>
      <x:c r="H519" s="48" t="n">
        <x:f>ABS(K519)*$F$5</x:f>
        <x:v>0.005900487804878049</x:v>
      </x:c>
      <x:c r="I519" s="12" t="str">
        <x:v>入力仕様</x:v>
      </x:c>
      <x:c r="J519" s="48" t="n">
        <x:f>-1</x:f>
        <x:v>-1</x:v>
      </x:c>
      <x:c r="K519" s="48" t="n">
        <x:f>K518*J519</x:f>
        <x:v>-0.0006594316007671995</x:v>
      </x:c>
      <x:c r="L519" s="12" t="str">
        <x:f>IF(K519&gt;0,"増加→総重量増",IF(K519&lt;0,"増加→総重量減","中立"))</x:f>
        <x:v>増加→総重量減</x:v>
      </x:c>
      <x:c r="M519" s="12" t="str">
        <x:v>設計対象</x:v>
      </x:c>
      <x:c r="N519" s="12" t="str"/>
      <x:c r="O519" s="229" t="n">
        <x:f>--(COUNTIF($B$5:$B$560,A519)=0)</x:f>
        <x:v>1</x:v>
      </x:c>
      <x:c r="P519" s="70" t="str">
        <x:f>IF(LEFT(E519,7)&lt;&gt;"Enable_","",IFERROR(IF(OR(ISNUMBER(SEARCH("=Enable",INDEX($I$5:$I$560,MATCH(B519,$A$5:$A$560,0)))),ISNUMBER(SEARCH("×Enable",INDEX($I$5:$I$560,MATCH(B519,$A$5:$A$560,0))))),1,""),""))</x:f>
      </x:c>
      <x:c r="Q519" t="n">
        <x:f>IF(E519="","",--(XMATCH(E519,$E$5:E519,0)=ROWS($E$5:E519)))</x:f>
        <x:v>0</x:v>
      </x:c>
      <x:c r="R519" t="str">
        <x:f>IF(Q519=1,SUM($Q$5:Q519),"")</x:f>
      </x:c>
    </x:row>
    <x:row r="520">
      <x:c r="A520" s="12" t="str">
        <x:v>T516</x:v>
      </x:c>
      <x:c r="B520" s="12" t="str">
        <x:v>T001</x:v>
      </x:c>
      <x:c r="C520" s="12" t="n">
        <x:v>1</x:v>
      </x:c>
      <x:c r="D520" s="12" t="str">
        <x:v>プリチャージ回路重量</x:v>
      </x:c>
      <x:c r="E520" s="12" t="str">
        <x:v>M_precharge</x:v>
      </x:c>
      <x:c r="F520" s="48" t="n">
        <x:f>'01_入力仕様'!D268*'01_入力仕様'!D269</x:f>
        <x:v>0.1</x:v>
      </x:c>
      <x:c r="G520" s="48" t="str">
        <x:v>kg</x:v>
      </x:c>
      <x:c r="H520" s="48" t="n">
        <x:f>ABS(K520)*$F$5</x:f>
        <x:v>0.1</x:v>
      </x:c>
      <x:c r="I520" s="12" t="str">
        <x:v>Enable_precharge×m_precharge</x:v>
      </x:c>
      <x:c r="J520" s="48" t="n">
        <x:f>F520/$F$5</x:f>
        <x:v>0.011175882784166327</x:v>
      </x:c>
      <x:c r="K520" s="48" t="n">
        <x:f>J520</x:f>
        <x:v>0.011175882784166327</x:v>
      </x:c>
      <x:c r="L520" s="12" t="str">
        <x:f>IF(K520&gt;0,"増加→総重量増",IF(K520&lt;0,"増加→総重量減","中立"))</x:f>
        <x:v>増加→総重量増</x:v>
      </x:c>
      <x:c r="M520" s="12" t="str">
        <x:v>設計対象</x:v>
      </x:c>
      <x:c r="N520" s="12" t="str"/>
      <x:c r="O520" s="229" t="n">
        <x:f>--(COUNTIF($B$5:$B$560,A520)=0)</x:f>
        <x:v>0</x:v>
      </x:c>
      <x:c r="P520" s="70" t="str">
        <x:f>IF(LEFT(E520,7)&lt;&gt;"Enable_","",IFERROR(IF(OR(ISNUMBER(SEARCH("=Enable",INDEX($I$5:$I$560,MATCH(B520,$A$5:$A$560,0)))),ISNUMBER(SEARCH("×Enable",INDEX($I$5:$I$560,MATCH(B520,$A$5:$A$560,0))))),1,""),""))</x:f>
      </x:c>
      <x:c r="Q520" t="n">
        <x:f>IF(E520="","",--(XMATCH(E520,$E$5:E520,0)=ROWS($E$5:E520)))</x:f>
        <x:v>1</x:v>
      </x:c>
      <x:c r="R520" t="n">
        <x:f>IF(Q520=1,SUM($Q$5:Q520),"")</x:f>
        <x:v>364</x:v>
      </x:c>
    </x:row>
    <x:row r="521">
      <x:c r="A521" s="12" t="str">
        <x:v>T517</x:v>
      </x:c>
      <x:c r="B521" s="12" t="str">
        <x:v>T516</x:v>
      </x:c>
      <x:c r="C521" s="12" t="n">
        <x:v>2</x:v>
      </x:c>
      <x:c r="D521" s="12" t="str">
        <x:v>プリチャージ有効</x:v>
      </x:c>
      <x:c r="E521" s="12" t="str">
        <x:v>Enable_precharge</x:v>
      </x:c>
      <x:c r="F521" s="48" t="n">
        <x:f>'01_入力仕様'!D268</x:f>
        <x:v>1</x:v>
      </x:c>
      <x:c r="G521" s="48" t="str">
        <x:v>0/1</x:v>
      </x:c>
      <x:c r="H521" s="48" t="n">
        <x:f>ABS(K521)*$F$5</x:f>
        <x:v>0.1</x:v>
      </x:c>
      <x:c r="I521" s="12" t="str">
        <x:v>入力仕様</x:v>
      </x:c>
      <x:c r="J521" s="48" t="n">
        <x:f>0</x:f>
        <x:v>0</x:v>
      </x:c>
      <x:c r="K521" s="48" t="n">
        <x:f>'01_入力仕様'!D269/$F$5</x:f>
        <x:v>0.011175882784166327</x:v>
      </x:c>
      <x:c r="L521" s="12" t="str">
        <x:f>IF(K521&gt;0,"増加→総重量増",IF(K521&lt;0,"増加→総重量減","中立"))</x:f>
        <x:v>増加→総重量増</x:v>
      </x:c>
      <x:c r="M521" s="12" t="str">
        <x:v>設計対象</x:v>
      </x:c>
      <x:c r="N521" s="12" t="str">
        <x:v>0→1重量</x:v>
      </x:c>
      <x:c r="O521" s="229" t="n">
        <x:f>--(COUNTIF($B$5:$B$560,A521)=0)</x:f>
        <x:v>1</x:v>
      </x:c>
      <x:c r="P521" s="70" t="str">
        <x:f>IF(LEFT(E521,7)&lt;&gt;"Enable_","",IFERROR(IF(OR(ISNUMBER(SEARCH("=Enable",INDEX($I$5:$I$560,MATCH(B521,$A$5:$A$560,0)))),ISNUMBER(SEARCH("×Enable",INDEX($I$5:$I$560,MATCH(B521,$A$5:$A$560,0))))),1,""),""))</x:f>
      </x:c>
      <x:c r="Q521" t="n">
        <x:f>IF(E521="","",--(XMATCH(E521,$E$5:E521,0)=ROWS($E$5:E521)))</x:f>
        <x:v>1</x:v>
      </x:c>
      <x:c r="R521" t="n">
        <x:f>IF(Q521=1,SUM($Q$5:Q521),"")</x:f>
        <x:v>365</x:v>
      </x:c>
    </x:row>
    <x:row r="522">
      <x:c r="A522" s="12" t="str">
        <x:v>T518</x:v>
      </x:c>
      <x:c r="B522" s="12" t="str">
        <x:v>T001</x:v>
      </x:c>
      <x:c r="C522" s="12" t="n">
        <x:v>1</x:v>
      </x:c>
      <x:c r="D522" s="12" t="str">
        <x:v>コンタクタ/ヒューズ重量</x:v>
      </x:c>
      <x:c r="E522" s="12" t="str">
        <x:v>M_contactor</x:v>
      </x:c>
      <x:c r="F522" s="48" t="n">
        <x:f>'01_入力仕様'!D271*(1-'01_入力仕様'!D268*'01_入力仕様'!D270)</x:f>
        <x:v>0.27999999999999997</x:v>
      </x:c>
      <x:c r="G522" s="48" t="str">
        <x:v>kg</x:v>
      </x:c>
      <x:c r="H522" s="48" t="n">
        <x:f>ABS(K522)*$F$5</x:f>
        <x:v>0.27999999999999997</x:v>
      </x:c>
      <x:c r="I522" s="12" t="str">
        <x:v>m_contactor_base×(1-Enable_precharge×k_reduce)</x:v>
      </x:c>
      <x:c r="J522" s="48" t="n">
        <x:f>F522/$F$5</x:f>
        <x:v>0.03129247179566571</x:v>
      </x:c>
      <x:c r="K522" s="48" t="n">
        <x:f>J522</x:f>
        <x:v>0.03129247179566571</x:v>
      </x:c>
      <x:c r="L522" s="12" t="str">
        <x:f>IF(K522&gt;0,"増加→総重量増",IF(K522&lt;0,"増加→総重量減","中立"))</x:f>
        <x:v>増加→総重量増</x:v>
      </x:c>
      <x:c r="M522" s="12" t="str">
        <x:v>設計対象</x:v>
      </x:c>
      <x:c r="N522" s="12" t="str"/>
      <x:c r="O522" s="229" t="n">
        <x:f>--(COUNTIF($B$5:$B$560,A522)=0)</x:f>
        <x:v>0</x:v>
      </x:c>
      <x:c r="P522" s="70" t="str">
        <x:f>IF(LEFT(E522,7)&lt;&gt;"Enable_","",IFERROR(IF(OR(ISNUMBER(SEARCH("=Enable",INDEX($I$5:$I$560,MATCH(B522,$A$5:$A$560,0)))),ISNUMBER(SEARCH("×Enable",INDEX($I$5:$I$560,MATCH(B522,$A$5:$A$560,0))))),1,""),""))</x:f>
      </x:c>
      <x:c r="Q522" t="n">
        <x:f>IF(E522="","",--(XMATCH(E522,$E$5:E522,0)=ROWS($E$5:E522)))</x:f>
        <x:v>1</x:v>
      </x:c>
      <x:c r="R522" t="n">
        <x:f>IF(Q522=1,SUM($Q$5:Q522),"")</x:f>
        <x:v>366</x:v>
      </x:c>
    </x:row>
    <x:row r="523">
      <x:c r="A523" s="12" t="str">
        <x:v>T519</x:v>
      </x:c>
      <x:c r="B523" s="12" t="str">
        <x:v>T518</x:v>
      </x:c>
      <x:c r="C523" s="12" t="n">
        <x:v>2</x:v>
      </x:c>
      <x:c r="D523" s="12" t="str">
        <x:v>プリチャージ有効</x:v>
      </x:c>
      <x:c r="E523" s="12" t="str">
        <x:v>Enable_precharge</x:v>
      </x:c>
      <x:c r="F523" s="48" t="n">
        <x:f>'01_入力仕様'!D268</x:f>
        <x:v>1</x:v>
      </x:c>
      <x:c r="G523" s="48" t="str">
        <x:v>0/1</x:v>
      </x:c>
      <x:c r="H523" s="48" t="n">
        <x:f>ABS(K523)*$F$5</x:f>
        <x:v>0.06999999999999999</x:v>
      </x:c>
      <x:c r="I523" s="12" t="str">
        <x:v>入力仕様</x:v>
      </x:c>
      <x:c r="J523" s="48" t="n">
        <x:f>0</x:f>
        <x:v>0</x:v>
      </x:c>
      <x:c r="K523" s="48" t="n">
        <x:f>-'01_入力仕様'!D271*'01_入力仕様'!D270/$F$5</x:f>
        <x:v>-0.007823117948916427</x:v>
      </x:c>
      <x:c r="L523" s="12" t="str">
        <x:f>IF(K523&gt;0,"増加→総重量増",IF(K523&lt;0,"増加→総重量減","中立"))</x:f>
        <x:v>増加→総重量減</x:v>
      </x:c>
      <x:c r="M523" s="12" t="str">
        <x:v>設計対象</x:v>
      </x:c>
      <x:c r="N523" s="12" t="str">
        <x:v>0→1コンタクタ軽量化</x:v>
      </x:c>
      <x:c r="O523" s="229" t="n">
        <x:f>--(COUNTIF($B$5:$B$560,A523)=0)</x:f>
        <x:v>1</x:v>
      </x:c>
      <x:c r="P523" s="70" t="str">
        <x:f>IF(LEFT(E523,7)&lt;&gt;"Enable_","",IFERROR(IF(OR(ISNUMBER(SEARCH("=Enable",INDEX($I$5:$I$560,MATCH(B523,$A$5:$A$560,0)))),ISNUMBER(SEARCH("×Enable",INDEX($I$5:$I$560,MATCH(B523,$A$5:$A$560,0))))),1,""),""))</x:f>
      </x:c>
      <x:c r="Q523" t="n">
        <x:f>IF(E523="","",--(XMATCH(E523,$E$5:E523,0)=ROWS($E$5:E523)))</x:f>
        <x:v>0</x:v>
      </x:c>
      <x:c r="R523" t="str">
        <x:f>IF(Q523=1,SUM($Q$5:Q523),"")</x:f>
      </x:c>
    </x:row>
    <x:row r="524">
      <x:c r="A524" s="12" t="str">
        <x:v>T520</x:v>
      </x:c>
      <x:c r="B524" s="12" t="str">
        <x:v>T001</x:v>
      </x:c>
      <x:c r="C524" s="12" t="n">
        <x:v>1</x:v>
      </x:c>
      <x:c r="D524" s="12" t="str">
        <x:v>DCリンク放電回路重量</x:v>
      </x:c>
      <x:c r="E524" s="12" t="str">
        <x:v>M_discharge</x:v>
      </x:c>
      <x:c r="F524" s="48" t="n">
        <x:f>F525+F532</x:f>
        <x:v>0.19171948356458662</x:v>
      </x:c>
      <x:c r="G524" s="48" t="str">
        <x:v>kg</x:v>
      </x:c>
      <x:c r="H524" s="48" t="n">
        <x:f>ABS(K524)*$F$5</x:f>
        <x:v>0.19171948356458662</x:v>
      </x:c>
      <x:c r="I524" s="12" t="str">
        <x:v>M_discharge=M_discharge_res+M_active_discharge_ctrl</x:v>
      </x:c>
      <x:c r="J524" s="48" t="n">
        <x:f>F524/$F$5</x:f>
        <x:v>0.021426344757587226</x:v>
      </x:c>
      <x:c r="K524" s="48" t="n">
        <x:f>J524</x:f>
        <x:v>0.021426344757587226</x:v>
      </x:c>
      <x:c r="L524" s="12" t="str">
        <x:f>IF(K524&gt;0,"増加→総重量増",IF(K524&lt;0,"増加→総重量減","中立"))</x:f>
        <x:v>増加→総重量増</x:v>
      </x:c>
      <x:c r="M524" s="12" t="str">
        <x:v>設計対象</x:v>
      </x:c>
      <x:c r="N524" s="12" t="str"/>
      <x:c r="O524" s="229" t="n">
        <x:f>--(COUNTIF($B$5:$B$560,A524)=0)</x:f>
        <x:v>0</x:v>
      </x:c>
      <x:c r="P524" s="70" t="str">
        <x:f>IF(LEFT(E524,7)&lt;&gt;"Enable_","",IFERROR(IF(OR(ISNUMBER(SEARCH("=Enable",INDEX($I$5:$I$560,MATCH(B524,$A$5:$A$560,0)))),ISNUMBER(SEARCH("×Enable",INDEX($I$5:$I$560,MATCH(B524,$A$5:$A$560,0))))),1,""),""))</x:f>
      </x:c>
      <x:c r="Q524" t="n">
        <x:f>IF(E524="","",--(XMATCH(E524,$E$5:E524,0)=ROWS($E$5:E524)))</x:f>
        <x:v>1</x:v>
      </x:c>
      <x:c r="R524" t="n">
        <x:f>IF(Q524=1,SUM($Q$5:Q524),"")</x:f>
        <x:v>367</x:v>
      </x:c>
    </x:row>
    <x:row r="525">
      <x:c r="A525" s="12" t="str">
        <x:v>T521</x:v>
      </x:c>
      <x:c r="B525" s="12" t="str">
        <x:v>T520</x:v>
      </x:c>
      <x:c r="C525" s="12" t="n">
        <x:v>2</x:v>
      </x:c>
      <x:c r="D525" s="12" t="str">
        <x:v>放電抵抗重量</x:v>
      </x:c>
      <x:c r="E525" s="12" t="str">
        <x:v>M_discharge_res</x:v>
      </x:c>
      <x:c r="F525" s="48" t="n">
        <x:f>'01_入力仕様'!D280*F530*((1-'01_入力仕様'!D293)+'01_入力仕様'!D293*'01_入力仕様'!D278)</x:f>
        <x:v>0.19171948356458662</x:v>
      </x:c>
      <x:c r="G525" s="48" t="str">
        <x:v>kg</x:v>
      </x:c>
      <x:c r="H525" s="48" t="n">
        <x:f>ABS(K525)*$F$5</x:f>
        <x:v>0.19171948356458662</x:v>
      </x:c>
      <x:c r="I525" s="12" t="str">
        <x:v>k_m_bleed×P_bleed_base×[(1-Eactive)+Eactive×k_res_active]</x:v>
      </x:c>
      <x:c r="J525" s="48" t="n">
        <x:f>F525/F524</x:f>
        <x:v>1</x:v>
      </x:c>
      <x:c r="K525" s="48" t="n">
        <x:f>K524*J525</x:f>
        <x:v>0.021426344757587226</x:v>
      </x:c>
      <x:c r="L525" s="12" t="str">
        <x:f>IF(K525&gt;0,"増加→総重量増",IF(K525&lt;0,"増加→総重量減","中立"))</x:f>
        <x:v>増加→総重量増</x:v>
      </x:c>
      <x:c r="M525" s="12" t="str">
        <x:v>設計対象</x:v>
      </x:c>
      <x:c r="N525" s="12" t="str"/>
      <x:c r="O525" s="229" t="n">
        <x:f>--(COUNTIF($B$5:$B$560,A525)=0)</x:f>
        <x:v>0</x:v>
      </x:c>
      <x:c r="P525" s="70" t="str">
        <x:f>IF(LEFT(E525,7)&lt;&gt;"Enable_","",IFERROR(IF(OR(ISNUMBER(SEARCH("=Enable",INDEX($I$5:$I$560,MATCH(B525,$A$5:$A$560,0)))),ISNUMBER(SEARCH("×Enable",INDEX($I$5:$I$560,MATCH(B525,$A$5:$A$560,0))))),1,""),""))</x:f>
      </x:c>
      <x:c r="Q525" t="n">
        <x:f>IF(E525="","",--(XMATCH(E525,$E$5:E525,0)=ROWS($E$5:E525)))</x:f>
        <x:v>1</x:v>
      </x:c>
      <x:c r="R525" t="n">
        <x:f>IF(Q525=1,SUM($Q$5:Q525),"")</x:f>
        <x:v>368</x:v>
      </x:c>
    </x:row>
    <x:row r="526">
      <x:c r="A526" s="12" t="str">
        <x:v>T522</x:v>
      </x:c>
      <x:c r="B526" s="12" t="str">
        <x:v>T521</x:v>
      </x:c>
      <x:c r="C526" s="12" t="n">
        <x:v>3</x:v>
      </x:c>
      <x:c r="D526" s="12" t="str">
        <x:v>必要放電抵抗</x:v>
      </x:c>
      <x:c r="E526" s="12" t="str">
        <x:v>R_discharge</x:v>
      </x:c>
      <x:c r="F526" s="48" t="n">
        <x:f>'01_入力仕様'!D275/((F98/1000)*LN('01_入力仕様'!D6/'01_入力仕様'!D276))</x:f>
        <x:v>1168.3736876150028</x:v>
      </x:c>
      <x:c r="G526" s="48" t="str">
        <x:v>ohm</x:v>
      </x:c>
      <x:c r="H526" s="48" t="n">
        <x:f>ABS(K526)*$F$5</x:f>
        <x:v>0</x:v>
      </x:c>
      <x:c r="I526" s="12" t="str">
        <x:v>t_req/[Cdc×ln(Vdc/Vsafe)]</x:v>
      </x:c>
      <x:c r="J526" s="48" t="n">
        <x:f>0</x:f>
        <x:v>0</x:v>
      </x:c>
      <x:c r="K526" s="48" t="n">
        <x:f>0</x:f>
        <x:v>0</x:v>
      </x:c>
      <x:c r="L526" s="12" t="str">
        <x:f>IF(K526&gt;0,"増加→総重量増",IF(K526&lt;0,"増加→総重量減","中立"))</x:f>
        <x:v>中立</x:v>
      </x:c>
      <x:c r="M526" s="12" t="str">
        <x:v>設計対象</x:v>
      </x:c>
      <x:c r="N526" s="12" t="str"/>
      <x:c r="O526" s="229" t="n">
        <x:f>--(COUNTIF($B$5:$B$560,A526)=0)</x:f>
        <x:v>0</x:v>
      </x:c>
      <x:c r="P526" s="70" t="str">
        <x:f>IF(LEFT(E526,7)&lt;&gt;"Enable_","",IFERROR(IF(OR(ISNUMBER(SEARCH("=Enable",INDEX($I$5:$I$560,MATCH(B526,$A$5:$A$560,0)))),ISNUMBER(SEARCH("×Enable",INDEX($I$5:$I$560,MATCH(B526,$A$5:$A$560,0))))),1,""),""))</x:f>
      </x:c>
      <x:c r="Q526" t="n">
        <x:f>IF(E526="","",--(XMATCH(E526,$E$5:E526,0)=ROWS($E$5:E526)))</x:f>
        <x:v>1</x:v>
      </x:c>
      <x:c r="R526" t="n">
        <x:f>IF(Q526=1,SUM($Q$5:Q526),"")</x:f>
        <x:v>369</x:v>
      </x:c>
    </x:row>
    <x:row r="527">
      <x:c r="A527" s="12" t="str">
        <x:v>T523</x:v>
      </x:c>
      <x:c r="B527" s="12" t="str">
        <x:v>T522</x:v>
      </x:c>
      <x:c r="C527" s="12" t="n">
        <x:v>4</x:v>
      </x:c>
      <x:c r="D527" s="12" t="str">
        <x:v>DCリンク容量</x:v>
      </x:c>
      <x:c r="E527" s="12" t="str">
        <x:v>C_dc_discharge</x:v>
      </x:c>
      <x:c r="F527" s="48" t="n">
        <x:f>F98/1000</x:f>
        <x:v>0.0016521279407877342</x:v>
      </x:c>
      <x:c r="G527" s="48" t="str">
        <x:v>F</x:v>
      </x:c>
      <x:c r="H527" s="48" t="n">
        <x:f>ABS(K527)*$F$5</x:f>
        <x:v>0</x:v>
      </x:c>
      <x:c r="I527" s="12" t="str">
        <x:v>C_req/1000</x:v>
      </x:c>
      <x:c r="J527" s="48" t="n">
        <x:f>0</x:f>
        <x:v>0</x:v>
      </x:c>
      <x:c r="K527" s="48" t="n">
        <x:f>0</x:f>
        <x:v>0</x:v>
      </x:c>
      <x:c r="L527" s="12" t="str">
        <x:f>IF(K527&gt;0,"増加→総重量増",IF(K527&lt;0,"増加→総重量減","中立"))</x:f>
        <x:v>中立</x:v>
      </x:c>
      <x:c r="M527" s="12" t="str">
        <x:v>設計対象</x:v>
      </x:c>
      <x:c r="N527" s="12" t="str"/>
      <x:c r="O527" s="229" t="n">
        <x:f>--(COUNTIF($B$5:$B$560,A527)=0)</x:f>
        <x:v>1</x:v>
      </x:c>
      <x:c r="P527" s="70" t="str">
        <x:f>IF(LEFT(E527,7)&lt;&gt;"Enable_","",IFERROR(IF(OR(ISNUMBER(SEARCH("=Enable",INDEX($I$5:$I$560,MATCH(B527,$A$5:$A$560,0)))),ISNUMBER(SEARCH("×Enable",INDEX($I$5:$I$560,MATCH(B527,$A$5:$A$560,0))))),1,""),""))</x:f>
      </x:c>
      <x:c r="Q527" t="n">
        <x:f>IF(E527="","",--(XMATCH(E527,$E$5:E527,0)=ROWS($E$5:E527)))</x:f>
        <x:v>1</x:v>
      </x:c>
      <x:c r="R527" t="n">
        <x:f>IF(Q527=1,SUM($Q$5:Q527),"")</x:f>
        <x:v>370</x:v>
      </x:c>
    </x:row>
    <x:row r="528">
      <x:c r="A528" s="12" t="str">
        <x:v>T524</x:v>
      </x:c>
      <x:c r="B528" s="12" t="str">
        <x:v>T522</x:v>
      </x:c>
      <x:c r="C528" s="12" t="n">
        <x:v>4</x:v>
      </x:c>
      <x:c r="D528" s="12" t="str">
        <x:v>放電要求時間</x:v>
      </x:c>
      <x:c r="E528" s="12" t="str">
        <x:v>t_discharge_req</x:v>
      </x:c>
      <x:c r="F528" s="48" t="n">
        <x:f>'01_入力仕様'!D275</x:f>
        <x:v>5</x:v>
      </x:c>
      <x:c r="G528" s="48" t="str">
        <x:v>s</x:v>
      </x:c>
      <x:c r="H528" s="48" t="n">
        <x:f>ABS(K528)*$F$5</x:f>
        <x:v>0</x:v>
      </x:c>
      <x:c r="I528" s="12" t="str">
        <x:v>入力仕様</x:v>
      </x:c>
      <x:c r="J528" s="48" t="n">
        <x:f>0</x:f>
        <x:v>0</x:v>
      </x:c>
      <x:c r="K528" s="48" t="n">
        <x:f>0</x:f>
        <x:v>0</x:v>
      </x:c>
      <x:c r="L528" s="12" t="str">
        <x:v>感度対象外</x:v>
      </x:c>
      <x:c r="M528" s="12" t="str">
        <x:v>固定/対象外</x:v>
      </x:c>
      <x:c r="N528" s="12" t="str">
        <x:v>上位安全要求</x:v>
      </x:c>
      <x:c r="O528" s="229" t="n">
        <x:f>--(COUNTIF($B$5:$B$560,A528)=0)</x:f>
        <x:v>1</x:v>
      </x:c>
      <x:c r="P528" s="70" t="str">
        <x:f>IF(LEFT(E528,7)&lt;&gt;"Enable_","",IFERROR(IF(OR(ISNUMBER(SEARCH("=Enable",INDEX($I$5:$I$560,MATCH(B528,$A$5:$A$560,0)))),ISNUMBER(SEARCH("×Enable",INDEX($I$5:$I$560,MATCH(B528,$A$5:$A$560,0))))),1,""),""))</x:f>
      </x:c>
      <x:c r="Q528" t="n">
        <x:f>IF(E528="","",--(XMATCH(E528,$E$5:E528,0)=ROWS($E$5:E528)))</x:f>
        <x:v>1</x:v>
      </x:c>
      <x:c r="R528" t="n">
        <x:f>IF(Q528=1,SUM($Q$5:Q528),"")</x:f>
        <x:v>371</x:v>
      </x:c>
    </x:row>
    <x:row r="529">
      <x:c r="A529" s="12" t="str">
        <x:v>T525</x:v>
      </x:c>
      <x:c r="B529" s="12" t="str">
        <x:v>T522</x:v>
      </x:c>
      <x:c r="C529" s="12" t="n">
        <x:v>4</x:v>
      </x:c>
      <x:c r="D529" s="12" t="str">
        <x:v>安全電圧</x:v>
      </x:c>
      <x:c r="E529" s="12" t="str">
        <x:v>V_safe_discharge</x:v>
      </x:c>
      <x:c r="F529" s="48" t="n">
        <x:f>'01_入力仕様'!D276</x:f>
        <x:v>60</x:v>
      </x:c>
      <x:c r="G529" s="48" t="str">
        <x:v>V</x:v>
      </x:c>
      <x:c r="H529" s="48" t="n">
        <x:f>ABS(K529)*$F$5</x:f>
        <x:v>0</x:v>
      </x:c>
      <x:c r="I529" s="12" t="str">
        <x:v>入力仕様</x:v>
      </x:c>
      <x:c r="J529" s="48" t="n">
        <x:f>0</x:f>
        <x:v>0</x:v>
      </x:c>
      <x:c r="K529" s="48" t="n">
        <x:f>0</x:f>
        <x:v>0</x:v>
      </x:c>
      <x:c r="L529" s="12" t="str">
        <x:v>感度対象外</x:v>
      </x:c>
      <x:c r="M529" s="12" t="str">
        <x:v>固定/対象外</x:v>
      </x:c>
      <x:c r="N529" s="12" t="str">
        <x:v>上位安全要求</x:v>
      </x:c>
      <x:c r="O529" s="229" t="n">
        <x:f>--(COUNTIF($B$5:$B$560,A529)=0)</x:f>
        <x:v>1</x:v>
      </x:c>
      <x:c r="P529" s="70" t="str">
        <x:f>IF(LEFT(E529,7)&lt;&gt;"Enable_","",IFERROR(IF(OR(ISNUMBER(SEARCH("=Enable",INDEX($I$5:$I$560,MATCH(B529,$A$5:$A$560,0)))),ISNUMBER(SEARCH("×Enable",INDEX($I$5:$I$560,MATCH(B529,$A$5:$A$560,0))))),1,""),""))</x:f>
      </x:c>
      <x:c r="Q529" t="n">
        <x:f>IF(E529="","",--(XMATCH(E529,$E$5:E529,0)=ROWS($E$5:E529)))</x:f>
        <x:v>1</x:v>
      </x:c>
      <x:c r="R529" t="n">
        <x:f>IF(Q529=1,SUM($Q$5:Q529),"")</x:f>
        <x:v>372</x:v>
      </x:c>
    </x:row>
    <x:row r="530">
      <x:c r="A530" s="12" t="str">
        <x:v>T526</x:v>
      </x:c>
      <x:c r="B530" s="12" t="str">
        <x:v>T521</x:v>
      </x:c>
      <x:c r="C530" s="12" t="n">
        <x:v>3</x:v>
      </x:c>
      <x:c r="D530" s="12" t="str">
        <x:v>受動ブリーダ連続損失</x:v>
      </x:c>
      <x:c r="E530" s="12" t="str">
        <x:v>P_bleed_base</x:v>
      </x:c>
      <x:c r="F530" s="48" t="n">
        <x:f>'01_入力仕様'!D6^2/F526</x:f>
        <x:v>547.7699530416761</x:v>
      </x:c>
      <x:c r="G530" s="48" t="str">
        <x:v>W</x:v>
      </x:c>
      <x:c r="H530" s="48" t="n">
        <x:f>ABS(K530)*$F$5</x:f>
        <x:v>0.19171948356458662</x:v>
      </x:c>
      <x:c r="I530" s="12" t="str">
        <x:v>Vdc²/Rdis</x:v>
      </x:c>
      <x:c r="J530" s="48" t="n">
        <x:f>1</x:f>
        <x:v>1</x:v>
      </x:c>
      <x:c r="K530" s="48" t="n">
        <x:f>K525*J530</x:f>
        <x:v>0.021426344757587226</x:v>
      </x:c>
      <x:c r="L530" s="12" t="str">
        <x:f>IF(K530&gt;0,"増加→総重量増",IF(K530&lt;0,"増加→総重量減","中立"))</x:f>
        <x:v>増加→総重量増</x:v>
      </x:c>
      <x:c r="M530" s="12" t="str">
        <x:v>設計対象</x:v>
      </x:c>
      <x:c r="N530" s="12" t="str"/>
      <x:c r="O530" s="229" t="n">
        <x:f>--(COUNTIF($B$5:$B$560,A530)=0)</x:f>
        <x:v>1</x:v>
      </x:c>
      <x:c r="P530" s="70" t="str">
        <x:f>IF(LEFT(E530,7)&lt;&gt;"Enable_","",IFERROR(IF(OR(ISNUMBER(SEARCH("=Enable",INDEX($I$5:$I$560,MATCH(B530,$A$5:$A$560,0)))),ISNUMBER(SEARCH("×Enable",INDEX($I$5:$I$560,MATCH(B530,$A$5:$A$560,0))))),1,""),""))</x:f>
      </x:c>
      <x:c r="Q530" t="n">
        <x:f>IF(E530="","",--(XMATCH(E530,$E$5:E530,0)=ROWS($E$5:E530)))</x:f>
        <x:v>1</x:v>
      </x:c>
      <x:c r="R530" t="n">
        <x:f>IF(Q530=1,SUM($Q$5:Q530),"")</x:f>
        <x:v>373</x:v>
      </x:c>
    </x:row>
    <x:row r="531">
      <x:c r="A531" s="12" t="str">
        <x:v>T527</x:v>
      </x:c>
      <x:c r="B531" s="12" t="str">
        <x:v>T521</x:v>
      </x:c>
      <x:c r="C531" s="12" t="n">
        <x:v>3</x:v>
      </x:c>
      <x:c r="D531" s="12" t="str">
        <x:v>アクティブ放電有効</x:v>
      </x:c>
      <x:c r="E531" s="12" t="str">
        <x:v>Enable_active_discharge</x:v>
      </x:c>
      <x:c r="F531" s="48" t="n">
        <x:f>'01_入力仕様'!D293</x:f>
        <x:v>0</x:v>
      </x:c>
      <x:c r="G531" s="48" t="str">
        <x:v>0/1</x:v>
      </x:c>
      <x:c r="H531" s="48" t="n">
        <x:f>ABS(K531)*$F$5</x:f>
        <x:v>0.1246176643169813</x:v>
      </x:c>
      <x:c r="I531" s="12" t="str">
        <x:v>入力仕様</x:v>
      </x:c>
      <x:c r="J531" s="48" t="n">
        <x:f>0</x:f>
        <x:v>0</x:v>
      </x:c>
      <x:c r="K531" s="48" t="n">
        <x:f>('01_入力仕様'!D280*F530*('01_入力仕様'!D278-1))/$F$5</x:f>
        <x:v>-0.013927124092431697</x:v>
      </x:c>
      <x:c r="L531" s="12" t="str">
        <x:f>IF(K531&gt;0,"増加→総重量増",IF(K531&lt;0,"増加→総重量減","中立"))</x:f>
        <x:v>増加→総重量減</x:v>
      </x:c>
      <x:c r="M531" s="12" t="str">
        <x:v>設計対象</x:v>
      </x:c>
      <x:c r="N531" s="12" t="str">
        <x:v>抵抗短時間定格化の離散効果</x:v>
      </x:c>
      <x:c r="O531" s="229" t="n">
        <x:f>--(COUNTIF($B$5:$B$560,A531)=0)</x:f>
        <x:v>1</x:v>
      </x:c>
      <x:c r="P531" s="70" t="str">
        <x:f>IF(LEFT(E531,7)&lt;&gt;"Enable_","",IFERROR(IF(OR(ISNUMBER(SEARCH("=Enable",INDEX($I$5:$I$560,MATCH(B531,$A$5:$A$560,0)))),ISNUMBER(SEARCH("×Enable",INDEX($I$5:$I$560,MATCH(B531,$A$5:$A$560,0))))),1,""),""))</x:f>
      </x:c>
      <x:c r="Q531" t="n">
        <x:f>IF(E531="","",--(XMATCH(E531,$E$5:E531,0)=ROWS($E$5:E531)))</x:f>
        <x:v>1</x:v>
      </x:c>
      <x:c r="R531" t="n">
        <x:f>IF(Q531=1,SUM($Q$5:Q531),"")</x:f>
        <x:v>374</x:v>
      </x:c>
    </x:row>
    <x:row r="532">
      <x:c r="A532" s="12" t="str">
        <x:v>T528</x:v>
      </x:c>
      <x:c r="B532" s="12" t="str">
        <x:v>T520</x:v>
      </x:c>
      <x:c r="C532" s="12" t="n">
        <x:v>2</x:v>
      </x:c>
      <x:c r="D532" s="12" t="str">
        <x:v>アクティブ放電制御重量</x:v>
      </x:c>
      <x:c r="E532" s="12" t="str">
        <x:v>M_active_discharge_ctrl</x:v>
      </x:c>
      <x:c r="F532" s="48" t="n">
        <x:f>'01_入力仕様'!D293*'01_入力仕様'!D281</x:f>
        <x:v>0</x:v>
      </x:c>
      <x:c r="G532" s="48" t="str">
        <x:v>kg</x:v>
      </x:c>
      <x:c r="H532" s="48" t="n">
        <x:f>ABS(K532)*$F$5</x:f>
        <x:v>0</x:v>
      </x:c>
      <x:c r="I532" s="12" t="str">
        <x:v>Enable_active_discharge×m_active_discharge_ctrl</x:v>
      </x:c>
      <x:c r="J532" s="48" t="n">
        <x:f>F532/F524</x:f>
        <x:v>0</x:v>
      </x:c>
      <x:c r="K532" s="48" t="n">
        <x:f>K524*J532</x:f>
        <x:v>0</x:v>
      </x:c>
      <x:c r="L532" s="12" t="str">
        <x:f>IF(K532&gt;0,"増加→総重量増",IF(K532&lt;0,"増加→総重量減","中立"))</x:f>
        <x:v>中立</x:v>
      </x:c>
      <x:c r="M532" s="12" t="str">
        <x:v>設計対象</x:v>
      </x:c>
      <x:c r="N532" s="12" t="str"/>
      <x:c r="O532" s="229" t="n">
        <x:f>--(COUNTIF($B$5:$B$560,A532)=0)</x:f>
        <x:v>0</x:v>
      </x:c>
      <x:c r="P532" s="70" t="str">
        <x:f>IF(LEFT(E532,7)&lt;&gt;"Enable_","",IFERROR(IF(OR(ISNUMBER(SEARCH("=Enable",INDEX($I$5:$I$560,MATCH(B532,$A$5:$A$560,0)))),ISNUMBER(SEARCH("×Enable",INDEX($I$5:$I$560,MATCH(B532,$A$5:$A$560,0))))),1,""),""))</x:f>
      </x:c>
      <x:c r="Q532" t="n">
        <x:f>IF(E532="","",--(XMATCH(E532,$E$5:E532,0)=ROWS($E$5:E532)))</x:f>
        <x:v>1</x:v>
      </x:c>
      <x:c r="R532" t="n">
        <x:f>IF(Q532=1,SUM($Q$5:Q532),"")</x:f>
        <x:v>375</x:v>
      </x:c>
    </x:row>
    <x:row r="533">
      <x:c r="A533" s="12" t="str">
        <x:v>T529</x:v>
      </x:c>
      <x:c r="B533" s="12" t="str">
        <x:v>T528</x:v>
      </x:c>
      <x:c r="C533" s="12" t="n">
        <x:v>3</x:v>
      </x:c>
      <x:c r="D533" s="12" t="str">
        <x:v>アクティブ放電有効</x:v>
      </x:c>
      <x:c r="E533" s="12" t="str">
        <x:v>Enable_active_discharge</x:v>
      </x:c>
      <x:c r="F533" s="48" t="n">
        <x:f>'01_入力仕様'!D293</x:f>
        <x:v>0</x:v>
      </x:c>
      <x:c r="G533" s="48" t="str">
        <x:v>0/1</x:v>
      </x:c>
      <x:c r="H533" s="48" t="n">
        <x:f>ABS(K533)*$F$5</x:f>
        <x:v>0.05</x:v>
      </x:c>
      <x:c r="I533" s="12" t="str">
        <x:v>入力仕様</x:v>
      </x:c>
      <x:c r="J533" s="48" t="n">
        <x:f>0</x:f>
        <x:v>0</x:v>
      </x:c>
      <x:c r="K533" s="48" t="n">
        <x:f>'01_入力仕様'!D281/$F$5</x:f>
        <x:v>0.005587941392083164</x:v>
      </x:c>
      <x:c r="L533" s="12" t="str">
        <x:f>IF(K533&gt;0,"増加→総重量増",IF(K533&lt;0,"増加→総重量減","中立"))</x:f>
        <x:v>増加→総重量増</x:v>
      </x:c>
      <x:c r="M533" s="12" t="str">
        <x:v>設計対象</x:v>
      </x:c>
      <x:c r="N533" s="12" t="str">
        <x:v>追加スイッチ/制御重量</x:v>
      </x:c>
      <x:c r="O533" s="229" t="n">
        <x:f>--(COUNTIF($B$5:$B$560,A533)=0)</x:f>
        <x:v>1</x:v>
      </x:c>
      <x:c r="P533" s="70" t="str">
        <x:f>IF(LEFT(E533,7)&lt;&gt;"Enable_","",IFERROR(IF(OR(ISNUMBER(SEARCH("=Enable",INDEX($I$5:$I$560,MATCH(B533,$A$5:$A$560,0)))),ISNUMBER(SEARCH("×Enable",INDEX($I$5:$I$560,MATCH(B533,$A$5:$A$560,0))))),1,""),""))</x:f>
      </x:c>
      <x:c r="Q533" t="n">
        <x:f>IF(E533="","",--(XMATCH(E533,$E$5:E533,0)=ROWS($E$5:E533)))</x:f>
        <x:v>0</x:v>
      </x:c>
      <x:c r="R533" t="str">
        <x:f>IF(Q533=1,SUM($Q$5:Q533),"")</x:f>
      </x:c>
    </x:row>
    <x:row r="534">
      <x:c r="A534" s="12" t="str">
        <x:v>T530</x:v>
      </x:c>
      <x:c r="B534" s="12" t="str">
        <x:v>T032</x:v>
      </x:c>
      <x:c r="C534" s="12" t="n">
        <x:v>4</x:v>
      </x:c>
      <x:c r="D534" s="12" t="str">
        <x:v>放電回路待機損失</x:v>
      </x:c>
      <x:c r="E534" s="12" t="str">
        <x:v>P_discharge_standby</x:v>
      </x:c>
      <x:c r="F534" s="48" t="n">
        <x:f>F530*((1-'01_入力仕様'!D293)+'01_入力仕様'!D293*'01_入力仕様'!D279)</x:f>
        <x:v>547.7699530416761</x:v>
      </x:c>
      <x:c r="G534" s="48" t="str">
        <x:v>W</x:v>
      </x:c>
      <x:c r="H534" s="48" t="n">
        <x:f>ABS(K534)*$F$5</x:f>
        <x:v>0.04549336351273188</x:v>
      </x:c>
      <x:c r="I534" s="12" t="str">
        <x:v>P_bleed_base×[(1-Eactive)+Eactive×k_standby_active]</x:v>
      </x:c>
      <x:c r="J534" s="48" t="n">
        <x:f>F534/(F38+F444+F467+F479+F488+F504+F516+F534)</x:f>
        <x:v>0.22828107035813539</x:v>
      </x:c>
      <x:c r="K534" s="48" t="n">
        <x:f>K36*J534</x:f>
        <x:v>0.005084284980757608</x:v>
      </x:c>
      <x:c r="L534" s="12" t="str">
        <x:f>IF(K534&gt;0,"増加→総重量増",IF(K534&lt;0,"増加→総重量減","中立"))</x:f>
        <x:v>増加→総重量増</x:v>
      </x:c>
      <x:c r="M534" s="12" t="str">
        <x:v>設計対象</x:v>
      </x:c>
      <x:c r="N534" s="12" t="str"/>
      <x:c r="O534" s="229" t="n">
        <x:f>--(COUNTIF($B$5:$B$560,A534)=0)</x:f>
        <x:v>0</x:v>
      </x:c>
      <x:c r="P534" s="70" t="str">
        <x:f>IF(LEFT(E534,7)&lt;&gt;"Enable_","",IFERROR(IF(OR(ISNUMBER(SEARCH("=Enable",INDEX($I$5:$I$560,MATCH(B534,$A$5:$A$560,0)))),ISNUMBER(SEARCH("×Enable",INDEX($I$5:$I$560,MATCH(B534,$A$5:$A$560,0))))),1,""),""))</x:f>
      </x:c>
      <x:c r="Q534" t="n">
        <x:f>IF(E534="","",--(XMATCH(E534,$E$5:E534,0)=ROWS($E$5:E534)))</x:f>
        <x:v>1</x:v>
      </x:c>
      <x:c r="R534" t="n">
        <x:f>IF(Q534=1,SUM($Q$5:Q534),"")</x:f>
        <x:v>376</x:v>
      </x:c>
    </x:row>
    <x:row r="535">
      <x:c r="A535" s="12" t="str">
        <x:v>T531</x:v>
      </x:c>
      <x:c r="B535" s="12" t="str">
        <x:v>T530</x:v>
      </x:c>
      <x:c r="C535" s="12" t="n">
        <x:v>5</x:v>
      </x:c>
      <x:c r="D535" s="12" t="str">
        <x:v>アクティブ放電有効</x:v>
      </x:c>
      <x:c r="E535" s="12" t="str">
        <x:v>Enable_active_discharge</x:v>
      </x:c>
      <x:c r="F535" s="48" t="n">
        <x:f>'01_入力仕様'!D293</x:f>
        <x:v>0</x:v>
      </x:c>
      <x:c r="G535" s="48" t="str">
        <x:v>0/1</x:v>
      </x:c>
      <x:c r="H535" s="48" t="n">
        <x:f>ABS(K535)*$F$5</x:f>
        <x:v>0.04458349624247725</x:v>
      </x:c>
      <x:c r="I535" s="12" t="str">
        <x:v>入力仕様</x:v>
      </x:c>
      <x:c r="J535" s="48" t="n">
        <x:f>0</x:f>
        <x:v>0</x:v>
      </x:c>
      <x:c r="K535" s="48" t="n">
        <x:f>(F35/F36)*'01_入力仕様'!D51*((F530*('01_入力仕様'!D279-1)))/$F$5</x:f>
        <x:v>-0.0049825992811424556</x:v>
      </x:c>
      <x:c r="L535" s="12" t="str">
        <x:f>IF(K535&gt;0,"増加→総重量増",IF(K535&lt;0,"増加→総重量減","中立"))</x:f>
        <x:v>増加→総重量減</x:v>
      </x:c>
      <x:c r="M535" s="12" t="str">
        <x:v>設計対象</x:v>
      </x:c>
      <x:c r="N535" s="12" t="str">
        <x:v>待機損失低減の離散効果</x:v>
      </x:c>
      <x:c r="O535" s="229" t="n">
        <x:f>--(COUNTIF($B$5:$B$560,A535)=0)</x:f>
        <x:v>1</x:v>
      </x:c>
      <x:c r="P535" s="70" t="str">
        <x:f>IF(LEFT(E535,7)&lt;&gt;"Enable_","",IFERROR(IF(OR(ISNUMBER(SEARCH("=Enable",INDEX($I$5:$I$560,MATCH(B535,$A$5:$A$560,0)))),ISNUMBER(SEARCH("×Enable",INDEX($I$5:$I$560,MATCH(B535,$A$5:$A$560,0))))),1,""),""))</x:f>
      </x:c>
      <x:c r="Q535" t="n">
        <x:f>IF(E535="","",--(XMATCH(E535,$E$5:E535,0)=ROWS($E$5:E535)))</x:f>
        <x:v>0</x:v>
      </x:c>
      <x:c r="R535" t="str">
        <x:f>IF(Q535=1,SUM($Q$5:Q535),"")</x:f>
      </x:c>
    </x:row>
    <x:row r="536">
      <x:c r="A536" s="12" t="str">
        <x:v>T532</x:v>
      </x:c>
      <x:c r="B536" s="12" t="str">
        <x:v>T031</x:v>
      </x:c>
      <x:c r="C536" s="12" t="n">
        <x:v>3</x:v>
      </x:c>
      <x:c r="D536" s="12" t="str">
        <x:v>高度冷却パッケージ熱係数</x:v>
      </x:c>
      <x:c r="E536" s="12" t="str">
        <x:v>k_pkg_cooling</x:v>
      </x:c>
      <x:c r="F536" s="48" t="n">
        <x:f>1-'01_入力仕様'!D294*'01_入力仕様'!D282</x:f>
        <x:v>1</x:v>
      </x:c>
      <x:c r="G536" s="48" t="str">
        <x:v>-</x:v>
      </x:c>
      <x:c r="H536" s="48" t="n">
        <x:f>ABS(K536)*$F$5</x:f>
        <x:v>0.19928662258925056</x:v>
      </x:c>
      <x:c r="I536" s="12" t="str">
        <x:v>1-Package_mode×k_pkg_Rth_reduce</x:v>
      </x:c>
      <x:c r="J536" s="48" t="n">
        <x:f>1</x:f>
        <x:v>1</x:v>
      </x:c>
      <x:c r="K536" s="48" t="n">
        <x:f>K35*J536</x:f>
        <x:v>0.022272039345098575</x:v>
      </x:c>
      <x:c r="L536" s="12" t="str">
        <x:f>IF(K536&gt;0,"増加→総重量増",IF(K536&lt;0,"増加→総重量減","中立"))</x:f>
        <x:v>増加→総重量増</x:v>
      </x:c>
      <x:c r="M536" s="12" t="str">
        <x:v>設計対象</x:v>
      </x:c>
      <x:c r="N536" s="12" t="str"/>
      <x:c r="O536" s="229" t="n">
        <x:f>--(COUNTIF($B$5:$B$560,A536)=0)</x:f>
        <x:v>0</x:v>
      </x:c>
      <x:c r="P536" s="70" t="str">
        <x:f>IF(LEFT(E536,7)&lt;&gt;"Enable_","",IFERROR(IF(OR(ISNUMBER(SEARCH("=Enable",INDEX($I$5:$I$560,MATCH(B536,$A$5:$A$560,0)))),ISNUMBER(SEARCH("×Enable",INDEX($I$5:$I$560,MATCH(B536,$A$5:$A$560,0))))),1,""),""))</x:f>
      </x:c>
      <x:c r="Q536" t="n">
        <x:f>IF(E536="","",--(XMATCH(E536,$E$5:E536,0)=ROWS($E$5:E536)))</x:f>
        <x:v>1</x:v>
      </x:c>
      <x:c r="R536" t="n">
        <x:f>IF(Q536=1,SUM($Q$5:Q536),"")</x:f>
        <x:v>377</x:v>
      </x:c>
    </x:row>
    <x:row r="537">
      <x:c r="A537" s="12" t="str">
        <x:v>T533</x:v>
      </x:c>
      <x:c r="B537" s="12" t="str">
        <x:v>T532</x:v>
      </x:c>
      <x:c r="C537" s="12" t="n">
        <x:v>4</x:v>
      </x:c>
      <x:c r="D537" s="12" t="str">
        <x:v>高度冷却パッケージ有効</x:v>
      </x:c>
      <x:c r="E537" s="12" t="str">
        <x:v>Package_cooling_mode</x:v>
      </x:c>
      <x:c r="F537" s="48" t="n">
        <x:f>'01_入力仕様'!D294</x:f>
        <x:v>0</x:v>
      </x:c>
      <x:c r="G537" s="48" t="str">
        <x:v>0/1</x:v>
      </x:c>
      <x:c r="H537" s="48" t="n">
        <x:f>ABS(K537)*$F$5</x:f>
        <x:v>0.059785986776775164</x:v>
      </x:c>
      <x:c r="I537" s="12" t="str">
        <x:v>入力仕様</x:v>
      </x:c>
      <x:c r="J537" s="48" t="n">
        <x:f>0</x:f>
        <x:v>0</x:v>
      </x:c>
      <x:c r="K537" s="48" t="n">
        <x:f>-K35*'01_入力仕様'!D282</x:f>
        <x:v>-0.006681611803529572</x:v>
      </x:c>
      <x:c r="L537" s="12" t="str">
        <x:f>IF(K537&gt;0,"増加→総重量増",IF(K537&lt;0,"増加→総重量減","中立"))</x:f>
        <x:v>増加→総重量減</x:v>
      </x:c>
      <x:c r="M537" s="12" t="str">
        <x:v>設計対象</x:v>
      </x:c>
      <x:c r="N537" s="12" t="str">
        <x:v>0→1で冷却器必要重量低減</x:v>
      </x:c>
      <x:c r="O537" s="229" t="n">
        <x:f>--(COUNTIF($B$5:$B$560,A537)=0)</x:f>
        <x:v>1</x:v>
      </x:c>
      <x:c r="P537" s="70" t="str">
        <x:f>IF(LEFT(E537,7)&lt;&gt;"Enable_","",IFERROR(IF(OR(ISNUMBER(SEARCH("=Enable",INDEX($I$5:$I$560,MATCH(B537,$A$5:$A$560,0)))),ISNUMBER(SEARCH("×Enable",INDEX($I$5:$I$560,MATCH(B537,$A$5:$A$560,0))))),1,""),""))</x:f>
      </x:c>
      <x:c r="Q537" t="n">
        <x:f>IF(E537="","",--(XMATCH(E537,$E$5:E537,0)=ROWS($E$5:E537)))</x:f>
        <x:v>1</x:v>
      </x:c>
      <x:c r="R537" t="n">
        <x:f>IF(Q537=1,SUM($Q$5:Q537),"")</x:f>
        <x:v>378</x:v>
      </x:c>
    </x:row>
    <x:row r="538">
      <x:c r="A538" s="12" t="str">
        <x:v>T534</x:v>
      </x:c>
      <x:c r="B538" s="12" t="str">
        <x:v>T013</x:v>
      </x:c>
      <x:c r="C538" s="12" t="n">
        <x:v>7</x:v>
      </x:c>
      <x:c r="D538" s="12" t="str">
        <x:v>パッケージ電流密度係数</x:v>
      </x:c>
      <x:c r="E538" s="12" t="str">
        <x:v>k_pkg_J</x:v>
      </x:c>
      <x:c r="F538" s="48" t="n">
        <x:f>1+'01_入力仕様'!D294*'01_入力仕様'!D283</x:f>
        <x:v>1</x:v>
      </x:c>
      <x:c r="G538" s="48" t="str">
        <x:v>-</x:v>
      </x:c>
      <x:c r="H538" s="48" t="n">
        <x:f>ABS(K538)*$F$5</x:f>
        <x:v>0.0008197709152575105</x:v>
      </x:c>
      <x:c r="I538" s="12" t="str">
        <x:v>1+Package_mode×k_pkg_J_gain</x:v>
      </x:c>
      <x:c r="J538" s="48" t="n">
        <x:f>1</x:f>
        <x:v>1</x:v>
      </x:c>
      <x:c r="K538" s="48" t="n">
        <x:f>K17*J538</x:f>
        <x:v>-0.00009161663658786684</x:v>
      </x:c>
      <x:c r="L538" s="12" t="str">
        <x:f>IF(K538&gt;0,"増加→総重量増",IF(K538&lt;0,"増加→総重量減","中立"))</x:f>
        <x:v>増加→総重量減</x:v>
      </x:c>
      <x:c r="M538" s="12" t="str">
        <x:v>設計対象</x:v>
      </x:c>
      <x:c r="N538" s="12" t="str"/>
      <x:c r="O538" s="229" t="n">
        <x:f>--(COUNTIF($B$5:$B$560,A538)=0)</x:f>
        <x:v>0</x:v>
      </x:c>
      <x:c r="P538" s="70" t="str">
        <x:f>IF(LEFT(E538,7)&lt;&gt;"Enable_","",IFERROR(IF(OR(ISNUMBER(SEARCH("=Enable",INDEX($I$5:$I$560,MATCH(B538,$A$5:$A$560,0)))),ISNUMBER(SEARCH("×Enable",INDEX($I$5:$I$560,MATCH(B538,$A$5:$A$560,0))))),1,""),""))</x:f>
      </x:c>
      <x:c r="Q538" t="n">
        <x:f>IF(E538="","",--(XMATCH(E538,$E$5:E538,0)=ROWS($E$5:E538)))</x:f>
        <x:v>1</x:v>
      </x:c>
      <x:c r="R538" t="n">
        <x:f>IF(Q538=1,SUM($Q$5:Q538),"")</x:f>
        <x:v>379</x:v>
      </x:c>
    </x:row>
    <x:row r="539">
      <x:c r="A539" s="12" t="str">
        <x:v>T535</x:v>
      </x:c>
      <x:c r="B539" s="12" t="str">
        <x:v>T534</x:v>
      </x:c>
      <x:c r="C539" s="12" t="n">
        <x:v>8</x:v>
      </x:c>
      <x:c r="D539" s="12" t="str">
        <x:v>高度冷却パッケージ有効</x:v>
      </x:c>
      <x:c r="E539" s="12" t="str">
        <x:v>Package_cooling_mode</x:v>
      </x:c>
      <x:c r="F539" s="48" t="n">
        <x:f>'01_入力仕様'!D294</x:f>
        <x:v>0</x:v>
      </x:c>
      <x:c r="G539" s="48" t="str">
        <x:v>0/1</x:v>
      </x:c>
      <x:c r="H539" s="48" t="n">
        <x:f>ABS(K539)*$F$5</x:f>
        <x:v>0.00012296563728862657</x:v>
      </x:c>
      <x:c r="I539" s="12" t="str">
        <x:v>入力仕様</x:v>
      </x:c>
      <x:c r="J539" s="48" t="n">
        <x:f>0</x:f>
        <x:v>0</x:v>
      </x:c>
      <x:c r="K539" s="48" t="n">
        <x:f>-K17*'01_入力仕様'!D283</x:f>
        <x:v>0.000013742495488180025</x:v>
      </x:c>
      <x:c r="L539" s="12" t="str">
        <x:f>IF(K539&gt;0,"増加→総重量増",IF(K539&lt;0,"増加→総重量減","中立"))</x:f>
        <x:v>増加→総重量増</x:v>
      </x:c>
      <x:c r="M539" s="12" t="str">
        <x:v>設計対象</x:v>
      </x:c>
      <x:c r="N539" s="12" t="str">
        <x:v>熱制約緩和による電流密度向上</x:v>
      </x:c>
      <x:c r="O539" s="229" t="n">
        <x:f>--(COUNTIF($B$5:$B$560,A539)=0)</x:f>
        <x:v>1</x:v>
      </x:c>
      <x:c r="P539" s="70" t="str">
        <x:f>IF(LEFT(E539,7)&lt;&gt;"Enable_","",IFERROR(IF(OR(ISNUMBER(SEARCH("=Enable",INDEX($I$5:$I$560,MATCH(B539,$A$5:$A$560,0)))),ISNUMBER(SEARCH("×Enable",INDEX($I$5:$I$560,MATCH(B539,$A$5:$A$560,0))))),1,""),""))</x:f>
      </x:c>
      <x:c r="Q539" t="n">
        <x:f>IF(E539="","",--(XMATCH(E539,$E$5:E539,0)=ROWS($E$5:E539)))</x:f>
        <x:v>0</x:v>
      </x:c>
      <x:c r="R539" t="str">
        <x:f>IF(Q539=1,SUM($Q$5:Q539),"")</x:f>
      </x:c>
    </x:row>
    <x:row r="540">
      <x:c r="A540" s="12" t="str">
        <x:v>T536</x:v>
      </x:c>
      <x:c r="B540" s="12" t="str">
        <x:v>T001</x:v>
      </x:c>
      <x:c r="C540" s="12" t="n">
        <x:v>1</x:v>
      </x:c>
      <x:c r="D540" s="12" t="str">
        <x:v>高度冷却パッケージ追加重量</x:v>
      </x:c>
      <x:c r="E540" s="12" t="str">
        <x:v>M_pkg_advanced</x:v>
      </x:c>
      <x:c r="F540" s="48" t="n">
        <x:f>'01_入力仕様'!D294*'01_入力仕様'!D284</x:f>
        <x:v>0</x:v>
      </x:c>
      <x:c r="G540" s="48" t="str">
        <x:v>kg</x:v>
      </x:c>
      <x:c r="H540" s="48" t="n">
        <x:f>ABS(K540)*$F$5</x:f>
        <x:v>0</x:v>
      </x:c>
      <x:c r="I540" s="12" t="str">
        <x:v>Package_mode×m_pkg_advanced_delta</x:v>
      </x:c>
      <x:c r="J540" s="48" t="n">
        <x:f>F540/$F$5</x:f>
        <x:v>0</x:v>
      </x:c>
      <x:c r="K540" s="48" t="n">
        <x:f>J540</x:f>
        <x:v>0</x:v>
      </x:c>
      <x:c r="L540" s="12" t="str">
        <x:f>IF(K540&gt;0,"増加→総重量増",IF(K540&lt;0,"増加→総重量減","中立"))</x:f>
        <x:v>中立</x:v>
      </x:c>
      <x:c r="M540" s="12" t="str">
        <x:v>設計対象</x:v>
      </x:c>
      <x:c r="N540" s="12" t="str"/>
      <x:c r="O540" s="229" t="n">
        <x:f>--(COUNTIF($B$5:$B$560,A540)=0)</x:f>
        <x:v>0</x:v>
      </x:c>
      <x:c r="P540" s="70" t="str">
        <x:f>IF(LEFT(E540,7)&lt;&gt;"Enable_","",IFERROR(IF(OR(ISNUMBER(SEARCH("=Enable",INDEX($I$5:$I$560,MATCH(B540,$A$5:$A$560,0)))),ISNUMBER(SEARCH("×Enable",INDEX($I$5:$I$560,MATCH(B540,$A$5:$A$560,0))))),1,""),""))</x:f>
      </x:c>
      <x:c r="Q540" t="n">
        <x:f>IF(E540="","",--(XMATCH(E540,$E$5:E540,0)=ROWS($E$5:E540)))</x:f>
        <x:v>1</x:v>
      </x:c>
      <x:c r="R540" t="n">
        <x:f>IF(Q540=1,SUM($Q$5:Q540),"")</x:f>
        <x:v>380</x:v>
      </x:c>
    </x:row>
    <x:row r="541">
      <x:c r="A541" s="12" t="str">
        <x:v>T537</x:v>
      </x:c>
      <x:c r="B541" s="12" t="str">
        <x:v>T536</x:v>
      </x:c>
      <x:c r="C541" s="12" t="n">
        <x:v>2</x:v>
      </x:c>
      <x:c r="D541" s="12" t="str">
        <x:v>高度冷却パッケージ有効</x:v>
      </x:c>
      <x:c r="E541" s="12" t="str">
        <x:v>Package_cooling_mode</x:v>
      </x:c>
      <x:c r="F541" s="48" t="n">
        <x:f>'01_入力仕様'!D294</x:f>
        <x:v>0</x:v>
      </x:c>
      <x:c r="G541" s="48" t="str">
        <x:v>0/1</x:v>
      </x:c>
      <x:c r="H541" s="48" t="n">
        <x:f>ABS(K541)*$F$5</x:f>
        <x:v>0.08</x:v>
      </x:c>
      <x:c r="I541" s="12" t="str">
        <x:v>入力仕様</x:v>
      </x:c>
      <x:c r="J541" s="48" t="n">
        <x:f>0</x:f>
        <x:v>0</x:v>
      </x:c>
      <x:c r="K541" s="48" t="n">
        <x:f>'01_入力仕様'!D284/$F$5</x:f>
        <x:v>0.008940706227333062</x:v>
      </x:c>
      <x:c r="L541" s="12" t="str">
        <x:f>IF(K541&gt;0,"増加→総重量増",IF(K541&lt;0,"増加→総重量減","中立"))</x:f>
        <x:v>増加→総重量増</x:v>
      </x:c>
      <x:c r="M541" s="12" t="str">
        <x:v>設計対象</x:v>
      </x:c>
      <x:c r="N541" s="12" t="str">
        <x:v>クランプ/絶縁/構造追加重量</x:v>
      </x:c>
      <x:c r="O541" s="229" t="n">
        <x:f>--(COUNTIF($B$5:$B$560,A541)=0)</x:f>
        <x:v>1</x:v>
      </x:c>
      <x:c r="P541" s="70" t="str">
        <x:f>IF(LEFT(E541,7)&lt;&gt;"Enable_","",IFERROR(IF(OR(ISNUMBER(SEARCH("=Enable",INDEX($I$5:$I$560,MATCH(B541,$A$5:$A$560,0)))),ISNUMBER(SEARCH("×Enable",INDEX($I$5:$I$560,MATCH(B541,$A$5:$A$560,0))))),1,""),""))</x:f>
      </x:c>
      <x:c r="Q541" t="n">
        <x:f>IF(E541="","",--(XMATCH(E541,$E$5:E541,0)=ROWS($E$5:E541)))</x:f>
        <x:v>0</x:v>
      </x:c>
      <x:c r="R541" t="str">
        <x:f>IF(Q541=1,SUM($Q$5:Q541),"")</x:f>
      </x:c>
    </x:row>
    <x:row r="542">
      <x:c r="A542" s="12" t="str">
        <x:v>T538</x:v>
      </x:c>
      <x:c r="B542" s="12" t="str">
        <x:v>T457</x:v>
      </x:c>
      <x:c r="C542" s="12" t="n">
        <x:v>8</x:v>
      </x:c>
      <x:c r="D542" s="12" t="str">
        <x:v>Ron温度係数</x:v>
      </x:c>
      <x:c r="E542" s="12" t="str">
        <x:v>alpha_Ron_T</x:v>
      </x:c>
      <x:c r="F542" s="48" t="n">
        <x:f>'01_入力仕様'!D219</x:f>
        <x:v>0.0035</x:v>
      </x:c>
      <x:c r="G542" s="48" t="str">
        <x:v>1/K</x:v>
      </x:c>
      <x:c r="H542" s="48" t="n">
        <x:f>ABS(K542)*$F$5</x:f>
        <x:v>0.000046342852547960096</x:v>
      </x:c>
      <x:c r="I542" s="12" t="str">
        <x:v>入力仕様</x:v>
      </x:c>
      <x:c r="J542" s="48" t="n">
        <x:f>'01_入力仕様'!D219*('01_入力仕様'!D216-'01_入力仕様'!D217)/F461</x:f>
        <x:v>0.08045977011494254</x:v>
      </x:c>
      <x:c r="K542" s="48" t="n">
        <x:f>K461*J542</x:f>
        <x:v>0.000005179222879599058</x:v>
      </x:c>
      <x:c r="L542" s="12" t="str">
        <x:f>IF(K542&gt;0,"増加→総重量増",IF(K542&lt;0,"増加→総重量減","中立"))</x:f>
        <x:v>増加→総重量増</x:v>
      </x:c>
      <x:c r="M542" s="12" t="str">
        <x:v>設計対象</x:v>
      </x:c>
      <x:c r="N542" s="12" t="str"/>
      <x:c r="O542" s="229" t="n">
        <x:f>--(COUNTIF($B$5:$B$560,A542)=0)</x:f>
        <x:v>1</x:v>
      </x:c>
      <x:c r="P542" s="70" t="str">
        <x:f>IF(LEFT(E542,7)&lt;&gt;"Enable_","",IFERROR(IF(OR(ISNUMBER(SEARCH("=Enable",INDEX($I$5:$I$560,MATCH(B542,$A$5:$A$560,0)))),ISNUMBER(SEARCH("×Enable",INDEX($I$5:$I$560,MATCH(B542,$A$5:$A$560,0))))),1,""),""))</x:f>
      </x:c>
      <x:c r="Q542" t="n">
        <x:f>IF(E542="","",--(XMATCH(E542,$E$5:E542,0)=ROWS($E$5:E542)))</x:f>
        <x:v>1</x:v>
      </x:c>
      <x:c r="R542" t="n">
        <x:f>IF(Q542=1,SUM($Q$5:Q542),"")</x:f>
        <x:v>381</x:v>
      </x:c>
    </x:row>
    <x:row r="543">
      <x:c r="A543" s="12" t="str">
        <x:v>T539</x:v>
      </x:c>
      <x:c r="B543" s="12" t="str">
        <x:v>T457</x:v>
      </x:c>
      <x:c r="C543" s="12" t="n">
        <x:v>8</x:v>
      </x:c>
      <x:c r="D543" s="12" t="str">
        <x:v>Ron基準温度</x:v>
      </x:c>
      <x:c r="E543" s="12" t="str">
        <x:v>Tj_ref</x:v>
      </x:c>
      <x:c r="F543" s="48" t="n">
        <x:f>'01_入力仕様'!D217</x:f>
        <x:v>125</x:v>
      </x:c>
      <x:c r="G543" s="48" t="str">
        <x:v>degC</x:v>
      </x:c>
      <x:c r="H543" s="48" t="n">
        <x:f>ABS(K543)*$F$5</x:f>
        <x:v>0.00023171426273980045</x:v>
      </x:c>
      <x:c r="I543" s="12" t="str">
        <x:v>入力仕様</x:v>
      </x:c>
      <x:c r="J543" s="48" t="n">
        <x:f>-'01_入力仕様'!D217*'01_入力仕様'!D219/F461</x:f>
        <x:v>-0.40229885057471265</x:v>
      </x:c>
      <x:c r="K543" s="48" t="n">
        <x:f>K461*J543</x:f>
        <x:v>-0.00002589611439799529</x:v>
      </x:c>
      <x:c r="L543" s="12" t="str">
        <x:f>IF(K543&gt;0,"増加→総重量増",IF(K543&lt;0,"増加→総重量減","中立"))</x:f>
        <x:v>増加→総重量減</x:v>
      </x:c>
      <x:c r="M543" s="12" t="str">
        <x:v>設計対象</x:v>
      </x:c>
      <x:c r="N543" s="12" t="str"/>
      <x:c r="O543" s="229" t="n">
        <x:f>--(COUNTIF($B$5:$B$560,A543)=0)</x:f>
        <x:v>1</x:v>
      </x:c>
      <x:c r="P543" s="70" t="str">
        <x:f>IF(LEFT(E543,7)&lt;&gt;"Enable_","",IFERROR(IF(OR(ISNUMBER(SEARCH("=Enable",INDEX($I$5:$I$560,MATCH(B543,$A$5:$A$560,0)))),ISNUMBER(SEARCH("×Enable",INDEX($I$5:$I$560,MATCH(B543,$A$5:$A$560,0))))),1,""),""))</x:f>
      </x:c>
      <x:c r="Q543" t="n">
        <x:f>IF(E543="","",--(XMATCH(E543,$E$5:E543,0)=ROWS($E$5:E543)))</x:f>
        <x:v>1</x:v>
      </x:c>
      <x:c r="R543" t="n">
        <x:f>IF(Q543=1,SUM($Q$5:Q543),"")</x:f>
        <x:v>382</x:v>
      </x:c>
    </x:row>
    <x:row r="544">
      <x:c r="A544" s="12" t="str">
        <x:v>T540</x:v>
      </x:c>
      <x:c r="B544" s="12" t="str">
        <x:v>T364</x:v>
      </x:c>
      <x:c r="C544" s="12" t="n">
        <x:v>3</x:v>
      </x:c>
      <x:c r="D544" s="12" t="str">
        <x:v>ケーブル長CM係数</x:v>
      </x:c>
      <x:c r="E544" s="12" t="str">
        <x:v>k_cable_cm</x:v>
      </x:c>
      <x:c r="F544" s="48" t="n">
        <x:f>MAX(0.5,('01_入力仕様'!D272/'01_入力仕様'!D286)^'01_入力仕様'!D287)</x:f>
        <x:v>1</x:v>
      </x:c>
      <x:c r="G544" s="48" t="str">
        <x:v>-</x:v>
      </x:c>
      <x:c r="H544" s="48" t="n">
        <x:f>ABS(K544)*$F$5</x:f>
        <x:v>0.20000000000000004</x:v>
      </x:c>
      <x:c r="I544" s="12" t="str">
        <x:v>(L_cable/L_ref)^a_cable_cm</x:v>
      </x:c>
      <x:c r="J544" s="48" t="n">
        <x:f>1</x:f>
        <x:v>1</x:v>
      </x:c>
      <x:c r="K544" s="48" t="n">
        <x:f>K368*J544</x:f>
        <x:v>0.022351765568332658</x:v>
      </x:c>
      <x:c r="L544" s="12" t="str">
        <x:f>IF(K544&gt;0,"増加→総重量増",IF(K544&lt;0,"増加→総重量減","中立"))</x:f>
        <x:v>増加→総重量増</x:v>
      </x:c>
      <x:c r="M544" s="12" t="str">
        <x:v>設計対象</x:v>
      </x:c>
      <x:c r="N544" s="12" t="str"/>
      <x:c r="O544" s="229" t="n">
        <x:f>--(COUNTIF($B$5:$B$560,A544)=0)</x:f>
        <x:v>0</x:v>
      </x:c>
      <x:c r="P544" s="70" t="str">
        <x:f>IF(LEFT(E544,7)&lt;&gt;"Enable_","",IFERROR(IF(OR(ISNUMBER(SEARCH("=Enable",INDEX($I$5:$I$560,MATCH(B544,$A$5:$A$560,0)))),ISNUMBER(SEARCH("×Enable",INDEX($I$5:$I$560,MATCH(B544,$A$5:$A$560,0))))),1,""),""))</x:f>
      </x:c>
      <x:c r="Q544" t="n">
        <x:f>IF(E544="","",--(XMATCH(E544,$E$5:E544,0)=ROWS($E$5:E544)))</x:f>
        <x:v>1</x:v>
      </x:c>
      <x:c r="R544" t="n">
        <x:f>IF(Q544=1,SUM($Q$5:Q544),"")</x:f>
        <x:v>383</x:v>
      </x:c>
    </x:row>
    <x:row r="545">
      <x:c r="A545" s="12" t="str">
        <x:v>T541</x:v>
      </x:c>
      <x:c r="B545" s="12" t="str">
        <x:v>T540</x:v>
      </x:c>
      <x:c r="C545" s="12" t="n">
        <x:v>4</x:v>
      </x:c>
      <x:c r="D545" s="12" t="str">
        <x:v>モータケーブル長</x:v>
      </x:c>
      <x:c r="E545" s="12" t="str">
        <x:v>L_cable</x:v>
      </x:c>
      <x:c r="F545" s="48" t="n">
        <x:f>'01_入力仕様'!D272</x:f>
        <x:v>2</x:v>
      </x:c>
      <x:c r="G545" s="48" t="str">
        <x:v>m</x:v>
      </x:c>
      <x:c r="H545" s="48" t="n">
        <x:f>ABS(K545)*$F$5</x:f>
        <x:v>0.14</x:v>
      </x:c>
      <x:c r="I545" s="12" t="str">
        <x:v>入力仕様</x:v>
      </x:c>
      <x:c r="J545" s="48" t="n">
        <x:f>0</x:f>
        <x:v>0</x:v>
      </x:c>
      <x:c r="K545" s="48" t="n">
        <x:f>K544*'01_入力仕様'!D287</x:f>
        <x:v>0.015646235897832858</x:v>
      </x:c>
      <x:c r="L545" s="12" t="str">
        <x:f>IF(K545&gt;0,"要求増→総重量増",IF(K545&lt;0,"要求増→総重量減","中立"))</x:f>
        <x:v>要求増→総重量増</x:v>
      </x:c>
      <x:c r="M545" s="12" t="str">
        <x:v>システム要求</x:v>
      </x:c>
      <x:c r="N545" s="12" t="str">
        <x:v>上位システム要求</x:v>
      </x:c>
      <x:c r="O545" s="229" t="n">
        <x:f>--(COUNTIF($B$5:$B$560,A545)=0)</x:f>
        <x:v>1</x:v>
      </x:c>
      <x:c r="P545" s="70" t="str">
        <x:f>IF(LEFT(E545,7)&lt;&gt;"Enable_","",IFERROR(IF(OR(ISNUMBER(SEARCH("=Enable",INDEX($I$5:$I$560,MATCH(B545,$A$5:$A$560,0)))),ISNUMBER(SEARCH("×Enable",INDEX($I$5:$I$560,MATCH(B545,$A$5:$A$560,0))))),1,""),""))</x:f>
      </x:c>
      <x:c r="Q545" t="n">
        <x:f>IF(E545="","",--(XMATCH(E545,$E$5:E545,0)=ROWS($E$5:E545)))</x:f>
        <x:v>1</x:v>
      </x:c>
      <x:c r="R545" t="n">
        <x:f>IF(Q545=1,SUM($Q$5:Q545),"")</x:f>
        <x:v>384</x:v>
      </x:c>
    </x:row>
    <x:row r="546">
      <x:c r="A546" s="12" t="str">
        <x:v>T542</x:v>
      </x:c>
      <x:c r="B546" s="12" t="str">
        <x:v>T540</x:v>
      </x:c>
      <x:c r="C546" s="12" t="n">
        <x:v>4</x:v>
      </x:c>
      <x:c r="D546" s="12" t="str">
        <x:v>ケーブル対地容量</x:v>
      </x:c>
      <x:c r="E546" s="12" t="str">
        <x:v>C_cable</x:v>
      </x:c>
      <x:c r="F546" s="48" t="n">
        <x:f>'01_入力仕様'!D285*'01_入力仕様'!D272</x:f>
        <x:v>3e-10</x:v>
      </x:c>
      <x:c r="G546" s="48" t="str">
        <x:v>F</x:v>
      </x:c>
      <x:c r="H546" s="48" t="n">
        <x:f>ABS(K546)*$F$5</x:f>
        <x:v>0</x:v>
      </x:c>
      <x:c r="I546" s="12" t="str">
        <x:v>C_per_m×L_cable</x:v>
      </x:c>
      <x:c r="J546" s="48" t="n">
        <x:f>0</x:f>
        <x:v>0</x:v>
      </x:c>
      <x:c r="K546" s="48" t="n">
        <x:f>0</x:f>
        <x:v>0</x:v>
      </x:c>
      <x:c r="L546" s="12" t="str">
        <x:f>IF(K546&gt;0,"増加→総重量増",IF(K546&lt;0,"増加→総重量減","中立"))</x:f>
        <x:v>中立</x:v>
      </x:c>
      <x:c r="M546" s="12" t="str">
        <x:v>設計対象</x:v>
      </x:c>
      <x:c r="N546" s="12" t="str"/>
      <x:c r="O546" s="229" t="n">
        <x:f>--(COUNTIF($B$5:$B$560,A546)=0)</x:f>
        <x:v>0</x:v>
      </x:c>
      <x:c r="P546" s="70" t="str">
        <x:f>IF(LEFT(E546,7)&lt;&gt;"Enable_","",IFERROR(IF(OR(ISNUMBER(SEARCH("=Enable",INDEX($I$5:$I$560,MATCH(B546,$A$5:$A$560,0)))),ISNUMBER(SEARCH("×Enable",INDEX($I$5:$I$560,MATCH(B546,$A$5:$A$560,0))))),1,""),""))</x:f>
      </x:c>
      <x:c r="Q546" t="n">
        <x:f>IF(E546="","",--(XMATCH(E546,$E$5:E546,0)=ROWS($E$5:E546)))</x:f>
        <x:v>1</x:v>
      </x:c>
      <x:c r="R546" t="n">
        <x:f>IF(Q546=1,SUM($Q$5:Q546),"")</x:f>
        <x:v>385</x:v>
      </x:c>
    </x:row>
    <x:row r="547">
      <x:c r="A547" s="12" t="str">
        <x:v>T543</x:v>
      </x:c>
      <x:c r="B547" s="12" t="str">
        <x:v>T542</x:v>
      </x:c>
      <x:c r="C547" s="12" t="n">
        <x:v>5</x:v>
      </x:c>
      <x:c r="D547" s="12" t="str">
        <x:v>CM変位電流指標</x:v>
      </x:c>
      <x:c r="E547" s="12" t="str">
        <x:v>I_cm_cable</x:v>
      </x:c>
      <x:c r="F547" s="48" t="n">
        <x:f>F546*F313</x:f>
        <x:v>4.8</x:v>
      </x:c>
      <x:c r="G547" s="48" t="str">
        <x:v>A</x:v>
      </x:c>
      <x:c r="H547" s="48" t="n">
        <x:f>ABS(K547)*$F$5</x:f>
        <x:v>0</x:v>
      </x:c>
      <x:c r="I547" s="12" t="str">
        <x:v>C_cable×dvdt</x:v>
      </x:c>
      <x:c r="J547" s="48" t="n">
        <x:f>0</x:f>
        <x:v>0</x:v>
      </x:c>
      <x:c r="K547" s="48" t="n">
        <x:f>0</x:f>
        <x:v>0</x:v>
      </x:c>
      <x:c r="L547" s="12" t="str">
        <x:f>IF(K547&gt;0,"増加→総重量増",IF(K547&lt;0,"増加→総重量減","中立"))</x:f>
        <x:v>中立</x:v>
      </x:c>
      <x:c r="M547" s="12" t="str">
        <x:v>設計対象</x:v>
      </x:c>
      <x:c r="N547" s="12" t="str"/>
      <x:c r="O547" s="229" t="n">
        <x:f>--(COUNTIF($B$5:$B$560,A547)=0)</x:f>
        <x:v>1</x:v>
      </x:c>
      <x:c r="P547" s="70" t="str">
        <x:f>IF(LEFT(E547,7)&lt;&gt;"Enable_","",IFERROR(IF(OR(ISNUMBER(SEARCH("=Enable",INDEX($I$5:$I$560,MATCH(B547,$A$5:$A$560,0)))),ISNUMBER(SEARCH("×Enable",INDEX($I$5:$I$560,MATCH(B547,$A$5:$A$560,0))))),1,""),""))</x:f>
      </x:c>
      <x:c r="Q547" t="n">
        <x:f>IF(E547="","",--(XMATCH(E547,$E$5:E547,0)=ROWS($E$5:E547)))</x:f>
        <x:v>1</x:v>
      </x:c>
      <x:c r="R547" t="n">
        <x:f>IF(Q547=1,SUM($Q$5:Q547),"")</x:f>
        <x:v>386</x:v>
      </x:c>
    </x:row>
    <x:row r="548">
      <x:c r="A548" s="12" t="str">
        <x:v>T544</x:v>
      </x:c>
      <x:c r="B548" s="12" t="str">
        <x:v>T308</x:v>
      </x:c>
      <x:c r="C548" s="12" t="n">
        <x:v>3</x:v>
      </x:c>
      <x:c r="D548" s="12" t="str">
        <x:v>ケーブル長dv/dt係数</x:v>
      </x:c>
      <x:c r="E548" s="12" t="str">
        <x:v>k_cable_dvdt</x:v>
      </x:c>
      <x:c r="F548" s="48" t="n">
        <x:f>MAX(0.5,('01_入力仕様'!D272/'01_入力仕様'!D286)^'01_入力仕様'!D288)</x:f>
        <x:v>1</x:v>
      </x:c>
      <x:c r="G548" s="48" t="str">
        <x:v>-</x:v>
      </x:c>
      <x:c r="H548" s="48" t="n">
        <x:f>ABS(K548)*$F$5</x:f>
        <x:v>0.08</x:v>
      </x:c>
      <x:c r="I548" s="12" t="str">
        <x:v>(L_cable/L_ref)^a_cable_dvdt</x:v>
      </x:c>
      <x:c r="J548" s="48" t="n">
        <x:f>1</x:f>
        <x:v>1</x:v>
      </x:c>
      <x:c r="K548" s="48" t="n">
        <x:f>K312*J548</x:f>
        <x:v>0.008940706227333062</x:v>
      </x:c>
      <x:c r="L548" s="12" t="str">
        <x:f>IF(K548&gt;0,"増加→総重量増",IF(K548&lt;0,"増加→総重量減","中立"))</x:f>
        <x:v>増加→総重量増</x:v>
      </x:c>
      <x:c r="M548" s="12" t="str">
        <x:v>設計対象</x:v>
      </x:c>
      <x:c r="N548" s="12" t="str"/>
      <x:c r="O548" s="229" t="n">
        <x:f>--(COUNTIF($B$5:$B$560,A548)=0)</x:f>
        <x:v>0</x:v>
      </x:c>
      <x:c r="P548" s="70" t="str">
        <x:f>IF(LEFT(E548,7)&lt;&gt;"Enable_","",IFERROR(IF(OR(ISNUMBER(SEARCH("=Enable",INDEX($I$5:$I$560,MATCH(B548,$A$5:$A$560,0)))),ISNUMBER(SEARCH("×Enable",INDEX($I$5:$I$560,MATCH(B548,$A$5:$A$560,0))))),1,""),""))</x:f>
      </x:c>
      <x:c r="Q548" t="n">
        <x:f>IF(E548="","",--(XMATCH(E548,$E$5:E548,0)=ROWS($E$5:E548)))</x:f>
        <x:v>1</x:v>
      </x:c>
      <x:c r="R548" t="n">
        <x:f>IF(Q548=1,SUM($Q$5:Q548),"")</x:f>
        <x:v>387</x:v>
      </x:c>
    </x:row>
    <x:row r="549">
      <x:c r="A549" s="12" t="str">
        <x:v>T545</x:v>
      </x:c>
      <x:c r="B549" s="12" t="str">
        <x:v>T544</x:v>
      </x:c>
      <x:c r="C549" s="12" t="n">
        <x:v>4</x:v>
      </x:c>
      <x:c r="D549" s="12" t="str">
        <x:v>モータケーブル長</x:v>
      </x:c>
      <x:c r="E549" s="12" t="str">
        <x:v>L_cable</x:v>
      </x:c>
      <x:c r="F549" s="48" t="n">
        <x:f>'01_入力仕様'!D272</x:f>
        <x:v>2</x:v>
      </x:c>
      <x:c r="G549" s="48" t="str">
        <x:v>m</x:v>
      </x:c>
      <x:c r="H549" s="48" t="n">
        <x:f>ABS(K549)*$F$5</x:f>
        <x:v>0.04</x:v>
      </x:c>
      <x:c r="I549" s="12" t="str">
        <x:v>入力仕様</x:v>
      </x:c>
      <x:c r="J549" s="48" t="n">
        <x:f>0</x:f>
        <x:v>0</x:v>
      </x:c>
      <x:c r="K549" s="48" t="n">
        <x:f>K548*'01_入力仕様'!D288</x:f>
        <x:v>0.004470353113666531</x:v>
      </x:c>
      <x:c r="L549" s="12" t="str">
        <x:f>IF(K549&gt;0,"要求増→総重量増",IF(K549&lt;0,"要求増→総重量減","中立"))</x:f>
        <x:v>要求増→総重量増</x:v>
      </x:c>
      <x:c r="M549" s="12" t="str">
        <x:v>システム要求</x:v>
      </x:c>
      <x:c r="N549" s="12" t="str">
        <x:v>上位システム要求</x:v>
      </x:c>
      <x:c r="O549" s="229" t="n">
        <x:f>--(COUNTIF($B$5:$B$560,A549)=0)</x:f>
        <x:v>1</x:v>
      </x:c>
      <x:c r="P549" s="70" t="str">
        <x:f>IF(LEFT(E549,7)&lt;&gt;"Enable_","",IFERROR(IF(OR(ISNUMBER(SEARCH("=Enable",INDEX($I$5:$I$560,MATCH(B549,$A$5:$A$560,0)))),ISNUMBER(SEARCH("×Enable",INDEX($I$5:$I$560,MATCH(B549,$A$5:$A$560,0))))),1,""),""))</x:f>
      </x:c>
      <x:c r="Q549" t="n">
        <x:f>IF(E549="","",--(XMATCH(E549,$E$5:E549,0)=ROWS($E$5:E549)))</x:f>
        <x:v>0</x:v>
      </x:c>
      <x:c r="R549" t="str">
        <x:f>IF(Q549=1,SUM($Q$5:Q549),"")</x:f>
      </x:c>
    </x:row>
    <x:row r="550">
      <x:c r="A550" s="12" t="str">
        <x:v>T546</x:v>
      </x:c>
      <x:c r="B550" s="12" t="str">
        <x:v>T077</x:v>
      </x:c>
      <x:c r="C550" s="12" t="n">
        <x:v>7</x:v>
      </x:c>
      <x:c r="D550" s="12" t="str">
        <x:v>f_sw要求内訳</x:v>
      </x:c>
      <x:c r="E550" s="12" t="str">
        <x:v>f_sw_req_detail</x:v>
      </x:c>
      <x:c r="F550" s="48" t="n">
        <x:f>'01_入力仕様'!D10</x:f>
        <x:v>16000</x:v>
      </x:c>
      <x:c r="G550" s="48" t="str">
        <x:v>Hz</x:v>
      </x:c>
      <x:c r="H550" s="48" t="n">
        <x:f>ABS(K550)*$F$5</x:f>
        <x:v>0.06724822027023014</x:v>
      </x:c>
      <x:c r="I550" s="12" t="str">
        <x:v>MAX(f_e×PWMratio, f_sw_ripple, f_sw_bw, audible)</x:v>
      </x:c>
      <x:c r="J550" s="48" t="n">
        <x:f>1</x:f>
        <x:v>1</x:v>
      </x:c>
      <x:c r="K550" s="48" t="n">
        <x:f>K81</x:f>
        <x:v>0.007515582271838901</x:v>
      </x:c>
      <x:c r="L550" s="12" t="str">
        <x:f>IF(K550&gt;0,"増加→総重量増",IF(K550&lt;0,"増加→総重量減","中立"))</x:f>
        <x:v>増加→総重量増</x:v>
      </x:c>
      <x:c r="M550" s="12" t="str">
        <x:v>設計対象</x:v>
      </x:c>
      <x:c r="N550" s="12" t="str"/>
      <x:c r="O550" s="229" t="n">
        <x:f>--(COUNTIF($B$5:$B$560,A550)=0)</x:f>
        <x:v>0</x:v>
      </x:c>
      <x:c r="P550" s="70" t="str">
        <x:f>IF(LEFT(E550,7)&lt;&gt;"Enable_","",IFERROR(IF(OR(ISNUMBER(SEARCH("=Enable",INDEX($I$5:$I$560,MATCH(B550,$A$5:$A$560,0)))),ISNUMBER(SEARCH("×Enable",INDEX($I$5:$I$560,MATCH(B550,$A$5:$A$560,0))))),1,""),""))</x:f>
      </x:c>
      <x:c r="Q550" t="n">
        <x:f>IF(E550="","",--(XMATCH(E550,$E$5:E550,0)=ROWS($E$5:E550)))</x:f>
        <x:v>1</x:v>
      </x:c>
      <x:c r="R550" t="n">
        <x:f>IF(Q550=1,SUM($Q$5:Q550),"")</x:f>
        <x:v>388</x:v>
      </x:c>
    </x:row>
    <x:row r="551">
      <x:c r="A551" s="12" t="str">
        <x:v>T547</x:v>
      </x:c>
      <x:c r="B551" s="12" t="str">
        <x:v>T546</x:v>
      </x:c>
      <x:c r="C551" s="12" t="n">
        <x:v>8</x:v>
      </x:c>
      <x:c r="D551" s="12" t="str">
        <x:v>電気周波数由来</x:v>
      </x:c>
      <x:c r="E551" s="12" t="str">
        <x:v>f_sw_electric</x:v>
      </x:c>
      <x:c r="F551" s="48" t="n">
        <x:f>'07_システム要求'!M9*'07_システム要求'!D16</x:f>
        <x:v>16000</x:v>
      </x:c>
      <x:c r="G551" s="48" t="str">
        <x:v>Hz</x:v>
      </x:c>
      <x:c r="H551" s="48" t="n">
        <x:f>ABS(K551)*$F$5</x:f>
        <x:v>0.06724822027023014</x:v>
      </x:c>
      <x:c r="I551" s="12" t="str">
        <x:v>f_e×PWMratio</x:v>
      </x:c>
      <x:c r="J551" s="48" t="n">
        <x:f>IF(ABS('07_システム要求'!M10-'07_システム要求'!M9*'07_システム要求'!D16)&lt;1E-6,1,0)</x:f>
        <x:v>1</x:v>
      </x:c>
      <x:c r="K551" s="48" t="n">
        <x:f>K550*J551</x:f>
        <x:v>0.007515582271838901</x:v>
      </x:c>
      <x:c r="L551" s="12" t="str">
        <x:f>IF(K551&gt;0,"増加→総重量増",IF(K551&lt;0,"増加→総重量減","中立"))</x:f>
        <x:v>増加→総重量増</x:v>
      </x:c>
      <x:c r="M551" s="12" t="str">
        <x:v>設計対象</x:v>
      </x:c>
      <x:c r="N551" s="12" t="str"/>
      <x:c r="O551" s="229" t="n">
        <x:f>--(COUNTIF($B$5:$B$560,A551)=0)</x:f>
        <x:v>1</x:v>
      </x:c>
      <x:c r="P551" s="70" t="str">
        <x:f>IF(LEFT(E551,7)&lt;&gt;"Enable_","",IFERROR(IF(OR(ISNUMBER(SEARCH("=Enable",INDEX($I$5:$I$560,MATCH(B551,$A$5:$A$560,0)))),ISNUMBER(SEARCH("×Enable",INDEX($I$5:$I$560,MATCH(B551,$A$5:$A$560,0))))),1,""),""))</x:f>
      </x:c>
      <x:c r="Q551" t="n">
        <x:f>IF(E551="","",--(XMATCH(E551,$E$5:E551,0)=ROWS($E$5:E551)))</x:f>
        <x:v>1</x:v>
      </x:c>
      <x:c r="R551" t="n">
        <x:f>IF(Q551=1,SUM($Q$5:Q551),"")</x:f>
        <x:v>389</x:v>
      </x:c>
    </x:row>
    <x:row r="552">
      <x:c r="A552" s="12" t="str">
        <x:v>T548</x:v>
      </x:c>
      <x:c r="B552" s="12" t="str">
        <x:v>T546</x:v>
      </x:c>
      <x:c r="C552" s="12" t="n">
        <x:v>8</x:v>
      </x:c>
      <x:c r="D552" s="12" t="str">
        <x:v>リップル要求由来</x:v>
      </x:c>
      <x:c r="E552" s="12" t="str">
        <x:v>f_sw_ripple</x:v>
      </x:c>
      <x:c r="F552" s="48" t="n">
        <x:f>'07_システム要求'!M22</x:f>
        <x:v>12898.31313128399</x:v>
      </x:c>
      <x:c r="G552" s="48" t="str">
        <x:v>Hz</x:v>
      </x:c>
      <x:c r="H552" s="48" t="n">
        <x:f>ABS(K552)*$F$5</x:f>
        <x:v>0</x:v>
      </x:c>
      <x:c r="I552" s="12" t="str">
        <x:v>kV×Vdc/(Lmotor×ripple×Ipk)</x:v>
      </x:c>
      <x:c r="J552" s="48" t="n">
        <x:f>IF(ABS('07_システム要求'!M10-'07_システム要求'!M22)&lt;1E-6,1,0)</x:f>
        <x:v>0</x:v>
      </x:c>
      <x:c r="K552" s="48" t="n">
        <x:f>K550*J552</x:f>
        <x:v>0</x:v>
      </x:c>
      <x:c r="L552" s="12" t="str">
        <x:f>IF(K552&gt;0,"増加→総重量増",IF(K552&lt;0,"増加→総重量減","中立"))</x:f>
        <x:v>中立</x:v>
      </x:c>
      <x:c r="M552" s="12" t="str">
        <x:v>設計対象</x:v>
      </x:c>
      <x:c r="N552" s="12" t="str"/>
      <x:c r="O552" s="229" t="n">
        <x:f>--(COUNTIF($B$5:$B$560,A552)=0)</x:f>
        <x:v>0</x:v>
      </x:c>
      <x:c r="P552" s="70" t="str">
        <x:f>IF(LEFT(E552,7)&lt;&gt;"Enable_","",IFERROR(IF(OR(ISNUMBER(SEARCH("=Enable",INDEX($I$5:$I$560,MATCH(B552,$A$5:$A$560,0)))),ISNUMBER(SEARCH("×Enable",INDEX($I$5:$I$560,MATCH(B552,$A$5:$A$560,0))))),1,""),""))</x:f>
      </x:c>
      <x:c r="Q552" t="n">
        <x:f>IF(E552="","",--(XMATCH(E552,$E$5:E552,0)=ROWS($E$5:E552)))</x:f>
        <x:v>1</x:v>
      </x:c>
      <x:c r="R552" t="n">
        <x:f>IF(Q552=1,SUM($Q$5:Q552),"")</x:f>
        <x:v>390</x:v>
      </x:c>
    </x:row>
    <x:row r="553">
      <x:c r="A553" s="12" t="str">
        <x:v>T549</x:v>
      </x:c>
      <x:c r="B553" s="12" t="str">
        <x:v>T548</x:v>
      </x:c>
      <x:c r="C553" s="12" t="n">
        <x:v>9</x:v>
      </x:c>
      <x:c r="D553" s="12" t="str">
        <x:v>許容相電流リップル率</x:v>
      </x:c>
      <x:c r="E553" s="12" t="str">
        <x:v>ripple_i_req</x:v>
      </x:c>
      <x:c r="F553" s="48" t="n">
        <x:f>'01_入力仕様'!D273</x:f>
        <x:v>0.1</x:v>
      </x:c>
      <x:c r="G553" s="48" t="str">
        <x:v>-</x:v>
      </x:c>
      <x:c r="H553" s="48" t="n">
        <x:f>ABS(K553)*$F$5</x:f>
        <x:v>0</x:v>
      </x:c>
      <x:c r="I553" s="12" t="str">
        <x:v>入力仕様</x:v>
      </x:c>
      <x:c r="J553" s="48" t="n">
        <x:f>-1</x:f>
        <x:v>-1</x:v>
      </x:c>
      <x:c r="K553" s="48" t="n">
        <x:f>K552*J553</x:f>
        <x:v>0</x:v>
      </x:c>
      <x:c r="L553" s="12" t="str">
        <x:f>IF(K553&gt;0,"要求増→総重量増",IF(K553&lt;0,"要求増→総重量減","中立"))</x:f>
        <x:v>中立</x:v>
      </x:c>
      <x:c r="M553" s="12" t="str">
        <x:v>システム要求</x:v>
      </x:c>
      <x:c r="N553" s="12" t="str">
        <x:v>上位システム要求</x:v>
      </x:c>
      <x:c r="O553" s="229" t="n">
        <x:f>--(COUNTIF($B$5:$B$560,A553)=0)</x:f>
        <x:v>1</x:v>
      </x:c>
      <x:c r="P553" s="70" t="str">
        <x:f>IF(LEFT(E553,7)&lt;&gt;"Enable_","",IFERROR(IF(OR(ISNUMBER(SEARCH("=Enable",INDEX($I$5:$I$560,MATCH(B553,$A$5:$A$560,0)))),ISNUMBER(SEARCH("×Enable",INDEX($I$5:$I$560,MATCH(B553,$A$5:$A$560,0))))),1,""),""))</x:f>
      </x:c>
      <x:c r="Q553" t="n">
        <x:f>IF(E553="","",--(XMATCH(E553,$E$5:E553,0)=ROWS($E$5:E553)))</x:f>
        <x:v>1</x:v>
      </x:c>
      <x:c r="R553" t="n">
        <x:f>IF(Q553=1,SUM($Q$5:Q553),"")</x:f>
        <x:v>391</x:v>
      </x:c>
    </x:row>
    <x:row r="554">
      <x:c r="A554" s="12" t="str">
        <x:v>T550</x:v>
      </x:c>
      <x:c r="B554" s="12" t="str">
        <x:v>T548</x:v>
      </x:c>
      <x:c r="C554" s="12" t="n">
        <x:v>9</x:v>
      </x:c>
      <x:c r="D554" s="12" t="str">
        <x:v>モータ相インダクタンス</x:v>
      </x:c>
      <x:c r="E554" s="12" t="str">
        <x:v>L_motor</x:v>
      </x:c>
      <x:c r="F554" s="48" t="n">
        <x:f>'01_入力仕様'!D274</x:f>
        <x:v>0.00035</x:v>
      </x:c>
      <x:c r="G554" s="48" t="str">
        <x:v>H</x:v>
      </x:c>
      <x:c r="H554" s="48" t="n">
        <x:f>ABS(K554)*$F$5</x:f>
        <x:v>0</x:v>
      </x:c>
      <x:c r="I554" s="12" t="str">
        <x:v>入力仕様</x:v>
      </x:c>
      <x:c r="J554" s="48" t="n">
        <x:f>-1</x:f>
        <x:v>-1</x:v>
      </x:c>
      <x:c r="K554" s="48" t="n">
        <x:f>K552*J554</x:f>
        <x:v>0</x:v>
      </x:c>
      <x:c r="L554" s="12" t="str">
        <x:v>感度対象外</x:v>
      </x:c>
      <x:c r="M554" s="12" t="str">
        <x:v>システム要求</x:v>
      </x:c>
      <x:c r="N554" s="12" t="str">
        <x:v>上位システム要求</x:v>
      </x:c>
      <x:c r="O554" s="229" t="n">
        <x:f>--(COUNTIF($B$5:$B$560,A554)=0)</x:f>
        <x:v>1</x:v>
      </x:c>
      <x:c r="P554" s="70" t="str">
        <x:f>IF(LEFT(E554,7)&lt;&gt;"Enable_","",IFERROR(IF(OR(ISNUMBER(SEARCH("=Enable",INDEX($I$5:$I$560,MATCH(B554,$A$5:$A$560,0)))),ISNUMBER(SEARCH("×Enable",INDEX($I$5:$I$560,MATCH(B554,$A$5:$A$560,0))))),1,""),""))</x:f>
      </x:c>
      <x:c r="Q554" t="n">
        <x:f>IF(E554="","",--(XMATCH(E554,$E$5:E554,0)=ROWS($E$5:E554)))</x:f>
        <x:v>1</x:v>
      </x:c>
      <x:c r="R554" t="n">
        <x:f>IF(Q554=1,SUM($Q$5:Q554),"")</x:f>
        <x:v>392</x:v>
      </x:c>
    </x:row>
    <x:row r="555">
      <x:c r="A555" s="12" t="str">
        <x:v>T551</x:v>
      </x:c>
      <x:c r="B555" s="12" t="str">
        <x:v>T546</x:v>
      </x:c>
      <x:c r="C555" s="12" t="n">
        <x:v>8</x:v>
      </x:c>
      <x:c r="D555" s="12" t="str">
        <x:v>電流制御帯域由来</x:v>
      </x:c>
      <x:c r="E555" s="12" t="str">
        <x:v>f_sw_bw</x:v>
      </x:c>
      <x:c r="F555" s="48" t="n">
        <x:f>'07_システム要求'!M23</x:f>
        <x:v>10000</x:v>
      </x:c>
      <x:c r="G555" s="48" t="str">
        <x:v>Hz</x:v>
      </x:c>
      <x:c r="H555" s="48" t="n">
        <x:f>ABS(K555)*$F$5</x:f>
        <x:v>0</x:v>
      </x:c>
      <x:c r="I555" s="12" t="str">
        <x:v>k_fsw_bw×BW_current</x:v>
      </x:c>
      <x:c r="J555" s="48" t="n">
        <x:f>IF(ABS('07_システム要求'!M10-'07_システム要求'!M23)&lt;1E-6,1,0)</x:f>
        <x:v>0</x:v>
      </x:c>
      <x:c r="K555" s="48" t="n">
        <x:f>K550*J555</x:f>
        <x:v>0</x:v>
      </x:c>
      <x:c r="L555" s="12" t="str">
        <x:f>IF(K555&gt;0,"増加→総重量増",IF(K555&lt;0,"増加→総重量減","中立"))</x:f>
        <x:v>中立</x:v>
      </x:c>
      <x:c r="M555" s="12" t="str">
        <x:v>設計対象</x:v>
      </x:c>
      <x:c r="N555" s="12" t="str"/>
      <x:c r="O555" s="229" t="n">
        <x:f>--(COUNTIF($B$5:$B$560,A555)=0)</x:f>
        <x:v>0</x:v>
      </x:c>
      <x:c r="P555" s="70" t="str">
        <x:f>IF(LEFT(E555,7)&lt;&gt;"Enable_","",IFERROR(IF(OR(ISNUMBER(SEARCH("=Enable",INDEX($I$5:$I$560,MATCH(B555,$A$5:$A$560,0)))),ISNUMBER(SEARCH("×Enable",INDEX($I$5:$I$560,MATCH(B555,$A$5:$A$560,0))))),1,""),""))</x:f>
      </x:c>
      <x:c r="Q555" t="n">
        <x:f>IF(E555="","",--(XMATCH(E555,$E$5:E555,0)=ROWS($E$5:E555)))</x:f>
        <x:v>1</x:v>
      </x:c>
      <x:c r="R555" t="n">
        <x:f>IF(Q555=1,SUM($Q$5:Q555),"")</x:f>
        <x:v>393</x:v>
      </x:c>
    </x:row>
    <x:row r="556">
      <x:c r="A556" s="12" t="str">
        <x:v>T552</x:v>
      </x:c>
      <x:c r="B556" s="12" t="str">
        <x:v>T551</x:v>
      </x:c>
      <x:c r="C556" s="12" t="n">
        <x:v>9</x:v>
      </x:c>
      <x:c r="D556" s="12" t="str">
        <x:v>電流制御帯域</x:v>
      </x:c>
      <x:c r="E556" s="12" t="str">
        <x:v>BW_current</x:v>
      </x:c>
      <x:c r="F556" s="48" t="n">
        <x:f>'01_入力仕様'!D277</x:f>
        <x:v>1000</x:v>
      </x:c>
      <x:c r="G556" s="48" t="str">
        <x:v>Hz</x:v>
      </x:c>
      <x:c r="H556" s="48" t="n">
        <x:f>ABS(K556)*$F$5</x:f>
        <x:v>0</x:v>
      </x:c>
      <x:c r="I556" s="12" t="str">
        <x:v>入力仕様</x:v>
      </x:c>
      <x:c r="J556" s="48" t="n">
        <x:f>1</x:f>
        <x:v>1</x:v>
      </x:c>
      <x:c r="K556" s="48" t="n">
        <x:f>K555</x:f>
        <x:v>0</x:v>
      </x:c>
      <x:c r="L556" s="12" t="str">
        <x:v>感度対象外</x:v>
      </x:c>
      <x:c r="M556" s="12" t="str">
        <x:v>システム要求</x:v>
      </x:c>
      <x:c r="N556" s="12" t="str">
        <x:v>上位システム要求</x:v>
      </x:c>
      <x:c r="O556" s="229" t="n">
        <x:f>--(COUNTIF($B$5:$B$560,A556)=0)</x:f>
        <x:v>1</x:v>
      </x:c>
      <x:c r="P556" s="70" t="str">
        <x:f>IF(LEFT(E556,7)&lt;&gt;"Enable_","",IFERROR(IF(OR(ISNUMBER(SEARCH("=Enable",INDEX($I$5:$I$560,MATCH(B556,$A$5:$A$560,0)))),ISNUMBER(SEARCH("×Enable",INDEX($I$5:$I$560,MATCH(B556,$A$5:$A$560,0))))),1,""),""))</x:f>
      </x:c>
      <x:c r="Q556" t="n">
        <x:f>IF(E556="","",--(XMATCH(E556,$E$5:E556,0)=ROWS($E$5:E556)))</x:f>
        <x:v>1</x:v>
      </x:c>
      <x:c r="R556" t="n">
        <x:f>IF(Q556=1,SUM($Q$5:Q556),"")</x:f>
        <x:v>394</x:v>
      </x:c>
    </x:row>
    <x:row r="557">
      <x:c r="A557" s="12" t="str">
        <x:v>T553</x:v>
      </x:c>
      <x:c r="B557" s="12" t="str">
        <x:v>T064</x:v>
      </x:c>
      <x:c r="C557" s="12" t="n">
        <x:v>6</x:v>
      </x:c>
      <x:c r="D557" s="12" t="str">
        <x:v>Miller clamp SW係数</x:v>
      </x:c>
      <x:c r="E557" s="12" t="str">
        <x:v>k_miller_sw</x:v>
      </x:c>
      <x:c r="F557" s="48" t="n">
        <x:f>1-'01_入力仕様'!D295*'01_入力仕様'!D291</x:f>
        <x:v>1</x:v>
      </x:c>
      <x:c r="G557" s="48" t="str">
        <x:v>-</x:v>
      </x:c>
      <x:c r="H557" s="48" t="n">
        <x:f>ABS(K557)*$F$5</x:f>
        <x:v>0.06724822027023014</x:v>
      </x:c>
      <x:c r="I557" s="12" t="str">
        <x:v>1-Enable_Miller_clamp×k_miller_sw_reduce</x:v>
      </x:c>
      <x:c r="J557" s="48" t="n">
        <x:f>1</x:f>
        <x:v>1</x:v>
      </x:c>
      <x:c r="K557" s="48" t="n">
        <x:f>K68*J557</x:f>
        <x:v>0.007515582271838901</x:v>
      </x:c>
      <x:c r="L557" s="12" t="str">
        <x:f>IF(K557&gt;0,"増加→総重量増",IF(K557&lt;0,"増加→総重量減","中立"))</x:f>
        <x:v>増加→総重量増</x:v>
      </x:c>
      <x:c r="M557" s="12" t="str">
        <x:v>設計対象</x:v>
      </x:c>
      <x:c r="N557" s="12" t="str"/>
      <x:c r="O557" s="229" t="n">
        <x:f>--(COUNTIF($B$5:$B$560,A557)=0)</x:f>
        <x:v>0</x:v>
      </x:c>
      <x:c r="P557" s="70" t="str">
        <x:f>IF(LEFT(E557,7)&lt;&gt;"Enable_","",IFERROR(IF(OR(ISNUMBER(SEARCH("=Enable",INDEX($I$5:$I$560,MATCH(B557,$A$5:$A$560,0)))),ISNUMBER(SEARCH("×Enable",INDEX($I$5:$I$560,MATCH(B557,$A$5:$A$560,0))))),1,""),""))</x:f>
      </x:c>
      <x:c r="Q557" t="n">
        <x:f>IF(E557="","",--(XMATCH(E557,$E$5:E557,0)=ROWS($E$5:E557)))</x:f>
        <x:v>1</x:v>
      </x:c>
      <x:c r="R557" t="n">
        <x:f>IF(Q557=1,SUM($Q$5:Q557),"")</x:f>
        <x:v>395</x:v>
      </x:c>
    </x:row>
    <x:row r="558">
      <x:c r="A558" s="12" t="str">
        <x:v>T554</x:v>
      </x:c>
      <x:c r="B558" s="12" t="str">
        <x:v>T553</x:v>
      </x:c>
      <x:c r="C558" s="12" t="n">
        <x:v>7</x:v>
      </x:c>
      <x:c r="D558" s="12" t="str">
        <x:v>Miller clamp有効</x:v>
      </x:c>
      <x:c r="E558" s="12" t="str">
        <x:v>Enable_Miller_clamp</x:v>
      </x:c>
      <x:c r="F558" s="48" t="n">
        <x:f>'01_入力仕様'!D295</x:f>
        <x:v>0</x:v>
      </x:c>
      <x:c r="G558" s="48" t="str">
        <x:v>0/1</x:v>
      </x:c>
      <x:c r="H558" s="48" t="n">
        <x:f>ABS(K558)*$F$5</x:f>
        <x:v>0.006724822027023015</x:v>
      </x:c>
      <x:c r="I558" s="12" t="str">
        <x:v>入力仕様</x:v>
      </x:c>
      <x:c r="J558" s="48" t="n">
        <x:f>0</x:f>
        <x:v>0</x:v>
      </x:c>
      <x:c r="K558" s="48" t="n">
        <x:f>-K68*'01_入力仕様'!D291</x:f>
        <x:v>-0.0007515582271838901</x:v>
      </x:c>
      <x:c r="L558" s="12" t="str">
        <x:f>IF(K558&gt;0,"増加→総重量増",IF(K558&lt;0,"増加→総重量減","中立"))</x:f>
        <x:v>増加→総重量減</x:v>
      </x:c>
      <x:c r="M558" s="12" t="str">
        <x:v>設計対象</x:v>
      </x:c>
      <x:c r="N558" s="12" t="str">
        <x:v>誤点弧余裕を使った高速化</x:v>
      </x:c>
      <x:c r="O558" s="229" t="n">
        <x:f>--(COUNTIF($B$5:$B$560,A558)=0)</x:f>
        <x:v>1</x:v>
      </x:c>
      <x:c r="P558" s="70" t="str">
        <x:f>IF(LEFT(E558,7)&lt;&gt;"Enable_","",IFERROR(IF(OR(ISNUMBER(SEARCH("=Enable",INDEX($I$5:$I$560,MATCH(B558,$A$5:$A$560,0)))),ISNUMBER(SEARCH("×Enable",INDEX($I$5:$I$560,MATCH(B558,$A$5:$A$560,0))))),1,""),""))</x:f>
      </x:c>
      <x:c r="Q558" t="n">
        <x:f>IF(E558="","",--(XMATCH(E558,$E$5:E558,0)=ROWS($E$5:E558)))</x:f>
        <x:v>1</x:v>
      </x:c>
      <x:c r="R558" t="n">
        <x:f>IF(Q558=1,SUM($Q$5:Q558),"")</x:f>
        <x:v>396</x:v>
      </x:c>
    </x:row>
    <x:row r="559">
      <x:c r="A559" s="12" t="str">
        <x:v>T555</x:v>
      </x:c>
      <x:c r="B559" s="12" t="str">
        <x:v>T001</x:v>
      </x:c>
      <x:c r="C559" s="12" t="n">
        <x:v>1</x:v>
      </x:c>
      <x:c r="D559" s="12" t="str">
        <x:v>Miller clamp追加重量</x:v>
      </x:c>
      <x:c r="E559" s="12" t="str">
        <x:v>M_miller_clamp</x:v>
      </x:c>
      <x:c r="F559" s="48" t="n">
        <x:f>'01_入力仕様'!D295*'01_入力仕様'!D292</x:f>
        <x:v>0</x:v>
      </x:c>
      <x:c r="G559" s="48" t="str">
        <x:v>kg</x:v>
      </x:c>
      <x:c r="H559" s="48" t="n">
        <x:f>ABS(K559)*$F$5</x:f>
        <x:v>0</x:v>
      </x:c>
      <x:c r="I559" s="12" t="str">
        <x:v>Enable_Miller_clamp×m_miller_clamp</x:v>
      </x:c>
      <x:c r="J559" s="48" t="n">
        <x:f>F559/$F$5</x:f>
        <x:v>0</x:v>
      </x:c>
      <x:c r="K559" s="48" t="n">
        <x:f>J559</x:f>
        <x:v>0</x:v>
      </x:c>
      <x:c r="L559" s="12" t="str">
        <x:f>IF(K559&gt;0,"増加→総重量増",IF(K559&lt;0,"増加→総重量減","中立"))</x:f>
        <x:v>中立</x:v>
      </x:c>
      <x:c r="M559" s="12" t="str">
        <x:v>設計対象</x:v>
      </x:c>
      <x:c r="N559" s="12" t="str"/>
      <x:c r="O559" s="229" t="n">
        <x:f>--(COUNTIF($B$5:$B$560,A559)=0)</x:f>
        <x:v>0</x:v>
      </x:c>
      <x:c r="P559" s="70" t="str">
        <x:f>IF(LEFT(E559,7)&lt;&gt;"Enable_","",IFERROR(IF(OR(ISNUMBER(SEARCH("=Enable",INDEX($I$5:$I$560,MATCH(B559,$A$5:$A$560,0)))),ISNUMBER(SEARCH("×Enable",INDEX($I$5:$I$560,MATCH(B559,$A$5:$A$560,0))))),1,""),""))</x:f>
      </x:c>
      <x:c r="Q559" t="n">
        <x:f>IF(E559="","",--(XMATCH(E559,$E$5:E559,0)=ROWS($E$5:E559)))</x:f>
        <x:v>1</x:v>
      </x:c>
      <x:c r="R559" t="n">
        <x:f>IF(Q559=1,SUM($Q$5:Q559),"")</x:f>
        <x:v>397</x:v>
      </x:c>
    </x:row>
    <x:row r="560">
      <x:c r="A560" s="12" t="str">
        <x:v>T556</x:v>
      </x:c>
      <x:c r="B560" s="12" t="str">
        <x:v>T555</x:v>
      </x:c>
      <x:c r="C560" s="12" t="n">
        <x:v>2</x:v>
      </x:c>
      <x:c r="D560" s="12" t="str">
        <x:v>Miller clamp有効</x:v>
      </x:c>
      <x:c r="E560" s="12" t="str">
        <x:v>Enable_Miller_clamp</x:v>
      </x:c>
      <x:c r="F560" s="48" t="n">
        <x:f>'01_入力仕様'!D295</x:f>
        <x:v>0</x:v>
      </x:c>
      <x:c r="G560" s="48" t="str">
        <x:v>0/1</x:v>
      </x:c>
      <x:c r="H560" s="48" t="n">
        <x:f>ABS(K560)*$F$5</x:f>
        <x:v>0.02</x:v>
      </x:c>
      <x:c r="I560" s="12" t="str">
        <x:v>入力仕様</x:v>
      </x:c>
      <x:c r="J560" s="48" t="n">
        <x:f>0</x:f>
        <x:v>0</x:v>
      </x:c>
      <x:c r="K560" s="48" t="n">
        <x:f>'01_入力仕様'!D292/$F$5</x:f>
        <x:v>0.0022351765568332654</x:v>
      </x:c>
      <x:c r="L560" s="12" t="str">
        <x:f>IF(K560&gt;0,"増加→総重量増",IF(K560&lt;0,"増加→総重量減","中立"))</x:f>
        <x:v>増加→総重量増</x:v>
      </x:c>
      <x:c r="M560" s="12" t="str">
        <x:v>設計対象</x:v>
      </x:c>
      <x:c r="N560" s="12" t="str">
        <x:v>専用ドライバ/クランプ重量</x:v>
      </x:c>
      <x:c r="O560" s="229" t="n">
        <x:f>--(COUNTIF($B$5:$B$560,A560)=0)</x:f>
        <x:v>1</x:v>
      </x:c>
      <x:c r="P560" s="70" t="str">
        <x:f>IF(LEFT(E560,7)&lt;&gt;"Enable_","",IFERROR(IF(OR(ISNUMBER(SEARCH("=Enable",INDEX($I$5:$I$560,MATCH(B560,$A$5:$A$560,0)))),ISNUMBER(SEARCH("×Enable",INDEX($I$5:$I$560,MATCH(B560,$A$5:$A$560,0))))),1,""),""))</x:f>
      </x:c>
      <x:c r="Q560" t="n">
        <x:f>IF(E560="","",--(XMATCH(E560,$E$5:E560,0)=ROWS($E$5:E560)))</x:f>
        <x:v>0</x:v>
      </x:c>
      <x:c r="R560" t="str">
        <x:f>IF(Q560=1,SUM($Q$5:Q560),"")</x:f>
      </x:c>
    </x:row>
  </x:sheetData>
  <x:mergeCells>
    <x:mergeCell ref="A1:N2"/>
  </x:mergeCells>
  <x:conditionalFormatting sqref="K5:K177">
    <x:cfRule type="dataBar" priority="1">
      <x:dataBar>
        <x:cfvo type="min"/>
        <x:cfvo type="max"/>
        <x:color rgb="FFA02B93"/>
      </x:dataBar>
      <x:extLst>
        <x:ext xmlns:x14="http://schemas.microsoft.com/office/spreadsheetml/2009/9/main" uri="{B025F937-C7B1-47D3-B67F-A62EFF666E3E}">
          <x14:id>{13418FD5-525A-1630-E7D1-E64DF1AB58FF}</x14:id>
        </x:ext>
      </x:extLst>
    </x:cfRule>
  </x:conditionalFormatting>
  <x:conditionalFormatting sqref="K300:K421">
    <x:cfRule type="dataBar" priority="2">
      <x:dataBar>
        <x:cfvo type="min"/>
        <x:cfvo type="max"/>
        <x:color rgb="FFA02B93"/>
      </x:dataBar>
      <x:extLst>
        <x:ext xmlns:x14="http://schemas.microsoft.com/office/spreadsheetml/2009/9/main" uri="{B025F937-C7B1-47D3-B67F-A62EFF666E3E}">
          <x14:id>{30CF122A-D322-1BA7-5B56-45C3D565BD4C}</x14:id>
        </x:ext>
      </x:extLst>
    </x:cfRule>
  </x:conditionalFormatting>
  <x:conditionalFormatting sqref="K422:K484">
    <x:cfRule type="dataBar" priority="3">
      <x:dataBar>
        <x:cfvo type="min"/>
        <x:cfvo type="max"/>
        <x:color rgb="FFA02B93"/>
      </x:dataBar>
      <x:extLst>
        <x:ext xmlns:x14="http://schemas.microsoft.com/office/spreadsheetml/2009/9/main" uri="{B025F937-C7B1-47D3-B67F-A62EFF666E3E}">
          <x14:id>{B45FC369-F3D5-61B7-C03F-7D2E0A2CB682}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3418FD5-525A-1630-E7D1-E64DF1AB58FF}">
            <x14:dataBar gradient="1">
              <x14:cfvo type="min"/>
              <x14:cfvo type="max"/>
              <x14:fillColor rgb="FFA02B93"/>
            </x14:dataBar>
          </x14:cfRule>
          <xm:sqref>K5:K177</xm:sqref>
        </x14:conditionalFormatting>
        <x14:conditionalFormatting>
          <x14:cfRule type="dataBar" priority="2" id="{30CF122A-D322-1BA7-5B56-45C3D565BD4C}">
            <x14:dataBar gradient="1">
              <x14:cfvo type="min"/>
              <x14:cfvo type="max"/>
              <x14:fillColor rgb="FFA02B93"/>
            </x14:dataBar>
          </x14:cfRule>
          <xm:sqref>K300:K421</xm:sqref>
        </x14:conditionalFormatting>
        <x14:conditionalFormatting>
          <x14:cfRule type="dataBar" priority="3" id="{B45FC369-F3D5-61B7-C03F-7D2E0A2CB682}">
            <x14:dataBar gradient="1">
              <x14:cfvo type="min"/>
              <x14:cfvo type="max"/>
              <x14:fillColor rgb="FFA02B93"/>
            </x14:dataBar>
          </x14:cfRule>
          <xm:sqref>K422:K484</xm:sqref>
        </x14:conditionalFormatting>
      </x14:conditionalFormattings>
    </x:ext>
  </x:extLst>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18" hidden="0" customWidth="1"/>
    <x:col min="4" max="4" width="30" hidden="0" customWidth="1"/>
    <x:col min="5" max="5" width="13" hidden="0" customWidth="1"/>
    <x:col min="6" max="6" width="42" hidden="0" customWidth="1"/>
    <x:col min="7" max="7" width="44" hidden="0" customWidth="1"/>
    <x:col min="8" max="8" width="24" hidden="0" customWidth="1"/>
    <x:col min="9" max="9" width="34" hidden="0" customWidth="1"/>
    <x:col min="10" max="10" width="52" hidden="0" customWidth="1"/>
    <x:col min="11" max="11" width="14" hidden="0" customWidth="1"/>
    <x:col min="12" max="12" width="18" hidden="0" customWidth="1"/>
    <x:col min="13" max="13" width="40" hidden="0" customWidth="1"/>
    <x:col min="14" max="14" width="55" hidden="0" customWidth="1"/>
    <x:col min="16" max="16" width="24" hidden="0" customWidth="1"/>
    <x:col min="17" max="17" width="12" hidden="0" customWidth="1"/>
    <x:col min="18" max="18" width="38" hidden="0" customWidth="1"/>
    <x:col min="19" max="19" width="30" hidden="0" customWidth="1"/>
  </x:cols>
  <x:sheetData>
    <x:row r="1">
      <x:c r="A1" s="4" t="str">
        <x:v>v0.6 未反映・部分反映トレードオフ洗い出し</x:v>
      </x:c>
      <x:c r="B1" s="4"/>
      <x:c r="C1" s="4"/>
      <x:c r="D1" s="4"/>
      <x:c r="E1" s="4"/>
      <x:c r="F1" s="4"/>
      <x:c r="G1" s="4"/>
      <x:c r="H1" s="4"/>
      <x:c r="I1" s="4"/>
      <x:c r="J1" s="4"/>
      <x:c r="K1" s="4"/>
      <x:c r="L1" s="4"/>
      <x:c r="M1" s="4"/>
      <x:c r="N1" s="4"/>
      <x:c r="P1" s="24" t="str">
        <x:v>集計</x:v>
      </x:c>
      <x:c r="Q1" s="24" t="str">
        <x:v>件数</x:v>
      </x:c>
      <x:c r="R1" s="24" t="str">
        <x:v>意味</x:v>
      </x:c>
      <x:c r="S1" s="24" t="str">
        <x:v>次アクション</x:v>
      </x:c>
    </x:row>
    <x:row r="2">
      <x:c r="A2" s="4"/>
      <x:c r="B2" s="4"/>
      <x:c r="C2" s="4"/>
      <x:c r="D2" s="4"/>
      <x:c r="E2" s="4"/>
      <x:c r="F2" s="4"/>
      <x:c r="G2" s="4"/>
      <x:c r="H2" s="4"/>
      <x:c r="I2" s="4"/>
      <x:c r="J2" s="4"/>
      <x:c r="K2" s="4"/>
      <x:c r="L2" s="4"/>
      <x:c r="M2" s="4"/>
      <x:c r="N2" s="4"/>
      <x:c r="P2" t="str">
        <x:v>優先度A</x:v>
      </x:c>
      <x:c r="Q2" t="n">
        <x:f>COUNTIF(B9:B44,"A")</x:f>
        <x:v>26</x:v>
      </x:c>
      <x:c r="R2" t="str">
        <x:v>現在の最優先深化対象</x:v>
      </x:c>
      <x:c r="S2" t="str">
        <x:v>次版から順次ツリーへ正負両経路を実装</x:v>
      </x:c>
    </x:row>
    <x:row r="3">
      <x:c r="P3" t="str">
        <x:v>優先度B</x:v>
      </x:c>
      <x:c r="Q3" t="n">
        <x:f>COUNTIF(B9:B44,"B")</x:f>
        <x:v>10</x:v>
      </x:c>
      <x:c r="R3" t="str">
        <x:v>重要だがAの後</x:v>
      </x:c>
      <x:c r="S3" t="str">
        <x:v>A実装後に順次対応</x:v>
      </x:c>
    </x:row>
    <x:row r="4">
      <x:c r="A4" s="16" t="str">
        <x:v>目的：現行設計または実製品を入力したときに「どの技術へ手を当てるべきか」を重量感度から判断できるよう、一般的なモータドライブ用インバータ設計で重要なトレードオフのうち、v0.6で未反映または部分反映のものを列挙する。今後のツリー深化では、最低限この一覧の優先度A/B項目を正負両経路で接続する。</x:v>
      </x:c>
      <x:c r="B4" s="16"/>
      <x:c r="C4" s="16"/>
      <x:c r="D4" s="16"/>
      <x:c r="E4" s="16"/>
      <x:c r="F4" s="16"/>
      <x:c r="G4" s="16"/>
      <x:c r="H4" s="16"/>
      <x:c r="I4" s="16"/>
      <x:c r="J4" s="16"/>
      <x:c r="K4" s="16"/>
      <x:c r="L4" s="16"/>
      <x:c r="M4" s="16"/>
      <x:c r="N4" s="16"/>
      <x:c r="P4" t="str">
        <x:v>未反映</x:v>
      </x:c>
      <x:c r="Q4" t="n">
        <x:f>COUNTIF(E9:E44,"未反映")</x:f>
        <x:v>0</x:v>
      </x:c>
      <x:c r="R4" t="str">
        <x:v>新規モデル追加が必要</x:v>
      </x:c>
      <x:c r="S4" t="str">
        <x:v>変数/式/重量ペナルティを新設</x:v>
      </x:c>
    </x:row>
    <x:row r="5">
      <x:c r="A5" s="16"/>
      <x:c r="B5" s="16"/>
      <x:c r="C5" s="16"/>
      <x:c r="D5" s="16"/>
      <x:c r="E5" s="16"/>
      <x:c r="F5" s="16"/>
      <x:c r="G5" s="16"/>
      <x:c r="H5" s="16"/>
      <x:c r="I5" s="16"/>
      <x:c r="J5" s="16"/>
      <x:c r="K5" s="16"/>
      <x:c r="L5" s="16"/>
      <x:c r="M5" s="16"/>
      <x:c r="N5" s="16"/>
      <x:c r="P5" t="str">
        <x:v>部分反映</x:v>
      </x:c>
      <x:c r="Q5" t="n">
        <x:f>COUNTIF(E9:E44,"部分反映")</x:f>
        <x:v>0</x:v>
      </x:c>
      <x:c r="R5" t="str">
        <x:v>既存ノードの片側効果のみ</x:v>
      </x:c>
      <x:c r="S5" t="str">
        <x:v>反対側経路・制約を追加</x:v>
      </x:c>
    </x:row>
    <x:row r="6">
      <x:c r="A6" s="16"/>
      <x:c r="B6" s="16"/>
      <x:c r="C6" s="16"/>
      <x:c r="D6" s="16"/>
      <x:c r="E6" s="16"/>
      <x:c r="F6" s="16"/>
      <x:c r="G6" s="16"/>
      <x:c r="H6" s="16"/>
      <x:c r="I6" s="16"/>
      <x:c r="J6" s="16"/>
      <x:c r="K6" s="16"/>
      <x:c r="L6" s="16"/>
      <x:c r="M6" s="16"/>
      <x:c r="N6" s="16"/>
    </x:row>
    <x:row r="8">
      <x:c r="A8" s="24" t="str">
        <x:v>候補ID</x:v>
      </x:c>
      <x:c r="B8" s="24" t="str">
        <x:v>優先度</x:v>
      </x:c>
      <x:c r="C8" s="24" t="str">
        <x:v>カテゴリ</x:v>
      </x:c>
      <x:c r="D8" s="24" t="str">
        <x:v>変数 / 技術候補</x:v>
      </x:c>
      <x:c r="E8" s="24" t="str">
        <x:v>v0.6状況</x:v>
      </x:c>
      <x:c r="F8" s="24" t="str">
        <x:v>重量低減・便益側</x:v>
      </x:c>
      <x:c r="G8" s="24" t="str">
        <x:v>重量増加・ペナルティ側</x:v>
      </x:c>
      <x:c r="H8" s="24" t="str">
        <x:v>主に結合する既存変数</x:v>
      </x:c>
      <x:c r="I8" s="24" t="str">
        <x:v>追加推奨変数 / Enable</x:v>
      </x:c>
      <x:c r="J8" s="24" t="str">
        <x:v>追加推奨ノード・式の方向</x:v>
      </x:c>
      <x:c r="K8" s="24" t="str">
        <x:v>推奨深化Level</x:v>
      </x:c>
      <x:c r="L8" s="24" t="str">
        <x:v>トポロジー固定下で扱えるか</x:v>
      </x:c>
      <x:c r="M8" s="24" t="str">
        <x:v>根拠 / コメント</x:v>
      </x:c>
      <x:c r="N8" s="24" t="str">
        <x:v>参考URL</x:v>
      </x:c>
      <x:c r="P8" s="24" t="str">
        <x:v>第1優先深化候補</x:v>
      </x:c>
      <x:c r="Q8" s="24" t="str">
        <x:v>理由</x:v>
      </x:c>
      <x:c r="R8" s="24" t="str">
        <x:v>既存変数との結合</x:v>
      </x:c>
      <x:c r="S8" s="24" t="str">
        <x:v>推奨</x:v>
      </x:c>
    </x:row>
    <x:row r="9">
      <x:c r="A9" s="12" t="str">
        <x:v>X001</x:v>
      </x:c>
      <x:c r="B9" s="12" t="str">
        <x:v>A</x:v>
      </x:c>
      <x:c r="C9" s="12" t="str">
        <x:v>ゲート駆動</x:v>
      </x:c>
      <x:c r="D9" s="12" t="str">
        <x:v>ゲート抵抗 / スルーレート最適化</x:v>
      </x:c>
      <x:c r="E9" s="12" t="str">
        <x:v>反映済 v0.8</x:v>
      </x:c>
      <x:c r="F9" s="12" t="str">
        <x:v>高速化でスイッチング損失↓・冷却重量↓</x:v>
      </x:c>
      <x:c r="G9" s="12" t="str">
        <x:v>高速化でdv/dt・di/dt・リンギング・EMI↑→フィルタ/スナバ/絶縁対策重量↑</x:v>
      </x:c>
      <x:c r="H9" s="12" t="str">
        <x:v>f_sw,V_dc,C_oss,寄生L</x:v>
      </x:c>
      <x:c r="I9" s="12" t="str">
        <x:v>R_g_on,R_g_off,dvdt_target,di_dt_target</x:v>
      </x:c>
      <x:c r="J9" s="12" t="str">
        <x:v>R_g→t_sw→E_sw と R_g→dv/dt→EMI/overshoot→filter/snubber の2経路</x:v>
      </x:c>
      <x:c r="K9" s="12" t="n">
        <x:v>10</x:v>
      </x:c>
      <x:c r="L9" s="12" t="str">
        <x:v>可</x:v>
      </x:c>
      <x:c r="M9" s="12" t="str">
        <x:v>最重要。既存f_sw/Vdc感度と強く結合。 / v0.8第1バッチでツリー実装済み</x:v>
      </x:c>
      <x:c r="N9" s="12" t="str">
        <x:v>https://www.ti.com/lit/pdf/sbaa698</x:v>
      </x:c>
      <x:c r="P9" t="str">
        <x:v>ゲート抵抗/スルーレート</x:v>
      </x:c>
      <x:c r="Q9" t="str">
        <x:v>f_sw/Vdcの最適点を大きく変える</x:v>
      </x:c>
      <x:c r="R9" t="str">
        <x:v>f_sw,V_dc,Coss,EMI</x:v>
      </x:c>
      <x:c r="S9" t="str">
        <x:v>最優先</x:v>
      </x:c>
    </x:row>
    <x:row r="10">
      <x:c r="A10" s="12" t="str">
        <x:v>X002</x:v>
      </x:c>
      <x:c r="B10" s="12" t="str">
        <x:v>A</x:v>
      </x:c>
      <x:c r="C10" s="12" t="str">
        <x:v>ゲート駆動</x:v>
      </x:c>
      <x:c r="D10" s="12" t="str">
        <x:v>ターンオン/ターンオフ別ゲート抵抗</x:v>
      </x:c>
      <x:c r="E10" s="12" t="str">
        <x:v>反映済 v0.8</x:v>
      </x:c>
      <x:c r="F10" s="12" t="str">
        <x:v>Ron/Roffを別最適化しEon/Eoffを低減可能</x:v>
      </x:c>
      <x:c r="G10" s="12" t="str">
        <x:v>部品追加、片側を速めるとオーバーシュート/誤点弧リスク↑</x:v>
      </x:c>
      <x:c r="H10" s="12" t="str">
        <x:v>V_dc,f_sw,C_oss</x:v>
      </x:c>
      <x:c r="I10" s="12" t="str">
        <x:v>R_g_on,R_g_off,Enable_split_Rg</x:v>
      </x:c>
      <x:c r="J10" s="12" t="str">
        <x:v>E_on=f(R_g_on), E_off=f(R_g_off), overshoot=f(di/dt,Lstray)</x:v>
      </x:c>
      <x:c r="K10" s="12" t="n">
        <x:v>10</x:v>
      </x:c>
      <x:c r="L10" s="12" t="str">
        <x:v>可</x:v>
      </x:c>
      <x:c r="M10" s="12" t="str">
        <x:v>単一Rgより実機設計に近い。 / v0.8第1バッチでツリー実装済み</x:v>
      </x:c>
      <x:c r="N10" s="12" t="str">
        <x:v>https://www.ti.com/lit/an/slva714c/slva714c.pdf</x:v>
      </x:c>
      <x:c r="P10" t="str">
        <x:v>デッドタイム</x:v>
      </x:c>
      <x:c r="Q10" t="str">
        <x:v>損失と安全余裕の直接トレードオフ</x:v>
      </x:c>
      <x:c r="R10" t="str">
        <x:v>f_sw,I_phase</x:v>
      </x:c>
      <x:c r="S10" t="str">
        <x:v>最優先</x:v>
      </x:c>
    </x:row>
    <x:row r="11">
      <x:c r="A11" s="12" t="str">
        <x:v>X003</x:v>
      </x:c>
      <x:c r="B11" s="12" t="str">
        <x:v>A</x:v>
      </x:c>
      <x:c r="C11" s="12" t="str">
        <x:v>ゲート駆動</x:v>
      </x:c>
      <x:c r="D11" s="12" t="str">
        <x:v>デッドタイム / 適応デッドタイム</x:v>
      </x:c>
      <x:c r="E11" s="12" t="str">
        <x:v>反映済 v0.8</x:v>
      </x:c>
      <x:c r="F11" s="12" t="str">
        <x:v>短縮でボディダイオード/3rd-quadrant損失↓・冷却重量↓</x:v>
      </x:c>
      <x:c r="G11" s="12" t="str">
        <x:v>短すぎると上下短絡リスク↑、適応回路/制御追加</x:v>
      </x:c>
      <x:c r="H11" s="12" t="str">
        <x:v>f_sw,I_phase</x:v>
      </x:c>
      <x:c r="I11" s="12" t="str">
        <x:v>t_dead,Enable_adaptive_DT</x:v>
      </x:c>
      <x:c r="J11" s="12" t="str">
        <x:v>t_dead→P_dead と Enable_adaptive_DT→制御重量; t_dead_min→shoot-through margin</x:v>
      </x:c>
      <x:c r="K11" s="12" t="n">
        <x:v>9</x:v>
      </x:c>
      <x:c r="L11" s="12" t="str">
        <x:v>可</x:v>
      </x:c>
      <x:c r="M11" s="12" t="str">
        <x:v>SiC/GaNでは特に重要。 / v0.8第1バッチでツリー実装済み</x:v>
      </x:c>
      <x:c r="N11" s="12" t="str">
        <x:v>https://www.ti.com/lit/pdf/slyy169</x:v>
      </x:c>
      <x:c r="P11" t="str">
        <x:v>寄生L+スナバ</x:v>
      </x:c>
      <x:c r="Q11" t="str">
        <x:v>耐圧/Ron/EMIを結ぶ</x:v>
      </x:c>
      <x:c r="R11" t="str">
        <x:v>V_dc,K_vblk,Rg</x:v>
      </x:c>
      <x:c r="S11" t="str">
        <x:v>最優先</x:v>
      </x:c>
    </x:row>
    <x:row r="12">
      <x:c r="A12" s="12" t="str">
        <x:v>X004</x:v>
      </x:c>
      <x:c r="B12" s="12" t="str">
        <x:v>A</x:v>
      </x:c>
      <x:c r="C12" s="12" t="str">
        <x:v>ゲート駆動</x:v>
      </x:c>
      <x:c r="D12" s="12" t="str">
        <x:v>ゲート駆動電圧 Vgs_on / Vgs_off</x:v>
      </x:c>
      <x:c r="E12" s="12" t="str">
        <x:v>反映済 v0.8</x:v>
      </x:c>
      <x:c r="F12" s="12" t="str">
        <x:v>Vgs_on↑でR_on↓、負Vgs_offで誤点弧抑制</x:v>
      </x:c>
      <x:c r="G12" s="12" t="str">
        <x:v>ゲート駆動損失↑、絶縁電源/負電源回路重量↑、ゲート信頼性制約</x:v>
      </x:c>
      <x:c r="H12" s="12" t="str">
        <x:v>R_on,f_sw</x:v>
      </x:c>
      <x:c r="I12" s="12" t="str">
        <x:v>Vgs_on,Vgs_off,Q_g,Enable_neg_gate</x:v>
      </x:c>
      <x:c r="J12" s="12" t="str">
        <x:v>Vgs→R_on→Pcond; Vgs,Qg,f_sw→Pgate; Enable_neg_gate→bias supply mass</x:v>
      </x:c>
      <x:c r="K12" s="12" t="n">
        <x:v>10</x:v>
      </x:c>
      <x:c r="L12" s="12" t="str">
        <x:v>可</x:v>
      </x:c>
      <x:c r="M12" s="12" t="str">
        <x:v>WBGで影響が大きい。 / v0.8第1バッチでツリー実装済み</x:v>
      </x:c>
      <x:c r="N12" s="12" t="str">
        <x:v>https://www.wolfspeed.com/knowledge-center/article/design-considerations-for-silicon-carbide-power/</x:v>
      </x:c>
      <x:c r="P12" t="str">
        <x:v>DCリンクC リップル/寿命</x:v>
      </x:c>
      <x:c r="Q12" t="str">
        <x:v>現C重量モデルの不足が大きい</x:v>
      </x:c>
      <x:c r="R12" t="str">
        <x:v>C_req,f_sw,I_phase</x:v>
      </x:c>
      <x:c r="S12" t="str">
        <x:v>最優先</x:v>
      </x:c>
    </x:row>
    <x:row r="13">
      <x:c r="A13" s="12" t="str">
        <x:v>X005</x:v>
      </x:c>
      <x:c r="B13" s="12" t="str">
        <x:v>A</x:v>
      </x:c>
      <x:c r="C13" s="12" t="str">
        <x:v>レイアウト/寄生</x:v>
      </x:c>
      <x:c r="D13" s="12" t="str">
        <x:v>パワーループ寄生インダクタンス</x:v>
      </x:c>
      <x:c r="E13" s="12" t="str">
        <x:v>反映済 v0.8</x:v>
      </x:c>
      <x:c r="F13" s="12" t="str">
        <x:v>L_stray↓でVovershoot↓→耐圧マージン/スナバ/ゲート低速化を減らせる</x:v>
      </x:c>
      <x:c r="G13" s="12" t="str">
        <x:v>低L化に広い重なり・近接配置・追加デカップリングが必要→導体/絶縁/コンデンサ重量↑</x:v>
      </x:c>
      <x:c r="H13" s="12" t="str">
        <x:v>V_dc,K_vblk,f_sw</x:v>
      </x:c>
      <x:c r="I13" s="12" t="str">
        <x:v>L_stray,loop_area,Enable_local_decoupling</x:v>
      </x:c>
      <x:c r="J13" s="12" t="str">
        <x:v>V_ov=L_stray·di/dt; V_block_req=Vdc+Vov; L_stray→K_vblk/Ron と構造重量</x:v>
      </x:c>
      <x:c r="K13" s="12" t="n">
        <x:v>11</x:v>
      </x:c>
      <x:c r="L13" s="12" t="str">
        <x:v>可</x:v>
      </x:c>
      <x:c r="M13" s="12" t="str">
        <x:v>現v0.6はレイアウトを損失/耐圧へ直接結合していない。 / v0.8第1バッチでツリー実装済み</x:v>
      </x:c>
      <x:c r="N13" s="12" t="str">
        <x:v>https://assets.wolfspeed.com/uploads/2024/01/Wolfspeed_PRD-08333_Module_CIL_Evaluation_Kits_User_Guide.pdf</x:v>
      </x:c>
      <x:c r="P13" t="str">
        <x:v>冷却流量+ポンプ</x:v>
      </x:c>
      <x:c r="Q13" t="str">
        <x:v>冷却の便益側だけでなく重量増側を追加</x:v>
      </x:c>
      <x:c r="R13" t="str">
        <x:v>v_cool,q_cool</x:v>
      </x:c>
      <x:c r="S13" t="str">
        <x:v>最優先</x:v>
      </x:c>
    </x:row>
    <x:row r="14">
      <x:c r="A14" s="12" t="str">
        <x:v>X006</x:v>
      </x:c>
      <x:c r="B14" s="12" t="str">
        <x:v>A</x:v>
      </x:c>
      <x:c r="C14" s="12" t="str">
        <x:v>保護/寄生</x:v>
      </x:c>
      <x:c r="D14" s="12" t="str">
        <x:v>RC/RCDスナバ・クランプ回路の有効化</x:v>
      </x:c>
      <x:c r="E14" s="12" t="str">
        <x:v>反映済 v0.8</x:v>
      </x:c>
      <x:c r="F14" s="12" t="str">
        <x:v>オーバーシュート↓→耐圧マージン↓・高速スイッチング可→損失↓</x:v>
      </x:c>
      <x:c r="G14" s="12" t="str">
        <x:v>C/R/TVS/クランプ素子重量＋スナバ損失↑</x:v>
      </x:c>
      <x:c r="H14" s="12" t="str">
        <x:v>V_dc,K_vblk,R_g,f_sw</x:v>
      </x:c>
      <x:c r="I14" s="12" t="str">
        <x:v>Enable_snubber,C_snub,R_snub,Enable_active_clamp</x:v>
      </x:c>
      <x:c r="J14" s="12" t="str">
        <x:v>Enable→Vovershoot↓→Vblock↓ と Enable→M_snub/P_snub→cooling の両経路</x:v>
      </x:c>
      <x:c r="K14" s="12" t="n">
        <x:v>10</x:v>
      </x:c>
      <x:c r="L14" s="12" t="str">
        <x:v>可</x:v>
      </x:c>
      <x:c r="M14" s="12" t="str">
        <x:v>ソフトスイッチングと同じEnable型で扱いやすい。 / v0.8第1バッチでツリー実装済み</x:v>
      </x:c>
      <x:c r="N14" s="12" t="str">
        <x:v>https://assets.wolfspeed.com/uploads/2024/01/Wolfspeed_PRD-08333_Module_CIL_Evaluation_Kits_User_Guide.pdf</x:v>
      </x:c>
      <x:c r="P14" t="str">
        <x:v>TIM/Tj連成</x:v>
      </x:c>
      <x:c r="Q14" t="str">
        <x:v>半導体損失と冷却重量を温度で閉ループ化</x:v>
      </x:c>
      <x:c r="R14" t="str">
        <x:v>R_on,P_loss,M_cool</x:v>
      </x:c>
      <x:c r="S14" t="str">
        <x:v>最優先</x:v>
      </x:c>
    </x:row>
    <x:row r="15">
      <x:c r="A15" s="12" t="str">
        <x:v>X007</x:v>
      </x:c>
      <x:c r="B15" s="12" t="str">
        <x:v>A</x:v>
      </x:c>
      <x:c r="C15" s="12" t="str">
        <x:v>PWM/制御</x:v>
      </x:c>
      <x:c r="D15" s="12" t="str">
        <x:v>連続PWM vs 不連続PWM（DPWM）</x:v>
      </x:c>
      <x:c r="E15" s="12" t="str">
        <x:v>反映済 v0.8</x:v>
      </x:c>
      <x:c r="F15" s="12" t="str">
        <x:v>DPWMでスイッチング回数↓→Psw↓・冷却重量↓</x:v>
      </x:c>
      <x:c r="G15" s="12" t="str">
        <x:v>電流高調波/トルクリップル/コモンモード特性が変化→EMI/モータ側対策増の可能性</x:v>
      </x:c>
      <x:c r="H15" s="12" t="str">
        <x:v>f_sw,P_sw,EMI</x:v>
      </x:c>
      <x:c r="I15" s="12" t="str">
        <x:v>PWM_mode,Enable_DPWM,k_sw_events</x:v>
      </x:c>
      <x:c r="J15" s="12" t="str">
        <x:v>PWM_mode→N_switch_event→Psw; PWM_mode→harmonic/CM→filter mass</x:v>
      </x:c>
      <x:c r="K15" s="12" t="n">
        <x:v>10</x:v>
      </x:c>
      <x:c r="L15" s="12" t="str">
        <x:v>可</x:v>
      </x:c>
      <x:c r="M15" s="12" t="str">
        <x:v>回路トポロジーを変えず制御だけ変更可能。 / v0.8第1バッチでツリー実装済み</x:v>
      </x:c>
      <x:c r="N15" s="12" t="str">
        <x:v>https://www.infineon.com/dgdl/Infineon-AN2021-04_CIPOS_Tiny_IPM_IM323_series-ApplicationNotes-v01_00-EN.pdf?fileId=8ac78c8c82ce56640183452c81a35708</x:v>
      </x:c>
      <x:c r="P15" t="str">
        <x:v>CM/dvdtフィルタ</x:v>
      </x:c>
      <x:c r="Q15" t="str">
        <x:v>高速スイッチングのペナルティを重量化</x:v>
      </x:c>
      <x:c r="R15" t="str">
        <x:v>dvdt,f_sw,V_dc</x:v>
      </x:c>
      <x:c r="S15" t="str">
        <x:v>最優先</x:v>
      </x:c>
    </x:row>
    <x:row r="16">
      <x:c r="A16" s="12" t="str">
        <x:v>X008</x:v>
      </x:c>
      <x:c r="B16" s="12" t="str">
        <x:v>A</x:v>
      </x:c>
      <x:c r="C16" s="12" t="str">
        <x:v>PWM/制御</x:v>
      </x:c>
      <x:c r="D16" s="12" t="str">
        <x:v>ゼロベクトル配分 / Common-mode低減PWM</x:v>
      </x:c>
      <x:c r="E16" s="12" t="str">
        <x:v>反映済 v0.8</x:v>
      </x:c>
      <x:c r="F16" s="12" t="str">
        <x:v>CM電圧↓→CMフィルタ・軸受電流対策重量↓</x:v>
      </x:c>
      <x:c r="G16" s="12" t="str">
        <x:v>スイッチング回数や電流リップルが増える場合Psw/損失↑</x:v>
      </x:c>
      <x:c r="H16" s="12" t="str">
        <x:v>f_sw,EMI,V_ll</x:v>
      </x:c>
      <x:c r="I16" s="12" t="str">
        <x:v>k_zero_vector,Enable_CM_PWM</x:v>
      </x:c>
      <x:c r="J16" s="12" t="str">
        <x:v>PWM→Vcm_rms/dvdt→Icm→M_CMfilter と PWM→Nswitch→Psw</x:v>
      </x:c>
      <x:c r="K16" s="12" t="n">
        <x:v>10</x:v>
      </x:c>
      <x:c r="L16" s="12" t="str">
        <x:v>可</x:v>
      </x:c>
      <x:c r="M16" s="12" t="str">
        <x:v>EMIと損失の代表的制御トレードオフ。 / v0.8第1バッチでツリー実装済み</x:v>
      </x:c>
      <x:c r="N16" s="12" t="str">
        <x:v>https://www.infineon.com/dgdl/Infineon-MOSFET_CoolMOS_PFD7_600V-ApplicationNotes-v01_00-EN.pdf?fileId=5546d4626f229553016fa94a36ee5510</x:v>
      </x:c>
      <x:c r="P16" t="str">
        <x:v>PWM方式</x:v>
      </x:c>
      <x:c r="Q16" t="str">
        <x:v>回路変更なしで損失/EMIを変えられる</x:v>
      </x:c>
      <x:c r="R16" t="str">
        <x:v>f_sw,Psw,EMI</x:v>
      </x:c>
      <x:c r="S16" t="str">
        <x:v>最優先</x:v>
      </x:c>
    </x:row>
    <x:row r="17">
      <x:c r="A17" s="12" t="str">
        <x:v>X009</x:v>
      </x:c>
      <x:c r="B17" s="12" t="str">
        <x:v>A</x:v>
      </x:c>
      <x:c r="C17" s="12" t="str">
        <x:v>DCリンクC</x:v>
      </x:c>
      <x:c r="D17" s="12" t="str">
        <x:v>リップル電流定格による容量/並列数</x:v>
      </x:c>
      <x:c r="E17" s="12" t="str">
        <x:v>反映済 v0.8</x:v>
      </x:c>
      <x:c r="F17" s="12" t="str">
        <x:v>低ESR/高リップル許容品で必要並列数↓→重量↓</x:v>
      </x:c>
      <x:c r="G17" s="12" t="str">
        <x:v>高リップル電流で発熱↑・寿命↓、低ESR化で部品大型化/高性能品化</x:v>
      </x:c>
      <x:c r="H17" s="12" t="str">
        <x:v>f_sw,I_phase,C_req</x:v>
      </x:c>
      <x:c r="I17" s="12" t="str">
        <x:v>I_C_rms,ESR_cap,N_cap_parallel,T_hotspot</x:v>
      </x:c>
      <x:c r="J17" s="12" t="str">
        <x:v>I_C_rms→P_ESR→T_hotspot→life; I_C_rms_rating→Ncap→Mcap</x:v>
      </x:c>
      <x:c r="K17" s="12" t="n">
        <x:v>11</x:v>
      </x:c>
      <x:c r="L17" s="12" t="str">
        <x:v>可</x:v>
      </x:c>
      <x:c r="M17" s="12" t="str">
        <x:v>v0.6はエネルギー/電圧主体で、リップル電流制約が不足。 / v0.8第1バッチでツリー実装済み</x:v>
      </x:c>
      <x:c r="N17" s="12" t="str">
        <x:v>https://www.infineon.com/assets/row/public/documents/10/63/infineon-2023-09-12-genericpowerboard-optimos-6-sso8-v21-full-additionalproductinformation-en.pdf</x:v>
      </x:c>
    </x:row>
    <x:row r="18">
      <x:c r="A18" s="12" t="str">
        <x:v>X010</x:v>
      </x:c>
      <x:c r="B18" s="12" t="str">
        <x:v>A</x:v>
      </x:c>
      <x:c r="C18" s="12" t="str">
        <x:v>DCリンクC</x:v>
      </x:c>
      <x:c r="D18" s="12" t="str">
        <x:v>コンデンサESR・温度・寿命</x:v>
      </x:c>
      <x:c r="E18" s="12" t="str">
        <x:v>反映済 v0.8</x:v>
      </x:c>
      <x:c r="F18" s="12" t="str">
        <x:v>冷却/低ESR化で寿命↑→容量/マージン低減可能</x:v>
      </x:c>
      <x:c r="G18" s="12" t="str">
        <x:v>冷却追加・大型コンデンサ・並列化で重量↑</x:v>
      </x:c>
      <x:c r="H18" s="12" t="str">
        <x:v>f_sw,C_req,T_amb</x:v>
      </x:c>
      <x:c r="I18" s="12" t="str">
        <x:v>ESR_cap,T_cap_hot,life_req,k_life_margin</x:v>
      </x:c>
      <x:c r="J18" s="12" t="str">
        <x:v>Pcap=Icrms²ESR; Tcap=Tcool+Pcap·Rth; life constraint→Ncap/Mcap</x:v>
      </x:c>
      <x:c r="K18" s="12" t="n">
        <x:v>11</x:v>
      </x:c>
      <x:c r="L18" s="12" t="str">
        <x:v>可</x:v>
      </x:c>
      <x:c r="M18" s="12" t="str">
        <x:v>実製品評価では寿命制約が重要。 / v0.8第1バッチでツリー実装済み</x:v>
      </x:c>
      <x:c r="N18" s="12" t="str">
        <x:v>https://www.tdk-electronics.tdk.com/en/373562/tech-library/articles/applications-cases/applications-cases/modcap/3660166</x:v>
      </x:c>
    </x:row>
    <x:row r="19">
      <x:c r="A19" s="12" t="str">
        <x:v>X011</x:v>
      </x:c>
      <x:c r="B19" s="12" t="str">
        <x:v>A</x:v>
      </x:c>
      <x:c r="C19" s="12" t="str">
        <x:v>DCリンクC</x:v>
      </x:c>
      <x:c r="D19" s="12" t="str">
        <x:v>ESL / 高周波ローカルデカップリング</x:v>
      </x:c>
      <x:c r="E19" s="12" t="str">
        <x:v>反映済 v0.9</x:v>
      </x:c>
      <x:c r="F19" s="12" t="str">
        <x:v>低ESL化でVovershoot↓→K_vblk↓・ゲート高速化可</x:v>
      </x:c>
      <x:c r="G19" s="12" t="str">
        <x:v>小型フィルム/セラミックC追加→重量・実装面積↑</x:v>
      </x:c>
      <x:c r="H19" s="12" t="str">
        <x:v>V_dc,L_stray,f_sw</x:v>
      </x:c>
      <x:c r="I19" s="12" t="str">
        <x:v>ESL_dc,Enable_hf_decouple,C_hf,N_hf_cap</x:v>
      </x:c>
      <x:c r="J19" s="12" t="str">
        <x:v>ESL/Lloop→Vovershoot→耐圧; HF cap→Lloop_eff↓ + M_hfcap↑</x:v>
      </x:c>
      <x:c r="K19" s="12" t="n">
        <x:v>10</x:v>
      </x:c>
      <x:c r="L19" s="12" t="str">
        <x:v>可</x:v>
      </x:c>
      <x:c r="M19" s="12" t="str">
        <x:v>WBGではDCリンク容量値だけでなく配置/ESLが重要。</x:v>
      </x:c>
      <x:c r="N19" s="12" t="str">
        <x:v>https://assets.wolfspeed.com/uploads/2024/01/Wolfspeed_PRD-08333_Module_CIL_Evaluation_Kits_User_Guide.pdf</x:v>
      </x:c>
    </x:row>
    <x:row r="20">
      <x:c r="A20" s="12" t="str">
        <x:v>X012</x:v>
      </x:c>
      <x:c r="B20" s="12" t="str">
        <x:v>A</x:v>
      </x:c>
      <x:c r="C20" s="12" t="str">
        <x:v>冷却</x:v>
      </x:c>
      <x:c r="D20" s="12" t="str">
        <x:v>冷媒流量 vs ポンプ重量/消費電力</x:v>
      </x:c>
      <x:c r="E20" s="12" t="str">
        <x:v>反映済 v0.9</x:v>
      </x:c>
      <x:c r="F20" s="12" t="str">
        <x:v>流量↑→h↑→冷却器/コールドプレート重量↓</x:v>
      </x:c>
      <x:c r="G20" s="12" t="str">
        <x:v>圧損↑→ポンプ重量・補機重量・ポンプ損失↑→熱負荷↑</x:v>
      </x:c>
      <x:c r="H20" s="12" t="str">
        <x:v>v_cool,q_cool</x:v>
      </x:c>
      <x:c r="I20" s="12" t="str">
        <x:v>Q_flow,DeltaP,P_pump,m_pump,eta_pump</x:v>
      </x:c>
      <x:c r="J20" s="12" t="str">
        <x:v>Qflow→h→M_hx↓; Qflow→DeltaP→Ppump/Mpump↑→Qreq↑</x:v>
      </x:c>
      <x:c r="K20" s="12" t="n">
        <x:v>11</x:v>
      </x:c>
      <x:c r="L20" s="12" t="str">
        <x:v>可</x:v>
      </x:c>
      <x:c r="M20" s="12" t="str">
        <x:v>v0.6は流速の便益側だけで、ポンプ側ペナルティが不足。</x:v>
      </x:c>
      <x:c r="N20" s="12" t="str">
        <x:v>https://www.wolfspeed.com/knowledge-center/article/medium-power-applications-are-the-sweet-spot-for-wolfspeed-wolfpack-power-modules/</x:v>
      </x:c>
    </x:row>
    <x:row r="21">
      <x:c r="A21" s="12" t="str">
        <x:v>X013</x:v>
      </x:c>
      <x:c r="B21" s="12" t="str">
        <x:v>A</x:v>
      </x:c>
      <x:c r="C21" s="12" t="str">
        <x:v>冷却</x:v>
      </x:c>
      <x:c r="D21" s="12" t="str">
        <x:v>フィン/流路密度 vs 圧力損失</x:v>
      </x:c>
      <x:c r="E21" s="12" t="str">
        <x:v>反映済 v0.9</x:v>
      </x:c>
      <x:c r="F21" s="12" t="str">
        <x:v>フィン密度↑/流路細径化→熱伝達面積↑・熱抵抗↓</x:v>
      </x:c>
      <x:c r="G21" s="12" t="str">
        <x:v>圧損↑→ポンプ大型化/損失↑、詰まり/製造制約</x:v>
      </x:c>
      <x:c r="H21" s="12" t="str">
        <x:v>k_geom,k_fin,v_cool</x:v>
      </x:c>
      <x:c r="I21" s="12" t="str">
        <x:v>fin_density,D_h,DeltaP_channel</x:v>
      </x:c>
      <x:c r="J21" s="12" t="str">
        <x:v>geometry→h_eff↑ と geometry→DeltaP→pump mass/loss↑</x:v>
      </x:c>
      <x:c r="K21" s="12" t="n">
        <x:v>10</x:v>
      </x:c>
      <x:c r="L21" s="12" t="str">
        <x:v>可</x:v>
      </x:c>
      <x:c r="M21" s="12" t="str">
        <x:v>冷却最適化に必須。</x:v>
      </x:c>
      <x:c r="N21" s="12" t="str">
        <x:v>https://www.wolfspeed.com/knowledge-center/article/medium-power-applications-are-the-sweet-spot-for-wolfspeed-wolfpack-power-modules/</x:v>
      </x:c>
    </x:row>
    <x:row r="22">
      <x:c r="A22" s="12" t="str">
        <x:v>X014</x:v>
      </x:c>
      <x:c r="B22" s="12" t="str">
        <x:v>A</x:v>
      </x:c>
      <x:c r="C22" s="12" t="str">
        <x:v>冷却</x:v>
      </x:c>
      <x:c r="D22" s="12" t="str">
        <x:v>TIM厚さ・熱伝導率・締結圧</x:v>
      </x:c>
      <x:c r="E22" s="12" t="str">
        <x:v>反映済 v0.9</x:v>
      </x:c>
      <x:c r="F22" s="12" t="str">
        <x:v>TIM薄/高k/適正圧→Rth_cs↓→冷却器重量↓</x:v>
      </x:c>
      <x:c r="G22" s="12" t="str">
        <x:v>高性能TIM/締結機構・ばね・ボルト重量↑、圧過大は信頼性問題</x:v>
      </x:c>
      <x:c r="H22" s="12" t="str">
        <x:v>P_loss,M_cool</x:v>
      </x:c>
      <x:c r="I22" s="12" t="str">
        <x:v>t_TIM,k_TIM,p_mount,m_clamp</x:v>
      </x:c>
      <x:c r="J22" s="12" t="str">
        <x:v>Rth_TIM=t/(kA); Rth→Tj constraint→M_hx; clamp/TIM→mass</x:v>
      </x:c>
      <x:c r="K22" s="12" t="n">
        <x:v>10</x:v>
      </x:c>
      <x:c r="L22" s="12" t="str">
        <x:v>可</x:v>
      </x:c>
      <x:c r="M22" s="12" t="str">
        <x:v>モジュール-冷却器間の重要な未反映要素。</x:v>
      </x:c>
      <x:c r="N22" s="12" t="str">
        <x:v>https://www.wolfspeed.com/knowledge-center/article/medium-power-applications-are-the-sweet-spot-for-wolfspeed-wolfpack-power-modules/</x:v>
      </x:c>
    </x:row>
    <x:row r="23">
      <x:c r="A23" s="12" t="str">
        <x:v>X015</x:v>
      </x:c>
      <x:c r="B23" s="12" t="str">
        <x:v>A</x:v>
      </x:c>
      <x:c r="C23" s="12" t="str">
        <x:v>熱設計</x:v>
      </x:c>
      <x:c r="D23" s="12" t="str">
        <x:v>許容接合温度 Tj_target / 寿命マージン</x:v>
      </x:c>
      <x:c r="E23" s="12" t="str">
        <x:v>反映済 v0.9</x:v>
      </x:c>
      <x:c r="F23" s="12" t="str">
        <x:v>Tj_target↑→必要熱抵抗緩和→冷却重量↓</x:v>
      </x:c>
      <x:c r="G23" s="12" t="str">
        <x:v>寿命/信頼性・材料限界・R_on温度上昇で損失↑</x:v>
      </x:c>
      <x:c r="H23" s="12" t="str">
        <x:v>P_loss,q_cool</x:v>
      </x:c>
      <x:c r="I23" s="12" t="str">
        <x:v>Tj_target,Tj_max,Rth_total,k_reliability</x:v>
      </x:c>
      <x:c r="J23" s="12" t="str">
        <x:v>Tj=P_loss·Rth+Tcool; Tj_target→M_cool と Tj→Ron/lifetime</x:v>
      </x:c>
      <x:c r="K23" s="12" t="n">
        <x:v>11</x:v>
      </x:c>
      <x:c r="L23" s="12" t="str">
        <x:v>可</x:v>
      </x:c>
      <x:c r="M23" s="12" t="str">
        <x:v>現状は熱量のみで温度制約が薄い。</x:v>
      </x:c>
      <x:c r="N23" s="12" t="str">
        <x:v>https://www.infineon.com/dgdl/Infineon-AN2021-04_CIPOS_Tiny_IPM_IM323_series-ApplicationNotes-v01_00-EN.pdf?fileId=8ac78c8c82ce56640183452c81a35708</x:v>
      </x:c>
    </x:row>
    <x:row r="24">
      <x:c r="A24" s="12" t="str">
        <x:v>X016</x:v>
      </x:c>
      <x:c r="B24" s="12" t="str">
        <x:v>A</x:v>
      </x:c>
      <x:c r="C24" s="12" t="str">
        <x:v>バスバー</x:v>
      </x:c>
      <x:c r="D24" s="12" t="str">
        <x:v>積層バスバーの極間距離/重なり</x:v>
      </x:c>
      <x:c r="E24" s="12" t="str">
        <x:v>反映済 v0.9</x:v>
      </x:c>
      <x:c r="F24" s="12" t="str">
        <x:v>近接/重なり↑→ループL↓→overshoot/EMI↓→K_vblk/スナバ軽減</x:v>
      </x:c>
      <x:c r="G24" s="12" t="str">
        <x:v>極間C↑→CM電流↑、絶縁材/積層構造重量↑</x:v>
      </x:c>
      <x:c r="H24" s="12" t="str">
        <x:v>L_stray,V_dc,EMI</x:v>
      </x:c>
      <x:c r="I24" s="12" t="str">
        <x:v>gap_bus,overlap_bus,C_bus_parasitic,L_bus_stray</x:v>
      </x:c>
      <x:c r="J24" s="12" t="str">
        <x:v>gap/overlap→Lstray↓ と Cpar↑→Icm↑; insulation mass</x:v>
      </x:c>
      <x:c r="K24" s="12" t="n">
        <x:v>11</x:v>
      </x:c>
      <x:c r="L24" s="12" t="str">
        <x:v>可</x:v>
      </x:c>
      <x:c r="M24" s="12" t="str">
        <x:v>電気/EMI/重量の三者トレードオフ。</x:v>
      </x:c>
      <x:c r="N24" s="12" t="str">
        <x:v>https://www.wolfspeed.com/knowledge-center/article/gate-drives-and-gate-driving-with-sic-mosfets/</x:v>
      </x:c>
    </x:row>
    <x:row r="25">
      <x:c r="A25" s="12" t="str">
        <x:v>X017</x:v>
      </x:c>
      <x:c r="B25" s="12" t="str">
        <x:v>A</x:v>
      </x:c>
      <x:c r="C25" s="12" t="str">
        <x:v>バスバー</x:v>
      </x:c>
      <x:c r="D25" s="12" t="str">
        <x:v>銅 vs アルミ導体選択</x:v>
      </x:c>
      <x:c r="E25" s="12" t="str">
        <x:v>反映済 v0.9</x:v>
      </x:c>
      <x:c r="F25" s="12" t="str">
        <x:v>Al化で密度↓→導体重量↓</x:v>
      </x:c>
      <x:c r="G25" s="12" t="str">
        <x:v>抵抗率↑→断面積/損失/発熱↑→体積・冷却重量↑</x:v>
      </x:c>
      <x:c r="H25" s="12" t="str">
        <x:v>rho_bus,J_bus,L_bus</x:v>
      </x:c>
      <x:c r="I25" s="12" t="str">
        <x:v>Material_bus,rho_e_bus,rho_mass_bus</x:v>
      </x:c>
      <x:c r="J25" s="12" t="str">
        <x:v>material→rho_mass→Mbus; material→rho_e→Areq/Ploss→Mbus/Mcool</x:v>
      </x:c>
      <x:c r="K25" s="12" t="n">
        <x:v>9</x:v>
      </x:c>
      <x:c r="L25" s="12" t="str">
        <x:v>可</x:v>
      </x:c>
      <x:c r="M25" s="12" t="str">
        <x:v>典型的な材料トレードオフ。</x:v>
      </x:c>
      <x:c r="N25" s="12" t="str">
        <x:v>https://www.ti.com/lit/pdf/SDAA218</x:v>
      </x:c>
    </x:row>
    <x:row r="26">
      <x:c r="A26" s="12" t="str">
        <x:v>X018</x:v>
      </x:c>
      <x:c r="B26" s="12" t="str">
        <x:v>B</x:v>
      </x:c>
      <x:c r="C26" s="12" t="str">
        <x:v>バスバー</x:v>
      </x:c>
      <x:c r="D26" s="12" t="str">
        <x:v>高周波表皮/近接効果</x:v>
      </x:c>
      <x:c r="E26" s="12" t="str">
        <x:v>反映済 v0.9</x:v>
      </x:c>
      <x:c r="F26" s="12" t="str">
        <x:v>薄板積層/幅広化でAC抵抗↓→損失↓</x:v>
      </x:c>
      <x:c r="G26" s="12" t="str">
        <x:v>表面積/絶縁/積層数↑→重量・製造構造増</x:v>
      </x:c>
      <x:c r="H26" s="12" t="str">
        <x:v>f_sw,L_bus</x:v>
      </x:c>
      <x:c r="I26" s="12" t="str">
        <x:v>R_ac/R_dc,skin_depth,N_laminate</x:v>
      </x:c>
      <x:c r="J26" s="12" t="str">
        <x:v>f→skin_depth→Rac→Pbus; laminate geometry→Mbus</x:v>
      </x:c>
      <x:c r="K26" s="12" t="n">
        <x:v>9</x:v>
      </x:c>
      <x:c r="L26" s="12" t="str">
        <x:v>可</x:v>
      </x:c>
      <x:c r="M26" s="12" t="str">
        <x:v>高f_sw化の隠れペナルティ。</x:v>
      </x:c>
      <x:c r="N26" s="12" t="str">
        <x:v>https://www.tdk-electronics.tdk.com/en/373562/tech-library/articles/applications-cases/applications-cases/modcap/3660166</x:v>
      </x:c>
    </x:row>
    <x:row r="27">
      <x:c r="A27" s="12" t="str">
        <x:v>X019</x:v>
      </x:c>
      <x:c r="B27" s="12" t="str">
        <x:v>A</x:v>
      </x:c>
      <x:c r="C27" s="12" t="str">
        <x:v>EMI/モータ保護</x:v>
      </x:c>
      <x:c r="D27" s="12" t="str">
        <x:v>dv/dt出力フィルタ / サインフィルタ有効化</x:v>
      </x:c>
      <x:c r="E27" s="12" t="str">
        <x:v>反映済 v0.9</x:v>
      </x:c>
      <x:c r="F27" s="12" t="str">
        <x:v>モータ巻線絶縁・軸受電流・ケーブル反射・EMIを低減→ゲート高速化可能</x:v>
      </x:c>
      <x:c r="G27" s="12" t="str">
        <x:v>L/C/Rフィルタ重量・損失↑</x:v>
      </x:c>
      <x:c r="H27" s="12" t="str">
        <x:v>dvdt,f_sw,V_dc</x:v>
      </x:c>
      <x:c r="I27" s="12" t="str">
        <x:v>Enable_dvdt_filter,L_dvdt,C_dvdt,R_damp</x:v>
      </x:c>
      <x:c r="J27" s="12" t="str">
        <x:v>Enable→motor dvdt/EMI↓ と Enable→M_filter/P_filter↑</x:v>
      </x:c>
      <x:c r="K27" s="12" t="n">
        <x:v>11</x:v>
      </x:c>
      <x:c r="L27" s="12" t="str">
        <x:v>可</x:v>
      </x:c>
      <x:c r="M27" s="12" t="str">
        <x:v>回路追加型技術。ユーザー方針に適合。</x:v>
      </x:c>
      <x:c r="N27" s="12" t="str">
        <x:v>https://www.infineon.com/dgdl/Infineon-MOSFET_CoolMOS_PFD7_600V-ApplicationNotes-v01_00-EN.pdf?fileId=5546d4626f229553016fa94a36ee5510</x:v>
      </x:c>
    </x:row>
    <x:row r="28">
      <x:c r="A28" s="12" t="str">
        <x:v>X020</x:v>
      </x:c>
      <x:c r="B28" s="12" t="str">
        <x:v>A</x:v>
      </x:c>
      <x:c r="C28" s="12" t="str">
        <x:v>EMI</x:v>
      </x:c>
      <x:c r="D28" s="12" t="str">
        <x:v>コモンモードチョーク / Y-Cap有効化</x:v>
      </x:c>
      <x:c r="E28" s="12" t="str">
        <x:v>反映済 v0.9</x:v>
      </x:c>
      <x:c r="F28" s="12" t="str">
        <x:v>CMノイズ↓→シールド/モータ軸受対策を軽減</x:v>
      </x:c>
      <x:c r="G28" s="12" t="str">
        <x:v>チョーク・Y-Cap重量↑、漏れ電流/絶縁制約</x:v>
      </x:c>
      <x:c r="H28" s="12" t="str">
        <x:v>f_sw,dvdt,V_dc</x:v>
      </x:c>
      <x:c r="I28" s="12" t="str">
        <x:v>Enable_CM_filter,L_CM,C_Y,I_leak</x:v>
      </x:c>
      <x:c r="J28" s="12" t="str">
        <x:v>Icm=Cpar·dvdt; attenuation target→LC size; filter mass/loss</x:v>
      </x:c>
      <x:c r="K28" s="12" t="n">
        <x:v>11</x:v>
      </x:c>
      <x:c r="L28" s="12" t="str">
        <x:v>可</x:v>
      </x:c>
      <x:c r="M28" s="12" t="str">
        <x:v>現EMIモデルはDM中心。</x:v>
      </x:c>
      <x:c r="N28" s="12" t="str">
        <x:v>https://www.infineon.com/dgdl/Infineon-Evaluationboard_EVAL_DRIVE_3PH_PFD7-ApplicationNotes-v01_01-EN.pdf?fileId=5546d4626f229553016fa800964b53f6</x:v>
      </x:c>
    </x:row>
    <x:row r="29">
      <x:c r="A29" s="12" t="str">
        <x:v>X021</x:v>
      </x:c>
      <x:c r="B29" s="12" t="str">
        <x:v>B</x:v>
      </x:c>
      <x:c r="C29" s="12" t="str">
        <x:v>EMI/構造</x:v>
      </x:c>
      <x:c r="D29" s="12" t="str">
        <x:v>シールド板・導電筐体・接地強化</x:v>
      </x:c>
      <x:c r="E29" s="12" t="str">
        <x:v>反映済 v1.0</x:v>
      </x:c>
      <x:c r="F29" s="12" t="str">
        <x:v>放射EMI↓→外付けフィルタ低減の可能性</x:v>
      </x:c>
      <x:c r="G29" s="12" t="str">
        <x:v>シールド/ガスケット/接地ストラップ重量↑</x:v>
      </x:c>
      <x:c r="H29" s="12" t="str">
        <x:v>EMI,M_case</x:v>
      </x:c>
      <x:c r="I29" s="12" t="str">
        <x:v>Enable_shield,t_shield,m_gasket</x:v>
      </x:c>
      <x:c r="J29" s="12" t="str">
        <x:v>shield effectiveness→EMI filter requirement↓; Mshield↑</x:v>
      </x:c>
      <x:c r="K29" s="12" t="n">
        <x:v>8</x:v>
      </x:c>
      <x:c r="L29" s="12" t="str">
        <x:v>可</x:v>
      </x:c>
      <x:c r="M29" s="12" t="str">
        <x:v>筐体とEMIを接続する技術。 / v1.0第3バッチでツリー実装済み</x:v>
      </x:c>
      <x:c r="N29" s="12" t="str">
        <x:v>https://www.ti.com/lit/pdf/sbaa698</x:v>
      </x:c>
    </x:row>
    <x:row r="30">
      <x:c r="A30" s="12" t="str">
        <x:v>X022</x:v>
      </x:c>
      <x:c r="B30" s="12" t="str">
        <x:v>A</x:v>
      </x:c>
      <x:c r="C30" s="12" t="str">
        <x:v>センシング</x:v>
      </x:c>
      <x:c r="D30" s="12" t="str">
        <x:v>シャント抵抗値</x:v>
      </x:c>
      <x:c r="E30" s="12" t="str">
        <x:v>反映済 v1.0</x:v>
      </x:c>
      <x:c r="F30" s="12" t="str">
        <x:v>Rshunt↑→信号S/N・精度↑→高性能アンプ/センサ小型化可能</x:v>
      </x:c>
      <x:c r="G30" s="12" t="str">
        <x:v>I²R損失・発熱↑→冷却重量↑</x:v>
      </x:c>
      <x:c r="H30" s="12" t="str">
        <x:v>I_phase,M_sensor</x:v>
      </x:c>
      <x:c r="I30" s="12" t="str">
        <x:v>R_shunt,Gain_CSA,accuracy_req</x:v>
      </x:c>
      <x:c r="J30" s="12" t="str">
        <x:v>Vsense=I·R; Pshunt=I²R; accuracy→amp/sensor mass/cost</x:v>
      </x:c>
      <x:c r="K30" s="12" t="n">
        <x:v>10</x:v>
      </x:c>
      <x:c r="L30" s="12" t="str">
        <x:v>可</x:v>
      </x:c>
      <x:c r="M30" s="12" t="str">
        <x:v>センサ重量だけでなく損失経路が必要。 / v1.0第3バッチでツリー実装済み</x:v>
      </x:c>
      <x:c r="N30" s="12" t="str">
        <x:v>https://www.ti.com/lit/ug/tiduf64a/tiduf64a.pdf</x:v>
      </x:c>
    </x:row>
    <x:row r="31">
      <x:c r="A31" s="12" t="str">
        <x:v>X023</x:v>
      </x:c>
      <x:c r="B31" s="12" t="str">
        <x:v>A</x:v>
      </x:c>
      <x:c r="C31" s="12" t="str">
        <x:v>センシング</x:v>
      </x:c>
      <x:c r="D31" s="12" t="str">
        <x:v>1-shunt / 3-shunt / Hall方式選択</x:v>
      </x:c>
      <x:c r="E31" s="12" t="str">
        <x:v>反映済 v1.0</x:v>
      </x:c>
      <x:c r="F31" s="12" t="str">
        <x:v>1-shuntでセンサ/絶縁部品重量↓、Hallで挿入損失↓</x:v>
      </x:c>
      <x:c r="G31" s="12" t="str">
        <x:v>1-shuntは観測可能時間/制御制約、Hallはセンサ重量↑、3-shuntは損失/部品数↑</x:v>
      </x:c>
      <x:c r="H31" s="12" t="str">
        <x:v>M_sensor,control</x:v>
      </x:c>
      <x:c r="I31" s="12" t="str">
        <x:v>Sense_mode,N_shunt,Enable_Hall</x:v>
      </x:c>
      <x:c r="J31" s="12" t="str">
        <x:v>mode→Nsensor/Msensor/Psense; mode→PWM constraints→loss/harmonic</x:v>
      </x:c>
      <x:c r="K31" s="12" t="n">
        <x:v>9</x:v>
      </x:c>
      <x:c r="L31" s="12" t="str">
        <x:v>可</x:v>
      </x:c>
      <x:c r="M31" s="12" t="str">
        <x:v>回路トポロジーは主電力段を変えずセンシング方式変更。 / v1.0第3バッチでツリー実装済み</x:v>
      </x:c>
      <x:c r="N31" s="12" t="str">
        <x:v>https://www.ti.com/lit/pdf/tidudr5</x:v>
      </x:c>
    </x:row>
    <x:row r="32">
      <x:c r="A32" s="12" t="str">
        <x:v>X024</x:v>
      </x:c>
      <x:c r="B32" s="12" t="str">
        <x:v>A</x:v>
      </x:c>
      <x:c r="C32" s="12" t="str">
        <x:v>絶縁/ゲート</x:v>
      </x:c>
      <x:c r="D32" s="12" t="str">
        <x:v>絶縁ゲートドライバ vs 非絶縁/ブートストラップ</x:v>
      </x:c>
      <x:c r="E32" s="12" t="str">
        <x:v>反映済 v1.0</x:v>
      </x:c>
      <x:c r="F32" s="12" t="str">
        <x:v>ブートストラップ等で絶縁電源重量↓</x:v>
      </x:c>
      <x:c r="G32" s="12" t="str">
        <x:v>duty/低速制約、CMTI/安全要求。絶縁採用はトランス/電源重量↑だが堅牢性↑</x:v>
      </x:c>
      <x:c r="H32" s="12" t="str">
        <x:v>M_ctrl,V_dc</x:v>
      </x:c>
      <x:c r="I32" s="12" t="str">
        <x:v>Gate_iso_mode,Enable_isolated_bias,C_boot</x:v>
      </x:c>
      <x:c r="J32" s="12" t="str">
        <x:v>mode→M_gate/M_bias; mode→CMTI/duty constraint→gate speed/loss</x:v>
      </x:c>
      <x:c r="K32" s="12" t="n">
        <x:v>9</x:v>
      </x:c>
      <x:c r="L32" s="12" t="str">
        <x:v>可</x:v>
      </x:c>
      <x:c r="M32" s="12" t="str">
        <x:v>安全要求により選択制約を設定可能。 / v1.0第3バッチでツリー実装済み</x:v>
      </x:c>
      <x:c r="N32" s="12" t="str">
        <x:v>https://www.ti.com/lit/pdf/slvaf66</x:v>
      </x:c>
    </x:row>
    <x:row r="33">
      <x:c r="A33" s="12" t="str">
        <x:v>X025</x:v>
      </x:c>
      <x:c r="B33" s="12" t="str">
        <x:v>A</x:v>
      </x:c>
      <x:c r="C33" s="12" t="str">
        <x:v>保護</x:v>
      </x:c>
      <x:c r="D33" s="12" t="str">
        <x:v>短絡保護方式・検出速度</x:v>
      </x:c>
      <x:c r="E33" s="12" t="str">
        <x:v>反映済 v1.0</x:v>
      </x:c>
      <x:c r="F33" s="12" t="str">
        <x:v>高速保護で素子短絡耐量マージン/過大定格を減らせる可能性</x:v>
      </x:c>
      <x:c r="G33" s="12" t="str">
        <x:v>DESAT/シャント/Hall/クランプ等の回路重量・損失・誤検出対策</x:v>
      </x:c>
      <x:c r="H33" s="12" t="str">
        <x:v>K_vblk,N_parallel</x:v>
      </x:c>
      <x:c r="I33" s="12" t="str">
        <x:v>Protection_mode,t_SC_detect,Enable_DESAT</x:v>
      </x:c>
      <x:c r="J33" s="12" t="str">
        <x:v>t_detect→device margin/parallel/rating; protection circuit→M_ctrl</x:v>
      </x:c>
      <x:c r="K33" s="12" t="n">
        <x:v>9</x:v>
      </x:c>
      <x:c r="L33" s="12" t="str">
        <x:v>可</x:v>
      </x:c>
      <x:c r="M33" s="12" t="str">
        <x:v>実製品のデバイス選定に強く影響。 / v1.0第3バッチでツリー実装済み</x:v>
      </x:c>
      <x:c r="N33" s="12" t="str">
        <x:v>https://www.ti.com/lit/pdf/sluab11</x:v>
      </x:c>
    </x:row>
    <x:row r="34">
      <x:c r="A34" s="12" t="str">
        <x:v>X026</x:v>
      </x:c>
      <x:c r="B34" s="12" t="str">
        <x:v>A</x:v>
      </x:c>
      <x:c r="C34" s="12" t="str">
        <x:v>保護</x:v>
      </x:c>
      <x:c r="D34" s="12" t="str">
        <x:v>過電圧アクティブクランプ</x:v>
      </x:c>
      <x:c r="E34" s="12" t="str">
        <x:v>反映済 v1.0</x:v>
      </x:c>
      <x:c r="F34" s="12" t="str">
        <x:v>Vovershoot抑制→K_vblk↓・Ron低下可能</x:v>
      </x:c>
      <x:c r="G34" s="12" t="str">
        <x:v>クランプ回路重量/損失・ゲート回路複雑化</x:v>
      </x:c>
      <x:c r="H34" s="12" t="str">
        <x:v>K_vblk,L_stray</x:v>
      </x:c>
      <x:c r="I34" s="12" t="str">
        <x:v>Enable_active_clamp,Vclamp,Pclamp</x:v>
      </x:c>
      <x:c r="J34" s="12" t="str">
        <x:v>Enable→Vblock_req↓→Ron↓; Enable→Mclamp/Pclamp↑</x:v>
      </x:c>
      <x:c r="K34" s="12" t="n">
        <x:v>10</x:v>
      </x:c>
      <x:c r="L34" s="12" t="str">
        <x:v>可</x:v>
      </x:c>
      <x:c r="M34" s="12" t="str">
        <x:v>スナバとは別の能動技術候補。 / v1.0第3バッチでツリー実装済み</x:v>
      </x:c>
      <x:c r="N34" s="12" t="str">
        <x:v>https://www.ti.com/lit/pdf/sbaa730</x:v>
      </x:c>
    </x:row>
    <x:row r="35">
      <x:c r="A35" s="12" t="str">
        <x:v>X027</x:v>
      </x:c>
      <x:c r="B35" s="12" t="str">
        <x:v>A</x:v>
      </x:c>
      <x:c r="C35" s="12" t="str">
        <x:v>絶縁/構造</x:v>
      </x:c>
      <x:c r="D35" s="12" t="str">
        <x:v>沿面・空間距離 / 絶縁厚さ</x:v>
      </x:c>
      <x:c r="E35" s="12" t="str">
        <x:v>反映済 v1.0</x:v>
      </x:c>
      <x:c r="F35" s="12" t="str">
        <x:v>絶縁材料高度化で距離・筐体/バスバー体積を縮小可能</x:v>
      </x:c>
      <x:c r="G35" s="12" t="str">
        <x:v>高耐圧絶縁材・コーティング/ポッティング重量↑、熱抵抗↑</x:v>
      </x:c>
      <x:c r="H35" s="12" t="str">
        <x:v>V_dc,K_vblk,M_case,M_bus</x:v>
      </x:c>
      <x:c r="I35" s="12" t="str">
        <x:v>creepage,clearance,t_ins,k_ins</x:v>
      </x:c>
      <x:c r="J35" s="12" t="str">
        <x:v>V/環境→distance→geometry/mass; insulation→Rth/weight</x:v>
      </x:c>
      <x:c r="K35" s="12" t="n">
        <x:v>10</x:v>
      </x:c>
      <x:c r="L35" s="12" t="str">
        <x:v>可</x:v>
      </x:c>
      <x:c r="M35" s="12" t="str">
        <x:v>高Vdc化の重量ペナルティとして重要。 / v1.0第3バッチでツリー実装済み</x:v>
      </x:c>
      <x:c r="N35" s="12" t="str">
        <x:v>https://www.wolfspeed.com/knowledge-center/article/enhancing-system-durability-with-advanced-packaging-for-silicon-carbide/</x:v>
      </x:c>
    </x:row>
    <x:row r="36">
      <x:c r="A36" s="12" t="str">
        <x:v>X028</x:v>
      </x:c>
      <x:c r="B36" s="12" t="str">
        <x:v>B</x:v>
      </x:c>
      <x:c r="C36" s="12" t="str">
        <x:v>絶縁/構造</x:v>
      </x:c>
      <x:c r="D36" s="12" t="str">
        <x:v>ポッティング / コンフォーマルコート</x:v>
      </x:c>
      <x:c r="E36" s="12" t="str">
        <x:v>反映済 v1.0</x:v>
      </x:c>
      <x:c r="F36" s="12" t="str">
        <x:v>絶縁・耐環境性向上→クリアランス/支持部低減可能</x:v>
      </x:c>
      <x:c r="G36" s="12" t="str">
        <x:v>樹脂重量↑、熱抵抗・修理性ペナルティ</x:v>
      </x:c>
      <x:c r="H36" s="12" t="str">
        <x:v>V_dc,M_case</x:v>
      </x:c>
      <x:c r="I36" s="12" t="str">
        <x:v>Enable_potting,rho_pot,V_pot,k_thermal_pot</x:v>
      </x:c>
      <x:c r="J36" s="12" t="str">
        <x:v>Enable→clearance/support↓ と Mpot/Rth↑</x:v>
      </x:c>
      <x:c r="K36" s="12" t="n">
        <x:v>8</x:v>
      </x:c>
      <x:c r="L36" s="12" t="str">
        <x:v>可</x:v>
      </x:c>
      <x:c r="M36" s="12" t="str">
        <x:v>追加/削除技術として扱いやすい。 / v1.0第3バッチでツリー実装済み</x:v>
      </x:c>
      <x:c r="N36" s="12" t="str">
        <x:v>https://www.wolfspeed.com/knowledge-center/article/enhancing-system-durability-with-advanced-packaging-for-silicon-carbide/</x:v>
      </x:c>
    </x:row>
    <x:row r="37">
      <x:c r="A37" s="12" t="str">
        <x:v>X029</x:v>
      </x:c>
      <x:c r="B37" s="12" t="str">
        <x:v>A</x:v>
      </x:c>
      <x:c r="C37" s="12" t="str">
        <x:v>補助電源</x:v>
      </x:c>
      <x:c r="D37" s="12" t="str">
        <x:v>ゲート駆動電力 / 絶縁バイアス電源サイズ</x:v>
      </x:c>
      <x:c r="E37" s="12" t="str">
        <x:v>反映済 v1.0</x:v>
      </x:c>
      <x:c r="F37" s="12" t="str">
        <x:v>Qg↓/Vg↓/fsw↓で補助電源小型化</x:v>
      </x:c>
      <x:c r="G37" s="12" t="str">
        <x:v>Vg低下でRon↑、fsw低下でEMI受動部品重量↑</x:v>
      </x:c>
      <x:c r="H37" s="12" t="str">
        <x:v>f_sw,C_oss,M_ctrl</x:v>
      </x:c>
      <x:c r="I37" s="12" t="str">
        <x:v>Q_g,V_gate,P_gate,eta_bias,m_bias</x:v>
      </x:c>
      <x:c r="J37" s="12" t="str">
        <x:v>Pgate=N·Qg·ΔVg·fsw; Pgate→bias supply mass; Vg→Ron</x:v>
      </x:c>
      <x:c r="K37" s="12" t="n">
        <x:v>10</x:v>
      </x:c>
      <x:c r="L37" s="12" t="str">
        <x:v>可</x:v>
      </x:c>
      <x:c r="M37" s="12" t="str">
        <x:v>f_swの別ペナルティ経路。 / v1.0第3バッチでツリー実装済み</x:v>
      </x:c>
      <x:c r="N37" s="12" t="str">
        <x:v>https://www.ti.com/lit/pdf/slua618</x:v>
      </x:c>
    </x:row>
    <x:row r="38">
      <x:c r="A38" s="12" t="str">
        <x:v>X030</x:v>
      </x:c>
      <x:c r="B38" s="12" t="str">
        <x:v>B</x:v>
      </x:c>
      <x:c r="C38" s="12" t="str">
        <x:v>DCリンク/安全</x:v>
      </x:c>
      <x:c r="D38" s="12" t="str">
        <x:v>プリチャージ回路</x:v>
      </x:c>
      <x:c r="E38" s="12" t="str">
        <x:v>反映済 v1.0</x:v>
      </x:c>
      <x:c r="F38" s="12" t="str">
        <x:v>適切なプリチャージでコンタクタ/ヒューズ/キャパへの突入ストレス低減</x:v>
      </x:c>
      <x:c r="G38" s="12" t="str">
        <x:v>抵抗・リレー/コンタクタ重量追加、充電時間制約</x:v>
      </x:c>
      <x:c r="H38" s="12" t="str">
        <x:v>C_req,V_dc</x:v>
      </x:c>
      <x:c r="I38" s="12" t="str">
        <x:v>Enable_precharge,R_precharge,t_precharge,m_contactor</x:v>
      </x:c>
      <x:c r="J38" s="12" t="str">
        <x:v>Iinrush=C·dV/dt; stress→component rating; precharge mass</x:v>
      </x:c>
      <x:c r="K38" s="12" t="n">
        <x:v>8</x:v>
      </x:c>
      <x:c r="L38" s="12" t="str">
        <x:v>可</x:v>
      </x:c>
      <x:c r="M38" s="12" t="str">
        <x:v>追加回路型。 / v1.0第3バッチでツリー実装済み</x:v>
      </x:c>
      <x:c r="N38" s="12" t="str">
        <x:v>https://www.infineon.com/assets/row/public/documents/24/42/infineon-infineon-coolsic-400-v-and-440-v-g2-mosfets-an-en-applicationnotes-en.pdf</x:v>
      </x:c>
    </x:row>
    <x:row r="39">
      <x:c r="A39" s="12" t="str">
        <x:v>X031</x:v>
      </x:c>
      <x:c r="B39" s="12" t="str">
        <x:v>B</x:v>
      </x:c>
      <x:c r="C39" s="12" t="str">
        <x:v>DCリンク/安全</x:v>
      </x:c>
      <x:c r="D39" s="12" t="str">
        <x:v>放電回路 / アクティブディスチャージ</x:v>
      </x:c>
      <x:c r="E39" s="12" t="str">
        <x:v>反映済 v1.2</x:v>
      </x:c>
      <x:c r="F39" s="12" t="str">
        <x:v>アクティブ化で高速放電と抵抗常時損失低減</x:v>
      </x:c>
      <x:c r="G39" s="12" t="str">
        <x:v>スイッチ/制御回路重量↑</x:v>
      </x:c>
      <x:c r="H39" s="12" t="str">
        <x:v>C_req,V_dc</x:v>
      </x:c>
      <x:c r="I39" s="12" t="str">
        <x:v>Enable_active_discharge,R_discharge,t_discharge</x:v>
      </x:c>
      <x:c r="J39" s="12" t="str">
        <x:v>t=C·R; passive loss vs active circuit mass</x:v>
      </x:c>
      <x:c r="K39" s="12" t="n">
        <x:v>8</x:v>
      </x:c>
      <x:c r="L39" s="12" t="str">
        <x:v>可</x:v>
      </x:c>
      <x:c r="M39" s="12" t="str">
        <x:v>安全機能の技術選択。 / v1.2でツリー実装・深化済み</x:v>
      </x:c>
      <x:c r="N39" s="12" t="str">
        <x:v>https://www.infineon.com/assets/row/public/documents/24/42/infineon-infineon-coolsic-400-v-and-440-v-g2-mosfets-an-en-applicationnotes-en.pdf</x:v>
      </x:c>
    </x:row>
    <x:row r="40">
      <x:c r="A40" s="12" t="str">
        <x:v>X032</x:v>
      </x:c>
      <x:c r="B40" s="12" t="str">
        <x:v>B</x:v>
      </x:c>
      <x:c r="C40" s="12" t="str">
        <x:v>半導体熱</x:v>
      </x:c>
      <x:c r="D40" s="12" t="str">
        <x:v>パッケージ/冷却方式（両面・上面冷却）</x:v>
      </x:c>
      <x:c r="E40" s="12" t="str">
        <x:v>反映済 v1.2</x:v>
      </x:c>
      <x:c r="F40" s="12" t="str">
        <x:v>Rth↓→冷却器重量↓・高電流密度化</x:v>
      </x:c>
      <x:c r="G40" s="12" t="str">
        <x:v>パッケージ/クランプ/絶縁構造重量・製造複雑度↑</x:v>
      </x:c>
      <x:c r="H40" s="12" t="str">
        <x:v>M_semi,M_cool,J_chip</x:v>
      </x:c>
      <x:c r="I40" s="12" t="str">
        <x:v>Cooling_package_mode,Rth_jc,Rth_cs</x:v>
      </x:c>
      <x:c r="J40" s="12" t="str">
        <x:v>package mode→Rth→M_cool/J_chip; package structure→M_semi</x:v>
      </x:c>
      <x:c r="K40" s="12" t="n">
        <x:v>10</x:v>
      </x:c>
      <x:c r="L40" s="12" t="str">
        <x:v>条件付可</x:v>
      </x:c>
      <x:c r="M40" s="12" t="str">
        <x:v>主回路トポロジーを維持したパッケージ技術変更。 / v1.2でツリー実装・深化済み</x:v>
      </x:c>
      <x:c r="N40" s="12" t="str">
        <x:v>https://www.wolfspeed.com/knowledge-center/article/enhancing-system-durability-with-advanced-packaging-for-silicon-carbide/</x:v>
      </x:c>
    </x:row>
    <x:row r="41">
      <x:c r="A41" s="12" t="str">
        <x:v>X033</x:v>
      </x:c>
      <x:c r="B41" s="12" t="str">
        <x:v>B</x:v>
      </x:c>
      <x:c r="C41" s="12" t="str">
        <x:v>半導体</x:v>
      </x:c>
      <x:c r="D41" s="12" t="str">
        <x:v>接合温度によるR_on増加</x:v>
      </x:c>
      <x:c r="E41" s="12" t="str">
        <x:v>反映済 v1.2</x:v>
      </x:c>
      <x:c r="F41" s="12" t="str">
        <x:v>冷却強化でTj↓→Ron↓→損失↓</x:v>
      </x:c>
      <x:c r="G41" s="12" t="str">
        <x:v>冷却重量↑。高Tj許容では冷却軽量化できるがRon↑</x:v>
      </x:c>
      <x:c r="H41" s="12" t="str">
        <x:v>R_on,M_cool</x:v>
      </x:c>
      <x:c r="I41" s="12" t="str">
        <x:v>alpha_Ron_T,Tj</x:v>
      </x:c>
      <x:c r="J41" s="12" t="str">
        <x:v>Ron(T)=Ron_ref·f(Tj); Pcond↔Tjの連成</x:v>
      </x:c>
      <x:c r="K41" s="12" t="n">
        <x:v>11</x:v>
      </x:c>
      <x:c r="L41" s="12" t="str">
        <x:v>可</x:v>
      </x:c>
      <x:c r="M41" s="12" t="str">
        <x:v>熱-電気連成が現ツリーに不足。 / v1.2でツリー実装・深化済み</x:v>
      </x:c>
      <x:c r="N41" s="12" t="str">
        <x:v>https://www.infineon.com/dgdl/Infineon-AN2021-04_CIPOS_Tiny_IPM_IM323_series-ApplicationNotes-v01_00-EN.pdf?fileId=8ac78c8c82ce56640183452c81a35708</x:v>
      </x:c>
    </x:row>
    <x:row r="42">
      <x:c r="A42" s="12" t="str">
        <x:v>X034</x:v>
      </x:c>
      <x:c r="B42" s="12" t="str">
        <x:v>B</x:v>
      </x:c>
      <x:c r="C42" s="12" t="str">
        <x:v>EMI/モータ</x:v>
      </x:c>
      <x:c r="D42" s="12" t="str">
        <x:v>ケーブル長による反射・CM電流要求</x:v>
      </x:c>
      <x:c r="E42" s="12" t="str">
        <x:v>反映済 v1.2</x:v>
      </x:c>
      <x:c r="F42" s="12" t="str">
        <x:v>短ケーブルならdv/dtフィルタ/CM対策を軽減可能</x:v>
      </x:c>
      <x:c r="G42" s="12" t="str">
        <x:v>長ケーブルは出力フィルタ/CMチョーク/シールド重量を増加</x:v>
      </x:c>
      <x:c r="H42" s="12" t="str">
        <x:v>V_dc,dvdt,EMI</x:v>
      </x:c>
      <x:c r="I42" s="12" t="str">
        <x:v>L_cable,Z_cable,C_cable</x:v>
      </x:c>
      <x:c r="J42" s="12" t="str">
        <x:v>cable requirement→Vpeak/Icm→filter requirement/mass</x:v>
      </x:c>
      <x:c r="K42" s="12" t="n">
        <x:v>9</x:v>
      </x:c>
      <x:c r="L42" s="12" t="str">
        <x:v>条件付可</x:v>
      </x:c>
      <x:c r="M42" s="12" t="str">
        <x:v>ケーブル長は上位システム固定要求として入力し、感度対象外でもよい。 / v1.2でツリー実装・深化済み</x:v>
      </x:c>
      <x:c r="N42" s="12" t="str">
        <x:v>https://www.infineon.com/dgdl/Infineon-MOSFET_CoolMOS_PFD7_600V-ApplicationNotes-v01_00-EN.pdf?fileId=5546d4626f229553016fa94a36ee5510</x:v>
      </x:c>
    </x:row>
    <x:row r="43">
      <x:c r="A43" s="12" t="str">
        <x:v>X035</x:v>
      </x:c>
      <x:c r="B43" s="12" t="str">
        <x:v>B</x:v>
      </x:c>
      <x:c r="C43" s="12" t="str">
        <x:v>制御</x:v>
      </x:c>
      <x:c r="D43" s="12" t="str">
        <x:v>電流リップル許容値 / 制御帯域</x:v>
      </x:c>
      <x:c r="E43" s="12" t="str">
        <x:v>反映済 v1.2</x:v>
      </x:c>
      <x:c r="F43" s="12" t="str">
        <x:v>リップル許容↑でf_sw↓→Psw↓</x:v>
      </x:c>
      <x:c r="G43" s="12" t="str">
        <x:v>電流高調波/トルクリップル/EMI/モータ損失↑、場合によりフィルタ重量↑</x:v>
      </x:c>
      <x:c r="H43" s="12" t="str">
        <x:v>f_sw,r_Iemi</x:v>
      </x:c>
      <x:c r="I43" s="12" t="str">
        <x:v>DeltaI_phase_req,BW_current</x:v>
      </x:c>
      <x:c r="J43" s="12" t="str">
        <x:v>ripple≈V/(Lmotor·fsw); fsw requirement↔Psw/EMI/filter</x:v>
      </x:c>
      <x:c r="K43" s="12" t="n">
        <x:v>9</x:v>
      </x:c>
      <x:c r="L43" s="12" t="str">
        <x:v>可</x:v>
      </x:c>
      <x:c r="M43" s="12" t="str">
        <x:v>f_swを独立変数ではなく性能要求と結ぶ。 / v1.2でツリー実装・深化済み</x:v>
      </x:c>
      <x:c r="N43" s="12" t="str">
        <x:v>https://www.ti.com/lit/pdf/slvaf66</x:v>
      </x:c>
    </x:row>
    <x:row r="44">
      <x:c r="A44" s="12" t="str">
        <x:v>X036</x:v>
      </x:c>
      <x:c r="B44" s="12" t="str">
        <x:v>B</x:v>
      </x:c>
      <x:c r="C44" s="12" t="str">
        <x:v>ゲート駆動</x:v>
      </x:c>
      <x:c r="D44" s="12" t="str">
        <x:v>Miller clamp / 誤点弧抑制</x:v>
      </x:c>
      <x:c r="E44" s="12" t="str">
        <x:v>反映済 v1.2</x:v>
      </x:c>
      <x:c r="F44" s="12" t="str">
        <x:v>高速dv/dtを維持しつつ誤点弧を抑制→Psw↓</x:v>
      </x:c>
      <x:c r="G44" s="12" t="str">
        <x:v>クランプ回路/専用ドライバ重量・損失↑</x:v>
      </x:c>
      <x:c r="H44" s="12" t="str">
        <x:v>dvdt,R_g,Vgs_off</x:v>
      </x:c>
      <x:c r="I44" s="12" t="str">
        <x:v>Enable_Miller_clamp,m_clamp_driver</x:v>
      </x:c>
      <x:c r="J44" s="12" t="str">
        <x:v>Enable→allowable dvdt↑→E_sw↓ と driver mass↑</x:v>
      </x:c>
      <x:c r="K44" s="12" t="n">
        <x:v>9</x:v>
      </x:c>
      <x:c r="L44" s="12" t="str">
        <x:v>可</x:v>
      </x:c>
      <x:c r="M44" s="12" t="str">
        <x:v>高速WBG駆動の追加技術候補。 / v1.2でツリー実装・深化済み</x:v>
      </x:c>
      <x:c r="N44" s="12" t="str">
        <x:v>https://www.infineon.com/assets/row/public/documents/24/44/infineon-coolgan-half-bridge-daughterboard-series-with-different-gate-drive-solutions-for-coolgan-transistors-650v-g5-usermanual-en.pdf</x:v>
      </x:c>
    </x:row>
  </x:sheetData>
  <x:mergeCells>
    <x:mergeCell ref="A1:N2"/>
    <x:mergeCell ref="A4:N6"/>
  </x:mergeCells>
  <x:conditionalFormatting sqref="B9:B44">
    <x:cfRule type="expression" dxfId="0" priority="1">
      <x:formula>B9="A"</x:formula>
    </x:cfRule>
    <x:cfRule type="expression" dxfId="1" priority="2">
      <x:formula>B9="B"</x:formula>
    </x:cfRule>
  </x:conditionalFormatting>
  <x:conditionalFormatting sqref="E9:E44">
    <x:cfRule type="expression" dxfId="2" priority="3">
      <x:formula>E9="未反映"</x:formula>
    </x:cfRule>
    <x:cfRule type="expression" dxfId="3" priority="4">
      <x:formula>E9="部分反映"</x:formula>
    </x:cfRule>
  </x:conditionalFormatting>
  <x:dataValidations count="1">
    <x:dataValidation type="list" sqref="B9:B44">
      <x:formula1>"A,B,C"</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38" hidden="0" customWidth="1"/>
    <x:col min="4" max="4" width="38" hidden="0" customWidth="1"/>
    <x:col min="5" max="5" width="26" hidden="0" customWidth="1"/>
    <x:col min="6" max="6" width="12" hidden="0" customWidth="1"/>
    <x:col min="7" max="7" width="12" hidden="0" customWidth="1"/>
    <x:col min="8" max="8" width="20" hidden="0" customWidth="1"/>
    <x:col min="9" max="9" width="20" hidden="0" customWidth="1"/>
    <x:col min="10" max="10" width="18" hidden="0" customWidth="1"/>
  </x:cols>
  <x:sheetData>
    <x:row r="1">
      <x:c r="A1" s="86" t="str">
        <x:v>v0.8 第1バッチ：未反映トレードオフ X001–X010 実装結果</x:v>
      </x:c>
      <x:c r="B1" s="86"/>
      <x:c r="C1" s="86"/>
      <x:c r="D1" s="86"/>
      <x:c r="E1" s="86"/>
      <x:c r="F1" s="86"/>
      <x:c r="G1" s="86"/>
      <x:c r="H1" s="86"/>
      <x:c r="I1" s="86"/>
      <x:c r="J1" s="86"/>
    </x:row>
    <x:row r="2">
      <x:c r="A2" s="86"/>
      <x:c r="B2" s="86"/>
      <x:c r="C2" s="86"/>
      <x:c r="D2" s="86"/>
      <x:c r="E2" s="86"/>
      <x:c r="F2" s="86"/>
      <x:c r="G2" s="86"/>
      <x:c r="H2" s="86"/>
      <x:c r="I2" s="86"/>
      <x:c r="J2" s="86"/>
    </x:row>
    <x:row r="4">
      <x:c r="A4" s="89" t="str">
        <x:v>候補ID</x:v>
      </x:c>
      <x:c r="B4" s="89" t="str">
        <x:v>技術/変数</x:v>
      </x:c>
      <x:c r="C4" s="89" t="str">
        <x:v>便益経路</x:v>
      </x:c>
      <x:c r="D4" s="89" t="str">
        <x:v>ペナルティ経路</x:v>
      </x:c>
      <x:c r="E4" s="89" t="str">
        <x:v>主要入力</x:v>
      </x:c>
      <x:c r="F4" s="89" t="str">
        <x:v>状態</x:v>
      </x:c>
      <x:c r="G4" s="89" t="str">
        <x:v>代表Node</x:v>
      </x:c>
      <x:c r="H4" s="89" t="str">
        <x:v>増加側等価重量[kg]</x:v>
      </x:c>
      <x:c r="I4" s="89" t="str">
        <x:v>低減側等価重量[kg]</x:v>
      </x:c>
      <x:c r="J4" s="89" t="str">
        <x:v>ネット[kg]</x:v>
      </x:c>
    </x:row>
    <x:row r="5">
      <x:c r="A5" s="12" t="str">
        <x:v>X001</x:v>
      </x:c>
      <x:c r="B5" s="12" t="str">
        <x:v>ゲート抵抗 / スルーレート</x:v>
      </x:c>
      <x:c r="C5" s="12" t="str">
        <x:v>Rg↓→t_sw↓→Psw↓→冷却重量↓</x:v>
      </x:c>
      <x:c r="D5" s="12" t="str">
        <x:v>Rg↓→dv/dt↑→EMI対策重量↑</x:v>
      </x:c>
      <x:c r="E5" s="12" t="str">
        <x:v>R_g_on,R_g_off</x:v>
      </x:c>
      <x:c r="F5" s="12" t="str">
        <x:v>反映済</x:v>
      </x:c>
      <x:c r="G5" s="12" t="str">
        <x:v>T299</x:v>
      </x:c>
      <x:c r="H5" s="48" t="n">
        <x:f>SUMIFS('02_ツリー'!$H$5:$H$421,'02_ツリー'!$E$5:$E$421,"R_g_on",'02_ツリー'!$K$5:$K$421,"&gt;0")</x:f>
        <x:v>0.03362411013511507</x:v>
      </x:c>
      <x:c r="I5" s="48" t="n">
        <x:f>-SUMIFS('02_ツリー'!$H$5:$H$421,'02_ツリー'!$E$5:$E$421,"R_g_on",'02_ツリー'!$K$5:$K$421,"&lt;0")</x:f>
        <x:v>-0.056</x:v>
      </x:c>
      <x:c r="J5" s="48" t="n">
        <x:f>H5+I5</x:f>
        <x:v>-0.02237588986488493</x:v>
      </x:c>
    </x:row>
    <x:row r="6">
      <x:c r="A6" s="12" t="str">
        <x:v>X002</x:v>
      </x:c>
      <x:c r="B6" s="12" t="str">
        <x:v>ターンオン/オフ別Rg・分離Rg</x:v>
      </x:c>
      <x:c r="C6" s="12" t="str">
        <x:v>Enable_split_Rg→SW時間低減</x:v>
      </x:c>
      <x:c r="D6" s="12" t="str">
        <x:v>抵抗/制御部品追加重量</x:v>
      </x:c>
      <x:c r="E6" s="12" t="str">
        <x:v>Enable_split_Rg</x:v>
      </x:c>
      <x:c r="F6" s="12" t="str">
        <x:v>反映済</x:v>
      </x:c>
      <x:c r="G6" s="12" t="str">
        <x:v>T306</x:v>
      </x:c>
      <x:c r="H6" s="48" t="n">
        <x:f>SUMIFS('02_ツリー'!$H$5:$H$421,'02_ツリー'!$E$5:$E$421,"Enable_split_Rg",'02_ツリー'!$K$5:$K$421,"&gt;0")</x:f>
        <x:v>0.003</x:v>
      </x:c>
      <x:c r="I6" s="48" t="n">
        <x:f>-SUMIFS('02_ツリー'!$H$5:$H$421,'02_ツリー'!$E$5:$E$421,"Enable_split_Rg",'02_ツリー'!$K$5:$K$421,"&lt;0")</x:f>
        <x:v>-0.006724822027023013</x:v>
      </x:c>
      <x:c r="J6" s="48" t="n">
        <x:f>H6+I6</x:f>
        <x:v>-0.003724822027023013</x:v>
      </x:c>
    </x:row>
    <x:row r="7">
      <x:c r="A7" s="12" t="str">
        <x:v>X003</x:v>
      </x:c>
      <x:c r="B7" s="12" t="str">
        <x:v>デッドタイム / 適応DT</x:v>
      </x:c>
      <x:c r="C7" s="12" t="str">
        <x:v>適応化→P_dead↓→冷却重量↓</x:v>
      </x:c>
      <x:c r="D7" s="12" t="str">
        <x:v>適応制御追加重量</x:v>
      </x:c>
      <x:c r="E7" s="12" t="str">
        <x:v>t_dead,Enable_adaptive_DT</x:v>
      </x:c>
      <x:c r="F7" s="12" t="str">
        <x:v>反映済</x:v>
      </x:c>
      <x:c r="G7" s="12" t="str">
        <x:v>T319</x:v>
      </x:c>
      <x:c r="H7" s="48" t="n">
        <x:f>SUMIFS('02_ツリー'!$H$5:$H$421,'02_ツリー'!$E$5:$E$421,"t_dead",'02_ツリー'!$K$5:$K$421,"&gt;0")</x:f>
        <x:v>0.00042793704244160257</x:v>
      </x:c>
      <x:c r="I7" s="48" t="n">
        <x:f>-SUMIFS('02_ツリー'!$H$5:$H$421,'02_ツリー'!$E$5:$E$421,"t_dead",'02_ツリー'!$K$5:$K$421,"&lt;0")</x:f>
        <x:v>0</x:v>
      </x:c>
      <x:c r="J7" s="48" t="n">
        <x:f>H7+I7</x:f>
        <x:v>0.00042793704244160257</x:v>
      </x:c>
    </x:row>
    <x:row r="8">
      <x:c r="A8" s="12" t="str">
        <x:v>X004</x:v>
      </x:c>
      <x:c r="B8" s="12" t="str">
        <x:v>Vgs_on / Vgs_off</x:v>
      </x:c>
      <x:c r="C8" s="12" t="str">
        <x:v>Vgs_on↑→Ron↓→Pcond↓</x:v>
      </x:c>
      <x:c r="D8" s="12" t="str">
        <x:v>ゲート駆動損失・負バイアス重量↑</x:v>
      </x:c>
      <x:c r="E8" s="12" t="str">
        <x:v>Vgs_on,Vgs_off</x:v>
      </x:c>
      <x:c r="F8" s="12" t="str">
        <x:v>反映済</x:v>
      </x:c>
      <x:c r="G8" s="12" t="str">
        <x:v>T325</x:v>
      </x:c>
      <x:c r="H8" s="48" t="n">
        <x:f>SUMIFS('02_ツリー'!$H$5:$H$421,'02_ツリー'!$E$5:$E$421,"Vgs_on",'02_ツリー'!$K$5:$K$421,"&gt;0")</x:f>
        <x:v>0.000007868434371881122</x:v>
      </x:c>
      <x:c r="I8" s="48" t="n">
        <x:f>-SUMIFS('02_ツリー'!$H$5:$H$421,'02_ツリー'!$E$5:$E$421,"Vgs_on",'02_ツリー'!$K$5:$K$421,"&lt;0")</x:f>
        <x:v>-0.0004031828171672528</x:v>
      </x:c>
      <x:c r="J8" s="48" t="n">
        <x:f>H8+I8</x:f>
        <x:v>-0.00039531438279537164</x:v>
      </x:c>
    </x:row>
    <x:row r="9">
      <x:c r="A9" s="12" t="str">
        <x:v>X005</x:v>
      </x:c>
      <x:c r="B9" s="12" t="str">
        <x:v>パワーループ寄生L</x:v>
      </x:c>
      <x:c r="C9" s="12" t="str">
        <x:v>L_stray↓→Vovershoot↓→必要耐圧/Ron↓</x:v>
      </x:c>
      <x:c r="D9" s="12" t="str">
        <x:v>低寄生レイアウト構造重量↑</x:v>
      </x:c>
      <x:c r="E9" s="12" t="str">
        <x:v>L_stray</x:v>
      </x:c>
      <x:c r="F9" s="12" t="str">
        <x:v>反映済</x:v>
      </x:c>
      <x:c r="G9" s="12" t="str">
        <x:v>T343</x:v>
      </x:c>
      <x:c r="H9" s="48" t="n">
        <x:f>SUMIFS('02_ツリー'!$H$5:$H$421,'02_ツリー'!$E$5:$E$421,"L_stray",'02_ツリー'!$K$5:$K$421,"&gt;0")</x:f>
        <x:v>0</x:v>
      </x:c>
      <x:c r="I9" s="48" t="n">
        <x:f>-SUMIFS('02_ツリー'!$H$5:$H$421,'02_ツリー'!$E$5:$E$421,"L_stray",'02_ツリー'!$K$5:$K$421,"&lt;0")</x:f>
        <x:v>-0.05</x:v>
      </x:c>
      <x:c r="J9" s="48" t="n">
        <x:f>H9+I9</x:f>
        <x:v>-0.05</x:v>
      </x:c>
    </x:row>
    <x:row r="10">
      <x:c r="A10" s="12" t="str">
        <x:v>X006</x:v>
      </x:c>
      <x:c r="B10" s="12" t="str">
        <x:v>スナバ</x:v>
      </x:c>
      <x:c r="C10" s="12" t="str">
        <x:v>overshoot↓→必要耐圧/Ron↓</x:v>
      </x:c>
      <x:c r="D10" s="12" t="str">
        <x:v>スナバ損失＋部品重量</x:v>
      </x:c>
      <x:c r="E10" s="12" t="str">
        <x:v>Enable_snubber</x:v>
      </x:c>
      <x:c r="F10" s="12" t="str">
        <x:v>反映済</x:v>
      </x:c>
      <x:c r="G10" s="12" t="str">
        <x:v>T347</x:v>
      </x:c>
      <x:c r="H10" s="48" t="n">
        <x:f>SUMIFS('02_ツリー'!$H$5:$H$421,'02_ツリー'!$E$5:$E$421,"Enable_snubber",'02_ツリー'!$K$5:$K$421,"&gt;0")</x:f>
        <x:v>0.036515103369296434</x:v>
      </x:c>
      <x:c r="I10" s="48" t="n">
        <x:f>-SUMIFS('02_ツリー'!$H$5:$H$421,'02_ツリー'!$E$5:$E$421,"Enable_snubber",'02_ツリー'!$K$5:$K$421,"&lt;0")</x:f>
        <x:v>-0.0000359913728314687</x:v>
      </x:c>
      <x:c r="J10" s="48" t="n">
        <x:f>H10+I10</x:f>
        <x:v>0.03647911199646497</x:v>
      </x:c>
    </x:row>
    <x:row r="11">
      <x:c r="A11" s="12" t="str">
        <x:v>X007</x:v>
      </x:c>
      <x:c r="B11" s="12" t="str">
        <x:v>DPWM</x:v>
      </x:c>
      <x:c r="C11" s="12" t="str">
        <x:v>SWイベント↓→Psw↓</x:v>
      </x:c>
      <x:c r="D11" s="12" t="str">
        <x:v>高調波/EMI対策重量↑</x:v>
      </x:c>
      <x:c r="E11" s="12" t="str">
        <x:v>Enable_DPWM</x:v>
      </x:c>
      <x:c r="F11" s="12" t="str">
        <x:v>反映済</x:v>
      </x:c>
      <x:c r="G11" s="12" t="str">
        <x:v>T356</x:v>
      </x:c>
      <x:c r="H11" s="48" t="n">
        <x:f>SUMIFS('02_ツリー'!$H$5:$H$421,'02_ツリー'!$E$5:$E$421,"Enable_DPWM",'02_ツリー'!$K$5:$K$421,"&gt;0")</x:f>
        <x:v>0.025</x:v>
      </x:c>
      <x:c r="I11" s="48" t="n">
        <x:f>-SUMIFS('02_ツリー'!$H$5:$H$421,'02_ツリー'!$E$5:$E$421,"Enable_DPWM",'02_ツリー'!$K$5:$K$421,"&lt;0")</x:f>
        <x:v>-0.022191912689175947</x:v>
      </x:c>
      <x:c r="J11" s="48" t="n">
        <x:f>H11+I11</x:f>
        <x:v>0.0028080873108240548</x:v>
      </x:c>
    </x:row>
    <x:row r="12">
      <x:c r="A12" s="12" t="str">
        <x:v>X008</x:v>
      </x:c>
      <x:c r="B12" s="12" t="str">
        <x:v>CM低減PWM</x:v>
      </x:c>
      <x:c r="C12" s="12" t="str">
        <x:v>CMフィルタ重量↓</x:v>
      </x:c>
      <x:c r="D12" s="12" t="str">
        <x:v>Psw増＋制御重量</x:v>
      </x:c>
      <x:c r="E12" s="12" t="str">
        <x:v>Enable_CM_PWM</x:v>
      </x:c>
      <x:c r="F12" s="12" t="str">
        <x:v>反映済</x:v>
      </x:c>
      <x:c r="G12" s="12" t="str">
        <x:v>T359</x:v>
      </x:c>
      <x:c r="H12" s="48" t="n">
        <x:f>SUMIFS('02_ツリー'!$H$5:$H$421,'02_ツリー'!$E$5:$E$421,"Enable_CM_PWM",'02_ツリー'!$K$5:$K$421,"&gt;0")</x:f>
        <x:v>0.010379857621618417</x:v>
      </x:c>
      <x:c r="I12" s="48" t="n">
        <x:f>-SUMIFS('02_ツリー'!$H$5:$H$421,'02_ツリー'!$E$5:$E$421,"Enable_CM_PWM",'02_ツリー'!$K$5:$K$421,"&lt;0")</x:f>
        <x:v>-0.12</x:v>
      </x:c>
      <x:c r="J12" s="48" t="n">
        <x:f>H12+I12</x:f>
        <x:v>-0.10962014237838158</x:v>
      </x:c>
    </x:row>
    <x:row r="13">
      <x:c r="A13" s="12" t="str">
        <x:v>X009</x:v>
      </x:c>
      <x:c r="B13" s="12" t="str">
        <x:v>DCリンクCリップル電流定格</x:v>
      </x:c>
      <x:c r="C13" s="12" t="str">
        <x:v>高リップル定格→必要個数↓</x:v>
      </x:c>
      <x:c r="D13" s="12" t="str">
        <x:v>高電流要求→並列個数/重量↑</x:v>
      </x:c>
      <x:c r="E13" s="12" t="str">
        <x:v>I_cap_unit_rating</x:v>
      </x:c>
      <x:c r="F13" s="12" t="str">
        <x:v>反映済</x:v>
      </x:c>
      <x:c r="G13" s="12" t="str">
        <x:v>T377</x:v>
      </x:c>
      <x:c r="H13" s="48" t="n">
        <x:f>SUMIFS('02_ツリー'!$H$5:$H$421,'02_ツリー'!$E$5:$E$421,"I_cap_unit_rating",'02_ツリー'!$K$5:$K$421,"&gt;0")</x:f>
        <x:v>0.7622878824267293</x:v>
      </x:c>
      <x:c r="I13" s="48" t="n">
        <x:f>-SUMIFS('02_ツリー'!$H$5:$H$421,'02_ツリー'!$E$5:$E$421,"I_cap_unit_rating",'02_ツリー'!$K$5:$K$421,"&lt;0")</x:f>
        <x:v>-1.466331930275722</x:v>
      </x:c>
      <x:c r="J13" s="48" t="n">
        <x:f>H13+I13</x:f>
        <x:v>-0.7040440478489928</x:v>
      </x:c>
    </x:row>
    <x:row r="14">
      <x:c r="A14" s="12" t="str">
        <x:v>X010</x:v>
      </x:c>
      <x:c r="B14" s="12" t="str">
        <x:v>C ESR・温度・寿命</x:v>
      </x:c>
      <x:c r="C14" s="12" t="str">
        <x:v>ESR↓/熱抵抗↓→寿命余裕↑→個数↓</x:v>
      </x:c>
      <x:c r="D14" s="12" t="str">
        <x:v>寿命要求↑・温度↑→個数/重量↑</x:v>
      </x:c>
      <x:c r="E14" s="12" t="str">
        <x:v>ESR_cap,life_cap_req</x:v>
      </x:c>
      <x:c r="F14" s="12" t="str">
        <x:v>反映済</x:v>
      </x:c>
      <x:c r="G14" s="12" t="str">
        <x:v>T382</x:v>
      </x:c>
      <x:c r="H14" s="48" t="n">
        <x:f>SUMIFS('02_ツリー'!$H$5:$H$421,'02_ツリー'!$E$5:$E$421,"ESR_cap",'02_ツリー'!$K$5:$K$421,"&gt;0")</x:f>
        <x:v>0.38114394121336465</x:v>
      </x:c>
      <x:c r="I14" s="48" t="n">
        <x:f>-SUMIFS('02_ツリー'!$H$5:$H$421,'02_ツリー'!$E$5:$E$421,"ESR_cap",'02_ツリー'!$K$5:$K$421,"&lt;0")</x:f>
        <x:v>0</x:v>
      </x:c>
      <x:c r="J14" s="48" t="n">
        <x:f>H14+I14</x:f>
        <x:v>0.38114394121336465</x:v>
      </x:c>
    </x:row>
  </x:sheetData>
  <x:mergeCells>
    <x:mergeCell ref="A1:J2"/>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6" hidden="0" customWidth="1"/>
    <x:col min="3" max="3" width="34" hidden="0" customWidth="1"/>
    <x:col min="4" max="4" width="34" hidden="0" customWidth="1"/>
    <x:col min="5" max="5" width="22" hidden="0" customWidth="1"/>
    <x:col min="6" max="6" width="12" hidden="0" customWidth="1"/>
    <x:col min="7" max="7" width="12" hidden="0" customWidth="1"/>
    <x:col min="8" max="8" width="18" hidden="0" customWidth="1"/>
    <x:col min="9" max="9" width="18" hidden="0" customWidth="1"/>
    <x:col min="10" max="10" width="18" hidden="0" customWidth="1"/>
  </x:cols>
  <x:sheetData>
    <x:row r="1">
      <x:c r="A1" s="102" t="str">
        <x:v>v0.9 第2バッチ：未反映トレードオフ X011–X020 実装結果</x:v>
      </x:c>
      <x:c r="B1" s="102"/>
      <x:c r="C1" s="102"/>
      <x:c r="D1" s="102"/>
      <x:c r="E1" s="102"/>
      <x:c r="F1" s="102"/>
      <x:c r="G1" s="102"/>
      <x:c r="H1" s="102"/>
      <x:c r="I1" s="102"/>
      <x:c r="J1" s="102"/>
    </x:row>
    <x:row r="2">
      <x:c r="A2" s="102"/>
      <x:c r="B2" s="102"/>
      <x:c r="C2" s="102"/>
      <x:c r="D2" s="102"/>
      <x:c r="E2" s="102"/>
      <x:c r="F2" s="102"/>
      <x:c r="G2" s="102"/>
      <x:c r="H2" s="102"/>
      <x:c r="I2" s="102"/>
      <x:c r="J2" s="102"/>
    </x:row>
    <x:row r="4">
      <x:c r="A4" s="105" t="str">
        <x:v>候補ID</x:v>
      </x:c>
      <x:c r="B4" s="105" t="str">
        <x:v>技術</x:v>
      </x:c>
      <x:c r="C4" s="105" t="str">
        <x:v>便益経路</x:v>
      </x:c>
      <x:c r="D4" s="105" t="str">
        <x:v>ペナルティ経路</x:v>
      </x:c>
      <x:c r="E4" s="105" t="str">
        <x:v>代表変数</x:v>
      </x:c>
      <x:c r="F4" s="105" t="str">
        <x:v>状態</x:v>
      </x:c>
      <x:c r="G4" s="105" t="str">
        <x:v>代表Node</x:v>
      </x:c>
      <x:c r="H4" s="105" t="str">
        <x:v>増加側[kg]</x:v>
      </x:c>
      <x:c r="I4" s="105" t="str">
        <x:v>低減側[kg]</x:v>
      </x:c>
      <x:c r="J4" s="105" t="str">
        <x:v>ネット[kg]</x:v>
      </x:c>
    </x:row>
    <x:row r="5">
      <x:c r="A5" s="12" t="str">
        <x:v>X011</x:v>
      </x:c>
      <x:c r="B5" s="12" t="str">
        <x:v>ESL/HFデカップリング</x:v>
      </x:c>
      <x:c r="C5" s="12" t="str">
        <x:v>overshoot↓→耐圧/Ron↓</x:v>
      </x:c>
      <x:c r="D5" s="12" t="str">
        <x:v>HF-C重量↑</x:v>
      </x:c>
      <x:c r="E5" s="12" t="str">
        <x:v>Enable_hf_decouple</x:v>
      </x:c>
      <x:c r="F5" s="12" t="str">
        <x:v>反映済</x:v>
      </x:c>
      <x:c r="G5" s="12" t="str">
        <x:v>T436</x:v>
      </x:c>
      <x:c r="H5" s="48" t="n">
        <x:f>SUMIFS('02_ツリー'!$H$5:$H$484,'02_ツリー'!$E$5:$E$484,"Enable_hf_decouple",'02_ツリー'!$K$5:$K$484,"&gt;0")</x:f>
        <x:v>0.03547536162906106</x:v>
      </x:c>
      <x:c r="I5" s="48" t="n">
        <x:f>-SUMIFS('02_ツリー'!$H$5:$H$484,'02_ツリー'!$E$5:$E$484,"Enable_hf_decouple",'02_ツリー'!$K$5:$K$484,"&lt;0")</x:f>
        <x:v>-0.000024917104267939876</x:v>
      </x:c>
      <x:c r="J5" s="48" t="n">
        <x:f>H5+I5</x:f>
        <x:v>0.035450444524793116</x:v>
      </x:c>
    </x:row>
    <x:row r="6">
      <x:c r="A6" s="12" t="str">
        <x:v>X012</x:v>
      </x:c>
      <x:c r="B6" s="12" t="str">
        <x:v>流量/ポンプ</x:v>
      </x:c>
      <x:c r="C6" s="12" t="str">
        <x:v>熱伝達改善</x:v>
      </x:c>
      <x:c r="D6" s="12" t="str">
        <x:v>圧損→ポンプ重量/損失↑</x:v>
      </x:c>
      <x:c r="E6" s="12" t="str">
        <x:v>Q_flow</x:v>
      </x:c>
      <x:c r="F6" s="12" t="str">
        <x:v>反映済</x:v>
      </x:c>
      <x:c r="G6" s="12" t="str">
        <x:v>T439</x:v>
      </x:c>
      <x:c r="H6" s="48" t="n">
        <x:f>SUMIFS('02_ツリー'!$H$5:$H$484,'02_ツリー'!$E$5:$E$484,"Q_flow",'02_ツリー'!$K$5:$K$484,"&gt;0")</x:f>
        <x:v>0.0010245357255053546</x:v>
      </x:c>
      <x:c r="I6" s="48" t="n">
        <x:f>-SUMIFS('02_ツリー'!$H$5:$H$484,'02_ツリー'!$E$5:$E$484,"Q_flow",'02_ツリー'!$K$5:$K$484,"&lt;0")</x:f>
        <x:v>0</x:v>
      </x:c>
      <x:c r="J6" s="48" t="n">
        <x:f>H6+I6</x:f>
        <x:v>0.0010245357255053546</x:v>
      </x:c>
    </x:row>
    <x:row r="7">
      <x:c r="A7" s="12" t="str">
        <x:v>X013</x:v>
      </x:c>
      <x:c r="B7" s="12" t="str">
        <x:v>流路密度</x:v>
      </x:c>
      <x:c r="C7" s="12" t="str">
        <x:v>h_eff↑</x:v>
      </x:c>
      <x:c r="D7" s="12" t="str">
        <x:v>圧損↑</x:v>
      </x:c>
      <x:c r="E7" s="12" t="str">
        <x:v>fin_density</x:v>
      </x:c>
      <x:c r="F7" s="12" t="str">
        <x:v>反映済</x:v>
      </x:c>
      <x:c r="G7" s="12" t="str">
        <x:v>T446</x:v>
      </x:c>
      <x:c r="H7" s="48" t="n">
        <x:f>SUMIFS('02_ツリー'!$H$5:$H$484,'02_ツリー'!$E$5:$E$484,"fin_density",'02_ツリー'!$K$5:$K$484,"&gt;0")</x:f>
        <x:v>0.0009676170740883905</x:v>
      </x:c>
      <x:c r="I7" s="48" t="n">
        <x:f>-SUMIFS('02_ツリー'!$H$5:$H$484,'02_ツリー'!$E$5:$E$484,"fin_density",'02_ツリー'!$K$5:$K$484,"&lt;0")</x:f>
        <x:v>-0.12953630468301286</x:v>
      </x:c>
      <x:c r="J7" s="48" t="n">
        <x:f>H7+I7</x:f>
        <x:v>-0.12856868760892448</x:v>
      </x:c>
    </x:row>
    <x:row r="8">
      <x:c r="A8" s="12" t="str">
        <x:v>X014</x:v>
      </x:c>
      <x:c r="B8" s="12" t="str">
        <x:v>TIM/締結</x:v>
      </x:c>
      <x:c r="C8" s="12" t="str">
        <x:v>TIM熱抵抗↓→冷却器↓</x:v>
      </x:c>
      <x:c r="D8" s="12" t="str">
        <x:v>締結重量↑</x:v>
      </x:c>
      <x:c r="E8" s="12" t="str">
        <x:v>p_mount</x:v>
      </x:c>
      <x:c r="F8" s="12" t="str">
        <x:v>反映済</x:v>
      </x:c>
      <x:c r="G8" s="12" t="str">
        <x:v>T448</x:v>
      </x:c>
      <x:c r="H8" s="48" t="n">
        <x:f>SUMIFS('02_ツリー'!$H$5:$H$484,'02_ツリー'!$E$5:$E$484,"p_mount",'02_ツリー'!$K$5:$K$484,"&gt;0")</x:f>
        <x:v>0.025</x:v>
      </x:c>
      <x:c r="I8" s="48" t="n">
        <x:f>-SUMIFS('02_ツリー'!$H$5:$H$484,'02_ツリー'!$E$5:$E$484,"p_mount",'02_ツリー'!$K$5:$K$484,"&lt;0")</x:f>
        <x:v>-0.04982165564731264</x:v>
      </x:c>
      <x:c r="J8" s="48" t="n">
        <x:f>H8+I8</x:f>
        <x:v>-0.02482165564731264</x:v>
      </x:c>
    </x:row>
    <x:row r="9">
      <x:c r="A9" s="12" t="str">
        <x:v>X015</x:v>
      </x:c>
      <x:c r="B9" s="12" t="str">
        <x:v>Tj_target</x:v>
      </x:c>
      <x:c r="C9" s="12" t="str">
        <x:v>冷却要求緩和</x:v>
      </x:c>
      <x:c r="D9" s="12" t="str">
        <x:v>Ron温度増加</x:v>
      </x:c>
      <x:c r="E9" s="12" t="str">
        <x:v>Tj_target</x:v>
      </x:c>
      <x:c r="F9" s="12" t="str">
        <x:v>反映済</x:v>
      </x:c>
      <x:c r="G9" s="12" t="str">
        <x:v>T455</x:v>
      </x:c>
      <x:c r="H9" s="48" t="n">
        <x:f>SUMIFS('02_ツリー'!$H$5:$H$484,'02_ツリー'!$E$5:$E$484,"Tj_target",'02_ツリー'!$K$5:$K$484,"&gt;0")</x:f>
        <x:v>0.0002780571152877606</x:v>
      </x:c>
      <x:c r="I9" s="48" t="n">
        <x:f>-SUMIFS('02_ツリー'!$H$5:$H$484,'02_ツリー'!$E$5:$E$484,"Tj_target",'02_ツリー'!$K$5:$K$484,"&lt;0")</x:f>
        <x:v>-0.351682275157501</x:v>
      </x:c>
      <x:c r="J9" s="48" t="n">
        <x:f>H9+I9</x:f>
        <x:v>-0.3514042180422132</x:v>
      </x:c>
    </x:row>
    <x:row r="10">
      <x:c r="A10" s="12" t="str">
        <x:v>X016</x:v>
      </x:c>
      <x:c r="B10" s="12" t="str">
        <x:v>積層バスバー</x:v>
      </x:c>
      <x:c r="C10" s="12" t="str">
        <x:v>Lloop↓→overshoot↓</x:v>
      </x:c>
      <x:c r="D10" s="12" t="str">
        <x:v>寄生C/構造重量↑</x:v>
      </x:c>
      <x:c r="E10" s="12" t="str">
        <x:v>gap_bus</x:v>
      </x:c>
      <x:c r="F10" s="12" t="str">
        <x:v>反映済</x:v>
      </x:c>
      <x:c r="G10" s="12" t="str">
        <x:v>T459</x:v>
      </x:c>
      <x:c r="H10" s="48" t="n">
        <x:f>SUMIFS('02_ツリー'!$H$5:$H$484,'02_ツリー'!$E$5:$E$484,"gap_bus",'02_ツリー'!$K$5:$K$484,"&gt;0")</x:f>
        <x:v>0.08005537134281765</x:v>
      </x:c>
      <x:c r="I10" s="48" t="n">
        <x:f>-SUMIFS('02_ツリー'!$H$5:$H$484,'02_ツリー'!$E$5:$E$484,"gap_bus",'02_ツリー'!$K$5:$K$484,"&lt;0")</x:f>
        <x:v>-0.05105635917569124</x:v>
      </x:c>
      <x:c r="J10" s="48" t="n">
        <x:f>H10+I10</x:f>
        <x:v>0.028999012167126408</x:v>
      </x:c>
    </x:row>
    <x:row r="11">
      <x:c r="A11" s="12" t="str">
        <x:v>X017</x:v>
      </x:c>
      <x:c r="B11" s="12" t="str">
        <x:v>Cu/Al</x:v>
      </x:c>
      <x:c r="C11" s="12" t="str">
        <x:v>密度低下</x:v>
      </x:c>
      <x:c r="D11" s="12" t="str">
        <x:v>抵抗率上昇</x:v>
      </x:c>
      <x:c r="E11" s="12" t="str">
        <x:v>Enable_Al_bus</x:v>
      </x:c>
      <x:c r="F11" s="12" t="str">
        <x:v>反映済</x:v>
      </x:c>
      <x:c r="G11" s="12" t="str">
        <x:v>T465</x:v>
      </x:c>
      <x:c r="H11" s="48" t="n">
        <x:f>SUMIFS('02_ツリー'!$H$5:$H$484,'02_ツリー'!$E$5:$E$484,"Enable_Al_bus",'02_ツリー'!$K$5:$K$484,"&gt;0")</x:f>
        <x:v>0.00035385069869137684</x:v>
      </x:c>
      <x:c r="I11" s="48" t="n">
        <x:f>-SUMIFS('02_ツリー'!$H$5:$H$484,'02_ツリー'!$E$5:$E$484,"Enable_Al_bus",'02_ツリー'!$K$5:$K$484,"&lt;0")</x:f>
        <x:v>-0.0007734660948321348</x:v>
      </x:c>
      <x:c r="J11" s="48" t="n">
        <x:f>H11+I11</x:f>
        <x:v>-0.0004196153961407579</x:v>
      </x:c>
    </x:row>
    <x:row r="12">
      <x:c r="A12" s="12" t="str">
        <x:v>X018</x:v>
      </x:c>
      <x:c r="B12" s="12" t="str">
        <x:v>表皮/積層</x:v>
      </x:c>
      <x:c r="C12" s="12" t="str">
        <x:v>AC抵抗低下</x:v>
      </x:c>
      <x:c r="D12" s="12" t="str">
        <x:v>積層重量↑</x:v>
      </x:c>
      <x:c r="E12" s="12" t="str">
        <x:v>N_laminate</x:v>
      </x:c>
      <x:c r="F12" s="12" t="str">
        <x:v>反映済</x:v>
      </x:c>
      <x:c r="G12" s="12" t="str">
        <x:v>T467</x:v>
      </x:c>
      <x:c r="H12" s="48" t="n">
        <x:f>SUMIFS('02_ツリー'!$H$5:$H$484,'02_ツリー'!$E$5:$E$484,"N_laminate",'02_ツリー'!$K$5:$K$484,"&gt;0")</x:f>
        <x:v>0.035</x:v>
      </x:c>
      <x:c r="I12" s="48" t="n">
        <x:f>-SUMIFS('02_ツリー'!$H$5:$H$484,'02_ツリー'!$E$5:$E$484,"N_laminate",'02_ツリー'!$K$5:$K$484,"&lt;0")</x:f>
        <x:v>0</x:v>
      </x:c>
      <x:c r="J12" s="48" t="n">
        <x:f>H12+I12</x:f>
        <x:v>0.035</x:v>
      </x:c>
    </x:row>
    <x:row r="13">
      <x:c r="A13" s="12" t="str">
        <x:v>X019</x:v>
      </x:c>
      <x:c r="B13" s="12" t="str">
        <x:v>dv/dtフィルタ</x:v>
      </x:c>
      <x:c r="C13" s="12" t="str">
        <x:v>EMI重量↓</x:v>
      </x:c>
      <x:c r="D13" s="12" t="str">
        <x:v>フィルタ重量/損失↑</x:v>
      </x:c>
      <x:c r="E13" s="12" t="str">
        <x:v>Enable_dvdt_filter</x:v>
      </x:c>
      <x:c r="F13" s="12" t="str">
        <x:v>反映済</x:v>
      </x:c>
      <x:c r="G13" s="12" t="str">
        <x:v>T473</x:v>
      </x:c>
      <x:c r="H13" s="48" t="n">
        <x:f>SUMIFS('02_ツリー'!$H$5:$H$484,'02_ツリー'!$E$5:$E$484,"Enable_dvdt_filter",'02_ツリー'!$K$5:$K$484,"&gt;0")</x:f>
        <x:v>0.1845534921133571</x:v>
      </x:c>
      <x:c r="I13" s="48" t="n">
        <x:f>-SUMIFS('02_ツリー'!$H$5:$H$484,'02_ツリー'!$E$5:$E$484,"Enable_dvdt_filter",'02_ツリー'!$K$5:$K$484,"&lt;0")</x:f>
        <x:v>-0.060000000000000005</x:v>
      </x:c>
      <x:c r="J13" s="48" t="n">
        <x:f>H13+I13</x:f>
        <x:v>0.12455349211335709</x:v>
      </x:c>
    </x:row>
    <x:row r="14">
      <x:c r="A14" s="12" t="str">
        <x:v>X020</x:v>
      </x:c>
      <x:c r="B14" s="12" t="str">
        <x:v>CMフィルタ</x:v>
      </x:c>
      <x:c r="C14" s="12" t="str">
        <x:v>既存CM対策↓</x:v>
      </x:c>
      <x:c r="D14" s="12" t="str">
        <x:v>追加部品/漏れ対策↑</x:v>
      </x:c>
      <x:c r="E14" s="12" t="str">
        <x:v>Enable_CM_filter</x:v>
      </x:c>
      <x:c r="F14" s="12" t="str">
        <x:v>反映済</x:v>
      </x:c>
      <x:c r="G14" s="12" t="str">
        <x:v>T478</x:v>
      </x:c>
      <x:c r="H14" s="48" t="n">
        <x:f>SUMIFS('02_ツリー'!$H$5:$H$484,'02_ツリー'!$E$5:$E$484,"Enable_CM_filter",'02_ツリー'!$K$5:$K$484,"&gt;0")</x:f>
        <x:v>0.135</x:v>
      </x:c>
      <x:c r="I14" s="48" t="n">
        <x:f>-SUMIFS('02_ツリー'!$H$5:$H$484,'02_ツリー'!$E$5:$E$484,"Enable_CM_filter",'02_ツリー'!$K$5:$K$484,"&lt;0")</x:f>
        <x:v>-0.13000000000000003</x:v>
      </x:c>
      <x:c r="J14" s="48" t="n">
        <x:f>H14+I14</x:f>
        <x:v>0.004999999999999977</x:v>
      </x:c>
    </x:row>
  </x:sheetData>
  <x:mergeCells>
    <x:mergeCell ref="A1:J2"/>
  </x:mergeCells>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16" hidden="0" customWidth="1"/>
    <x:col min="5" max="5" width="12" hidden="0" customWidth="1"/>
    <x:col min="6" max="6" width="18" hidden="0" customWidth="1"/>
    <x:col min="7" max="7" width="20" hidden="0" customWidth="1"/>
    <x:col min="8" max="8" width="50" hidden="0" customWidth="1"/>
    <x:col min="10" max="10" width="12" hidden="0" customWidth="1"/>
    <x:col min="11" max="11" width="30" hidden="0" customWidth="1"/>
    <x:col min="12" max="12" width="22" hidden="0" customWidth="1"/>
    <x:col min="13" max="13" width="16" hidden="0" customWidth="1"/>
    <x:col min="14" max="14" width="12" hidden="0" customWidth="1"/>
    <x:col min="15" max="15" width="18" hidden="0" customWidth="1"/>
    <x:col min="16" max="16" width="52" hidden="0" customWidth="1"/>
    <x:col min="17" max="17" width="42" hidden="0" customWidth="1"/>
  </x:cols>
  <x:sheetData>
    <x:row r="1">
      <x:c r="A1" s="109" t="str">
        <x:v>システム要求・自動推奨設計値</x:v>
      </x:c>
      <x:c r="B1" s="109"/>
      <x:c r="C1" s="109"/>
      <x:c r="D1" s="109"/>
      <x:c r="E1" s="109"/>
      <x:c r="F1" s="109"/>
      <x:c r="G1" s="109"/>
      <x:c r="H1" s="109"/>
    </x:row>
    <x:row r="2">
      <x:c r="A2" s="109"/>
      <x:c r="B2" s="109"/>
      <x:c r="C2" s="109"/>
      <x:c r="D2" s="109"/>
      <x:c r="E2" s="109"/>
      <x:c r="F2" s="109"/>
      <x:c r="G2" s="109"/>
      <x:c r="H2" s="109"/>
    </x:row>
    <x:row r="4">
      <x:c r="A4" s="111" t="str">
        <x:v>入力自動化方針：システム要求から一意またはほぼ一意に決まる値は自動適用可能とし、損失・重量の最適化対象となる設計変数は推奨値のみ提示して固定しない。「自動適用」は初期設計を簡略化するための設計ルールであり、最終設計値ではない。</x:v>
      </x:c>
      <x:c r="B4" s="111"/>
      <x:c r="C4" s="111"/>
      <x:c r="D4" s="111"/>
      <x:c r="E4" s="111"/>
      <x:c r="F4" s="111"/>
      <x:c r="G4" s="111"/>
      <x:c r="H4" s="111"/>
    </x:row>
    <x:row r="5">
      <x:c r="A5" s="111"/>
      <x:c r="B5" s="111"/>
      <x:c r="C5" s="111"/>
      <x:c r="D5" s="111"/>
      <x:c r="E5" s="111"/>
      <x:c r="F5" s="111"/>
      <x:c r="G5" s="111"/>
      <x:c r="H5" s="111"/>
    </x:row>
    <x:row r="6">
      <x:c r="A6" s="111"/>
      <x:c r="B6" s="111"/>
      <x:c r="C6" s="111"/>
      <x:c r="D6" s="111"/>
      <x:c r="E6" s="111"/>
      <x:c r="F6" s="111"/>
      <x:c r="G6" s="111"/>
      <x:c r="H6" s="111"/>
    </x:row>
    <x:row r="8">
      <x:c r="A8" s="114" t="str">
        <x:v>区分</x:v>
      </x:c>
      <x:c r="B8" s="114" t="str">
        <x:v>システム要求 / 設計ルール</x:v>
      </x:c>
      <x:c r="C8" s="114" t="str">
        <x:v>変数</x:v>
      </x:c>
      <x:c r="D8" s="114" t="str">
        <x:v>入力値</x:v>
      </x:c>
      <x:c r="E8" s="114" t="str">
        <x:v>単位</x:v>
      </x:c>
      <x:c r="F8" s="114" t="str">
        <x:v>自動/手動</x:v>
      </x:c>
      <x:c r="G8" s="114" t="str">
        <x:v>使用先</x:v>
      </x:c>
      <x:c r="H8" s="114" t="str">
        <x:v>備考・計算詳細</x:v>
      </x:c>
      <x:c r="J8" s="120" t="str">
        <x:v>推奨ID</x:v>
      </x:c>
      <x:c r="K8" s="120" t="str">
        <x:v>推奨設計値</x:v>
      </x:c>
      <x:c r="L8" s="120" t="str">
        <x:v>変数</x:v>
      </x:c>
      <x:c r="M8" s="120" t="str">
        <x:v>推奨値</x:v>
      </x:c>
      <x:c r="N8" s="120" t="str">
        <x:v>単位</x:v>
      </x:c>
      <x:c r="O8" s="120" t="str">
        <x:v>適用方針</x:v>
      </x:c>
      <x:c r="P8" s="120" t="str">
        <x:v>計算式/設計ルール</x:v>
      </x:c>
      <x:c r="Q8" s="120" t="str">
        <x:v>注意</x:v>
      </x:c>
    </x:row>
    <x:row r="9">
      <x:c r="A9" s="12" t="str">
        <x:v>電力</x:v>
      </x:c>
      <x:c r="B9" s="12" t="str">
        <x:v>定格出力</x:v>
      </x:c>
      <x:c r="C9" s="12" t="str">
        <x:v>SYS_Pout</x:v>
      </x:c>
      <x:c r="D9" s="121" t="n">
        <x:v>100</x:v>
      </x:c>
      <x:c r="E9" s="12" t="str">
        <x:v>kW</x:v>
      </x:c>
      <x:c r="F9" s="12" t="str">
        <x:v>要求</x:v>
      </x:c>
      <x:c r="G9" s="12" t="str">
        <x:v>P_out</x:v>
      </x:c>
      <x:c r="H9" s="12" t="str">
        <x:v>上位アプリケーションで固定</x:v>
      </x:c>
      <x:c r="J9" s="12" t="str">
        <x:v>R001</x:v>
      </x:c>
      <x:c r="K9" s="12" t="str">
        <x:v>モータ電気周波数</x:v>
      </x:c>
      <x:c r="L9" s="12" t="str">
        <x:v>f_e</x:v>
      </x:c>
      <x:c r="M9" s="48" t="n">
        <x:f>D10*D11/60</x:f>
        <x:v>800</x:v>
      </x:c>
      <x:c r="N9" s="12" t="str">
        <x:v>Hz</x:v>
      </x:c>
      <x:c r="O9" s="12" t="str">
        <x:v>自動計算</x:v>
      </x:c>
      <x:c r="P9" s="12" t="str">
        <x:v>n_max×pole_pairs/60</x:v>
      </x:c>
      <x:c r="Q9" s="12" t="str">
        <x:v>システム要求から一意</x:v>
      </x:c>
    </x:row>
    <x:row r="10">
      <x:c r="A10" s="12" t="str">
        <x:v>モータ</x:v>
      </x:c>
      <x:c r="B10" s="12" t="str">
        <x:v>最高機械回転数</x:v>
      </x:c>
      <x:c r="C10" s="12" t="str">
        <x:v>SYS_nmax</x:v>
      </x:c>
      <x:c r="D10" s="121" t="n">
        <x:v>12000</x:v>
      </x:c>
      <x:c r="E10" s="12" t="str">
        <x:v>rpm</x:v>
      </x:c>
      <x:c r="F10" s="12" t="str">
        <x:v>要求</x:v>
      </x:c>
      <x:c r="G10" s="12" t="str">
        <x:v>f_e,f_sw</x:v>
      </x:c>
      <x:c r="H10" s="12" t="str">
        <x:v>最高運転点</x:v>
      </x:c>
      <x:c r="J10" s="12" t="str">
        <x:v>R002</x:v>
      </x:c>
      <x:c r="K10" s="12" t="str">
        <x:v>初期スイッチング周波数</x:v>
      </x:c>
      <x:c r="L10" s="12" t="str">
        <x:v>f_sw</x:v>
      </x:c>
      <x:c r="M10" s="48" t="n">
        <x:f>MAX(M9*D16,IF(D17=1,20000,0),M22,M23)</x:f>
        <x:v>16000</x:v>
      </x:c>
      <x:c r="N10" s="12" t="str">
        <x:v>Hz</x:v>
      </x:c>
      <x:c r="O10" s="12" t="str">
        <x:v>自動適用候補</x:v>
      </x:c>
      <x:c r="P10" s="12" t="str">
        <x:v>MAX(f_e×PWM回数, 可聴域下限, リップル要求由来fsw, 制御帯域由来fsw)</x:v>
      </x:c>
      <x:c r="Q10" s="12" t="str">
        <x:v>回転数だけでなく電流リップル要求・電流制御帯域も反映</x:v>
      </x:c>
    </x:row>
    <x:row r="11">
      <x:c r="A11" s="12" t="str">
        <x:v>モータ</x:v>
      </x:c>
      <x:c r="B11" s="12" t="str">
        <x:v>極対数</x:v>
      </x:c>
      <x:c r="C11" s="12" t="str">
        <x:v>SYS_pole_pairs</x:v>
      </x:c>
      <x:c r="D11" s="121" t="n">
        <x:v>4</x:v>
      </x:c>
      <x:c r="E11" s="12" t="str">
        <x:v>-</x:v>
      </x:c>
      <x:c r="F11" s="12" t="str">
        <x:v>要求</x:v>
      </x:c>
      <x:c r="G11" s="12" t="str">
        <x:v>f_e,f_sw</x:v>
      </x:c>
      <x:c r="H11" s="12" t="str">
        <x:v>電気周波数=f_mech×極対数</x:v>
      </x:c>
      <x:c r="J11" s="12" t="str">
        <x:v>R003</x:v>
      </x:c>
      <x:c r="K11" s="12" t="str">
        <x:v>相電流RMS</x:v>
      </x:c>
      <x:c r="L11" s="12" t="str">
        <x:v>I_phase_req</x:v>
      </x:c>
      <x:c r="M11" s="48" t="n">
        <x:f>D9*1000/(SQRT(3)*D12*D14*D15)</x:f>
        <x:v>156.63327975844433</x:v>
      </x:c>
      <x:c r="N11" s="12" t="str">
        <x:v>A</x:v>
      </x:c>
      <x:c r="O11" s="12" t="str">
        <x:v>自動計算</x:v>
      </x:c>
      <x:c r="P11" s="12" t="str">
        <x:v>Pout/(sqrt(3)×Vll×PF×eta)</x:v>
      </x:c>
      <x:c r="Q11" s="12" t="str">
        <x:v>Pout固定要求</x:v>
      </x:c>
    </x:row>
    <x:row r="12">
      <x:c r="A12" s="12" t="str">
        <x:v>モータ</x:v>
      </x:c>
      <x:c r="B12" s="12" t="str">
        <x:v>最大線間電圧RMS</x:v>
      </x:c>
      <x:c r="C12" s="12" t="str">
        <x:v>SYS_Vll</x:v>
      </x:c>
      <x:c r="D12" s="121" t="n">
        <x:v>400</x:v>
      </x:c>
      <x:c r="E12" s="12" t="str">
        <x:v>V</x:v>
      </x:c>
      <x:c r="F12" s="12" t="str">
        <x:v>要求/協調設計</x:v>
      </x:c>
      <x:c r="G12" s="12" t="str">
        <x:v>V_ll,I_phase</x:v>
      </x:c>
      <x:c r="H12" s="12" t="str">
        <x:v>モータ巻線・逆起電圧設計と協調</x:v>
      </x:c>
      <x:c r="J12" s="12" t="str">
        <x:v>R004</x:v>
      </x:c>
      <x:c r="K12" s="12" t="str">
        <x:v>DC入力電流</x:v>
      </x:c>
      <x:c r="L12" s="12" t="str">
        <x:v>I_dc_req</x:v>
      </x:c>
      <x:c r="M12" s="48" t="n">
        <x:f>D9*1000/(D13*D15)</x:f>
        <x:v>128.8659793814433</x:v>
      </x:c>
      <x:c r="N12" s="12" t="str">
        <x:v>A</x:v>
      </x:c>
      <x:c r="O12" s="12" t="str">
        <x:v>自動計算</x:v>
      </x:c>
      <x:c r="P12" s="12" t="str">
        <x:v>Pout/(Vdc×eta)</x:v>
      </x:c>
      <x:c r="Q12" s="12" t="str">
        <x:v>Pout固定要求</x:v>
      </x:c>
    </x:row>
    <x:row r="13">
      <x:c r="A13" s="12" t="str">
        <x:v>電源</x:v>
      </x:c>
      <x:c r="B13" s="12" t="str">
        <x:v>DCバス公称電圧</x:v>
      </x:c>
      <x:c r="C13" s="12" t="str">
        <x:v>SYS_Vdc</x:v>
      </x:c>
      <x:c r="D13" s="121" t="n">
        <x:v>800</x:v>
      </x:c>
      <x:c r="E13" s="12" t="str">
        <x:v>V</x:v>
      </x:c>
      <x:c r="F13" s="12" t="str">
        <x:v>要求</x:v>
      </x:c>
      <x:c r="G13" s="12" t="str">
        <x:v>V_dc,耐圧</x:v>
      </x:c>
      <x:c r="H13" s="12" t="str">
        <x:v>バッテリ/電源システムから決定</x:v>
      </x:c>
      <x:c r="J13" s="12" t="str">
        <x:v>R005</x:v>
      </x:c>
      <x:c r="K13" s="12" t="str">
        <x:v>半導体必要耐圧</x:v>
      </x:c>
      <x:c r="L13" s="12" t="str">
        <x:v>V_block_req_rec</x:v>
      </x:c>
      <x:c r="M13" s="48" t="n">
        <x:f>1.25*D13+'02_ツリー'!F347</x:f>
        <x:v>1046.9899839275333</x:v>
      </x:c>
      <x:c r="N13" s="12" t="str">
        <x:v>V</x:v>
      </x:c>
      <x:c r="O13" s="12" t="str">
        <x:v>推奨のみ</x:v>
      </x:c>
      <x:c r="P13" s="12" t="str">
        <x:v>1.25×Vdc+現行overshoot</x:v>
      </x:c>
      <x:c r="Q13" s="12" t="str">
        <x:v>耐圧クラス選定前の必要値</x:v>
      </x:c>
    </x:row>
    <x:row r="14">
      <x:c r="A14" s="12" t="str">
        <x:v>性能</x:v>
      </x:c>
      <x:c r="B14" s="12" t="str">
        <x:v>目標力率</x:v>
      </x:c>
      <x:c r="C14" s="12" t="str">
        <x:v>SYS_PF</x:v>
      </x:c>
      <x:c r="D14" s="121" t="n">
        <x:v>0.95</x:v>
      </x:c>
      <x:c r="E14" s="12" t="str">
        <x:v>-</x:v>
      </x:c>
      <x:c r="F14" s="12" t="str">
        <x:v>要求</x:v>
      </x:c>
      <x:c r="G14" s="12" t="str">
        <x:v>PF,I_phase</x:v>
      </x:c>
      <x:c r="H14" s="12" t="str">
        <x:v>モータ制御条件</x:v>
      </x:c>
      <x:c r="J14" s="12" t="str">
        <x:v>R006</x:v>
      </x:c>
      <x:c r="K14" s="12" t="str">
        <x:v>半導体標準耐圧クラス</x:v>
      </x:c>
      <x:c r="L14" s="12" t="str">
        <x:v>V_device_class_rec</x:v>
      </x:c>
      <x:c r="M14" s="48" t="n">
        <x:f>IF(M13&lt;=650,650,IF(M13&lt;=1200,1200,IF(M13&lt;=1700,1700,3300)))</x:f>
        <x:v>1200</x:v>
      </x:c>
      <x:c r="N14" s="12" t="str">
        <x:v>V</x:v>
      </x:c>
      <x:c r="O14" s="12" t="str">
        <x:v>推奨のみ</x:v>
      </x:c>
      <x:c r="P14" s="12" t="str">
        <x:v>650/1200/1700/3300Vへ切上げ</x:v>
      </x:c>
      <x:c r="Q14" s="12" t="str">
        <x:v>標準クラスの簡易候補</x:v>
      </x:c>
    </x:row>
    <x:row r="15">
      <x:c r="A15" s="12" t="str">
        <x:v>性能</x:v>
      </x:c>
      <x:c r="B15" s="12" t="str">
        <x:v>目標変換効率</x:v>
      </x:c>
      <x:c r="C15" s="12" t="str">
        <x:v>SYS_eta</x:v>
      </x:c>
      <x:c r="D15" s="121" t="n">
        <x:v>0.97</x:v>
      </x:c>
      <x:c r="E15" s="12" t="str">
        <x:v>-</x:v>
      </x:c>
      <x:c r="F15" s="12" t="str">
        <x:v>要求</x:v>
      </x:c>
      <x:c r="G15" s="12" t="str">
        <x:v>eta,I_phase</x:v>
      </x:c>
      <x:c r="H15" s="12" t="str">
        <x:v>初期見積用</x:v>
      </x:c>
      <x:c r="J15" s="12" t="str">
        <x:v>R007</x:v>
      </x:c>
      <x:c r="K15" s="12" t="str">
        <x:v>チップ面積初期推奨</x:v>
      </x:c>
      <x:c r="L15" s="12" t="str">
        <x:v>A_chip_rec</x:v>
      </x:c>
      <x:c r="M15" s="48" t="n">
        <x:f>'01_入力仕様'!D25*(M11/'02_ツリー'!F12)*(M14/1200)^0.6</x:f>
        <x:v>100</x:v>
      </x:c>
      <x:c r="N15" s="12" t="str">
        <x:v>mm2</x:v>
      </x:c>
      <x:c r="O15" s="12" t="str">
        <x:v>推奨のみ</x:v>
      </x:c>
      <x:c r="P15" s="12" t="str">
        <x:v>現行A_chip×I_phase/I_phase_baseline×(Vclass/1200)^0.6</x:v>
      </x:c>
      <x:c r="Q15" s="12" t="str">
        <x:v>現製品基準のスケーリング。最適化変数なので自動固定しない</x:v>
      </x:c>
    </x:row>
    <x:row r="16">
      <x:c r="A16" s="12" t="str">
        <x:v>制御</x:v>
      </x:c>
      <x:c r="B16" s="12" t="str">
        <x:v>最低PWM回数/電気周期</x:v>
      </x:c>
      <x:c r="C16" s="12" t="str">
        <x:v>SYS_pwm_ratio</x:v>
      </x:c>
      <x:c r="D16" s="121" t="n">
        <x:v>20</x:v>
      </x:c>
      <x:c r="E16" s="12" t="str">
        <x:v>-</x:v>
      </x:c>
      <x:c r="F16" s="12" t="str">
        <x:v>設計ルール</x:v>
      </x:c>
      <x:c r="G16" s="12" t="str">
        <x:v>f_sw</x:v>
      </x:c>
      <x:c r="H16" s="12" t="str">
        <x:v>初期値。電流リップル/制御帯域/損失で再調整</x:v>
      </x:c>
      <x:c r="J16" s="12" t="str">
        <x:v>R008</x:v>
      </x:c>
      <x:c r="K16" s="12" t="str">
        <x:v>並列数初期推奨</x:v>
      </x:c>
      <x:c r="L16" s="12" t="str">
        <x:v>N_parallel_rec</x:v>
      </x:c>
      <x:c r="M16" s="48" t="n">
        <x:f>MAX(1,CEILING(D26*M11/('01_入力仕様'!D33*'01_入力仕様'!D34*'01_入力仕様'!D25),1))</x:f>
        <x:v>3</x:v>
      </x:c>
      <x:c r="N16" s="12" t="str">
        <x:v>-</x:v>
      </x:c>
      <x:c r="O16" s="12" t="str">
        <x:v>推奨のみ</x:v>
      </x:c>
      <x:c r="P16" s="12" t="str">
        <x:v>MAX(1,CEILING(overload×I_phase/(J_chip×k_active×A_chip)))</x:v>
      </x:c>
      <x:c r="Q16" s="12" t="str">
        <x:v>離散値。感度解析対象なので自動固定しない</x:v>
      </x:c>
    </x:row>
    <x:row r="17">
      <x:c r="A17" s="12" t="str">
        <x:v>制御</x:v>
      </x:c>
      <x:c r="B17" s="12" t="str">
        <x:v>可聴域回避を優先</x:v>
      </x:c>
      <x:c r="C17" s="12" t="str">
        <x:v>SYS_audible_avoid</x:v>
      </x:c>
      <x:c r="D17" s="121" t="n">
        <x:v>0</x:v>
      </x:c>
      <x:c r="E17" s="12" t="str">
        <x:v>0/1</x:v>
      </x:c>
      <x:c r="F17" s="12" t="str">
        <x:v>要求</x:v>
      </x:c>
      <x:c r="G17" s="12" t="str">
        <x:v>f_sw</x:v>
      </x:c>
      <x:c r="H17" s="12" t="str">
        <x:v>1の場合は20kHzを初期下限とする簡易ルール</x:v>
      </x:c>
      <x:c r="J17" s="12" t="str">
        <x:v>R009</x:v>
      </x:c>
      <x:c r="K17" s="12" t="str">
        <x:v>デッドタイム初期推奨</x:v>
      </x:c>
      <x:c r="L17" s="12" t="str">
        <x:v>t_dead_rec</x:v>
      </x:c>
      <x:c r="M17" s="48" t="n">
        <x:f>1.5*MAX('01_入力仕様'!D153*'01_入力仕様'!D150/'01_入力仕様'!D152,'01_入力仕様'!D154*'01_入力仕様'!D151/'01_入力仕様'!D152)</x:f>
        <x:v>7.5e-8</x:v>
      </x:c>
      <x:c r="N17" s="12" t="str">
        <x:v>s</x:v>
      </x:c>
      <x:c r="O17" s="12" t="str">
        <x:v>推奨のみ</x:v>
      </x:c>
      <x:c r="P17" s="12" t="str">
        <x:v>1.5×MAX(t_on,t_off)</x:v>
      </x:c>
      <x:c r="Q17" s="12" t="str">
        <x:v>デバイス/ゲート条件で再調整</x:v>
      </x:c>
    </x:row>
    <x:row r="18">
      <x:c r="A18" s="12" t="str">
        <x:v>熱</x:v>
      </x:c>
      <x:c r="B18" s="12" t="str">
        <x:v>最大周囲温度</x:v>
      </x:c>
      <x:c r="C18" s="12" t="str">
        <x:v>SYS_Tamb</x:v>
      </x:c>
      <x:c r="D18" s="121" t="n">
        <x:v>45</x:v>
      </x:c>
      <x:c r="E18" s="12" t="str">
        <x:v>degC</x:v>
      </x:c>
      <x:c r="F18" s="12" t="str">
        <x:v>要求</x:v>
      </x:c>
      <x:c r="G18" s="12" t="str">
        <x:v>T_amb,冷却</x:v>
      </x:c>
      <x:c r="H18" s="12" t="str">
        <x:v>設置環境</x:v>
      </x:c>
      <x:c r="J18" s="12" t="str">
        <x:v>R010</x:v>
      </x:c>
      <x:c r="K18" s="12" t="str">
        <x:v>ゲートドライバ数</x:v>
      </x:c>
      <x:c r="L18" s="12" t="str">
        <x:v>N_gate_rec</x:v>
      </x:c>
      <x:c r="M18" s="48" t="n">
        <x:f>IF(D25="2L-VSI",6,12)</x:f>
        <x:v>6</x:v>
      </x:c>
      <x:c r="N18" s="12" t="str">
        <x:v>個</x:v>
      </x:c>
      <x:c r="O18" s="12" t="str">
        <x:v>自動適用候補</x:v>
      </x:c>
      <x:c r="P18" s="12" t="str">
        <x:v>2L=6, 3L=12</x:v>
      </x:c>
      <x:c r="Q18" s="12" t="str">
        <x:v>トポロジー固定入力から決定</x:v>
      </x:c>
    </x:row>
    <x:row r="19">
      <x:c r="A19" s="12" t="str">
        <x:v>熱</x:v>
      </x:c>
      <x:c r="B19" s="12" t="str">
        <x:v>冷媒入口温度</x:v>
      </x:c>
      <x:c r="C19" s="12" t="str">
        <x:v>SYS_Tcool</x:v>
      </x:c>
      <x:c r="D19" s="121" t="n">
        <x:v>65</x:v>
      </x:c>
      <x:c r="E19" s="12" t="str">
        <x:v>degC</x:v>
      </x:c>
      <x:c r="F19" s="12" t="str">
        <x:v>要求</x:v>
      </x:c>
      <x:c r="G19" s="12" t="str">
        <x:v>T_cool_ref</x:v>
      </x:c>
      <x:c r="H19" s="12" t="str">
        <x:v>液冷/空冷境界条件</x:v>
      </x:c>
      <x:c r="J19" s="12" t="str">
        <x:v>R011</x:v>
      </x:c>
      <x:c r="K19" s="12" t="str">
        <x:v>要求DCリンク容量</x:v>
      </x:c>
      <x:c r="L19" s="12" t="str">
        <x:v>C_req_rec</x:v>
      </x:c>
      <x:c r="M19" s="48" t="n">
        <x:f>'02_ツリー'!F98</x:f>
        <x:v>1.652127940787734</x:v>
      </x:c>
      <x:c r="N19" s="12" t="str">
        <x:v>mF</x:v>
      </x:c>
      <x:c r="O19" s="12" t="str">
        <x:v>自動計算</x:v>
      </x:c>
      <x:c r="P19" s="12" t="str">
        <x:v>現行C_req式を参照</x:v>
      </x:c>
      <x:c r="Q19" s="12" t="str">
        <x:v>容量/リップル/寿命の最大要求で最終決定</x:v>
      </x:c>
    </x:row>
    <x:row r="20">
      <x:c r="A20" s="12" t="str">
        <x:v>熱</x:v>
      </x:c>
      <x:c r="B20" s="12" t="str">
        <x:v>目標接合温度</x:v>
      </x:c>
      <x:c r="C20" s="12" t="str">
        <x:v>SYS_Tj</x:v>
      </x:c>
      <x:c r="D20" s="121" t="n">
        <x:v>150</x:v>
      </x:c>
      <x:c r="E20" s="12" t="str">
        <x:v>degC</x:v>
      </x:c>
      <x:c r="F20" s="12" t="str">
        <x:v>設計要求</x:v>
      </x:c>
      <x:c r="G20" s="12" t="str">
        <x:v>Tj_target</x:v>
      </x:c>
      <x:c r="H20" s="12" t="str">
        <x:v>信頼性と冷却重量のトレードオフ</x:v>
      </x:c>
      <x:c r="J20" s="12" t="str">
        <x:v>R012</x:v>
      </x:c>
      <x:c r="K20" s="12" t="str">
        <x:v>バスバー必要断面積</x:v>
      </x:c>
      <x:c r="L20" s="12" t="str">
        <x:v>A_bus_rec</x:v>
      </x:c>
      <x:c r="M20" s="48" t="n">
        <x:f>'02_ツリー'!F115</x:f>
        <x:v>0.043607666390387434</x:v>
      </x:c>
      <x:c r="N20" s="12" t="str">
        <x:v>mm2</x:v>
      </x:c>
      <x:c r="O20" s="12" t="str">
        <x:v>自動計算</x:v>
      </x:c>
      <x:c r="P20" s="12" t="str">
        <x:v>Idc/J_bus</x:v>
      </x:c>
      <x:c r="Q20" s="12" t="str">
        <x:v>熱条件で再計算</x:v>
      </x:c>
    </x:row>
    <x:row r="21">
      <x:c r="A21" s="12" t="str">
        <x:v>信頼性</x:v>
      </x:c>
      <x:c r="B21" s="12" t="str">
        <x:v>要求寿命</x:v>
      </x:c>
      <x:c r="C21" s="12" t="str">
        <x:v>SYS_life</x:v>
      </x:c>
      <x:c r="D21" s="121" t="n">
        <x:v>150000</x:v>
      </x:c>
      <x:c r="E21" s="12" t="str">
        <x:v>h</x:v>
      </x:c>
      <x:c r="F21" s="12" t="str">
        <x:v>要求</x:v>
      </x:c>
      <x:c r="G21" s="12" t="str">
        <x:v>life_cap_req</x:v>
      </x:c>
      <x:c r="H21" s="12" t="str">
        <x:v>コンデンサ寿命等へ展開</x:v>
      </x:c>
      <x:c r="J21" t="str">
        <x:v>R013</x:v>
      </x:c>
      <x:c r="K21" t="str">
        <x:v>オン抵抗初期推奨</x:v>
      </x:c>
      <x:c r="L21" t="str">
        <x:v>R_on_target_rec</x:v>
      </x:c>
      <x:c r="M21" s="70" t="n">
        <x:f>'02_ツリー'!F44*('01_入力仕様'!D25/M15)*(M14/MAX(M13,1))^2.2</x:f>
        <x:v>0.0002784046444531643</x:v>
      </x:c>
      <x:c r="N21" t="str">
        <x:v>ohm</x:v>
      </x:c>
      <x:c r="O21" t="str">
        <x:v>推奨のみ</x:v>
      </x:c>
      <x:c r="P21" t="str">
        <x:v>現行モデルRon×(現A_chip/A_chip_rec)×(標準耐圧/必要耐圧)^2.2</x:v>
      </x:c>
      <x:c r="Q21" t="str">
        <x:v>現製品基準の簡易スケーリング。A_chip/Ronは探索変数なので自動固定しない</x:v>
      </x:c>
    </x:row>
    <x:row r="22">
      <x:c r="A22" s="12" t="str">
        <x:v>配線</x:v>
      </x:c>
      <x:c r="B22" s="12" t="str">
        <x:v>モータケーブル長</x:v>
      </x:c>
      <x:c r="C22" s="12" t="str">
        <x:v>SYS_cable_len</x:v>
      </x:c>
      <x:c r="D22" s="121" t="n">
        <x:v>2</x:v>
      </x:c>
      <x:c r="E22" s="12" t="str">
        <x:v>m</x:v>
      </x:c>
      <x:c r="F22" s="12" t="str">
        <x:v>要求</x:v>
      </x:c>
      <x:c r="G22" s="12" t="str">
        <x:v>dv/dt,CM</x:v>
      </x:c>
      <x:c r="H22" s="12" t="str">
        <x:v>長いほど反射・CM対策重要</x:v>
      </x:c>
      <x:c r="J22" t="str">
        <x:v>R014</x:v>
      </x:c>
      <x:c r="K22" t="str">
        <x:v>リップル要求由来fsw</x:v>
      </x:c>
      <x:c r="L22" t="str">
        <x:v>f_sw_ripple</x:v>
      </x:c>
      <x:c r="M22" t="n">
        <x:f>'01_入力仕様'!D289*D13/(D24*D23*SQRT(2)*M11)</x:f>
        <x:v>12898.31313128399</x:v>
      </x:c>
      <x:c r="N22" t="str">
        <x:v>Hz</x:v>
      </x:c>
      <x:c r="O22" t="str">
        <x:v>自動計算</x:v>
      </x:c>
      <x:c r="P22" t="str">
        <x:v>k_ripple_voltage×Vdc/(Lmotor×ripple_i×Ipk)</x:v>
      </x:c>
      <x:c r="Q22" t="str">
        <x:v>簡易電流リップル上限制約</x:v>
      </x:c>
    </x:row>
    <x:row r="23">
      <x:c r="A23" s="12" t="str">
        <x:v>制御</x:v>
      </x:c>
      <x:c r="B23" s="12" t="str">
        <x:v>許容相電流リップル率</x:v>
      </x:c>
      <x:c r="C23" s="12" t="str">
        <x:v>SYS_ripple_i</x:v>
      </x:c>
      <x:c r="D23" s="121" t="n">
        <x:v>0.1</x:v>
      </x:c>
      <x:c r="E23" s="12" t="str">
        <x:v>-</x:v>
      </x:c>
      <x:c r="F23" s="12" t="str">
        <x:v>要求</x:v>
      </x:c>
      <x:c r="G23" s="12" t="str">
        <x:v>f_sw/フィルタ</x:v>
      </x:c>
      <x:c r="H23" s="12" t="str">
        <x:v>モータLと合わせてfsw妥当性評価</x:v>
      </x:c>
      <x:c r="J23" t="str">
        <x:v>R015</x:v>
      </x:c>
      <x:c r="K23" t="str">
        <x:v>制御帯域由来fsw</x:v>
      </x:c>
      <x:c r="L23" t="str">
        <x:v>f_sw_bw</x:v>
      </x:c>
      <x:c r="M23" t="n">
        <x:f>'01_入力仕様'!D290*D30</x:f>
        <x:v>10000</x:v>
      </x:c>
      <x:c r="N23" t="str">
        <x:v>Hz</x:v>
      </x:c>
      <x:c r="O23" t="str">
        <x:v>自動計算</x:v>
      </x:c>
      <x:c r="P23" t="str">
        <x:v>k_fsw_bw×BW_current</x:v>
      </x:c>
      <x:c r="Q23" t="str">
        <x:v>制御帯域に対する最低キャリア倍率</x:v>
      </x:c>
    </x:row>
    <x:row r="24">
      <x:c r="A24" s="12" t="str">
        <x:v>モータ</x:v>
      </x:c>
      <x:c r="B24" s="12" t="str">
        <x:v>相インダクタンス</x:v>
      </x:c>
      <x:c r="C24" s="12" t="str">
        <x:v>SYS_Lmotor</x:v>
      </x:c>
      <x:c r="D24" s="121" t="n">
        <x:v>0.00035</x:v>
      </x:c>
      <x:c r="E24" s="12" t="str">
        <x:v>H</x:v>
      </x:c>
      <x:c r="F24" s="12" t="str">
        <x:v>要求/既知値</x:v>
      </x:c>
      <x:c r="G24" s="12" t="str">
        <x:v>f_sw/電流リップル</x:v>
      </x:c>
      <x:c r="H24" s="12" t="str">
        <x:v>モータ設計値</x:v>
      </x:c>
    </x:row>
    <x:row r="25">
      <x:c r="A25" s="12" t="str">
        <x:v>回路</x:v>
      </x:c>
      <x:c r="B25" s="12" t="str">
        <x:v>主回路トポロジー</x:v>
      </x:c>
      <x:c r="C25" s="12" t="str">
        <x:v>SYS_topology</x:v>
      </x:c>
      <x:c r="D25" s="117" t="str">
        <x:v>2L-VSI</x:v>
      </x:c>
      <x:c r="E25" s="12" t="str">
        <x:v>-</x:v>
      </x:c>
      <x:c r="F25" s="12" t="str">
        <x:v>固定構成</x:v>
      </x:c>
      <x:c r="G25" s="12" t="str">
        <x:v>N_gate等</x:v>
      </x:c>
      <x:c r="H25" s="12" t="str">
        <x:v>同一Excel内でトポロジー切替比較は行わない</x:v>
      </x:c>
    </x:row>
    <x:row r="26">
      <x:c r="A26" s="12" t="str">
        <x:v>保護</x:v>
      </x:c>
      <x:c r="B26" s="12" t="str">
        <x:v>短時間過負荷倍率</x:v>
      </x:c>
      <x:c r="C26" s="12" t="str">
        <x:v>SYS_overload</x:v>
      </x:c>
      <x:c r="D26" s="117" t="n">
        <x:v>1.5</x:v>
      </x:c>
      <x:c r="E26" s="12" t="str">
        <x:v>pu</x:v>
      </x:c>
      <x:c r="F26" s="12" t="str">
        <x:v>要求</x:v>
      </x:c>
      <x:c r="G26" s="12" t="str">
        <x:v>半導体電流余裕</x:v>
      </x:c>
      <x:c r="H26" s="12" t="str">
        <x:v>短絡保護/並列数の初期推奨</x:v>
      </x:c>
    </x:row>
    <x:row r="27">
      <x:c r="A27" s="12" t="str">
        <x:v>絶縁</x:v>
      </x:c>
      <x:c r="B27" s="12" t="str">
        <x:v>要求最大dv/dt</x:v>
      </x:c>
      <x:c r="C27" s="12" t="str">
        <x:v>SYS_dvdt_max</x:v>
      </x:c>
      <x:c r="D27" s="117" t="n">
        <x:v>10</x:v>
      </x:c>
      <x:c r="E27" s="12" t="str">
        <x:v>kV/us</x:v>
      </x:c>
      <x:c r="F27" s="12" t="str">
        <x:v>要求</x:v>
      </x:c>
      <x:c r="G27" s="12" t="str">
        <x:v>gate/filter</x:v>
      </x:c>
      <x:c r="H27" s="12" t="str">
        <x:v>モータ絶縁・ケーブル条件から設定</x:v>
      </x:c>
    </x:row>
    <x:row r="28">
      <x:c r="A28" s="12" t="str">
        <x:v>安全</x:v>
      </x:c>
      <x:c r="B28" s="12" t="str">
        <x:v>DCリンク放電要求時間</x:v>
      </x:c>
      <x:c r="C28" s="12" t="str">
        <x:v>SYS_discharge_time</x:v>
      </x:c>
      <x:c r="D28" s="216" t="n">
        <x:v>5</x:v>
      </x:c>
      <x:c r="E28" s="12" t="str">
        <x:v>s</x:v>
      </x:c>
      <x:c r="F28" s="12" t="str">
        <x:v>要求</x:v>
      </x:c>
      <x:c r="G28" s="12" t="str">
        <x:v>放電回路</x:v>
      </x:c>
      <x:c r="H28" s="12" t="str">
        <x:v>Vdcから安全電圧までの要求時間</x:v>
      </x:c>
    </x:row>
    <x:row r="29">
      <x:c r="A29" s="12" t="str">
        <x:v>安全</x:v>
      </x:c>
      <x:c r="B29" s="12" t="str">
        <x:v>放電完了安全電圧</x:v>
      </x:c>
      <x:c r="C29" s="12" t="str">
        <x:v>SYS_safe_voltage</x:v>
      </x:c>
      <x:c r="D29" s="216" t="n">
        <x:v>60</x:v>
      </x:c>
      <x:c r="E29" s="12" t="str">
        <x:v>V</x:v>
      </x:c>
      <x:c r="F29" s="12" t="str">
        <x:v>要求</x:v>
      </x:c>
      <x:c r="G29" s="12" t="str">
        <x:v>放電回路</x:v>
      </x:c>
      <x:c r="H29" s="12" t="str">
        <x:v>サービス/安全要求の簡易設定</x:v>
      </x:c>
    </x:row>
    <x:row r="30">
      <x:c r="A30" s="12" t="str">
        <x:v>制御</x:v>
      </x:c>
      <x:c r="B30" s="12" t="str">
        <x:v>電流制御帯域</x:v>
      </x:c>
      <x:c r="C30" s="12" t="str">
        <x:v>SYS_BW_current</x:v>
      </x:c>
      <x:c r="D30" s="216" t="n">
        <x:v>1000</x:v>
      </x:c>
      <x:c r="E30" s="12" t="str">
        <x:v>Hz</x:v>
      </x:c>
      <x:c r="F30" s="12" t="str">
        <x:v>要求</x:v>
      </x:c>
      <x:c r="G30" s="12" t="str">
        <x:v>f_sw</x:v>
      </x:c>
      <x:c r="H30" s="12" t="str">
        <x:v>fswは制御帯域の十分上に設定</x:v>
      </x:c>
    </x:row>
  </x:sheetData>
  <x:mergeCells>
    <x:mergeCell ref="A1:H2"/>
    <x:mergeCell ref="A4:H6"/>
  </x:mergeCells>
  <x:dataValidations count="2">
    <x:dataValidation type="list" sqref="D17">
      <x:formula1>"0,1"</x:formula1>
    </x:dataValidation>
    <x:dataValidation type="list" sqref="D25">
      <x:formula1>"2L-VSI,3L-NPC,3L-TNPC"</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38" hidden="0" customWidth="1"/>
    <x:col min="4" max="4" width="38" hidden="0" customWidth="1"/>
    <x:col min="5" max="5" width="24" hidden="0" customWidth="1"/>
    <x:col min="6" max="6" width="12" hidden="0" customWidth="1"/>
    <x:col min="7" max="7" width="12" hidden="0" customWidth="1"/>
    <x:col min="8" max="8" width="18" hidden="0" customWidth="1"/>
    <x:col min="9" max="9" width="18" hidden="0" customWidth="1"/>
    <x:col min="10" max="10" width="18" hidden="0" customWidth="1"/>
  </x:cols>
  <x:sheetData>
    <x:row r="1">
      <x:c r="A1" s="107" t="str">
        <x:v>v1.0 第3バッチ X021–X030 / ダッシュボード / システム要求 実装結果</x:v>
      </x:c>
      <x:c r="B1" s="107"/>
      <x:c r="C1" s="107"/>
      <x:c r="D1" s="107"/>
      <x:c r="E1" s="107"/>
      <x:c r="F1" s="107"/>
      <x:c r="G1" s="107"/>
      <x:c r="H1" s="107"/>
      <x:c r="I1" s="107"/>
      <x:c r="J1" s="107"/>
    </x:row>
    <x:row r="2">
      <x:c r="A2" s="107"/>
      <x:c r="B2" s="107"/>
      <x:c r="C2" s="107"/>
      <x:c r="D2" s="107"/>
      <x:c r="E2" s="107"/>
      <x:c r="F2" s="107"/>
      <x:c r="G2" s="107"/>
      <x:c r="H2" s="107"/>
      <x:c r="I2" s="107"/>
      <x:c r="J2" s="107"/>
    </x:row>
    <x:row r="4">
      <x:c r="A4" s="114" t="str">
        <x:v>候補ID</x:v>
      </x:c>
      <x:c r="B4" s="114" t="str">
        <x:v>技術</x:v>
      </x:c>
      <x:c r="C4" s="114" t="str">
        <x:v>便益経路</x:v>
      </x:c>
      <x:c r="D4" s="114" t="str">
        <x:v>ペナルティ経路</x:v>
      </x:c>
      <x:c r="E4" s="114" t="str">
        <x:v>代表変数</x:v>
      </x:c>
      <x:c r="F4" s="114" t="str">
        <x:v>状態</x:v>
      </x:c>
      <x:c r="G4" s="114" t="str">
        <x:v>代表Node</x:v>
      </x:c>
      <x:c r="H4" s="114" t="str">
        <x:v>増加側[kg]</x:v>
      </x:c>
      <x:c r="I4" s="114" t="str">
        <x:v>低減側[kg]</x:v>
      </x:c>
      <x:c r="J4" s="114" t="str">
        <x:v>ネット[kg]</x:v>
      </x:c>
    </x:row>
    <x:row r="5">
      <x:c r="A5" s="12" t="str">
        <x:v>X021</x:v>
      </x:c>
      <x:c r="B5" s="12" t="str">
        <x:v>EMIシールド</x:v>
      </x:c>
      <x:c r="C5" s="12" t="str">
        <x:v>EMI重量低減</x:v>
      </x:c>
      <x:c r="D5" s="12" t="str">
        <x:v>シールド重量増</x:v>
      </x:c>
      <x:c r="E5" s="12" t="str">
        <x:v>Enable_shield</x:v>
      </x:c>
      <x:c r="F5" s="12" t="str">
        <x:v>反映済</x:v>
      </x:c>
      <x:c r="G5" s="12" t="str">
        <x:v>T481</x:v>
      </x:c>
      <x:c r="H5" s="48" t="n">
        <x:f>SUMIFS('02_ツリー'!$H$5:$H$523,'02_ツリー'!$E$5:$E$523,"Enable_shield",'02_ツリー'!$K$5:$K$523,"&gt;0")</x:f>
        <x:v>0.12</x:v>
      </x:c>
      <x:c r="I5" s="48" t="n">
        <x:f>-SUMIFS('02_ツリー'!$H$5:$H$523,'02_ツリー'!$E$5:$E$523,"Enable_shield",'02_ツリー'!$K$5:$K$523,"&lt;0")</x:f>
        <x:v>-0.11563401809286435</x:v>
      </x:c>
      <x:c r="J5" s="48" t="n">
        <x:f>H5+I5</x:f>
        <x:v>0.004365981907135649</x:v>
      </x:c>
    </x:row>
    <x:row r="6">
      <x:c r="A6" s="12" t="str">
        <x:v>X022</x:v>
      </x:c>
      <x:c r="B6" s="12" t="str">
        <x:v>シャント抵抗</x:v>
      </x:c>
      <x:c r="C6" s="12" t="str">
        <x:v>R↑→CSA簡素化</x:v>
      </x:c>
      <x:c r="D6" s="12" t="str">
        <x:v>I²R損失増</x:v>
      </x:c>
      <x:c r="E6" s="12" t="str">
        <x:v>R_shunt</x:v>
      </x:c>
      <x:c r="F6" s="12" t="str">
        <x:v>反映済</x:v>
      </x:c>
      <x:c r="G6" s="12" t="str">
        <x:v>T484</x:v>
      </x:c>
      <x:c r="H6" s="48" t="n">
        <x:f>SUMIFS('02_ツリー'!$H$5:$H$523,'02_ツリー'!$E$5:$E$523,"R_shunt",'02_ツリー'!$K$5:$K$523,"&gt;0")</x:f>
        <x:v>0.0013867242471269777</x:v>
      </x:c>
      <x:c r="I6" s="48" t="n">
        <x:f>-SUMIFS('02_ツリー'!$H$5:$H$523,'02_ツリー'!$E$5:$E$523,"R_shunt",'02_ツリー'!$K$5:$K$523,"&lt;0")</x:f>
        <x:v>-0.0105</x:v>
      </x:c>
      <x:c r="J6" s="48" t="n">
        <x:f>H6+I6</x:f>
        <x:v>-0.009113275752873023</x:v>
      </x:c>
    </x:row>
    <x:row r="7">
      <x:c r="A7" s="12" t="str">
        <x:v>X023</x:v>
      </x:c>
      <x:c r="B7" s="12" t="str">
        <x:v>電流検出方式</x:v>
      </x:c>
      <x:c r="C7" s="12" t="str">
        <x:v>1shuntで軽量化/Hallで挿入損失低減</x:v>
      </x:c>
      <x:c r="D7" s="12" t="str">
        <x:v>方式別部品重量/制御制約</x:v>
      </x:c>
      <x:c r="E7" s="12" t="str">
        <x:v>Sense_mode</x:v>
      </x:c>
      <x:c r="F7" s="12" t="str">
        <x:v>反映済</x:v>
      </x:c>
      <x:c r="G7" s="12" t="str">
        <x:v>T488</x:v>
      </x:c>
      <x:c r="H7" s="48" t="n">
        <x:f>SUMIFS('02_ツリー'!$H$5:$H$523,'02_ツリー'!$E$5:$E$523,"Sense_mode",'02_ツリー'!$K$5:$K$523,"&gt;0")</x:f>
        <x:v>0</x:v>
      </x:c>
      <x:c r="I7" s="48" t="n">
        <x:f>-SUMIFS('02_ツリー'!$H$5:$H$523,'02_ツリー'!$E$5:$E$523,"Sense_mode",'02_ツリー'!$K$5:$K$523,"&lt;0")</x:f>
        <x:v>0</x:v>
      </x:c>
      <x:c r="J7" s="48" t="n">
        <x:f>H7+I7</x:f>
        <x:v>0</x:v>
      </x:c>
    </x:row>
    <x:row r="8">
      <x:c r="A8" s="12" t="str">
        <x:v>X024</x:v>
      </x:c>
      <x:c r="B8" s="12" t="str">
        <x:v>絶縁ゲートバイアス</x:v>
      </x:c>
      <x:c r="C8" s="12" t="str">
        <x:v>絶縁/CMTI余裕</x:v>
      </x:c>
      <x:c r="D8" s="12" t="str">
        <x:v>絶縁電源重量</x:v>
      </x:c>
      <x:c r="E8" s="12" t="str">
        <x:v>Enable_isolated_bias</x:v>
      </x:c>
      <x:c r="F8" s="12" t="str">
        <x:v>反映済</x:v>
      </x:c>
      <x:c r="G8" s="12" t="str">
        <x:v>T490</x:v>
      </x:c>
      <x:c r="H8" s="48" t="n">
        <x:f>SUMIFS('02_ツリー'!$H$5:$H$523,'02_ツリー'!$E$5:$E$523,"Enable_isolated_bias",'02_ツリー'!$K$5:$K$523,"&gt;0")</x:f>
        <x:v>0.049999999999999996</x:v>
      </x:c>
      <x:c r="I8" s="48" t="n">
        <x:f>-SUMIFS('02_ツリー'!$H$5:$H$523,'02_ツリー'!$E$5:$E$523,"Enable_isolated_bias",'02_ツリー'!$K$5:$K$523,"&lt;0")</x:f>
        <x:v>0</x:v>
      </x:c>
      <x:c r="J8" s="48" t="n">
        <x:f>H8+I8</x:f>
        <x:v>0.049999999999999996</x:v>
      </x:c>
    </x:row>
    <x:row r="9">
      <x:c r="A9" s="12" t="str">
        <x:v>X025</x:v>
      </x:c>
      <x:c r="B9" s="12" t="str">
        <x:v>DESAT保護</x:v>
      </x:c>
      <x:c r="C9" s="12" t="str">
        <x:v>電流余裕低減→半導体軽量化</x:v>
      </x:c>
      <x:c r="D9" s="12" t="str">
        <x:v>保護回路重量</x:v>
      </x:c>
      <x:c r="E9" s="12" t="str">
        <x:v>Enable_DESAT</x:v>
      </x:c>
      <x:c r="F9" s="12" t="str">
        <x:v>反映済</x:v>
      </x:c>
      <x:c r="G9" s="12" t="str">
        <x:v>T492</x:v>
      </x:c>
      <x:c r="H9" s="48" t="n">
        <x:f>SUMIFS('02_ツリー'!$H$5:$H$523,'02_ツリー'!$E$5:$E$523,"Enable_DESAT",'02_ツリー'!$K$5:$K$523,"&gt;0")</x:f>
        <x:v>0.025</x:v>
      </x:c>
      <x:c r="I9" s="48" t="n">
        <x:f>-SUMIFS('02_ツリー'!$H$5:$H$523,'02_ツリー'!$E$5:$E$523,"Enable_DESAT",'02_ツリー'!$K$5:$K$523,"&lt;0")</x:f>
        <x:v>-0.00006558167322060084</x:v>
      </x:c>
      <x:c r="J9" s="48" t="n">
        <x:f>H9+I9</x:f>
        <x:v>0.024934418326779402</x:v>
      </x:c>
    </x:row>
    <x:row r="10">
      <x:c r="A10" s="12" t="str">
        <x:v>X026</x:v>
      </x:c>
      <x:c r="B10" s="12" t="str">
        <x:v>アクティブクランプ</x:v>
      </x:c>
      <x:c r="C10" s="12" t="str">
        <x:v>overshoot低減</x:v>
      </x:c>
      <x:c r="D10" s="12" t="str">
        <x:v>回路重量/損失</x:v>
      </x:c>
      <x:c r="E10" s="12" t="str">
        <x:v>Enable_active_clamp</x:v>
      </x:c>
      <x:c r="F10" s="12" t="str">
        <x:v>反映済</x:v>
      </x:c>
      <x:c r="G10" s="12" t="str">
        <x:v>T498</x:v>
      </x:c>
      <x:c r="H10" s="48" t="n">
        <x:f>SUMIFS('02_ツリー'!$H$5:$H$523,'02_ツリー'!$E$5:$E$523,"Enable_active_clamp",'02_ツリー'!$K$5:$K$523,"&gt;0")</x:f>
        <x:v>0.036417404734516975</x:v>
      </x:c>
      <x:c r="I10" s="48" t="n">
        <x:f>-SUMIFS('02_ツリー'!$H$5:$H$523,'02_ツリー'!$E$5:$E$523,"Enable_active_clamp",'02_ツリー'!$K$5:$K$523,"&lt;0")</x:f>
        <x:v>-0.000024917104267939876</x:v>
      </x:c>
      <x:c r="J10" s="48" t="n">
        <x:f>H10+I10</x:f>
        <x:v>0.036392487630249035</x:v>
      </x:c>
    </x:row>
    <x:row r="11">
      <x:c r="A11" s="12" t="str">
        <x:v>X027</x:v>
      </x:c>
      <x:c r="B11" s="12" t="str">
        <x:v>沿面/空間・高性能絶縁</x:v>
      </x:c>
      <x:c r="C11" s="12" t="str">
        <x:v>距離/支持重量低減</x:v>
      </x:c>
      <x:c r="D11" s="12" t="str">
        <x:v>高性能絶縁材重量</x:v>
      </x:c>
      <x:c r="E11" s="12" t="str">
        <x:v>Enable_hi_ins</x:v>
      </x:c>
      <x:c r="F11" s="12" t="str">
        <x:v>反映済</x:v>
      </x:c>
      <x:c r="G11" s="12" t="str">
        <x:v>T502</x:v>
      </x:c>
      <x:c r="H11" s="48" t="n">
        <x:f>SUMIFS('02_ツリー'!$H$5:$H$523,'02_ツリー'!$E$5:$E$523,"Enable_hi_ins",'02_ツリー'!$K$5:$K$523,"&gt;0")</x:f>
        <x:v>0.06</x:v>
      </x:c>
      <x:c r="I11" s="48" t="n">
        <x:f>-SUMIFS('02_ツリー'!$H$5:$H$523,'02_ツリー'!$E$5:$E$523,"Enable_hi_ins",'02_ツリー'!$K$5:$K$523,"&lt;0")</x:f>
        <x:v>-0.05399999999999999</x:v>
      </x:c>
      <x:c r="J11" s="48" t="n">
        <x:f>H11+I11</x:f>
        <x:v>0.006000000000000005</x:v>
      </x:c>
    </x:row>
    <x:row r="12">
      <x:c r="A12" s="12" t="str">
        <x:v>X028</x:v>
      </x:c>
      <x:c r="B12" s="12" t="str">
        <x:v>ポッティング</x:v>
      </x:c>
      <x:c r="C12" s="12" t="str">
        <x:v>絶縁距離低減</x:v>
      </x:c>
      <x:c r="D12" s="12" t="str">
        <x:v>樹脂重量/熱ペナルティ</x:v>
      </x:c>
      <x:c r="E12" s="12" t="str">
        <x:v>Enable_potting</x:v>
      </x:c>
      <x:c r="F12" s="12" t="str">
        <x:v>反映済</x:v>
      </x:c>
      <x:c r="G12" s="12" t="str">
        <x:v>T507</x:v>
      </x:c>
      <x:c r="H12" s="48" t="n">
        <x:f>SUMIFS('02_ツリー'!$H$5:$H$523,'02_ツリー'!$E$5:$E$523,"Enable_potting",'02_ツリー'!$K$5:$K$523,"&gt;0")</x:f>
        <x:v>0.23594292980714004</x:v>
      </x:c>
      <x:c r="I12" s="48" t="n">
        <x:f>-SUMIFS('02_ツリー'!$H$5:$H$523,'02_ツリー'!$E$5:$E$523,"Enable_potting",'02_ツリー'!$K$5:$K$523,"&lt;0")</x:f>
        <x:v>-0.08099999999999999</x:v>
      </x:c>
      <x:c r="J12" s="48" t="n">
        <x:f>H12+I12</x:f>
        <x:v>0.15494292980714006</x:v>
      </x:c>
    </x:row>
    <x:row r="13">
      <x:c r="A13" s="12" t="str">
        <x:v>X029</x:v>
      </x:c>
      <x:c r="B13" s="12" t="str">
        <x:v>ゲート補助電源</x:v>
      </x:c>
      <x:c r="C13" s="12" t="str">
        <x:v>高効率化で損失/重量低減</x:v>
      </x:c>
      <x:c r="D13" s="12" t="str">
        <x:v>電源重量</x:v>
      </x:c>
      <x:c r="E13" s="12" t="str">
        <x:v>eta_bias</x:v>
      </x:c>
      <x:c r="F13" s="12" t="str">
        <x:v>反映済</x:v>
      </x:c>
      <x:c r="G13" s="12" t="str">
        <x:v>T514</x:v>
      </x:c>
      <x:c r="H13" s="48" t="n">
        <x:f>SUMIFS('02_ツリー'!$H$5:$H$523,'02_ツリー'!$E$5:$E$523,"eta_bias",'02_ツリー'!$K$5:$K$523,"&gt;0")</x:f>
        <x:v>0</x:v>
      </x:c>
      <x:c r="I13" s="48" t="n">
        <x:f>-SUMIFS('02_ツリー'!$H$5:$H$523,'02_ツリー'!$E$5:$E$523,"eta_bias",'02_ツリー'!$K$5:$K$523,"&lt;0")</x:f>
        <x:v>-0.005911604720962357</x:v>
      </x:c>
      <x:c r="J13" s="48" t="n">
        <x:f>H13+I13</x:f>
        <x:v>-0.005911604720962357</x:v>
      </x:c>
    </x:row>
    <x:row r="14">
      <x:c r="A14" s="12" t="str">
        <x:v>X030</x:v>
      </x:c>
      <x:c r="B14" s="12" t="str">
        <x:v>プリチャージ</x:v>
      </x:c>
      <x:c r="C14" s="12" t="str">
        <x:v>コンタクタ/ヒューズ軽量化</x:v>
      </x:c>
      <x:c r="D14" s="12" t="str">
        <x:v>プリチャージ回路重量</x:v>
      </x:c>
      <x:c r="E14" s="12" t="str">
        <x:v>Enable_precharge</x:v>
      </x:c>
      <x:c r="F14" s="12" t="str">
        <x:v>反映済</x:v>
      </x:c>
      <x:c r="G14" s="12" t="str">
        <x:v>T516</x:v>
      </x:c>
      <x:c r="H14" s="48" t="n">
        <x:f>SUMIFS('02_ツリー'!$H$5:$H$523,'02_ツリー'!$E$5:$E$523,"Enable_precharge",'02_ツリー'!$K$5:$K$523,"&gt;0")</x:f>
        <x:v>0.1</x:v>
      </x:c>
      <x:c r="I14" s="48" t="n">
        <x:f>-SUMIFS('02_ツリー'!$H$5:$H$523,'02_ツリー'!$E$5:$E$523,"Enable_precharge",'02_ツリー'!$K$5:$K$523,"&lt;0")</x:f>
        <x:v>-0.06999999999999999</x:v>
      </x:c>
      <x:c r="J14" s="48" t="n">
        <x:f>H14+I14</x:f>
        <x:v>0.030000000000000013</x:v>
      </x:c>
    </x:row>
  </x:sheetData>
  <x:mergeCells>
    <x:mergeCell ref="A1:J2"/>
  </x:mergeCells>
  <x:pageMargins left="0.7" right="0.7" top="0.75" bottom="0.75" header="0.3" footer="0.3"/>
</x:worksheet>
</file>

<file path=xl/worksheets/sheet9.xml><?xml version="1.0" encoding="utf-8"?>
<x:worksheet xmlns:x="http://schemas.openxmlformats.org/spreadsheetml/2006/main">
  <x:sheetFormatPr defaultRowHeight="15"/>
  <x:cols>
    <x:col min="1" max="1" width="7" hidden="0" customWidth="1"/>
    <x:col min="2" max="2" width="15" hidden="0" customWidth="1"/>
    <x:col min="3" max="3" width="30" hidden="0" customWidth="1"/>
    <x:col min="4" max="4" width="23" hidden="0" customWidth="1"/>
    <x:col min="5" max="5" width="15" hidden="0" customWidth="1"/>
    <x:col min="6" max="6" width="11" hidden="0" customWidth="1"/>
    <x:col min="7" max="7" width="15" hidden="0" customWidth="1"/>
    <x:col min="8" max="8" width="28" hidden="0" customWidth="1"/>
    <x:col min="9" max="9" width="42" hidden="0" customWidth="1"/>
  </x:cols>
  <x:sheetData>
    <x:row r="1">
      <x:c r="A1" s="178" t="str">
        <x:v>09_基準仕様：材料・技術世代・製品基準値</x:v>
      </x:c>
      <x:c r="B1" s="178"/>
      <x:c r="C1" s="178"/>
      <x:c r="D1" s="178"/>
      <x:c r="E1" s="178"/>
      <x:c r="F1" s="178"/>
      <x:c r="G1" s="178"/>
      <x:c r="H1" s="178"/>
      <x:c r="I1" s="178"/>
    </x:row>
    <x:row r="2">
      <x:c r="A2" s="178"/>
      <x:c r="B2" s="178"/>
      <x:c r="C2" s="178"/>
      <x:c r="D2" s="178"/>
      <x:c r="E2" s="178"/>
      <x:c r="F2" s="178"/>
      <x:c r="G2" s="178"/>
      <x:c r="H2" s="178"/>
      <x:c r="I2" s="178"/>
    </x:row>
    <x:row r="4">
      <x:c r="A4" s="180" t="str">
        <x:v>同じ材料・同じ技術世代でシナリオ比較する限り固定する値です。毎回の比較では編集しません。材料や技術世代を変える場合だけ変更してください。</x:v>
      </x:c>
      <x:c r="B4" s="180"/>
      <x:c r="C4" s="180"/>
      <x:c r="D4" s="180"/>
      <x:c r="E4" s="180"/>
      <x:c r="F4" s="180"/>
      <x:c r="G4" s="180"/>
      <x:c r="H4" s="180"/>
      <x:c r="I4" s="180"/>
    </x:row>
    <x:row r="5">
      <x:c r="A5" s="180"/>
      <x:c r="B5" s="180"/>
      <x:c r="C5" s="180"/>
      <x:c r="D5" s="180"/>
      <x:c r="E5" s="180"/>
      <x:c r="F5" s="180"/>
      <x:c r="G5" s="180"/>
      <x:c r="H5" s="180"/>
      <x:c r="I5" s="180"/>
    </x:row>
    <x:row r="6">
      <x:c r="A6" s="180"/>
      <x:c r="B6" s="180"/>
      <x:c r="C6" s="180"/>
      <x:c r="D6" s="180"/>
      <x:c r="E6" s="180"/>
      <x:c r="F6" s="180"/>
      <x:c r="G6" s="180"/>
      <x:c r="H6" s="180"/>
      <x:c r="I6" s="180"/>
    </x:row>
    <x:row r="8">
      <x:c r="A8" s="184" t="str">
        <x:v>No.</x:v>
      </x:c>
      <x:c r="B8" s="184" t="str">
        <x:v>分類</x:v>
      </x:c>
      <x:c r="C8" s="184" t="str">
        <x:v>仕様 / 技術パラメータ</x:v>
      </x:c>
      <x:c r="D8" s="184" t="str">
        <x:v>変数</x:v>
      </x:c>
      <x:c r="E8" s="184" t="str">
        <x:v>基準値</x:v>
      </x:c>
      <x:c r="F8" s="184" t="str">
        <x:v>単位</x:v>
      </x:c>
      <x:c r="G8" s="184" t="str">
        <x:v>旧入力区分</x:v>
      </x:c>
      <x:c r="H8" s="184" t="str">
        <x:v>主な影響先</x:v>
      </x:c>
      <x:c r="I8" s="184" t="str">
        <x:v>備考</x:v>
      </x:c>
    </x:row>
    <x:row r="9">
      <x:c r="A9" s="12" t="n">
        <x:v>1</x:v>
      </x:c>
      <x:c r="B9" s="12" t="str">
        <x:v>製品仕様</x:v>
      </x:c>
      <x:c r="C9" s="12" t="str">
        <x:v>許容DC電圧リップル率</x:v>
      </x:c>
      <x:c r="D9" s="12" t="str">
        <x:v>r_vdc</x:v>
      </x:c>
      <x:c r="E9" s="185" t="n">
        <x:v>0.05</x:v>
      </x:c>
      <x:c r="F9" s="12" t="str">
        <x:v>-</x:v>
      </x:c>
      <x:c r="G9" s="12" t="str">
        <x:v>設計変数</x:v>
      </x:c>
      <x:c r="H9" s="12" t="str">
        <x:v>C_req</x:v>
      </x:c>
      <x:c r="I9" s="12"/>
    </x:row>
    <x:row r="10">
      <x:c r="A10" s="12" t="n">
        <x:v>2</x:v>
      </x:c>
      <x:c r="B10" s="12" t="str">
        <x:v>製品仕様</x:v>
      </x:c>
      <x:c r="C10" s="12" t="str">
        <x:v>DCリンクバッファ時間</x:v>
      </x:c>
      <x:c r="D10" s="12" t="str">
        <x:v>t_buf</x:v>
      </x:c>
      <x:c r="E10" s="185" t="n">
        <x:v>0.0005</x:v>
      </x:c>
      <x:c r="F10" s="12" t="str">
        <x:v>s</x:v>
      </x:c>
      <x:c r="G10" s="12" t="str">
        <x:v>設計変数</x:v>
      </x:c>
      <x:c r="H10" s="12" t="str">
        <x:v>C_req</x:v>
      </x:c>
      <x:c r="I10" s="12"/>
    </x:row>
    <x:row r="11">
      <x:c r="A11" s="12" t="n">
        <x:v>3</x:v>
      </x:c>
      <x:c r="B11" s="12" t="str">
        <x:v>半導体</x:v>
      </x:c>
      <x:c r="C11" s="12" t="str">
        <x:v>パワーモジュール個数</x:v>
      </x:c>
      <x:c r="D11" s="12" t="str">
        <x:v>N_mod</x:v>
      </x:c>
      <x:c r="E11" s="185" t="n">
        <x:v>6</x:v>
      </x:c>
      <x:c r="F11" s="12" t="str">
        <x:v>個</x:v>
      </x:c>
      <x:c r="G11" s="12" t="str">
        <x:v>設計変数</x:v>
      </x:c>
      <x:c r="H11" s="12" t="str">
        <x:v>M_semi</x:v>
      </x:c>
      <x:c r="I11" s="12"/>
    </x:row>
    <x:row r="12">
      <x:c r="A12" s="12" t="n">
        <x:v>4</x:v>
      </x:c>
      <x:c r="B12" s="12" t="str">
        <x:v>半導体</x:v>
      </x:c>
      <x:c r="C12" s="12" t="str">
        <x:v>DC電圧→必要耐圧係数</x:v>
      </x:c>
      <x:c r="D12" s="12" t="str">
        <x:v>K_vblk</x:v>
      </x:c>
      <x:c r="E12" s="185" t="n">
        <x:v>1.25</x:v>
      </x:c>
      <x:c r="F12" s="12" t="str">
        <x:v>-</x:v>
      </x:c>
      <x:c r="G12" s="12" t="str">
        <x:v>技術係数</x:v>
      </x:c>
      <x:c r="H12" s="12" t="str">
        <x:v>V_block_req</x:v>
      </x:c>
      <x:c r="I12" s="12" t="str">
        <x:v>サージ/マージン簡略化</x:v>
      </x:c>
    </x:row>
    <x:row r="13">
      <x:c r="A13" s="12" t="n">
        <x:v>5</x:v>
      </x:c>
      <x:c r="B13" s="12" t="str">
        <x:v>半導体</x:v>
      </x:c>
      <x:c r="C13" s="12" t="str">
        <x:v>ドリフト層電界利用率</x:v>
      </x:c>
      <x:c r="D13" s="12" t="str">
        <x:v>k_Euse</x:v>
      </x:c>
      <x:c r="E13" s="185" t="n">
        <x:v>0.72</x:v>
      </x:c>
      <x:c r="F13" s="12" t="str">
        <x:v>-</x:v>
      </x:c>
      <x:c r="G13" s="12" t="str">
        <x:v>技術係数</x:v>
      </x:c>
      <x:c r="H13" s="12" t="str">
        <x:v>E_allow</x:v>
      </x:c>
      <x:c r="I13" s="12"/>
    </x:row>
    <x:row r="14">
      <x:c r="A14" s="12" t="n">
        <x:v>6</x:v>
      </x:c>
      <x:c r="B14" s="12" t="str">
        <x:v>半導体</x:v>
      </x:c>
      <x:c r="C14" s="12" t="str">
        <x:v>材料臨界電界</x:v>
      </x:c>
      <x:c r="D14" s="12" t="str">
        <x:v>E_crit</x:v>
      </x:c>
      <x:c r="E14" s="185" t="n">
        <x:v>250000000</x:v>
      </x:c>
      <x:c r="F14" s="12" t="str">
        <x:v>V/m</x:v>
      </x:c>
      <x:c r="G14" s="12" t="str">
        <x:v>材料</x:v>
      </x:c>
      <x:c r="H14" s="12" t="str">
        <x:v>E_allow</x:v>
      </x:c>
      <x:c r="I14" s="12" t="str">
        <x:v>SiC簡易値</x:v>
      </x:c>
    </x:row>
    <x:row r="15">
      <x:c r="A15" s="12" t="n">
        <x:v>7</x:v>
      </x:c>
      <x:c r="B15" s="12" t="str">
        <x:v>半導体</x:v>
      </x:c>
      <x:c r="C15" s="12" t="str">
        <x:v>ドリフト層厚余裕係数</x:v>
      </x:c>
      <x:c r="D15" s="12" t="str">
        <x:v>K_tdrift</x:v>
      </x:c>
      <x:c r="E15" s="185" t="n">
        <x:v>1.15</x:v>
      </x:c>
      <x:c r="F15" s="12" t="str">
        <x:v>-</x:v>
      </x:c>
      <x:c r="G15" s="12" t="str">
        <x:v>技術係数</x:v>
      </x:c>
      <x:c r="H15" s="12" t="str">
        <x:v>t_drift</x:v>
      </x:c>
      <x:c r="I15" s="12"/>
    </x:row>
    <x:row r="16">
      <x:c r="A16" s="12" t="n">
        <x:v>8</x:v>
      </x:c>
      <x:c r="B16" s="12" t="str">
        <x:v>半導体</x:v>
      </x:c>
      <x:c r="C16" s="12" t="str">
        <x:v>基準ドーピング濃度</x:v>
      </x:c>
      <x:c r="D16" s="12" t="str">
        <x:v>N_d_ref</x:v>
      </x:c>
      <x:c r="E16" s="185" t="n">
        <x:v>8e+21</x:v>
      </x:c>
      <x:c r="F16" s="12" t="str">
        <x:v>1/m³</x:v>
      </x:c>
      <x:c r="G16" s="12" t="str">
        <x:v>材料</x:v>
      </x:c>
      <x:c r="H16" s="12" t="str">
        <x:v>N_drift</x:v>
      </x:c>
      <x:c r="I16" s="12" t="str">
        <x:v>説明用</x:v>
      </x:c>
    </x:row>
    <x:row r="17">
      <x:c r="A17" s="12" t="n">
        <x:v>9</x:v>
      </x:c>
      <x:c r="B17" s="12" t="str">
        <x:v>半導体</x:v>
      </x:c>
      <x:c r="C17" s="12" t="str">
        <x:v>耐圧基準</x:v>
      </x:c>
      <x:c r="D17" s="12" t="str">
        <x:v>V_ref_nd</x:v>
      </x:c>
      <x:c r="E17" s="185" t="n">
        <x:v>1200</x:v>
      </x:c>
      <x:c r="F17" s="12" t="str">
        <x:v>V</x:v>
      </x:c>
      <x:c r="G17" s="12" t="str">
        <x:v>技術係数</x:v>
      </x:c>
      <x:c r="H17" s="12" t="str">
        <x:v>N_drift</x:v>
      </x:c>
      <x:c r="I17" s="12"/>
    </x:row>
    <x:row r="18">
      <x:c r="A18" s="12" t="n">
        <x:v>10</x:v>
      </x:c>
      <x:c r="B18" s="12" t="str">
        <x:v>半導体</x:v>
      </x:c>
      <x:c r="C18" s="12" t="str">
        <x:v>ドーピング耐圧指数</x:v>
      </x:c>
      <x:c r="D18" s="12" t="str">
        <x:v>a_nd</x:v>
      </x:c>
      <x:c r="E18" s="185" t="n">
        <x:v>1.2</x:v>
      </x:c>
      <x:c r="F18" s="12" t="str">
        <x:v>-</x:v>
      </x:c>
      <x:c r="G18" s="12" t="str">
        <x:v>技術係数</x:v>
      </x:c>
      <x:c r="H18" s="12" t="str">
        <x:v>N_drift</x:v>
      </x:c>
      <x:c r="I18" s="12" t="str">
        <x:v>N∝V^-a</x:v>
      </x:c>
    </x:row>
    <x:row r="19">
      <x:c r="A19" s="12" t="n">
        <x:v>11</x:v>
      </x:c>
      <x:c r="B19" s="12" t="str">
        <x:v>半導体</x:v>
      </x:c>
      <x:c r="C19" s="12" t="str">
        <x:v>電子移動度</x:v>
      </x:c>
      <x:c r="D19" s="12" t="str">
        <x:v>mu_n</x:v>
      </x:c>
      <x:c r="E19" s="185" t="n">
        <x:v>0.08</x:v>
      </x:c>
      <x:c r="F19" s="12" t="str">
        <x:v>m²/(V·s)</x:v>
      </x:c>
      <x:c r="G19" s="12" t="str">
        <x:v>材料</x:v>
      </x:c>
      <x:c r="H19" s="12" t="str">
        <x:v>rho_drift</x:v>
      </x:c>
      <x:c r="I19" s="12" t="str">
        <x:v>説明用SiC</x:v>
      </x:c>
    </x:row>
    <x:row r="20">
      <x:c r="A20" s="12" t="n">
        <x:v>12</x:v>
      </x:c>
      <x:c r="B20" s="12" t="str">
        <x:v>半導体</x:v>
      </x:c>
      <x:c r="C20" s="12" t="str">
        <x:v>素電荷</x:v>
      </x:c>
      <x:c r="D20" s="12" t="str">
        <x:v>q_e</x:v>
      </x:c>
      <x:c r="E20" s="185" t="n">
        <x:v>1.602e-19</x:v>
      </x:c>
      <x:c r="F20" s="12" t="str">
        <x:v>C</x:v>
      </x:c>
      <x:c r="G20" s="12" t="str">
        <x:v>固定定数</x:v>
      </x:c>
      <x:c r="H20" s="12" t="str">
        <x:v>rho_drift</x:v>
      </x:c>
      <x:c r="I20" s="12" t="str">
        <x:v>物理定数</x:v>
      </x:c>
    </x:row>
    <x:row r="21">
      <x:c r="A21" s="12" t="n">
        <x:v>13</x:v>
      </x:c>
      <x:c r="B21" s="12" t="str">
        <x:v>半導体</x:v>
      </x:c>
      <x:c r="C21" s="12" t="str">
        <x:v>比オン抵抗補正係数</x:v>
      </x:c>
      <x:c r="D21" s="12" t="str">
        <x:v>K_rsp</x:v>
      </x:c>
      <x:c r="E21" s="185" t="n">
        <x:v>1</x:v>
      </x:c>
      <x:c r="F21" s="12" t="str">
        <x:v>-</x:v>
      </x:c>
      <x:c r="G21" s="12" t="str">
        <x:v>技術係数</x:v>
      </x:c>
      <x:c r="H21" s="12" t="str">
        <x:v>Rsp_drift</x:v>
      </x:c>
      <x:c r="I21" s="12"/>
    </x:row>
    <x:row r="22">
      <x:c r="A22" s="12" t="n">
        <x:v>14</x:v>
      </x:c>
      <x:c r="B22" s="12" t="str">
        <x:v>半導体</x:v>
      </x:c>
      <x:c r="C22" s="12" t="str">
        <x:v>セル/コンタクト抵抗面積積</x:v>
      </x:c>
      <x:c r="D22" s="12" t="str">
        <x:v>Rsp_cell</x:v>
      </x:c>
      <x:c r="E22" s="185" t="n">
        <x:v>0.0015</x:v>
      </x:c>
      <x:c r="F22" s="12" t="str">
        <x:v>Ω·mm²</x:v>
      </x:c>
      <x:c r="G22" s="12" t="str">
        <x:v>技術係数</x:v>
      </x:c>
      <x:c r="H22" s="12" t="str">
        <x:v>Rsp_total</x:v>
      </x:c>
      <x:c r="I22" s="12" t="str">
        <x:v>説明用</x:v>
      </x:c>
    </x:row>
    <x:row r="23">
      <x:c r="A23" s="12" t="n">
        <x:v>15</x:v>
      </x:c>
      <x:c r="B23" s="12" t="str">
        <x:v>半導体</x:v>
      </x:c>
      <x:c r="C23" s="12" t="str">
        <x:v>チップ面積</x:v>
      </x:c>
      <x:c r="D23" s="12" t="str">
        <x:v>A_chip</x:v>
      </x:c>
      <x:c r="E23" s="185" t="n">
        <x:v>100</x:v>
      </x:c>
      <x:c r="F23" s="12" t="str">
        <x:v>mm²</x:v>
      </x:c>
      <x:c r="G23" s="12" t="str">
        <x:v>設計変数</x:v>
      </x:c>
      <x:c r="H23" s="12" t="str">
        <x:v>Ron,Coss,m_chip</x:v>
      </x:c>
      <x:c r="I23" s="12" t="str">
        <x:v>主要トレードオフ</x:v>
      </x:c>
    </x:row>
    <x:row r="24">
      <x:c r="A24" s="12" t="n">
        <x:v>16</x:v>
      </x:c>
      <x:c r="B24" s="12" t="str">
        <x:v>半導体</x:v>
      </x:c>
      <x:c r="C24" s="12" t="str">
        <x:v>チップ厚さ</x:v>
      </x:c>
      <x:c r="D24" s="12" t="str">
        <x:v>t_chip</x:v>
      </x:c>
      <x:c r="E24" s="185" t="n">
        <x:v>0.18</x:v>
      </x:c>
      <x:c r="F24" s="12" t="str">
        <x:v>mm</x:v>
      </x:c>
      <x:c r="G24" s="12" t="str">
        <x:v>設計変数</x:v>
      </x:c>
      <x:c r="H24" s="12" t="str">
        <x:v>m_chip</x:v>
      </x:c>
      <x:c r="I24" s="12"/>
    </x:row>
    <x:row r="25">
      <x:c r="A25" s="12" t="n">
        <x:v>17</x:v>
      </x:c>
      <x:c r="B25" s="12" t="str">
        <x:v>半導体</x:v>
      </x:c>
      <x:c r="C25" s="12" t="str">
        <x:v>チップ密度</x:v>
      </x:c>
      <x:c r="D25" s="12" t="str">
        <x:v>rho_chip</x:v>
      </x:c>
      <x:c r="E25" s="185" t="n">
        <x:v>3210</x:v>
      </x:c>
      <x:c r="F25" s="12" t="str">
        <x:v>kg/m³</x:v>
      </x:c>
      <x:c r="G25" s="12" t="str">
        <x:v>材料</x:v>
      </x:c>
      <x:c r="H25" s="12" t="str">
        <x:v>m_chip</x:v>
      </x:c>
      <x:c r="I25" s="12" t="str">
        <x:v>SiC</x:v>
      </x:c>
    </x:row>
    <x:row r="26">
      <x:c r="A26" s="12" t="n">
        <x:v>18</x:v>
      </x:c>
      <x:c r="B26" s="12" t="str">
        <x:v>半導体</x:v>
      </x:c>
      <x:c r="C26" s="12" t="str">
        <x:v>出力容量面積係数</x:v>
      </x:c>
      <x:c r="D26" s="12" t="str">
        <x:v>Coss_area_ref</x:v>
      </x:c>
      <x:c r="E26" s="185" t="n">
        <x:v>0.55</x:v>
      </x:c>
      <x:c r="F26" s="12" t="str">
        <x:v>nF/mm²</x:v>
      </x:c>
      <x:c r="G26" s="12" t="str">
        <x:v>技術係数</x:v>
      </x:c>
      <x:c r="H26" s="12" t="str">
        <x:v>Coss</x:v>
      </x:c>
      <x:c r="I26" s="12" t="str">
        <x:v>説明用</x:v>
      </x:c>
    </x:row>
    <x:row r="27">
      <x:c r="A27" s="12" t="n">
        <x:v>19</x:v>
      </x:c>
      <x:c r="B27" s="12" t="str">
        <x:v>半導体</x:v>
      </x:c>
      <x:c r="C27" s="12" t="str">
        <x:v>容量耐圧指数</x:v>
      </x:c>
      <x:c r="D27" s="12" t="str">
        <x:v>b_coss</x:v>
      </x:c>
      <x:c r="E27" s="185" t="n">
        <x:v>0.35</x:v>
      </x:c>
      <x:c r="F27" s="12" t="str">
        <x:v>-</x:v>
      </x:c>
      <x:c r="G27" s="12" t="str">
        <x:v>技術係数</x:v>
      </x:c>
      <x:c r="H27" s="12" t="str">
        <x:v>Coss</x:v>
      </x:c>
      <x:c r="I27" s="12" t="str">
        <x:v>Coss∝V^-b</x:v>
      </x:c>
    </x:row>
    <x:row r="28">
      <x:c r="A28" s="12" t="n">
        <x:v>20</x:v>
      </x:c>
      <x:c r="B28" s="12" t="str">
        <x:v>半導体</x:v>
      </x:c>
      <x:c r="C28" s="12" t="str">
        <x:v>容量耐圧基準</x:v>
      </x:c>
      <x:c r="D28" s="12" t="str">
        <x:v>V_ref_coss</x:v>
      </x:c>
      <x:c r="E28" s="185" t="n">
        <x:v>1200</x:v>
      </x:c>
      <x:c r="F28" s="12" t="str">
        <x:v>V</x:v>
      </x:c>
      <x:c r="G28" s="12" t="str">
        <x:v>技術係数</x:v>
      </x:c>
      <x:c r="H28" s="12" t="str">
        <x:v>Coss</x:v>
      </x:c>
      <x:c r="I28" s="12"/>
    </x:row>
    <x:row r="29">
      <x:c r="A29" s="12" t="n">
        <x:v>21</x:v>
      </x:c>
      <x:c r="B29" s="12" t="str">
        <x:v>半導体</x:v>
      </x:c>
      <x:c r="C29" s="12" t="str">
        <x:v>スイッチングエネルギー容量係数</x:v>
      </x:c>
      <x:c r="D29" s="12" t="str">
        <x:v>K_esw</x:v>
      </x:c>
      <x:c r="E29" s="185" t="n">
        <x:v>1</x:v>
      </x:c>
      <x:c r="F29" s="12" t="str">
        <x:v>-</x:v>
      </x:c>
      <x:c r="G29" s="12" t="str">
        <x:v>技術係数</x:v>
      </x:c>
      <x:c r="H29" s="12" t="str">
        <x:v>E_sw</x:v>
      </x:c>
      <x:c r="I29" s="12" t="str">
        <x:v>0.5CV²簡略化</x:v>
      </x:c>
    </x:row>
    <x:row r="30">
      <x:c r="A30" s="12" t="n">
        <x:v>22</x:v>
      </x:c>
      <x:c r="B30" s="12" t="str">
        <x:v>半導体</x:v>
      </x:c>
      <x:c r="C30" s="12" t="str">
        <x:v>チップ数係数</x:v>
      </x:c>
      <x:c r="D30" s="12" t="str">
        <x:v>k_chip</x:v>
      </x:c>
      <x:c r="E30" s="185" t="n">
        <x:v>1.25</x:v>
      </x:c>
      <x:c r="F30" s="12" t="str">
        <x:v>-</x:v>
      </x:c>
      <x:c r="G30" s="12" t="str">
        <x:v>技術係数</x:v>
      </x:c>
      <x:c r="H30" s="12" t="str">
        <x:v>N_chip_mod</x:v>
      </x:c>
      <x:c r="I30" s="12"/>
    </x:row>
    <x:row r="31">
      <x:c r="A31" s="12" t="n">
        <x:v>23</x:v>
      </x:c>
      <x:c r="B31" s="12" t="str">
        <x:v>半導体</x:v>
      </x:c>
      <x:c r="C31" s="12" t="str">
        <x:v>チップ許容電流密度</x:v>
      </x:c>
      <x:c r="D31" s="12" t="str">
        <x:v>J_chip</x:v>
      </x:c>
      <x:c r="E31" s="185" t="n">
        <x:v>1.15</x:v>
      </x:c>
      <x:c r="F31" s="12" t="str">
        <x:v>A/mm²</x:v>
      </x:c>
      <x:c r="G31" s="12" t="str">
        <x:v>設計変数</x:v>
      </x:c>
      <x:c r="H31" s="12" t="str">
        <x:v>I_chip</x:v>
      </x:c>
      <x:c r="I31" s="12"/>
    </x:row>
    <x:row r="32">
      <x:c r="A32" s="12" t="n">
        <x:v>24</x:v>
      </x:c>
      <x:c r="B32" s="12" t="str">
        <x:v>半導体</x:v>
      </x:c>
      <x:c r="C32" s="12" t="str">
        <x:v>チップ有効面積率</x:v>
      </x:c>
      <x:c r="D32" s="12" t="str">
        <x:v>k_active</x:v>
      </x:c>
      <x:c r="E32" s="185" t="n">
        <x:v>0.72</x:v>
      </x:c>
      <x:c r="F32" s="12" t="str">
        <x:v>-</x:v>
      </x:c>
      <x:c r="G32" s="12" t="str">
        <x:v>技術係数</x:v>
      </x:c>
      <x:c r="H32" s="12" t="str">
        <x:v>A_active</x:v>
      </x:c>
      <x:c r="I32" s="12"/>
    </x:row>
    <x:row r="33">
      <x:c r="A33" s="12" t="n">
        <x:v>25</x:v>
      </x:c>
      <x:c r="B33" s="12" t="str">
        <x:v>半導体</x:v>
      </x:c>
      <x:c r="C33" s="12" t="str">
        <x:v>DBC面積</x:v>
      </x:c>
      <x:c r="D33" s="12" t="str">
        <x:v>A_dbc</x:v>
      </x:c>
      <x:c r="E33" s="185" t="n">
        <x:v>4200</x:v>
      </x:c>
      <x:c r="F33" s="12" t="str">
        <x:v>mm²</x:v>
      </x:c>
      <x:c r="G33" s="12" t="str">
        <x:v>設計変数</x:v>
      </x:c>
      <x:c r="H33" s="12" t="str">
        <x:v>m_dbc</x:v>
      </x:c>
      <x:c r="I33" s="12"/>
    </x:row>
    <x:row r="34">
      <x:c r="A34" s="12" t="n">
        <x:v>26</x:v>
      </x:c>
      <x:c r="B34" s="12" t="str">
        <x:v>半導体</x:v>
      </x:c>
      <x:c r="C34" s="12" t="str">
        <x:v>DBC等価厚さ</x:v>
      </x:c>
      <x:c r="D34" s="12" t="str">
        <x:v>t_dbc</x:v>
      </x:c>
      <x:c r="E34" s="185" t="n">
        <x:v>0.92</x:v>
      </x:c>
      <x:c r="F34" s="12" t="str">
        <x:v>mm</x:v>
      </x:c>
      <x:c r="G34" s="12" t="str">
        <x:v>設計変数</x:v>
      </x:c>
      <x:c r="H34" s="12" t="str">
        <x:v>m_dbc</x:v>
      </x:c>
      <x:c r="I34" s="12"/>
    </x:row>
    <x:row r="35">
      <x:c r="A35" s="12" t="n">
        <x:v>27</x:v>
      </x:c>
      <x:c r="B35" s="12" t="str">
        <x:v>半導体</x:v>
      </x:c>
      <x:c r="C35" s="12" t="str">
        <x:v>DBC等価密度</x:v>
      </x:c>
      <x:c r="D35" s="12" t="str">
        <x:v>rho_dbc</x:v>
      </x:c>
      <x:c r="E35" s="185" t="n">
        <x:v>4000</x:v>
      </x:c>
      <x:c r="F35" s="12" t="str">
        <x:v>kg/m³</x:v>
      </x:c>
      <x:c r="G35" s="12" t="str">
        <x:v>材料</x:v>
      </x:c>
      <x:c r="H35" s="12" t="str">
        <x:v>m_dbc</x:v>
      </x:c>
      <x:c r="I35" s="12"/>
    </x:row>
    <x:row r="36">
      <x:c r="A36" s="12" t="n">
        <x:v>28</x:v>
      </x:c>
      <x:c r="B36" s="12" t="str">
        <x:v>半導体</x:v>
      </x:c>
      <x:c r="C36" s="12" t="str">
        <x:v>ベース面積</x:v>
      </x:c>
      <x:c r="D36" s="12" t="str">
        <x:v>A_base</x:v>
      </x:c>
      <x:c r="E36" s="185" t="n">
        <x:v>5000</x:v>
      </x:c>
      <x:c r="F36" s="12" t="str">
        <x:v>mm²</x:v>
      </x:c>
      <x:c r="G36" s="12" t="str">
        <x:v>設計変数</x:v>
      </x:c>
      <x:c r="H36" s="12" t="str">
        <x:v>m_base</x:v>
      </x:c>
      <x:c r="I36" s="12"/>
    </x:row>
    <x:row r="37">
      <x:c r="A37" s="12" t="n">
        <x:v>29</x:v>
      </x:c>
      <x:c r="B37" s="12" t="str">
        <x:v>半導体</x:v>
      </x:c>
      <x:c r="C37" s="12" t="str">
        <x:v>ベース厚さ</x:v>
      </x:c>
      <x:c r="D37" s="12" t="str">
        <x:v>t_base</x:v>
      </x:c>
      <x:c r="E37" s="185" t="n">
        <x:v>3</x:v>
      </x:c>
      <x:c r="F37" s="12" t="str">
        <x:v>mm</x:v>
      </x:c>
      <x:c r="G37" s="12" t="str">
        <x:v>設計変数</x:v>
      </x:c>
      <x:c r="H37" s="12" t="str">
        <x:v>m_base</x:v>
      </x:c>
      <x:c r="I37" s="12"/>
    </x:row>
    <x:row r="38">
      <x:c r="A38" s="12" t="n">
        <x:v>30</x:v>
      </x:c>
      <x:c r="B38" s="12" t="str">
        <x:v>半導体</x:v>
      </x:c>
      <x:c r="C38" s="12" t="str">
        <x:v>ベース密度</x:v>
      </x:c>
      <x:c r="D38" s="12" t="str">
        <x:v>rho_base</x:v>
      </x:c>
      <x:c r="E38" s="185" t="n">
        <x:v>2700</x:v>
      </x:c>
      <x:c r="F38" s="12" t="str">
        <x:v>kg/m³</x:v>
      </x:c>
      <x:c r="G38" s="12" t="str">
        <x:v>材料</x:v>
      </x:c>
      <x:c r="H38" s="12" t="str">
        <x:v>m_base</x:v>
      </x:c>
      <x:c r="I38" s="12" t="str">
        <x:v>Al</x:v>
      </x:c>
    </x:row>
    <x:row r="39">
      <x:c r="A39" s="12" t="n">
        <x:v>31</x:v>
      </x:c>
      <x:c r="B39" s="12" t="str">
        <x:v>半導体</x:v>
      </x:c>
      <x:c r="C39" s="12" t="str">
        <x:v>封止・端子重量/モジュール</x:v>
      </x:c>
      <x:c r="D39" s="12" t="str">
        <x:v>m_pkg</x:v>
      </x:c>
      <x:c r="E39" s="185" t="n">
        <x:v>0.075</x:v>
      </x:c>
      <x:c r="F39" s="12" t="str">
        <x:v>kg</x:v>
      </x:c>
      <x:c r="G39" s="12" t="str">
        <x:v>設計変数</x:v>
      </x:c>
      <x:c r="H39" s="12" t="str">
        <x:v>m_mod</x:v>
      </x:c>
      <x:c r="I39" s="12"/>
    </x:row>
    <x:row r="40">
      <x:c r="A40" s="12" t="n">
        <x:v>32</x:v>
      </x:c>
      <x:c r="B40" s="12" t="str">
        <x:v>冷却</x:v>
      </x:c>
      <x:c r="C40" s="12" t="str">
        <x:v>基準熱伝達率</x:v>
      </x:c>
      <x:c r="D40" s="12" t="str">
        <x:v>h_nom</x:v>
      </x:c>
      <x:c r="E40" s="185" t="n">
        <x:v>10000</x:v>
      </x:c>
      <x:c r="F40" s="12" t="str">
        <x:v>W/(m²K)</x:v>
      </x:c>
      <x:c r="G40" s="12" t="str">
        <x:v>技術仕様</x:v>
      </x:c>
      <x:c r="H40" s="12" t="str">
        <x:v>h_eff</x:v>
      </x:c>
      <x:c r="I40" s="12"/>
    </x:row>
    <x:row r="41">
      <x:c r="A41" s="12" t="n">
        <x:v>33</x:v>
      </x:c>
      <x:c r="B41" s="12" t="str">
        <x:v>冷却</x:v>
      </x:c>
      <x:c r="C41" s="12" t="str">
        <x:v>流路形状係数</x:v>
      </x:c>
      <x:c r="D41" s="12" t="str">
        <x:v>k_geom</x:v>
      </x:c>
      <x:c r="E41" s="185" t="n">
        <x:v>0.95</x:v>
      </x:c>
      <x:c r="F41" s="12" t="str">
        <x:v>-</x:v>
      </x:c>
      <x:c r="G41" s="12" t="str">
        <x:v>技術係数</x:v>
      </x:c>
      <x:c r="H41" s="12" t="str">
        <x:v>h_eff</x:v>
      </x:c>
      <x:c r="I41" s="12"/>
    </x:row>
    <x:row r="42">
      <x:c r="A42" s="12" t="n">
        <x:v>34</x:v>
      </x:c>
      <x:c r="B42" s="12" t="str">
        <x:v>冷却</x:v>
      </x:c>
      <x:c r="C42" s="12" t="str">
        <x:v>表面状態係数</x:v>
      </x:c>
      <x:c r="D42" s="12" t="str">
        <x:v>k_surface</x:v>
      </x:c>
      <x:c r="E42" s="185" t="n">
        <x:v>0.95</x:v>
      </x:c>
      <x:c r="F42" s="12" t="str">
        <x:v>-</x:v>
      </x:c>
      <x:c r="G42" s="12" t="str">
        <x:v>技術係数</x:v>
      </x:c>
      <x:c r="H42" s="12" t="str">
        <x:v>h_eff</x:v>
      </x:c>
      <x:c r="I42" s="12"/>
    </x:row>
    <x:row r="43">
      <x:c r="A43" s="12" t="n">
        <x:v>35</x:v>
      </x:c>
      <x:c r="B43" s="12" t="str">
        <x:v>冷却</x:v>
      </x:c>
      <x:c r="C43" s="12" t="str">
        <x:v>フィン効率</x:v>
      </x:c>
      <x:c r="D43" s="12" t="str">
        <x:v>k_fin</x:v>
      </x:c>
      <x:c r="E43" s="185" t="n">
        <x:v>0.75</x:v>
      </x:c>
      <x:c r="F43" s="12" t="str">
        <x:v>-</x:v>
      </x:c>
      <x:c r="G43" s="12" t="str">
        <x:v>技術係数</x:v>
      </x:c>
      <x:c r="H43" s="12" t="str">
        <x:v>h_eff</x:v>
      </x:c>
      <x:c r="I43" s="12"/>
    </x:row>
    <x:row r="44">
      <x:c r="A44" s="12" t="n">
        <x:v>36</x:v>
      </x:c>
      <x:c r="B44" s="12" t="str">
        <x:v>冷却</x:v>
      </x:c>
      <x:c r="C44" s="12" t="str">
        <x:v>冷媒流速</x:v>
      </x:c>
      <x:c r="D44" s="12" t="str">
        <x:v>v_cool</x:v>
      </x:c>
      <x:c r="E44" s="185" t="n">
        <x:v>1.5</x:v>
      </x:c>
      <x:c r="F44" s="12" t="str">
        <x:v>m/s</x:v>
      </x:c>
      <x:c r="G44" s="12" t="str">
        <x:v>設計変数</x:v>
      </x:c>
      <x:c r="H44" s="12" t="str">
        <x:v>h_eff</x:v>
      </x:c>
      <x:c r="I44" s="12"/>
    </x:row>
    <x:row r="45">
      <x:c r="A45" s="12" t="n">
        <x:v>37</x:v>
      </x:c>
      <x:c r="B45" s="12" t="str">
        <x:v>冷却</x:v>
      </x:c>
      <x:c r="C45" s="12" t="str">
        <x:v>基準流速</x:v>
      </x:c>
      <x:c r="D45" s="12" t="str">
        <x:v>v_ref</x:v>
      </x:c>
      <x:c r="E45" s="185" t="n">
        <x:v>1</x:v>
      </x:c>
      <x:c r="F45" s="12" t="str">
        <x:v>m/s</x:v>
      </x:c>
      <x:c r="G45" s="12" t="str">
        <x:v>技術係数</x:v>
      </x:c>
      <x:c r="H45" s="12" t="str">
        <x:v>h_eff</x:v>
      </x:c>
      <x:c r="I45" s="12"/>
    </x:row>
    <x:row r="46">
      <x:c r="A46" s="12" t="n">
        <x:v>38</x:v>
      </x:c>
      <x:c r="B46" s="12" t="str">
        <x:v>冷却</x:v>
      </x:c>
      <x:c r="C46" s="12" t="str">
        <x:v>許容冷媒温度上昇</x:v>
      </x:c>
      <x:c r="D46" s="12" t="str">
        <x:v>dT_cool</x:v>
      </x:c>
      <x:c r="E46" s="185" t="n">
        <x:v>20</x:v>
      </x:c>
      <x:c r="F46" s="12" t="str">
        <x:v>K</x:v>
      </x:c>
      <x:c r="G46" s="12" t="str">
        <x:v>設計変数</x:v>
      </x:c>
      <x:c r="H46" s="12" t="str">
        <x:v>q_cool</x:v>
      </x:c>
      <x:c r="I46" s="12"/>
    </x:row>
    <x:row r="47">
      <x:c r="A47" s="12" t="n">
        <x:v>39</x:v>
      </x:c>
      <x:c r="B47" s="12" t="str">
        <x:v>冷却</x:v>
      </x:c>
      <x:c r="C47" s="12" t="str">
        <x:v>熱交換器等価厚さ</x:v>
      </x:c>
      <x:c r="D47" s="12" t="str">
        <x:v>t_hx_eq</x:v>
      </x:c>
      <x:c r="E47" s="185" t="n">
        <x:v>0.006</x:v>
      </x:c>
      <x:c r="F47" s="12" t="str">
        <x:v>m</x:v>
      </x:c>
      <x:c r="G47" s="12" t="str">
        <x:v>設計変数</x:v>
      </x:c>
      <x:c r="H47" s="12" t="str">
        <x:v>sigma_hx</x:v>
      </x:c>
      <x:c r="I47" s="12"/>
    </x:row>
    <x:row r="48">
      <x:c r="A48" s="12" t="n">
        <x:v>40</x:v>
      </x:c>
      <x:c r="B48" s="12" t="str">
        <x:v>冷却</x:v>
      </x:c>
      <x:c r="C48" s="12" t="str">
        <x:v>熱交換器等価密度</x:v>
      </x:c>
      <x:c r="D48" s="12" t="str">
        <x:v>rho_hx</x:v>
      </x:c>
      <x:c r="E48" s="185" t="n">
        <x:v>850</x:v>
      </x:c>
      <x:c r="F48" s="12" t="str">
        <x:v>kg/m³</x:v>
      </x:c>
      <x:c r="G48" s="12" t="str">
        <x:v>材料</x:v>
      </x:c>
      <x:c r="H48" s="12" t="str">
        <x:v>sigma_hx</x:v>
      </x:c>
      <x:c r="I48" s="12"/>
    </x:row>
    <x:row r="49">
      <x:c r="A49" s="12" t="n">
        <x:v>41</x:v>
      </x:c>
      <x:c r="B49" s="12" t="str">
        <x:v>冷却</x:v>
      </x:c>
      <x:c r="C49" s="12" t="str">
        <x:v>熱設計マージン</x:v>
      </x:c>
      <x:c r="D49" s="12" t="str">
        <x:v>K_th</x:v>
      </x:c>
      <x:c r="E49" s="185" t="n">
        <x:v>1.2</x:v>
      </x:c>
      <x:c r="F49" s="12" t="str">
        <x:v>-</x:v>
      </x:c>
      <x:c r="G49" s="12" t="str">
        <x:v>技術係数</x:v>
      </x:c>
      <x:c r="H49" s="12" t="str">
        <x:v>Q_req</x:v>
      </x:c>
      <x:c r="I49" s="12"/>
    </x:row>
    <x:row r="50">
      <x:c r="A50" s="12" t="n">
        <x:v>42</x:v>
      </x:c>
      <x:c r="B50" s="12" t="str">
        <x:v>冷却</x:v>
      </x:c>
      <x:c r="C50" s="12" t="str">
        <x:v>冷却補機固定重量</x:v>
      </x:c>
      <x:c r="D50" s="12" t="str">
        <x:v>m_cool_fix</x:v>
      </x:c>
      <x:c r="E50" s="185" t="n">
        <x:v>0.35</x:v>
      </x:c>
      <x:c r="F50" s="12" t="str">
        <x:v>kg</x:v>
      </x:c>
      <x:c r="G50" s="12" t="str">
        <x:v>設計変数</x:v>
      </x:c>
      <x:c r="H50" s="12" t="str">
        <x:v>M_cool</x:v>
      </x:c>
      <x:c r="I50" s="12"/>
    </x:row>
    <x:row r="51">
      <x:c r="A51" s="12" t="n">
        <x:v>43</x:v>
      </x:c>
      <x:c r="B51" s="12" t="str">
        <x:v>DCリンクC</x:v>
      </x:c>
      <x:c r="C51" s="12" t="str">
        <x:v>コンデンサ定格電圧係数</x:v>
      </x:c>
      <x:c r="D51" s="12" t="str">
        <x:v>K_vcap</x:v>
      </x:c>
      <x:c r="E51" s="185" t="n">
        <x:v>1.25</x:v>
      </x:c>
      <x:c r="F51" s="12" t="str">
        <x:v>-</x:v>
      </x:c>
      <x:c r="G51" s="12" t="str">
        <x:v>技術係数</x:v>
      </x:c>
      <x:c r="H51" s="12" t="str">
        <x:v>V_cap</x:v>
      </x:c>
      <x:c r="I51" s="12"/>
    </x:row>
    <x:row r="52">
      <x:c r="A52" s="12" t="n">
        <x:v>44</x:v>
      </x:c>
      <x:c r="B52" s="12" t="str">
        <x:v>DCリンクC</x:v>
      </x:c>
      <x:c r="C52" s="12" t="str">
        <x:v>基準エネルギー密度</x:v>
      </x:c>
      <x:c r="D52" s="12" t="str">
        <x:v>e_cap_ref</x:v>
      </x:c>
      <x:c r="E52" s="185" t="n">
        <x:v>1800</x:v>
      </x:c>
      <x:c r="F52" s="12" t="str">
        <x:v>J/kg</x:v>
      </x:c>
      <x:c r="G52" s="12" t="str">
        <x:v>技術仕様</x:v>
      </x:c>
      <x:c r="H52" s="12" t="str">
        <x:v>e_cap</x:v>
      </x:c>
      <x:c r="I52" s="12"/>
    </x:row>
    <x:row r="53">
      <x:c r="A53" s="12" t="n">
        <x:v>45</x:v>
      </x:c>
      <x:c r="B53" s="12" t="str">
        <x:v>DCリンクC</x:v>
      </x:c>
      <x:c r="C53" s="12" t="str">
        <x:v>誘電体性能係数</x:v>
      </x:c>
      <x:c r="D53" s="12" t="str">
        <x:v>k_dielectric</x:v>
      </x:c>
      <x:c r="E53" s="185" t="n">
        <x:v>1</x:v>
      </x:c>
      <x:c r="F53" s="12" t="str">
        <x:v>-</x:v>
      </x:c>
      <x:c r="G53" s="12" t="str">
        <x:v>技術係数</x:v>
      </x:c>
      <x:c r="H53" s="12" t="str">
        <x:v>e_cap</x:v>
      </x:c>
      <x:c r="I53" s="12"/>
    </x:row>
    <x:row r="54">
      <x:c r="A54" s="12" t="n">
        <x:v>46</x:v>
      </x:c>
      <x:c r="B54" s="12" t="str">
        <x:v>DCリンクC</x:v>
      </x:c>
      <x:c r="C54" s="12" t="str">
        <x:v>パッケージ利用率</x:v>
      </x:c>
      <x:c r="D54" s="12" t="str">
        <x:v>k_pack_cap</x:v>
      </x:c>
      <x:c r="E54" s="185" t="n">
        <x:v>0.72</x:v>
      </x:c>
      <x:c r="F54" s="12" t="str">
        <x:v>-</x:v>
      </x:c>
      <x:c r="G54" s="12" t="str">
        <x:v>技術係数</x:v>
      </x:c>
      <x:c r="H54" s="12" t="str">
        <x:v>e_cap</x:v>
      </x:c>
      <x:c r="I54" s="12"/>
    </x:row>
    <x:row r="55">
      <x:c r="A55" s="12" t="n">
        <x:v>47</x:v>
      </x:c>
      <x:c r="B55" s="12" t="str">
        <x:v>DCリンクC</x:v>
      </x:c>
      <x:c r="C55" s="12" t="str">
        <x:v>固定重量</x:v>
      </x:c>
      <x:c r="D55" s="12" t="str">
        <x:v>mC_fix</x:v>
      </x:c>
      <x:c r="E55" s="185" t="n">
        <x:v>0.1</x:v>
      </x:c>
      <x:c r="F55" s="12" t="str">
        <x:v>kg</x:v>
      </x:c>
      <x:c r="G55" s="12" t="str">
        <x:v>設計変数</x:v>
      </x:c>
      <x:c r="H55" s="12" t="str">
        <x:v>M_cap</x:v>
      </x:c>
      <x:c r="I55" s="12"/>
    </x:row>
    <x:row r="56">
      <x:c r="A56" s="12" t="n">
        <x:v>48</x:v>
      </x:c>
      <x:c r="B56" s="12" t="str">
        <x:v>バスバー</x:v>
      </x:c>
      <x:c r="C56" s="12" t="str">
        <x:v>基準許容電流密度</x:v>
      </x:c>
      <x:c r="D56" s="12" t="str">
        <x:v>J_bus_ref</x:v>
      </x:c>
      <x:c r="E56" s="185" t="n">
        <x:v>4</x:v>
      </x:c>
      <x:c r="F56" s="12" t="str">
        <x:v>A/mm²</x:v>
      </x:c>
      <x:c r="G56" s="12" t="str">
        <x:v>技術仕様</x:v>
      </x:c>
      <x:c r="H56" s="12" t="str">
        <x:v>J_bus</x:v>
      </x:c>
      <x:c r="I56" s="12"/>
    </x:row>
    <x:row r="57">
      <x:c r="A57" s="12" t="n">
        <x:v>49</x:v>
      </x:c>
      <x:c r="B57" s="12" t="str">
        <x:v>バスバー</x:v>
      </x:c>
      <x:c r="C57" s="12" t="str">
        <x:v>許容導体温度</x:v>
      </x:c>
      <x:c r="D57" s="12" t="str">
        <x:v>T_bus_max</x:v>
      </x:c>
      <x:c r="E57" s="185" t="n">
        <x:v>105</x:v>
      </x:c>
      <x:c r="F57" s="12" t="str">
        <x:v>°C</x:v>
      </x:c>
      <x:c r="G57" s="12" t="str">
        <x:v>設計変数</x:v>
      </x:c>
      <x:c r="H57" s="12" t="str">
        <x:v>dT_bus</x:v>
      </x:c>
      <x:c r="I57" s="12"/>
    </x:row>
    <x:row r="58">
      <x:c r="A58" s="12" t="n">
        <x:v>50</x:v>
      </x:c>
      <x:c r="B58" s="12" t="str">
        <x:v>バスバー</x:v>
      </x:c>
      <x:c r="C58" s="12" t="str">
        <x:v>基準温度上昇</x:v>
      </x:c>
      <x:c r="D58" s="12" t="str">
        <x:v>dT_bus_ref</x:v>
      </x:c>
      <x:c r="E58" s="185" t="n">
        <x:v>60</x:v>
      </x:c>
      <x:c r="F58" s="12" t="str">
        <x:v>K</x:v>
      </x:c>
      <x:c r="G58" s="12" t="str">
        <x:v>技術係数</x:v>
      </x:c>
      <x:c r="H58" s="12" t="str">
        <x:v>J_bus</x:v>
      </x:c>
      <x:c r="I58" s="12"/>
    </x:row>
    <x:row r="59">
      <x:c r="A59" s="12" t="n">
        <x:v>51</x:v>
      </x:c>
      <x:c r="B59" s="12" t="str">
        <x:v>バスバー</x:v>
      </x:c>
      <x:c r="C59" s="12" t="str">
        <x:v>放熱改善係数</x:v>
      </x:c>
      <x:c r="D59" s="12" t="str">
        <x:v>k_bus_cool</x:v>
      </x:c>
      <x:c r="E59" s="185" t="n">
        <x:v>1</x:v>
      </x:c>
      <x:c r="F59" s="12" t="str">
        <x:v>-</x:v>
      </x:c>
      <x:c r="G59" s="12" t="str">
        <x:v>技術係数</x:v>
      </x:c>
      <x:c r="H59" s="12" t="str">
        <x:v>J_bus</x:v>
      </x:c>
      <x:c r="I59" s="12"/>
    </x:row>
    <x:row r="60">
      <x:c r="A60" s="12" t="n">
        <x:v>52</x:v>
      </x:c>
      <x:c r="B60" s="12" t="str">
        <x:v>バスバー</x:v>
      </x:c>
      <x:c r="C60" s="12" t="str">
        <x:v>導体総長</x:v>
      </x:c>
      <x:c r="D60" s="12" t="str">
        <x:v>L_bus</x:v>
      </x:c>
      <x:c r="E60" s="185" t="n">
        <x:v>1.2</x:v>
      </x:c>
      <x:c r="F60" s="12" t="str">
        <x:v>m</x:v>
      </x:c>
      <x:c r="G60" s="12" t="str">
        <x:v>設計変数</x:v>
      </x:c>
      <x:c r="H60" s="12" t="str">
        <x:v>m_bus</x:v>
      </x:c>
      <x:c r="I60" s="12"/>
    </x:row>
    <x:row r="61">
      <x:c r="A61" s="12" t="n">
        <x:v>53</x:v>
      </x:c>
      <x:c r="B61" s="12" t="str">
        <x:v>バスバー</x:v>
      </x:c>
      <x:c r="C61" s="12" t="str">
        <x:v>導体本数係数</x:v>
      </x:c>
      <x:c r="D61" s="12" t="str">
        <x:v>N_bus</x:v>
      </x:c>
      <x:c r="E61" s="185" t="n">
        <x:v>2</x:v>
      </x:c>
      <x:c r="F61" s="12" t="str">
        <x:v>-</x:v>
      </x:c>
      <x:c r="G61" s="12" t="str">
        <x:v>設計係数</x:v>
      </x:c>
      <x:c r="H61" s="12" t="str">
        <x:v>m_bus</x:v>
      </x:c>
      <x:c r="I61" s="12"/>
    </x:row>
    <x:row r="62">
      <x:c r="A62" s="12" t="n">
        <x:v>54</x:v>
      </x:c>
      <x:c r="B62" s="12" t="str">
        <x:v>バスバー</x:v>
      </x:c>
      <x:c r="C62" s="12" t="str">
        <x:v>導体密度</x:v>
      </x:c>
      <x:c r="D62" s="12" t="str">
        <x:v>rho_bus</x:v>
      </x:c>
      <x:c r="E62" s="185" t="n">
        <x:v>8960</x:v>
      </x:c>
      <x:c r="F62" s="12" t="str">
        <x:v>kg/m³</x:v>
      </x:c>
      <x:c r="G62" s="12" t="str">
        <x:v>材料</x:v>
      </x:c>
      <x:c r="H62" s="12" t="str">
        <x:v>m_bus</x:v>
      </x:c>
      <x:c r="I62" s="12" t="str">
        <x:v>Cu</x:v>
      </x:c>
    </x:row>
    <x:row r="63">
      <x:c r="A63" s="12" t="n">
        <x:v>55</x:v>
      </x:c>
      <x:c r="B63" s="12" t="str">
        <x:v>バスバー</x:v>
      </x:c>
      <x:c r="C63" s="12" t="str">
        <x:v>絶縁・支持係数</x:v>
      </x:c>
      <x:c r="D63" s="12" t="str">
        <x:v>K_bus</x:v>
      </x:c>
      <x:c r="E63" s="185" t="n">
        <x:v>1.18</x:v>
      </x:c>
      <x:c r="F63" s="12" t="str">
        <x:v>-</x:v>
      </x:c>
      <x:c r="G63" s="12" t="str">
        <x:v>技術係数</x:v>
      </x:c>
      <x:c r="H63" s="12" t="str">
        <x:v>M_bus</x:v>
      </x:c>
      <x:c r="I63" s="12"/>
    </x:row>
    <x:row r="64">
      <x:c r="A64" s="12" t="n">
        <x:v>56</x:v>
      </x:c>
      <x:c r="B64" s="12" t="str">
        <x:v>筐体</x:v>
      </x:c>
      <x:c r="C64" s="12" t="str">
        <x:v>筐体長さ</x:v>
      </x:c>
      <x:c r="D64" s="12" t="str">
        <x:v>L_case</x:v>
      </x:c>
      <x:c r="E64" s="185" t="n">
        <x:v>0.45</x:v>
      </x:c>
      <x:c r="F64" s="12" t="str">
        <x:v>m</x:v>
      </x:c>
      <x:c r="G64" s="12" t="str">
        <x:v>設計変数</x:v>
      </x:c>
      <x:c r="H64" s="12" t="str">
        <x:v>A_case</x:v>
      </x:c>
      <x:c r="I64" s="12"/>
    </x:row>
    <x:row r="65">
      <x:c r="A65" s="12" t="n">
        <x:v>57</x:v>
      </x:c>
      <x:c r="B65" s="12" t="str">
        <x:v>筐体</x:v>
      </x:c>
      <x:c r="C65" s="12" t="str">
        <x:v>筐体幅</x:v>
      </x:c>
      <x:c r="D65" s="12" t="str">
        <x:v>W_case</x:v>
      </x:c>
      <x:c r="E65" s="185" t="n">
        <x:v>0.3</x:v>
      </x:c>
      <x:c r="F65" s="12" t="str">
        <x:v>m</x:v>
      </x:c>
      <x:c r="G65" s="12" t="str">
        <x:v>設計変数</x:v>
      </x:c>
      <x:c r="H65" s="12" t="str">
        <x:v>A_case</x:v>
      </x:c>
      <x:c r="I65" s="12"/>
    </x:row>
    <x:row r="66">
      <x:c r="A66" s="12" t="n">
        <x:v>58</x:v>
      </x:c>
      <x:c r="B66" s="12" t="str">
        <x:v>筐体</x:v>
      </x:c>
      <x:c r="C66" s="12" t="str">
        <x:v>筐体高さ</x:v>
      </x:c>
      <x:c r="D66" s="12" t="str">
        <x:v>H_case</x:v>
      </x:c>
      <x:c r="E66" s="185" t="n">
        <x:v>0.15</x:v>
      </x:c>
      <x:c r="F66" s="12" t="str">
        <x:v>m</x:v>
      </x:c>
      <x:c r="G66" s="12" t="str">
        <x:v>設計変数</x:v>
      </x:c>
      <x:c r="H66" s="12" t="str">
        <x:v>A_case</x:v>
      </x:c>
      <x:c r="I66" s="12"/>
    </x:row>
    <x:row r="67">
      <x:c r="A67" s="12" t="n">
        <x:v>59</x:v>
      </x:c>
      <x:c r="B67" s="12" t="str">
        <x:v>筐体</x:v>
      </x:c>
      <x:c r="C67" s="12" t="str">
        <x:v>平均板厚</x:v>
      </x:c>
      <x:c r="D67" s="12" t="str">
        <x:v>t_case</x:v>
      </x:c>
      <x:c r="E67" s="185" t="n">
        <x:v>0.0018</x:v>
      </x:c>
      <x:c r="F67" s="12" t="str">
        <x:v>m</x:v>
      </x:c>
      <x:c r="G67" s="12" t="str">
        <x:v>設計変数</x:v>
      </x:c>
      <x:c r="H67" s="12" t="str">
        <x:v>M_case</x:v>
      </x:c>
      <x:c r="I67" s="12"/>
    </x:row>
    <x:row r="68">
      <x:c r="A68" s="12" t="n">
        <x:v>60</x:v>
      </x:c>
      <x:c r="B68" s="12" t="str">
        <x:v>筐体</x:v>
      </x:c>
      <x:c r="C68" s="12" t="str">
        <x:v>材料密度</x:v>
      </x:c>
      <x:c r="D68" s="12" t="str">
        <x:v>rho_case</x:v>
      </x:c>
      <x:c r="E68" s="185" t="n">
        <x:v>2700</x:v>
      </x:c>
      <x:c r="F68" s="12" t="str">
        <x:v>kg/m³</x:v>
      </x:c>
      <x:c r="G68" s="12" t="str">
        <x:v>材料</x:v>
      </x:c>
      <x:c r="H68" s="12" t="str">
        <x:v>M_case</x:v>
      </x:c>
      <x:c r="I68" s="12" t="str">
        <x:v>Al</x:v>
      </x:c>
    </x:row>
    <x:row r="69">
      <x:c r="A69" s="12" t="n">
        <x:v>61</x:v>
      </x:c>
      <x:c r="B69" s="12" t="str">
        <x:v>筐体</x:v>
      </x:c>
      <x:c r="C69" s="12" t="str">
        <x:v>開口率</x:v>
      </x:c>
      <x:c r="D69" s="12" t="str">
        <x:v>r_open</x:v>
      </x:c>
      <x:c r="E69" s="185" t="n">
        <x:v>0.18</x:v>
      </x:c>
      <x:c r="F69" s="12" t="str">
        <x:v>-</x:v>
      </x:c>
      <x:c r="G69" s="12" t="str">
        <x:v>設計変数</x:v>
      </x:c>
      <x:c r="H69" s="12" t="str">
        <x:v>K_case</x:v>
      </x:c>
      <x:c r="I69" s="12"/>
    </x:row>
    <x:row r="70">
      <x:c r="A70" s="12" t="n">
        <x:v>62</x:v>
      </x:c>
      <x:c r="B70" s="12" t="str">
        <x:v>筐体</x:v>
      </x:c>
      <x:c r="C70" s="12" t="str">
        <x:v>リブ増加係数</x:v>
      </x:c>
      <x:c r="D70" s="12" t="str">
        <x:v>K_rib</x:v>
      </x:c>
      <x:c r="E70" s="185" t="n">
        <x:v>1.08</x:v>
      </x:c>
      <x:c r="F70" s="12" t="str">
        <x:v>-</x:v>
      </x:c>
      <x:c r="G70" s="12" t="str">
        <x:v>技術係数</x:v>
      </x:c>
      <x:c r="H70" s="12" t="str">
        <x:v>K_case</x:v>
      </x:c>
      <x:c r="I70" s="12"/>
    </x:row>
    <x:row r="71">
      <x:c r="A71" s="12" t="n">
        <x:v>63</x:v>
      </x:c>
      <x:c r="B71" s="12" t="str">
        <x:v>筐体</x:v>
      </x:c>
      <x:c r="C71" s="12" t="str">
        <x:v>製造余裕係数</x:v>
      </x:c>
      <x:c r="D71" s="12" t="str">
        <x:v>K_mfg</x:v>
      </x:c>
      <x:c r="E71" s="185" t="n">
        <x:v>1.02</x:v>
      </x:c>
      <x:c r="F71" s="12" t="str">
        <x:v>-</x:v>
      </x:c>
      <x:c r="G71" s="12" t="str">
        <x:v>技術係数</x:v>
      </x:c>
      <x:c r="H71" s="12" t="str">
        <x:v>K_case</x:v>
      </x:c>
      <x:c r="I71" s="12"/>
    </x:row>
    <x:row r="72">
      <x:c r="A72" s="12" t="n">
        <x:v>64</x:v>
      </x:c>
      <x:c r="B72" s="12" t="str">
        <x:v>EMI</x:v>
      </x:c>
      <x:c r="C72" s="12" t="str">
        <x:v>DMノイズ等価電圧</x:v>
      </x:c>
      <x:c r="D72" s="12" t="str">
        <x:v>V_noise</x:v>
      </x:c>
      <x:c r="E72" s="185" t="n">
        <x:v>60</x:v>
      </x:c>
      <x:c r="F72" s="12" t="str">
        <x:v>V</x:v>
      </x:c>
      <x:c r="G72" s="12" t="str">
        <x:v>技術仕様</x:v>
      </x:c>
      <x:c r="H72" s="12" t="str">
        <x:v>L_dm</x:v>
      </x:c>
      <x:c r="I72" s="12"/>
    </x:row>
    <x:row r="73">
      <x:c r="A73" s="12" t="n">
        <x:v>65</x:v>
      </x:c>
      <x:c r="B73" s="12" t="str">
        <x:v>EMI</x:v>
      </x:c>
      <x:c r="C73" s="12" t="str">
        <x:v>許容電流リップル率</x:v>
      </x:c>
      <x:c r="D73" s="12" t="str">
        <x:v>r_Iemi</x:v>
      </x:c>
      <x:c r="E73" s="185" t="n">
        <x:v>0.1</x:v>
      </x:c>
      <x:c r="F73" s="12" t="str">
        <x:v>-</x:v>
      </x:c>
      <x:c r="G73" s="12" t="str">
        <x:v>設計変数</x:v>
      </x:c>
      <x:c r="H73" s="12" t="str">
        <x:v>I_ripple</x:v>
      </x:c>
      <x:c r="I73" s="12"/>
    </x:row>
    <x:row r="74">
      <x:c r="A74" s="12" t="n">
        <x:v>66</x:v>
      </x:c>
      <x:c r="B74" s="12" t="str">
        <x:v>EMI</x:v>
      </x:c>
      <x:c r="C74" s="12" t="str">
        <x:v>フィルタ遮断周波数係数</x:v>
      </x:c>
      <x:c r="D74" s="12" t="str">
        <x:v>k_fc</x:v>
      </x:c>
      <x:c r="E74" s="185" t="n">
        <x:v>0.1</x:v>
      </x:c>
      <x:c r="F74" s="12" t="str">
        <x:v>-</x:v>
      </x:c>
      <x:c r="G74" s="12" t="str">
        <x:v>設計変数</x:v>
      </x:c>
      <x:c r="H74" s="12" t="str">
        <x:v>f_c</x:v>
      </x:c>
      <x:c r="I74" s="12" t="str">
        <x:v>主要トレードオフ</x:v>
      </x:c>
    </x:row>
    <x:row r="75">
      <x:c r="A75" s="12" t="n">
        <x:v>67</x:v>
      </x:c>
      <x:c r="B75" s="12" t="str">
        <x:v>EMI</x:v>
      </x:c>
      <x:c r="C75" s="12" t="str">
        <x:v>インダクタ重量係数</x:v>
      </x:c>
      <x:c r="D75" s="12" t="str">
        <x:v>k_mL</x:v>
      </x:c>
      <x:c r="E75" s="185" t="n">
        <x:v>40</x:v>
      </x:c>
      <x:c r="F75" s="12" t="str">
        <x:v>kg/(H·kA²)</x:v>
      </x:c>
      <x:c r="G75" s="12" t="str">
        <x:v>技術係数</x:v>
      </x:c>
      <x:c r="H75" s="12" t="str">
        <x:v>M_L</x:v>
      </x:c>
      <x:c r="I75" s="12" t="str">
        <x:v>簡易係数</x:v>
      </x:c>
    </x:row>
    <x:row r="76">
      <x:c r="A76" s="12" t="n">
        <x:v>68</x:v>
      </x:c>
      <x:c r="B76" s="12" t="str">
        <x:v>EMI</x:v>
      </x:c>
      <x:c r="C76" s="12" t="str">
        <x:v>ノイズ電流係数</x:v>
      </x:c>
      <x:c r="D76" s="12" t="str">
        <x:v>r_noise</x:v>
      </x:c>
      <x:c r="E76" s="185" t="n">
        <x:v>0.08</x:v>
      </x:c>
      <x:c r="F76" s="12" t="str">
        <x:v>-</x:v>
      </x:c>
      <x:c r="G76" s="12" t="str">
        <x:v>技術係数</x:v>
      </x:c>
      <x:c r="H76" s="12" t="str">
        <x:v>I_noise</x:v>
      </x:c>
      <x:c r="I76" s="12"/>
    </x:row>
    <x:row r="77">
      <x:c r="A77" s="12" t="n">
        <x:v>69</x:v>
      </x:c>
      <x:c r="B77" s="12" t="str">
        <x:v>EMI</x:v>
      </x:c>
      <x:c r="C77" s="12" t="str">
        <x:v>許容電圧リップル率</x:v>
      </x:c>
      <x:c r="D77" s="12" t="str">
        <x:v>r_Vemi</x:v>
      </x:c>
      <x:c r="E77" s="185" t="n">
        <x:v>0.02</x:v>
      </x:c>
      <x:c r="F77" s="12" t="str">
        <x:v>-</x:v>
      </x:c>
      <x:c r="G77" s="12" t="str">
        <x:v>設計変数</x:v>
      </x:c>
      <x:c r="H77" s="12" t="str">
        <x:v>V_ripple</x:v>
      </x:c>
      <x:c r="I77" s="12"/>
    </x:row>
    <x:row r="78">
      <x:c r="A78" s="12" t="n">
        <x:v>70</x:v>
      </x:c>
      <x:c r="B78" s="12" t="str">
        <x:v>EMI</x:v>
      </x:c>
      <x:c r="C78" s="12" t="str">
        <x:v>コンデンサ重量係数</x:v>
      </x:c>
      <x:c r="D78" s="12" t="str">
        <x:v>k_mC</x:v>
      </x:c>
      <x:c r="E78" s="185" t="n">
        <x:v>0.18</x:v>
      </x:c>
      <x:c r="F78" s="12" t="str">
        <x:v>kg/(F·kV²)</x:v>
      </x:c>
      <x:c r="G78" s="12" t="str">
        <x:v>技術係数</x:v>
      </x:c>
      <x:c r="H78" s="12" t="str">
        <x:v>M_C</x:v>
      </x:c>
      <x:c r="I78" s="12" t="str">
        <x:v>簡易係数</x:v>
      </x:c>
    </x:row>
    <x:row r="79">
      <x:c r="A79" s="12" t="n">
        <x:v>71</x:v>
      </x:c>
      <x:c r="B79" s="12" t="str">
        <x:v>固定重量</x:v>
      </x:c>
      <x:c r="C79" s="12" t="str">
        <x:v>制御・ゲート回路重量</x:v>
      </x:c>
      <x:c r="D79" s="12" t="str">
        <x:v>m_ctrl</x:v>
      </x:c>
      <x:c r="E79" s="185" t="n">
        <x:v>0.45</x:v>
      </x:c>
      <x:c r="F79" s="12" t="str">
        <x:v>kg</x:v>
      </x:c>
      <x:c r="G79" s="12" t="str">
        <x:v>参考値</x:v>
      </x:c>
      <x:c r="H79" s="12" t="str">
        <x:v>M_inv</x:v>
      </x:c>
      <x:c r="I79" s="12"/>
    </x:row>
    <x:row r="80">
      <x:c r="A80" s="12" t="n">
        <x:v>72</x:v>
      </x:c>
      <x:c r="B80" s="12" t="str">
        <x:v>固定重量</x:v>
      </x:c>
      <x:c r="C80" s="12" t="str">
        <x:v>センサ重量</x:v>
      </x:c>
      <x:c r="D80" s="12" t="str">
        <x:v>m_sensor</x:v>
      </x:c>
      <x:c r="E80" s="185" t="n">
        <x:v>0.28</x:v>
      </x:c>
      <x:c r="F80" s="12" t="str">
        <x:v>kg</x:v>
      </x:c>
      <x:c r="G80" s="12" t="str">
        <x:v>参考値</x:v>
      </x:c>
      <x:c r="H80" s="12" t="str">
        <x:v>M_inv</x:v>
      </x:c>
      <x:c r="I80" s="12"/>
    </x:row>
    <x:row r="81">
      <x:c r="A81" s="12" t="n">
        <x:v>73</x:v>
      </x:c>
      <x:c r="B81" s="12" t="str">
        <x:v>固定重量</x:v>
      </x:c>
      <x:c r="C81" s="12" t="str">
        <x:v>端子・コネクタ重量</x:v>
      </x:c>
      <x:c r="D81" s="12" t="str">
        <x:v>m_conn</x:v>
      </x:c>
      <x:c r="E81" s="185" t="n">
        <x:v>0.42</x:v>
      </x:c>
      <x:c r="F81" s="12" t="str">
        <x:v>kg</x:v>
      </x:c>
      <x:c r="G81" s="12" t="str">
        <x:v>参考値</x:v>
      </x:c>
      <x:c r="H81" s="12" t="str">
        <x:v>M_inv</x:v>
      </x:c>
      <x:c r="I81" s="12"/>
    </x:row>
    <x:row r="82">
      <x:c r="A82" s="12" t="n">
        <x:v>74</x:v>
      </x:c>
      <x:c r="B82" s="12" t="str">
        <x:v>固定重量</x:v>
      </x:c>
      <x:c r="C82" s="12" t="str">
        <x:v>その他固定重量</x:v>
      </x:c>
      <x:c r="D82" s="12" t="str">
        <x:v>m_other</x:v>
      </x:c>
      <x:c r="E82" s="185" t="n">
        <x:v>0.5</x:v>
      </x:c>
      <x:c r="F82" s="12" t="str">
        <x:v>kg</x:v>
      </x:c>
      <x:c r="G82" s="12" t="str">
        <x:v>参考値</x:v>
      </x:c>
      <x:c r="H82" s="12" t="str">
        <x:v>M_inv</x:v>
      </x:c>
      <x:c r="I82" s="12"/>
    </x:row>
    <x:row r="83">
      <x:c r="A83" s="12" t="n">
        <x:v>75</x:v>
      </x:c>
      <x:c r="B83" s="12" t="str">
        <x:v>半導体</x:v>
      </x:c>
      <x:c r="C83" s="12" t="str">
        <x:v>並列1系統あたり追加重量</x:v>
      </x:c>
      <x:c r="D83" s="12" t="str">
        <x:v>m_parallel_unit</x:v>
      </x:c>
      <x:c r="E83" s="185" t="n">
        <x:v>0.035</x:v>
      </x:c>
      <x:c r="F83" s="12" t="str">
        <x:v>kg/系統</x:v>
      </x:c>
      <x:c r="G83" s="12" t="str">
        <x:v>技術係数</x:v>
      </x:c>
      <x:c r="H83" s="12" t="str">
        <x:v>M_parallel</x:v>
      </x:c>
      <x:c r="I83" s="12" t="str">
        <x:v>ゲート/端子/チップ等の等価重量</x:v>
      </x:c>
    </x:row>
    <x:row r="84">
      <x:c r="A84" s="12" t="n">
        <x:v>76</x:v>
      </x:c>
      <x:c r="B84" s="12" t="str">
        <x:v>ソフトスイッチング</x:v>
      </x:c>
      <x:c r="C84" s="12" t="str">
        <x:v>有効時SW損失残存率</x:v>
      </x:c>
      <x:c r="D84" s="12" t="str">
        <x:v>k_ss_residual</x:v>
      </x:c>
      <x:c r="E84" s="185" t="n">
        <x:v>0.25</x:v>
      </x:c>
      <x:c r="F84" s="12" t="str">
        <x:v>-</x:v>
      </x:c>
      <x:c r="G84" s="12" t="str">
        <x:v>技術係数</x:v>
      </x:c>
      <x:c r="H84" s="12" t="str">
        <x:v>k_ss_eff</x:v>
      </x:c>
      <x:c r="I84" s="12" t="str">
        <x:v>有効時25%残存の簡易例</x:v>
      </x:c>
    </x:row>
    <x:row r="85">
      <x:c r="A85" s="12" t="n">
        <x:v>77</x:v>
      </x:c>
      <x:c r="B85" s="12" t="str">
        <x:v>ソフトスイッチング</x:v>
      </x:c>
      <x:c r="C85" s="12" t="str">
        <x:v>補助スイッチ数</x:v>
      </x:c>
      <x:c r="D85" s="12" t="str">
        <x:v>N_aux_ss</x:v>
      </x:c>
      <x:c r="E85" s="185" t="n">
        <x:v>2</x:v>
      </x:c>
      <x:c r="F85" s="12" t="str">
        <x:v>個</x:v>
      </x:c>
      <x:c r="G85" s="12" t="str">
        <x:v>技術仕様</x:v>
      </x:c>
      <x:c r="H85" s="12" t="str">
        <x:v>M_aux_ss</x:v>
      </x:c>
      <x:c r="I85" s="12"/>
    </x:row>
    <x:row r="86">
      <x:c r="A86" s="12" t="n">
        <x:v>78</x:v>
      </x:c>
      <x:c r="B86" s="12" t="str">
        <x:v>ソフトスイッチング</x:v>
      </x:c>
      <x:c r="C86" s="12" t="str">
        <x:v>補助スイッチ単体重量</x:v>
      </x:c>
      <x:c r="D86" s="12" t="str">
        <x:v>m_aux_ss</x:v>
      </x:c>
      <x:c r="E86" s="185" t="n">
        <x:v>0.045</x:v>
      </x:c>
      <x:c r="F86" s="12" t="str">
        <x:v>kg/個</x:v>
      </x:c>
      <x:c r="G86" s="12" t="str">
        <x:v>技術仕様</x:v>
      </x:c>
      <x:c r="H86" s="12" t="str">
        <x:v>M_aux_ss</x:v>
      </x:c>
      <x:c r="I86" s="12"/>
    </x:row>
    <x:row r="87">
      <x:c r="A87" s="12" t="n">
        <x:v>79</x:v>
      </x:c>
      <x:c r="B87" s="12" t="str">
        <x:v>ソフトスイッチング</x:v>
      </x:c>
      <x:c r="C87" s="12" t="str">
        <x:v>共振L設計係数</x:v>
      </x:c>
      <x:c r="D87" s="12" t="str">
        <x:v>k_Lr</x:v>
      </x:c>
      <x:c r="E87" s="185" t="n">
        <x:v>0.18</x:v>
      </x:c>
      <x:c r="F87" s="12" t="str">
        <x:v>-</x:v>
      </x:c>
      <x:c r="G87" s="12" t="str">
        <x:v>技術係数</x:v>
      </x:c>
      <x:c r="H87" s="12" t="str">
        <x:v>L_r</x:v>
      </x:c>
      <x:c r="I87" s="12"/>
    </x:row>
    <x:row r="88">
      <x:c r="A88" s="12" t="n">
        <x:v>80</x:v>
      </x:c>
      <x:c r="B88" s="12" t="str">
        <x:v>ソフトスイッチング</x:v>
      </x:c>
      <x:c r="C88" s="12" t="str">
        <x:v>共振C設計係数</x:v>
      </x:c>
      <x:c r="D88" s="12" t="str">
        <x:v>k_Cr</x:v>
      </x:c>
      <x:c r="E88" s="185" t="n">
        <x:v>0.18</x:v>
      </x:c>
      <x:c r="F88" s="12" t="str">
        <x:v>-</x:v>
      </x:c>
      <x:c r="G88" s="12" t="str">
        <x:v>技術係数</x:v>
      </x:c>
      <x:c r="H88" s="12" t="str">
        <x:v>C_r</x:v>
      </x:c>
      <x:c r="I88" s="12"/>
    </x:row>
    <x:row r="89">
      <x:c r="A89" s="12" t="n">
        <x:v>81</x:v>
      </x:c>
      <x:c r="B89" s="12" t="str">
        <x:v>ソフトスイッチング</x:v>
      </x:c>
      <x:c r="C89" s="12" t="str">
        <x:v>共振L重量係数</x:v>
      </x:c>
      <x:c r="D89" s="12" t="str">
        <x:v>k_mLr</x:v>
      </x:c>
      <x:c r="E89" s="185" t="n">
        <x:v>18</x:v>
      </x:c>
      <x:c r="F89" s="12" t="str">
        <x:v>kg/(H·kA²)</x:v>
      </x:c>
      <x:c r="G89" s="12" t="str">
        <x:v>技術係数</x:v>
      </x:c>
      <x:c r="H89" s="12" t="str">
        <x:v>m_Lr</x:v>
      </x:c>
      <x:c r="I89" s="12" t="str">
        <x:v>簡易係数</x:v>
      </x:c>
    </x:row>
    <x:row r="90">
      <x:c r="A90" s="12" t="n">
        <x:v>82</x:v>
      </x:c>
      <x:c r="B90" s="12" t="str">
        <x:v>ソフトスイッチング</x:v>
      </x:c>
      <x:c r="C90" s="12" t="str">
        <x:v>共振C重量係数</x:v>
      </x:c>
      <x:c r="D90" s="12" t="str">
        <x:v>k_mCr</x:v>
      </x:c>
      <x:c r="E90" s="185" t="n">
        <x:v>0.22</x:v>
      </x:c>
      <x:c r="F90" s="12" t="str">
        <x:v>kg/(F·kV²)</x:v>
      </x:c>
      <x:c r="G90" s="12" t="str">
        <x:v>技術係数</x:v>
      </x:c>
      <x:c r="H90" s="12" t="str">
        <x:v>m_Cr</x:v>
      </x:c>
      <x:c r="I90" s="12" t="str">
        <x:v>簡易係数</x:v>
      </x:c>
    </x:row>
    <x:row r="91">
      <x:c r="A91" s="12" t="n">
        <x:v>83</x:v>
      </x:c>
      <x:c r="B91" s="12" t="str">
        <x:v>ソフトスイッチング</x:v>
      </x:c>
      <x:c r="C91" s="12" t="str">
        <x:v>追加制御回路重量</x:v>
      </x:c>
      <x:c r="D91" s="12" t="str">
        <x:v>m_ctrl_ss</x:v>
      </x:c>
      <x:c r="E91" s="185" t="n">
        <x:v>0.08</x:v>
      </x:c>
      <x:c r="F91" s="12" t="str">
        <x:v>kg</x:v>
      </x:c>
      <x:c r="G91" s="12" t="str">
        <x:v>技術仕様</x:v>
      </x:c>
      <x:c r="H91" s="12" t="str">
        <x:v>M_ss</x:v>
      </x:c>
      <x:c r="I91" s="12"/>
    </x:row>
    <x:row r="92">
      <x:c r="A92" s="12" t="n">
        <x:v>84</x:v>
      </x:c>
      <x:c r="B92" s="12" t="str">
        <x:v>DBC</x:v>
      </x:c>
      <x:c r="C92" s="12" t="str">
        <x:v>DBC長さ</x:v>
      </x:c>
      <x:c r="D92" s="12" t="str">
        <x:v>L_dbc</x:v>
      </x:c>
      <x:c r="E92" s="185" t="n">
        <x:v>0.07</x:v>
      </x:c>
      <x:c r="F92" s="12" t="str">
        <x:v>m</x:v>
      </x:c>
      <x:c r="G92" s="12" t="str">
        <x:v>設計変数</x:v>
      </x:c>
      <x:c r="H92" s="12" t="str">
        <x:v>A_dbc</x:v>
      </x:c>
      <x:c r="I92" s="12"/>
    </x:row>
    <x:row r="93">
      <x:c r="A93" s="12" t="n">
        <x:v>85</x:v>
      </x:c>
      <x:c r="B93" s="12" t="str">
        <x:v>DBC</x:v>
      </x:c>
      <x:c r="C93" s="12" t="str">
        <x:v>DBC幅</x:v>
      </x:c>
      <x:c r="D93" s="12" t="str">
        <x:v>W_dbc</x:v>
      </x:c>
      <x:c r="E93" s="185" t="n">
        <x:v>0.06</x:v>
      </x:c>
      <x:c r="F93" s="12" t="str">
        <x:v>m</x:v>
      </x:c>
      <x:c r="G93" s="12" t="str">
        <x:v>設計変数</x:v>
      </x:c>
      <x:c r="H93" s="12" t="str">
        <x:v>A_dbc</x:v>
      </x:c>
      <x:c r="I93" s="12"/>
    </x:row>
    <x:row r="94">
      <x:c r="A94" s="12" t="n">
        <x:v>86</x:v>
      </x:c>
      <x:c r="B94" s="12" t="str">
        <x:v>DBC</x:v>
      </x:c>
      <x:c r="C94" s="12" t="str">
        <x:v>上銅厚</x:v>
      </x:c>
      <x:c r="D94" s="12" t="str">
        <x:v>t_cu_top</x:v>
      </x:c>
      <x:c r="E94" s="185" t="n">
        <x:v>0.3</x:v>
      </x:c>
      <x:c r="F94" s="12" t="str">
        <x:v>mm</x:v>
      </x:c>
      <x:c r="G94" s="12" t="str">
        <x:v>設計変数</x:v>
      </x:c>
      <x:c r="H94" s="12" t="str">
        <x:v>t_dbc/rho_dbc</x:v>
      </x:c>
      <x:c r="I94" s="12"/>
    </x:row>
    <x:row r="95">
      <x:c r="A95" s="12" t="n">
        <x:v>87</x:v>
      </x:c>
      <x:c r="B95" s="12" t="str">
        <x:v>DBC</x:v>
      </x:c>
      <x:c r="C95" s="12" t="str">
        <x:v>セラミック厚</x:v>
      </x:c>
      <x:c r="D95" s="12" t="str">
        <x:v>t_cer</x:v>
      </x:c>
      <x:c r="E95" s="185" t="n">
        <x:v>0.32</x:v>
      </x:c>
      <x:c r="F95" s="12" t="str">
        <x:v>mm</x:v>
      </x:c>
      <x:c r="G95" s="12" t="str">
        <x:v>設計変数</x:v>
      </x:c>
      <x:c r="H95" s="12" t="str">
        <x:v>t_dbc/rho_dbc</x:v>
      </x:c>
      <x:c r="I95" s="12"/>
    </x:row>
    <x:row r="96">
      <x:c r="A96" s="12" t="n">
        <x:v>88</x:v>
      </x:c>
      <x:c r="B96" s="12" t="str">
        <x:v>DBC</x:v>
      </x:c>
      <x:c r="C96" s="12" t="str">
        <x:v>下銅厚</x:v>
      </x:c>
      <x:c r="D96" s="12" t="str">
        <x:v>t_cu_bot</x:v>
      </x:c>
      <x:c r="E96" s="185" t="n">
        <x:v>0.3</x:v>
      </x:c>
      <x:c r="F96" s="12" t="str">
        <x:v>mm</x:v>
      </x:c>
      <x:c r="G96" s="12" t="str">
        <x:v>設計変数</x:v>
      </x:c>
      <x:c r="H96" s="12" t="str">
        <x:v>t_dbc/rho_dbc</x:v>
      </x:c>
      <x:c r="I96" s="12"/>
    </x:row>
    <x:row r="97">
      <x:c r="A97" s="12" t="n">
        <x:v>89</x:v>
      </x:c>
      <x:c r="B97" s="12" t="str">
        <x:v>DBC</x:v>
      </x:c>
      <x:c r="C97" s="12" t="str">
        <x:v>銅密度</x:v>
      </x:c>
      <x:c r="D97" s="12" t="str">
        <x:v>rho_cu</x:v>
      </x:c>
      <x:c r="E97" s="185" t="n">
        <x:v>8960</x:v>
      </x:c>
      <x:c r="F97" s="12" t="str">
        <x:v>kg/m³</x:v>
      </x:c>
      <x:c r="G97" s="12" t="str">
        <x:v>材料</x:v>
      </x:c>
      <x:c r="H97" s="12" t="str">
        <x:v>rho_dbc</x:v>
      </x:c>
      <x:c r="I97" s="12"/>
    </x:row>
    <x:row r="98">
      <x:c r="A98" s="12" t="n">
        <x:v>90</x:v>
      </x:c>
      <x:c r="B98" s="12" t="str">
        <x:v>DBC</x:v>
      </x:c>
      <x:c r="C98" s="12" t="str">
        <x:v>セラミック密度</x:v>
      </x:c>
      <x:c r="D98" s="12" t="str">
        <x:v>rho_cer</x:v>
      </x:c>
      <x:c r="E98" s="185" t="n">
        <x:v>3260</x:v>
      </x:c>
      <x:c r="F98" s="12" t="str">
        <x:v>kg/m³</x:v>
      </x:c>
      <x:c r="G98" s="12" t="str">
        <x:v>材料</x:v>
      </x:c>
      <x:c r="H98" s="12" t="str">
        <x:v>rho_dbc</x:v>
      </x:c>
      <x:c r="I98" s="12" t="str">
        <x:v>AlN/Al2O3等価例</x:v>
      </x:c>
    </x:row>
    <x:row r="99">
      <x:c r="A99" s="12" t="n">
        <x:v>91</x:v>
      </x:c>
      <x:c r="B99" s="12" t="str">
        <x:v>ベース</x:v>
      </x:c>
      <x:c r="C99" s="12" t="str">
        <x:v>ベース長さ</x:v>
      </x:c>
      <x:c r="D99" s="12" t="str">
        <x:v>L_base</x:v>
      </x:c>
      <x:c r="E99" s="185" t="n">
        <x:v>0.08</x:v>
      </x:c>
      <x:c r="F99" s="12" t="str">
        <x:v>m</x:v>
      </x:c>
      <x:c r="G99" s="12" t="str">
        <x:v>設計変数</x:v>
      </x:c>
      <x:c r="H99" s="12" t="str">
        <x:v>A_base/t_base</x:v>
      </x:c>
      <x:c r="I99" s="12"/>
    </x:row>
    <x:row r="100">
      <x:c r="A100" s="12" t="n">
        <x:v>92</x:v>
      </x:c>
      <x:c r="B100" s="12" t="str">
        <x:v>ベース</x:v>
      </x:c>
      <x:c r="C100" s="12" t="str">
        <x:v>ベース幅</x:v>
      </x:c>
      <x:c r="D100" s="12" t="str">
        <x:v>W_base</x:v>
      </x:c>
      <x:c r="E100" s="185" t="n">
        <x:v>0.065</x:v>
      </x:c>
      <x:c r="F100" s="12" t="str">
        <x:v>m</x:v>
      </x:c>
      <x:c r="G100" s="12" t="str">
        <x:v>設計変数</x:v>
      </x:c>
      <x:c r="H100" s="12" t="str">
        <x:v>A_base</x:v>
      </x:c>
      <x:c r="I100" s="12"/>
    </x:row>
    <x:row r="101">
      <x:c r="A101" s="12" t="n">
        <x:v>93</x:v>
      </x:c>
      <x:c r="B101" s="12" t="str">
        <x:v>ベース</x:v>
      </x:c>
      <x:c r="C101" s="12" t="str">
        <x:v>機械荷重係数</x:v>
      </x:c>
      <x:c r="D101" s="12" t="str">
        <x:v>p_base</x:v>
      </x:c>
      <x:c r="E101" s="185" t="n">
        <x:v>1</x:v>
      </x:c>
      <x:c r="F101" s="12" t="str">
        <x:v>-</x:v>
      </x:c>
      <x:c r="G101" s="12" t="str">
        <x:v>技術係数</x:v>
      </x:c>
      <x:c r="H101" s="12" t="str">
        <x:v>t_base_min</x:v>
      </x:c>
      <x:c r="I101" s="12" t="str">
        <x:v>簡易無次元荷重</x:v>
      </x:c>
    </x:row>
    <x:row r="102">
      <x:c r="A102" s="12" t="n">
        <x:v>94</x:v>
      </x:c>
      <x:c r="B102" s="12" t="str">
        <x:v>ベース</x:v>
      </x:c>
      <x:c r="C102" s="12" t="str">
        <x:v>許容応力係数</x:v>
      </x:c>
      <x:c r="D102" s="12" t="str">
        <x:v>sigma_base</x:v>
      </x:c>
      <x:c r="E102" s="185" t="n">
        <x:v>1</x:v>
      </x:c>
      <x:c r="F102" s="12" t="str">
        <x:v>-</x:v>
      </x:c>
      <x:c r="G102" s="12" t="str">
        <x:v>材料</x:v>
      </x:c>
      <x:c r="H102" s="12" t="str">
        <x:v>t_base_min</x:v>
      </x:c>
      <x:c r="I102" s="12" t="str">
        <x:v>簡易無次元強度</x:v>
      </x:c>
    </x:row>
    <x:row r="103">
      <x:c r="A103" s="12" t="n">
        <x:v>95</x:v>
      </x:c>
      <x:c r="B103" s="12" t="str">
        <x:v>ベース</x:v>
      </x:c>
      <x:c r="C103" s="12" t="str">
        <x:v>厚さ安全係数</x:v>
      </x:c>
      <x:c r="D103" s="12" t="str">
        <x:v>K_base_sf</x:v>
      </x:c>
      <x:c r="E103" s="185" t="n">
        <x:v>1.2</x:v>
      </x:c>
      <x:c r="F103" s="12" t="str">
        <x:v>-</x:v>
      </x:c>
      <x:c r="G103" s="12" t="str">
        <x:v>技術係数</x:v>
      </x:c>
      <x:c r="H103" s="12" t="str">
        <x:v>t_base</x:v>
      </x:c>
      <x:c r="I103" s="12"/>
    </x:row>
    <x:row r="104">
      <x:c r="A104" s="12" t="n">
        <x:v>96</x:v>
      </x:c>
      <x:c r="B104" s="12" t="str">
        <x:v>コンデンサ物性</x:v>
      </x:c>
      <x:c r="C104" s="12" t="str">
        <x:v>真空誘電率</x:v>
      </x:c>
      <x:c r="D104" s="12" t="str">
        <x:v>eps0</x:v>
      </x:c>
      <x:c r="E104" s="185" t="n">
        <x:v>8.854e-12</x:v>
      </x:c>
      <x:c r="F104" s="12" t="str">
        <x:v>F/m</x:v>
      </x:c>
      <x:c r="G104" s="12" t="str">
        <x:v>固定定数</x:v>
      </x:c>
      <x:c r="H104" s="12" t="str">
        <x:v>e_cap_phys</x:v>
      </x:c>
      <x:c r="I104" s="12" t="str">
        <x:v>物理定数</x:v>
      </x:c>
    </x:row>
    <x:row r="105">
      <x:c r="A105" s="12" t="n">
        <x:v>97</x:v>
      </x:c>
      <x:c r="B105" s="12" t="str">
        <x:v>コンデンサ物性</x:v>
      </x:c>
      <x:c r="C105" s="12" t="str">
        <x:v>比誘電率</x:v>
      </x:c>
      <x:c r="D105" s="12" t="str">
        <x:v>eps_r</x:v>
      </x:c>
      <x:c r="E105" s="185" t="n">
        <x:v>2.2</x:v>
      </x:c>
      <x:c r="F105" s="12" t="str">
        <x:v>-</x:v>
      </x:c>
      <x:c r="G105" s="12" t="str">
        <x:v>材料</x:v>
      </x:c>
      <x:c r="H105" s="12" t="str">
        <x:v>e_cap_phys</x:v>
      </x:c>
      <x:c r="I105" s="12"/>
    </x:row>
    <x:row r="106">
      <x:c r="A106" s="12" t="n">
        <x:v>98</x:v>
      </x:c>
      <x:c r="B106" s="12" t="str">
        <x:v>コンデンサ物性</x:v>
      </x:c>
      <x:c r="C106" s="12" t="str">
        <x:v>誘電体破壊電界</x:v>
      </x:c>
      <x:c r="D106" s="12" t="str">
        <x:v>E_break_cap</x:v>
      </x:c>
      <x:c r="E106" s="185" t="n">
        <x:v>550000000</x:v>
      </x:c>
      <x:c r="F106" s="12" t="str">
        <x:v>V/m</x:v>
      </x:c>
      <x:c r="G106" s="12" t="str">
        <x:v>材料</x:v>
      </x:c>
      <x:c r="H106" s="12" t="str">
        <x:v>E_work_cap</x:v>
      </x:c>
      <x:c r="I106" s="12" t="str">
        <x:v>説明用</x:v>
      </x:c>
    </x:row>
    <x:row r="107">
      <x:c r="A107" s="12" t="n">
        <x:v>99</x:v>
      </x:c>
      <x:c r="B107" s="12" t="str">
        <x:v>コンデンサ物性</x:v>
      </x:c>
      <x:c r="C107" s="12" t="str">
        <x:v>電界利用率</x:v>
      </x:c>
      <x:c r="D107" s="12" t="str">
        <x:v>k_Ecap</x:v>
      </x:c>
      <x:c r="E107" s="185" t="n">
        <x:v>0.45</x:v>
      </x:c>
      <x:c r="F107" s="12" t="str">
        <x:v>-</x:v>
      </x:c>
      <x:c r="G107" s="12" t="str">
        <x:v>技術係数</x:v>
      </x:c>
      <x:c r="H107" s="12" t="str">
        <x:v>E_work_cap</x:v>
      </x:c>
      <x:c r="I107" s="12"/>
    </x:row>
    <x:row r="108">
      <x:c r="A108" s="12" t="n">
        <x:v>100</x:v>
      </x:c>
      <x:c r="B108" s="12" t="str">
        <x:v>コンデンサ物性</x:v>
      </x:c>
      <x:c r="C108" s="12" t="str">
        <x:v>誘電体密度</x:v>
      </x:c>
      <x:c r="D108" s="12" t="str">
        <x:v>rho_die</x:v>
      </x:c>
      <x:c r="E108" s="185" t="n">
        <x:v>1400</x:v>
      </x:c>
      <x:c r="F108" s="12" t="str">
        <x:v>kg/m³</x:v>
      </x:c>
      <x:c r="G108" s="12" t="str">
        <x:v>材料</x:v>
      </x:c>
      <x:c r="H108" s="12" t="str">
        <x:v>e_cap_phys</x:v>
      </x:c>
      <x:c r="I108" s="12"/>
    </x:row>
    <x:row r="109">
      <x:c r="A109" s="12" t="n">
        <x:v>101</x:v>
      </x:c>
      <x:c r="B109" s="12" t="str">
        <x:v>コンデンサ物性</x:v>
      </x:c>
      <x:c r="C109" s="12" t="str">
        <x:v>体積利用率</x:v>
      </x:c>
      <x:c r="D109" s="12" t="str">
        <x:v>k_vol_cap</x:v>
      </x:c>
      <x:c r="E109" s="185" t="n">
        <x:v>0.55</x:v>
      </x:c>
      <x:c r="F109" s="12" t="str">
        <x:v>-</x:v>
      </x:c>
      <x:c r="G109" s="12" t="str">
        <x:v>技術係数</x:v>
      </x:c>
      <x:c r="H109" s="12" t="str">
        <x:v>e_cap_phys</x:v>
      </x:c>
      <x:c r="I109" s="12"/>
    </x:row>
    <x:row r="110">
      <x:c r="A110" s="12" t="n">
        <x:v>102</x:v>
      </x:c>
      <x:c r="B110" s="12" t="str">
        <x:v>筐体力学</x:v>
      </x:c>
      <x:c r="C110" s="12" t="str">
        <x:v>筐体等価圧力係数</x:v>
      </x:c>
      <x:c r="D110" s="12" t="str">
        <x:v>p_case</x:v>
      </x:c>
      <x:c r="E110" s="185" t="n">
        <x:v>1</x:v>
      </x:c>
      <x:c r="F110" s="12" t="str">
        <x:v>-</x:v>
      </x:c>
      <x:c r="G110" s="12" t="str">
        <x:v>技術係数</x:v>
      </x:c>
      <x:c r="H110" s="12" t="str">
        <x:v>t_case_req</x:v>
      </x:c>
      <x:c r="I110" s="12" t="str">
        <x:v>簡易荷重係数</x:v>
      </x:c>
    </x:row>
    <x:row r="111">
      <x:c r="A111" s="12" t="n">
        <x:v>103</x:v>
      </x:c>
      <x:c r="B111" s="12" t="str">
        <x:v>筐体力学</x:v>
      </x:c>
      <x:c r="C111" s="12" t="str">
        <x:v>材料基準強度</x:v>
      </x:c>
      <x:c r="D111" s="12" t="str">
        <x:v>sigma_y_ref</x:v>
      </x:c>
      <x:c r="E111" s="185" t="n">
        <x:v>1</x:v>
      </x:c>
      <x:c r="F111" s="12" t="str">
        <x:v>-</x:v>
      </x:c>
      <x:c r="G111" s="12" t="str">
        <x:v>材料</x:v>
      </x:c>
      <x:c r="H111" s="12" t="str">
        <x:v>sigma_y_eff</x:v>
      </x:c>
      <x:c r="I111" s="12" t="str">
        <x:v>無次元簡易値</x:v>
      </x:c>
    </x:row>
    <x:row r="112">
      <x:c r="A112" s="12" t="n">
        <x:v>104</x:v>
      </x:c>
      <x:c r="B112" s="12" t="str">
        <x:v>筐体力学</x:v>
      </x:c>
      <x:c r="C112" s="12" t="str">
        <x:v>温度強度低下係数</x:v>
      </x:c>
      <x:c r="D112" s="12" t="str">
        <x:v>k_temp_case</x:v>
      </x:c>
      <x:c r="E112" s="185" t="n">
        <x:v>0.9</x:v>
      </x:c>
      <x:c r="F112" s="12" t="str">
        <x:v>-</x:v>
      </x:c>
      <x:c r="G112" s="12" t="str">
        <x:v>技術係数</x:v>
      </x:c>
      <x:c r="H112" s="12" t="str">
        <x:v>sigma_y_eff</x:v>
      </x:c>
      <x:c r="I112" s="12"/>
    </x:row>
    <x:row r="113">
      <x:c r="A113" s="12" t="n">
        <x:v>105</x:v>
      </x:c>
      <x:c r="B113" s="12" t="str">
        <x:v>筐体力学</x:v>
      </x:c>
      <x:c r="C113" s="12" t="str">
        <x:v>加工強度係数</x:v>
      </x:c>
      <x:c r="D113" s="12" t="str">
        <x:v>k_proc_case</x:v>
      </x:c>
      <x:c r="E113" s="185" t="n">
        <x:v>0.95</x:v>
      </x:c>
      <x:c r="F113" s="12" t="str">
        <x:v>-</x:v>
      </x:c>
      <x:c r="G113" s="12" t="str">
        <x:v>技術係数</x:v>
      </x:c>
      <x:c r="H113" s="12" t="str">
        <x:v>sigma_y_eff</x:v>
      </x:c>
      <x:c r="I113" s="12"/>
    </x:row>
    <x:row r="114">
      <x:c r="A114" s="12" t="n">
        <x:v>106</x:v>
      </x:c>
      <x:c r="B114" s="12" t="str">
        <x:v>筐体力学</x:v>
      </x:c>
      <x:c r="C114" s="12" t="str">
        <x:v>板厚安全係数</x:v>
      </x:c>
      <x:c r="D114" s="12" t="str">
        <x:v>K_tcase_sf</x:v>
      </x:c>
      <x:c r="E114" s="185" t="n">
        <x:v>1.15</x:v>
      </x:c>
      <x:c r="F114" s="12" t="str">
        <x:v>-</x:v>
      </x:c>
      <x:c r="G114" s="12" t="str">
        <x:v>技術係数</x:v>
      </x:c>
      <x:c r="H114" s="12" t="str">
        <x:v>t_case_req</x:v>
      </x:c>
      <x:c r="I114" s="12"/>
    </x:row>
    <x:row r="115">
      <x:c r="A115" s="12" t="n">
        <x:v>107</x:v>
      </x:c>
      <x:c r="B115" s="12" t="str">
        <x:v>バスバー熱</x:v>
      </x:c>
      <x:c r="C115" s="12" t="str">
        <x:v>基準熱伝達係数</x:v>
      </x:c>
      <x:c r="D115" s="12" t="str">
        <x:v>h_bus</x:v>
      </x:c>
      <x:c r="E115" s="185" t="n">
        <x:v>20</x:v>
      </x:c>
      <x:c r="F115" s="12" t="str">
        <x:v>W/(m²K)</x:v>
      </x:c>
      <x:c r="G115" s="12" t="str">
        <x:v>技術仕様</x:v>
      </x:c>
      <x:c r="H115" s="12" t="str">
        <x:v>J_bus_phys</x:v>
      </x:c>
      <x:c r="I115" s="12" t="str">
        <x:v>自然/強制空冷等価</x:v>
      </x:c>
    </x:row>
    <x:row r="116">
      <x:c r="A116" s="12" t="n">
        <x:v>108</x:v>
      </x:c>
      <x:c r="B116" s="12" t="str">
        <x:v>バスバー熱</x:v>
      </x:c>
      <x:c r="C116" s="12" t="str">
        <x:v>銅抵抗率</x:v>
      </x:c>
      <x:c r="D116" s="12" t="str">
        <x:v>rho_e_bus</x:v>
      </x:c>
      <x:c r="E116" s="185" t="n">
        <x:v>1.72e-8</x:v>
      </x:c>
      <x:c r="F116" s="12" t="str">
        <x:v>Ωm</x:v>
      </x:c>
      <x:c r="G116" s="12" t="str">
        <x:v>材料</x:v>
      </x:c>
      <x:c r="H116" s="12" t="str">
        <x:v>J_bus_phys</x:v>
      </x:c>
      <x:c r="I116" s="12"/>
    </x:row>
    <x:row r="117">
      <x:c r="A117" s="12" t="n">
        <x:v>109</x:v>
      </x:c>
      <x:c r="B117" s="12" t="str">
        <x:v>バスバー熱</x:v>
      </x:c>
      <x:c r="C117" s="12" t="str">
        <x:v>表面積/体積係数</x:v>
      </x:c>
      <x:c r="D117" s="12" t="str">
        <x:v>k_sav_bus</x:v>
      </x:c>
      <x:c r="E117" s="185" t="n">
        <x:v>500</x:v>
      </x:c>
      <x:c r="F117" s="12" t="str">
        <x:v>1/m</x:v>
      </x:c>
      <x:c r="G117" s="12" t="str">
        <x:v>技術係数</x:v>
      </x:c>
      <x:c r="H117" s="12" t="str">
        <x:v>J_bus_phys</x:v>
      </x:c>
      <x:c r="I117" s="12" t="str">
        <x:v>断面形状等価</x:v>
      </x:c>
    </x:row>
    <x:row r="118">
      <x:c r="A118" s="12" t="n">
        <x:v>110</x:v>
      </x:c>
      <x:c r="B118" s="12" t="str">
        <x:v>EMI磁性</x:v>
      </x:c>
      <x:c r="C118" s="12" t="str">
        <x:v>コア許容磁束密度</x:v>
      </x:c>
      <x:c r="D118" s="12" t="str">
        <x:v>B_max</x:v>
      </x:c>
      <x:c r="E118" s="185" t="n">
        <x:v>0.25</x:v>
      </x:c>
      <x:c r="F118" s="12" t="str">
        <x:v>T</x:v>
      </x:c>
      <x:c r="G118" s="12" t="str">
        <x:v>材料</x:v>
      </x:c>
      <x:c r="H118" s="12" t="str">
        <x:v>u_core</x:v>
      </x:c>
      <x:c r="I118" s="12"/>
    </x:row>
    <x:row r="119">
      <x:c r="A119" s="12" t="n">
        <x:v>111</x:v>
      </x:c>
      <x:c r="B119" s="12" t="str">
        <x:v>EMI磁性</x:v>
      </x:c>
      <x:c r="C119" s="12" t="str">
        <x:v>コア透磁率係数</x:v>
      </x:c>
      <x:c r="D119" s="12" t="str">
        <x:v>k_mu_core</x:v>
      </x:c>
      <x:c r="E119" s="185" t="n">
        <x:v>1</x:v>
      </x:c>
      <x:c r="F119" s="12" t="str">
        <x:v>-</x:v>
      </x:c>
      <x:c r="G119" s="12" t="str">
        <x:v>材料</x:v>
      </x:c>
      <x:c r="H119" s="12" t="str">
        <x:v>u_core</x:v>
      </x:c>
      <x:c r="I119" s="12" t="str">
        <x:v>簡易係数</x:v>
      </x:c>
    </x:row>
    <x:row r="120">
      <x:c r="A120" s="12" t="n">
        <x:v>112</x:v>
      </x:c>
      <x:c r="B120" s="12" t="str">
        <x:v>EMI磁性</x:v>
      </x:c>
      <x:c r="C120" s="12" t="str">
        <x:v>巻線充填率</x:v>
      </x:c>
      <x:c r="D120" s="12" t="str">
        <x:v>k_fill_L</x:v>
      </x:c>
      <x:c r="E120" s="185" t="n">
        <x:v>0.4</x:v>
      </x:c>
      <x:c r="F120" s="12" t="str">
        <x:v>-</x:v>
      </x:c>
      <x:c r="G120" s="12" t="str">
        <x:v>技術係数</x:v>
      </x:c>
      <x:c r="H120" s="12" t="str">
        <x:v>k_mL_phys</x:v>
      </x:c>
      <x:c r="I120" s="12"/>
    </x:row>
    <x:row r="121">
      <x:c r="A121" s="12" t="n">
        <x:v>113</x:v>
      </x:c>
      <x:c r="B121" s="12" t="str">
        <x:v>EMI磁性</x:v>
      </x:c>
      <x:c r="C121" s="12" t="str">
        <x:v>コア/銅等価密度</x:v>
      </x:c>
      <x:c r="D121" s="12" t="str">
        <x:v>rho_L_eq</x:v>
      </x:c>
      <x:c r="E121" s="185" t="n">
        <x:v>5000</x:v>
      </x:c>
      <x:c r="F121" s="12" t="str">
        <x:v>kg/m³</x:v>
      </x:c>
      <x:c r="G121" s="12" t="str">
        <x:v>材料</x:v>
      </x:c>
      <x:c r="H121" s="12" t="str">
        <x:v>k_mL_phys</x:v>
      </x:c>
      <x:c r="I121" s="12"/>
    </x:row>
    <x:row r="122">
      <x:c r="A122" s="12" t="n">
        <x:v>114</x:v>
      </x:c>
      <x:c r="B122" s="12" t="str">
        <x:v>制御回路</x:v>
      </x:c>
      <x:c r="C122" s="12" t="str">
        <x:v>制御PCB面積</x:v>
      </x:c>
      <x:c r="D122" s="12" t="str">
        <x:v>A_ctrl_pcb</x:v>
      </x:c>
      <x:c r="E122" s="185" t="n">
        <x:v>0.03</x:v>
      </x:c>
      <x:c r="F122" s="12" t="str">
        <x:v>m²</x:v>
      </x:c>
      <x:c r="G122" s="12" t="str">
        <x:v>設計変数</x:v>
      </x:c>
      <x:c r="H122" s="12" t="str">
        <x:v>m_ctrl_pcb</x:v>
      </x:c>
      <x:c r="I122" s="12"/>
    </x:row>
    <x:row r="123">
      <x:c r="A123" s="12" t="n">
        <x:v>115</x:v>
      </x:c>
      <x:c r="B123" s="12" t="str">
        <x:v>制御回路</x:v>
      </x:c>
      <x:c r="C123" s="12" t="str">
        <x:v>制御PCB厚さ</x:v>
      </x:c>
      <x:c r="D123" s="12" t="str">
        <x:v>t_ctrl_pcb</x:v>
      </x:c>
      <x:c r="E123" s="185" t="n">
        <x:v>0.0016</x:v>
      </x:c>
      <x:c r="F123" s="12" t="str">
        <x:v>m</x:v>
      </x:c>
      <x:c r="G123" s="12" t="str">
        <x:v>設計変数</x:v>
      </x:c>
      <x:c r="H123" s="12" t="str">
        <x:v>m_ctrl_pcb</x:v>
      </x:c>
      <x:c r="I123" s="12"/>
    </x:row>
    <x:row r="124">
      <x:c r="A124" s="12" t="n">
        <x:v>116</x:v>
      </x:c>
      <x:c r="B124" s="12" t="str">
        <x:v>制御回路</x:v>
      </x:c>
      <x:c r="C124" s="12" t="str">
        <x:v>PCB等価密度</x:v>
      </x:c>
      <x:c r="D124" s="12" t="str">
        <x:v>rho_ctrl_pcb</x:v>
      </x:c>
      <x:c r="E124" s="185" t="n">
        <x:v>1900</x:v>
      </x:c>
      <x:c r="F124" s="12" t="str">
        <x:v>kg/m³</x:v>
      </x:c>
      <x:c r="G124" s="12" t="str">
        <x:v>材料</x:v>
      </x:c>
      <x:c r="H124" s="12" t="str">
        <x:v>m_ctrl_pcb</x:v>
      </x:c>
      <x:c r="I124" s="12"/>
    </x:row>
    <x:row r="125">
      <x:c r="A125" s="12" t="n">
        <x:v>117</x:v>
      </x:c>
      <x:c r="B125" s="12" t="str">
        <x:v>制御回路</x:v>
      </x:c>
      <x:c r="C125" s="12" t="str">
        <x:v>PCB搭載部品重量</x:v>
      </x:c>
      <x:c r="D125" s="12" t="str">
        <x:v>m_ctrl_comp</x:v>
      </x:c>
      <x:c r="E125" s="185" t="n">
        <x:v>0.1</x:v>
      </x:c>
      <x:c r="F125" s="12" t="str">
        <x:v>kg</x:v>
      </x:c>
      <x:c r="G125" s="12" t="str">
        <x:v>設計変数</x:v>
      </x:c>
      <x:c r="H125" s="12" t="str">
        <x:v>m_ctrl_pcb</x:v>
      </x:c>
      <x:c r="I125" s="12"/>
    </x:row>
    <x:row r="126">
      <x:c r="A126" s="12" t="n">
        <x:v>118</x:v>
      </x:c>
      <x:c r="B126" s="12" t="str">
        <x:v>ゲート回路</x:v>
      </x:c>
      <x:c r="C126" s="12" t="str">
        <x:v>ドライバ単体重量</x:v>
      </x:c>
      <x:c r="D126" s="12" t="str">
        <x:v>m_gate_unit</x:v>
      </x:c>
      <x:c r="E126" s="185" t="n">
        <x:v>0.018</x:v>
      </x:c>
      <x:c r="F126" s="12" t="str">
        <x:v>kg/個</x:v>
      </x:c>
      <x:c r="G126" s="12" t="str">
        <x:v>設計変数</x:v>
      </x:c>
      <x:c r="H126" s="12" t="str">
        <x:v>m_gate</x:v>
      </x:c>
      <x:c r="I126" s="12"/>
    </x:row>
    <x:row r="127">
      <x:c r="A127" s="12" t="n">
        <x:v>119</x:v>
      </x:c>
      <x:c r="B127" s="12" t="str">
        <x:v>制御回路</x:v>
      </x:c>
      <x:c r="C127" s="12" t="str">
        <x:v>補助電源重量</x:v>
      </x:c>
      <x:c r="D127" s="12" t="str">
        <x:v>m_aux_supply</x:v>
      </x:c>
      <x:c r="E127" s="185" t="n">
        <x:v>0.12</x:v>
      </x:c>
      <x:c r="F127" s="12" t="str">
        <x:v>kg</x:v>
      </x:c>
      <x:c r="G127" s="12" t="str">
        <x:v>設計変数</x:v>
      </x:c>
      <x:c r="H127" s="12" t="str">
        <x:v>M_ctrl</x:v>
      </x:c>
      <x:c r="I127" s="12"/>
    </x:row>
    <x:row r="128">
      <x:c r="A128" s="12" t="n">
        <x:v>120</x:v>
      </x:c>
      <x:c r="B128" s="12" t="str">
        <x:v>センサ</x:v>
      </x:c>
      <x:c r="C128" s="12" t="str">
        <x:v>電流センサ数</x:v>
      </x:c>
      <x:c r="D128" s="12" t="str">
        <x:v>N_isens</x:v>
      </x:c>
      <x:c r="E128" s="185" t="n">
        <x:v>3</x:v>
      </x:c>
      <x:c r="F128" s="12" t="str">
        <x:v>個</x:v>
      </x:c>
      <x:c r="G128" s="12" t="str">
        <x:v>設計変数</x:v>
      </x:c>
      <x:c r="H128" s="12" t="str">
        <x:v>m_isens</x:v>
      </x:c>
      <x:c r="I128" s="12"/>
    </x:row>
    <x:row r="129">
      <x:c r="A129" s="12" t="n">
        <x:v>121</x:v>
      </x:c>
      <x:c r="B129" s="12" t="str">
        <x:v>センサ</x:v>
      </x:c>
      <x:c r="C129" s="12" t="str">
        <x:v>電流センサ単体重量</x:v>
      </x:c>
      <x:c r="D129" s="12" t="str">
        <x:v>m_isens_unit</x:v>
      </x:c>
      <x:c r="E129" s="185" t="n">
        <x:v>0.045</x:v>
      </x:c>
      <x:c r="F129" s="12" t="str">
        <x:v>kg/個</x:v>
      </x:c>
      <x:c r="G129" s="12" t="str">
        <x:v>設計変数</x:v>
      </x:c>
      <x:c r="H129" s="12" t="str">
        <x:v>m_isens</x:v>
      </x:c>
      <x:c r="I129" s="12"/>
    </x:row>
    <x:row r="130">
      <x:c r="A130" s="12" t="n">
        <x:v>122</x:v>
      </x:c>
      <x:c r="B130" s="12" t="str">
        <x:v>センサ</x:v>
      </x:c>
      <x:c r="C130" s="12" t="str">
        <x:v>電圧センサ数</x:v>
      </x:c>
      <x:c r="D130" s="12" t="str">
        <x:v>N_vsens</x:v>
      </x:c>
      <x:c r="E130" s="185" t="n">
        <x:v>2</x:v>
      </x:c>
      <x:c r="F130" s="12" t="str">
        <x:v>個</x:v>
      </x:c>
      <x:c r="G130" s="12" t="str">
        <x:v>設計変数</x:v>
      </x:c>
      <x:c r="H130" s="12" t="str">
        <x:v>m_vsens</x:v>
      </x:c>
      <x:c r="I130" s="12"/>
    </x:row>
    <x:row r="131">
      <x:c r="A131" s="12" t="n">
        <x:v>123</x:v>
      </x:c>
      <x:c r="B131" s="12" t="str">
        <x:v>センサ</x:v>
      </x:c>
      <x:c r="C131" s="12" t="str">
        <x:v>電圧センサ単体重量</x:v>
      </x:c>
      <x:c r="D131" s="12" t="str">
        <x:v>m_vsens_unit</x:v>
      </x:c>
      <x:c r="E131" s="185" t="n">
        <x:v>0.025</x:v>
      </x:c>
      <x:c r="F131" s="12" t="str">
        <x:v>kg/個</x:v>
      </x:c>
      <x:c r="G131" s="12" t="str">
        <x:v>設計変数</x:v>
      </x:c>
      <x:c r="H131" s="12" t="str">
        <x:v>m_vsens</x:v>
      </x:c>
      <x:c r="I131" s="12"/>
    </x:row>
    <x:row r="132">
      <x:c r="A132" s="12" t="n">
        <x:v>124</x:v>
      </x:c>
      <x:c r="B132" s="12" t="str">
        <x:v>センサ</x:v>
      </x:c>
      <x:c r="C132" s="12" t="str">
        <x:v>温度センサ数</x:v>
      </x:c>
      <x:c r="D132" s="12" t="str">
        <x:v>N_tsens</x:v>
      </x:c>
      <x:c r="E132" s="185" t="n">
        <x:v>4</x:v>
      </x:c>
      <x:c r="F132" s="12" t="str">
        <x:v>個</x:v>
      </x:c>
      <x:c r="G132" s="12" t="str">
        <x:v>設計変数</x:v>
      </x:c>
      <x:c r="H132" s="12" t="str">
        <x:v>m_tsens</x:v>
      </x:c>
      <x:c r="I132" s="12"/>
    </x:row>
    <x:row r="133">
      <x:c r="A133" s="12" t="n">
        <x:v>125</x:v>
      </x:c>
      <x:c r="B133" s="12" t="str">
        <x:v>センサ</x:v>
      </x:c>
      <x:c r="C133" s="12" t="str">
        <x:v>温度センサ単体重量</x:v>
      </x:c>
      <x:c r="D133" s="12" t="str">
        <x:v>m_tsens_unit</x:v>
      </x:c>
      <x:c r="E133" s="185" t="n">
        <x:v>0.01</x:v>
      </x:c>
      <x:c r="F133" s="12" t="str">
        <x:v>kg/個</x:v>
      </x:c>
      <x:c r="G133" s="12" t="str">
        <x:v>設計変数</x:v>
      </x:c>
      <x:c r="H133" s="12" t="str">
        <x:v>m_tsens</x:v>
      </x:c>
      <x:c r="I133" s="12"/>
    </x:row>
    <x:row r="134">
      <x:c r="A134" s="12" t="n">
        <x:v>126</x:v>
      </x:c>
      <x:c r="B134" s="12" t="str">
        <x:v>センサ</x:v>
      </x:c>
      <x:c r="C134" s="12" t="str">
        <x:v>センサ配線重量</x:v>
      </x:c>
      <x:c r="D134" s="12" t="str">
        <x:v>m_sensor_harness</x:v>
      </x:c>
      <x:c r="E134" s="185" t="n">
        <x:v>0.055</x:v>
      </x:c>
      <x:c r="F134" s="12" t="str">
        <x:v>kg</x:v>
      </x:c>
      <x:c r="G134" s="12" t="str">
        <x:v>設計変数</x:v>
      </x:c>
      <x:c r="H134" s="12" t="str">
        <x:v>M_sensor</x:v>
      </x:c>
      <x:c r="I134" s="12"/>
    </x:row>
    <x:row r="135">
      <x:c r="A135" s="12" t="n">
        <x:v>127</x:v>
      </x:c>
      <x:c r="B135" s="12" t="str">
        <x:v>コネクタ</x:v>
      </x:c>
      <x:c r="C135" s="12" t="str">
        <x:v>DC端子数</x:v>
      </x:c>
      <x:c r="D135" s="12" t="str">
        <x:v>N_conn_dc</x:v>
      </x:c>
      <x:c r="E135" s="185" t="n">
        <x:v>2</x:v>
      </x:c>
      <x:c r="F135" s="12" t="str">
        <x:v>個</x:v>
      </x:c>
      <x:c r="G135" s="12" t="str">
        <x:v>設計変数</x:v>
      </x:c>
      <x:c r="H135" s="12" t="str">
        <x:v>m_conn_dc</x:v>
      </x:c>
      <x:c r="I135" s="12"/>
    </x:row>
    <x:row r="136">
      <x:c r="A136" s="12" t="n">
        <x:v>128</x:v>
      </x:c>
      <x:c r="B136" s="12" t="str">
        <x:v>コネクタ</x:v>
      </x:c>
      <x:c r="C136" s="12" t="str">
        <x:v>DC端子単体重量</x:v>
      </x:c>
      <x:c r="D136" s="12" t="str">
        <x:v>m_conn_dc_unit</x:v>
      </x:c>
      <x:c r="E136" s="185" t="n">
        <x:v>0.055</x:v>
      </x:c>
      <x:c r="F136" s="12" t="str">
        <x:v>kg/個</x:v>
      </x:c>
      <x:c r="G136" s="12" t="str">
        <x:v>設計変数</x:v>
      </x:c>
      <x:c r="H136" s="12" t="str">
        <x:v>m_conn_dc</x:v>
      </x:c>
      <x:c r="I136" s="12"/>
    </x:row>
    <x:row r="137">
      <x:c r="A137" s="12" t="n">
        <x:v>129</x:v>
      </x:c>
      <x:c r="B137" s="12" t="str">
        <x:v>コネクタ</x:v>
      </x:c>
      <x:c r="C137" s="12" t="str">
        <x:v>AC端子数</x:v>
      </x:c>
      <x:c r="D137" s="12" t="str">
        <x:v>N_conn_ac</x:v>
      </x:c>
      <x:c r="E137" s="185" t="n">
        <x:v>3</x:v>
      </x:c>
      <x:c r="F137" s="12" t="str">
        <x:v>個</x:v>
      </x:c>
      <x:c r="G137" s="12" t="str">
        <x:v>設計変数</x:v>
      </x:c>
      <x:c r="H137" s="12" t="str">
        <x:v>m_conn_ac</x:v>
      </x:c>
      <x:c r="I137" s="12"/>
    </x:row>
    <x:row r="138">
      <x:c r="A138" s="12" t="n">
        <x:v>130</x:v>
      </x:c>
      <x:c r="B138" s="12" t="str">
        <x:v>コネクタ</x:v>
      </x:c>
      <x:c r="C138" s="12" t="str">
        <x:v>AC端子単体重量</x:v>
      </x:c>
      <x:c r="D138" s="12" t="str">
        <x:v>m_conn_ac_unit</x:v>
      </x:c>
      <x:c r="E138" s="185" t="n">
        <x:v>0.055</x:v>
      </x:c>
      <x:c r="F138" s="12" t="str">
        <x:v>kg/個</x:v>
      </x:c>
      <x:c r="G138" s="12" t="str">
        <x:v>設計変数</x:v>
      </x:c>
      <x:c r="H138" s="12" t="str">
        <x:v>m_conn_ac</x:v>
      </x:c>
      <x:c r="I138" s="12"/>
    </x:row>
    <x:row r="139">
      <x:c r="A139" s="12" t="n">
        <x:v>131</x:v>
      </x:c>
      <x:c r="B139" s="12" t="str">
        <x:v>コネクタ</x:v>
      </x:c>
      <x:c r="C139" s="12" t="str">
        <x:v>信号コネクタ重量</x:v>
      </x:c>
      <x:c r="D139" s="12" t="str">
        <x:v>m_conn_sig</x:v>
      </x:c>
      <x:c r="E139" s="185" t="n">
        <x:v>0.075</x:v>
      </x:c>
      <x:c r="F139" s="12" t="str">
        <x:v>kg</x:v>
      </x:c>
      <x:c r="G139" s="12" t="str">
        <x:v>設計変数</x:v>
      </x:c>
      <x:c r="H139" s="12" t="str">
        <x:v>M_conn</x:v>
      </x:c>
      <x:c r="I139" s="12"/>
    </x:row>
    <x:row r="140">
      <x:c r="A140" s="12" t="n">
        <x:v>132</x:v>
      </x:c>
      <x:c r="B140" s="12" t="str">
        <x:v>コネクタ</x:v>
      </x:c>
      <x:c r="C140" s="12" t="str">
        <x:v>端子支持部重量</x:v>
      </x:c>
      <x:c r="D140" s="12" t="str">
        <x:v>m_conn_support</x:v>
      </x:c>
      <x:c r="E140" s="185" t="n">
        <x:v>0.07</x:v>
      </x:c>
      <x:c r="F140" s="12" t="str">
        <x:v>kg</x:v>
      </x:c>
      <x:c r="G140" s="12" t="str">
        <x:v>設計変数</x:v>
      </x:c>
      <x:c r="H140" s="12" t="str">
        <x:v>M_conn</x:v>
      </x:c>
      <x:c r="I140" s="12"/>
    </x:row>
    <x:row r="141">
      <x:c r="A141" s="12" t="n">
        <x:v>133</x:v>
      </x:c>
      <x:c r="B141" s="12" t="str">
        <x:v>その他</x:v>
      </x:c>
      <x:c r="C141" s="12" t="str">
        <x:v>締結部品重量</x:v>
      </x:c>
      <x:c r="D141" s="12" t="str">
        <x:v>m_fastener</x:v>
      </x:c>
      <x:c r="E141" s="185" t="n">
        <x:v>0.15</x:v>
      </x:c>
      <x:c r="F141" s="12" t="str">
        <x:v>kg</x:v>
      </x:c>
      <x:c r="G141" s="12" t="str">
        <x:v>設計変数</x:v>
      </x:c>
      <x:c r="H141" s="12" t="str">
        <x:v>M_other</x:v>
      </x:c>
      <x:c r="I141" s="12"/>
    </x:row>
    <x:row r="142">
      <x:c r="A142" s="12" t="n">
        <x:v>134</x:v>
      </x:c>
      <x:c r="B142" s="12" t="str">
        <x:v>その他</x:v>
      </x:c>
      <x:c r="C142" s="12" t="str">
        <x:v>絶縁材重量</x:v>
      </x:c>
      <x:c r="D142" s="12" t="str">
        <x:v>m_insulation</x:v>
      </x:c>
      <x:c r="E142" s="185" t="n">
        <x:v>0.15</x:v>
      </x:c>
      <x:c r="F142" s="12" t="str">
        <x:v>kg</x:v>
      </x:c>
      <x:c r="G142" s="12" t="str">
        <x:v>設計変数</x:v>
      </x:c>
      <x:c r="H142" s="12" t="str">
        <x:v>M_other</x:v>
      </x:c>
      <x:c r="I142" s="12"/>
    </x:row>
    <x:row r="143">
      <x:c r="A143" s="12" t="n">
        <x:v>135</x:v>
      </x:c>
      <x:c r="B143" s="12" t="str">
        <x:v>その他</x:v>
      </x:c>
      <x:c r="C143" s="12" t="str">
        <x:v>内部ハーネス重量</x:v>
      </x:c>
      <x:c r="D143" s="12" t="str">
        <x:v>m_harness</x:v>
      </x:c>
      <x:c r="E143" s="185" t="n">
        <x:v>0.2</x:v>
      </x:c>
      <x:c r="F143" s="12" t="str">
        <x:v>kg</x:v>
      </x:c>
      <x:c r="G143" s="12" t="str">
        <x:v>設計変数</x:v>
      </x:c>
      <x:c r="H143" s="12" t="str">
        <x:v>M_other</x:v>
      </x:c>
      <x:c r="I143" s="12"/>
    </x:row>
    <x:row r="144">
      <x:c r="A144" s="12" t="n">
        <x:v>136</x:v>
      </x:c>
      <x:c r="B144" s="12" t="str">
        <x:v>ゲート駆動</x:v>
      </x:c>
      <x:c r="C144" s="12" t="str">
        <x:v>ゲート抵抗基準</x:v>
      </x:c>
      <x:c r="D144" s="12" t="str">
        <x:v>R_g_ref</x:v>
      </x:c>
      <x:c r="E144" s="185" t="n">
        <x:v>4</x:v>
      </x:c>
      <x:c r="F144" s="12" t="str">
        <x:v>Ω</x:v>
      </x:c>
      <x:c r="G144" s="12" t="str">
        <x:v>技術係数</x:v>
      </x:c>
      <x:c r="H144" s="12" t="str">
        <x:v>t_on,t_off</x:v>
      </x:c>
      <x:c r="I144" s="12"/>
    </x:row>
    <x:row r="145">
      <x:c r="A145" s="12" t="n">
        <x:v>137</x:v>
      </x:c>
      <x:c r="B145" s="12" t="str">
        <x:v>ゲート駆動</x:v>
      </x:c>
      <x:c r="C145" s="12" t="str">
        <x:v>基準ターンオン時間</x:v>
      </x:c>
      <x:c r="D145" s="12" t="str">
        <x:v>t_on_ref</x:v>
      </x:c>
      <x:c r="E145" s="185" t="n">
        <x:v>5e-8</x:v>
      </x:c>
      <x:c r="F145" s="12" t="str">
        <x:v>s</x:v>
      </x:c>
      <x:c r="G145" s="12" t="str">
        <x:v>技術係数</x:v>
      </x:c>
      <x:c r="H145" s="12" t="str">
        <x:v>t_on</x:v>
      </x:c>
      <x:c r="I145" s="12"/>
    </x:row>
    <x:row r="146">
      <x:c r="A146" s="12" t="n">
        <x:v>138</x:v>
      </x:c>
      <x:c r="B146" s="12" t="str">
        <x:v>ゲート駆動</x:v>
      </x:c>
      <x:c r="C146" s="12" t="str">
        <x:v>基準ターンオフ時間</x:v>
      </x:c>
      <x:c r="D146" s="12" t="str">
        <x:v>t_off_ref</x:v>
      </x:c>
      <x:c r="E146" s="185" t="n">
        <x:v>5e-8</x:v>
      </x:c>
      <x:c r="F146" s="12" t="str">
        <x:v>s</x:v>
      </x:c>
      <x:c r="G146" s="12" t="str">
        <x:v>技術係数</x:v>
      </x:c>
      <x:c r="H146" s="12" t="str">
        <x:v>t_off</x:v>
      </x:c>
      <x:c r="I146" s="12"/>
    </x:row>
    <x:row r="147">
      <x:c r="A147" s="12" t="n">
        <x:v>139</x:v>
      </x:c>
      <x:c r="B147" s="12" t="str">
        <x:v>ゲート駆動</x:v>
      </x:c>
      <x:c r="C147" s="12" t="str">
        <x:v>分離Rg有効</x:v>
      </x:c>
      <x:c r="D147" s="12" t="str">
        <x:v>Enable_split_Rg</x:v>
      </x:c>
      <x:c r="E147" s="185" t="n">
        <x:v>0</x:v>
      </x:c>
      <x:c r="F147" s="12" t="str">
        <x:v>0/1</x:v>
      </x:c>
      <x:c r="G147" s="12" t="str">
        <x:v>技術選択</x:v>
      </x:c>
      <x:c r="H147" s="12" t="str">
        <x:v>P_sw,追加部品重量</x:v>
      </x:c>
      <x:c r="I147" s="12" t="str">
        <x:v>0=無効,1=有効</x:v>
      </x:c>
    </x:row>
    <x:row r="148">
      <x:c r="A148" s="12" t="n">
        <x:v>140</x:v>
      </x:c>
      <x:c r="B148" s="12" t="str">
        <x:v>ゲート駆動</x:v>
      </x:c>
      <x:c r="C148" s="12" t="str">
        <x:v>分離Rg時SW時間係数</x:v>
      </x:c>
      <x:c r="D148" s="12" t="str">
        <x:v>k_split_sw</x:v>
      </x:c>
      <x:c r="E148" s="185" t="n">
        <x:v>0.9</x:v>
      </x:c>
      <x:c r="F148" s="12" t="str">
        <x:v>-</x:v>
      </x:c>
      <x:c r="G148" s="12" t="str">
        <x:v>技術係数</x:v>
      </x:c>
      <x:c r="H148" s="12" t="str">
        <x:v>t_sw_eff</x:v>
      </x:c>
      <x:c r="I148" s="12" t="str">
        <x:v>有効時10%改善の簡易値</x:v>
      </x:c>
    </x:row>
    <x:row r="149">
      <x:c r="A149" s="12" t="n">
        <x:v>141</x:v>
      </x:c>
      <x:c r="B149" s="12" t="str">
        <x:v>ゲート駆動</x:v>
      </x:c>
      <x:c r="C149" s="12" t="str">
        <x:v>分離Rg追加重量</x:v>
      </x:c>
      <x:c r="D149" s="12" t="str">
        <x:v>m_split_Rg</x:v>
      </x:c>
      <x:c r="E149" s="185" t="n">
        <x:v>0.003</x:v>
      </x:c>
      <x:c r="F149" s="12" t="str">
        <x:v>kg</x:v>
      </x:c>
      <x:c r="G149" s="12" t="str">
        <x:v>技術係数</x:v>
      </x:c>
      <x:c r="H149" s="12" t="str">
        <x:v>M_gate_option</x:v>
      </x:c>
      <x:c r="I149" s="12"/>
    </x:row>
    <x:row r="150">
      <x:c r="A150" s="12" t="n">
        <x:v>142</x:v>
      </x:c>
      <x:c r="B150" s="12" t="str">
        <x:v>ゲート駆動</x:v>
      </x:c>
      <x:c r="C150" s="12" t="str">
        <x:v>スルーレートEMI基準重量</x:v>
      </x:c>
      <x:c r="D150" s="12" t="str">
        <x:v>m_slew_emi_ref</x:v>
      </x:c>
      <x:c r="E150" s="185" t="n">
        <x:v>0.08</x:v>
      </x:c>
      <x:c r="F150" s="12" t="str">
        <x:v>kg</x:v>
      </x:c>
      <x:c r="G150" s="12" t="str">
        <x:v>技術係数</x:v>
      </x:c>
      <x:c r="H150" s="12" t="str">
        <x:v>M_slew_emi</x:v>
      </x:c>
      <x:c r="I150" s="12"/>
    </x:row>
    <x:row r="151">
      <x:c r="A151" s="12" t="n">
        <x:v>143</x:v>
      </x:c>
      <x:c r="B151" s="12" t="str">
        <x:v>ゲート駆動</x:v>
      </x:c>
      <x:c r="C151" s="12" t="str">
        <x:v>スルーレート重量指数</x:v>
      </x:c>
      <x:c r="D151" s="12" t="str">
        <x:v>a_slew_emi</x:v>
      </x:c>
      <x:c r="E151" s="185" t="n">
        <x:v>0.7</x:v>
      </x:c>
      <x:c r="F151" s="12" t="str">
        <x:v>-</x:v>
      </x:c>
      <x:c r="G151" s="12" t="str">
        <x:v>技術係数</x:v>
      </x:c>
      <x:c r="H151" s="12" t="str">
        <x:v>M_slew_emi</x:v>
      </x:c>
      <x:c r="I151" s="12"/>
    </x:row>
    <x:row r="152">
      <x:c r="A152" s="12" t="n">
        <x:v>144</x:v>
      </x:c>
      <x:c r="B152" s="12" t="str">
        <x:v>デッドタイム</x:v>
      </x:c>
      <x:c r="C152" s="12" t="str">
        <x:v>デッドタイム</x:v>
      </x:c>
      <x:c r="D152" s="12" t="str">
        <x:v>t_dead</x:v>
      </x:c>
      <x:c r="E152" s="185" t="n">
        <x:v>3e-7</x:v>
      </x:c>
      <x:c r="F152" s="12" t="str">
        <x:v>s</x:v>
      </x:c>
      <x:c r="G152" s="12" t="str">
        <x:v>設計変数</x:v>
      </x:c>
      <x:c r="H152" s="12" t="str">
        <x:v>P_dead</x:v>
      </x:c>
      <x:c r="I152" s="12"/>
    </x:row>
    <x:row r="153">
      <x:c r="A153" s="12" t="n">
        <x:v>145</x:v>
      </x:c>
      <x:c r="B153" s="12" t="str">
        <x:v>デッドタイム</x:v>
      </x:c>
      <x:c r="C153" s="12" t="str">
        <x:v>第3象限等価電圧</x:v>
      </x:c>
      <x:c r="D153" s="12" t="str">
        <x:v>V_dead_drop</x:v>
      </x:c>
      <x:c r="E153" s="185" t="n">
        <x:v>2.5</x:v>
      </x:c>
      <x:c r="F153" s="12" t="str">
        <x:v>V</x:v>
      </x:c>
      <x:c r="G153" s="12" t="str">
        <x:v>技術係数</x:v>
      </x:c>
      <x:c r="H153" s="12" t="str">
        <x:v>P_dead</x:v>
      </x:c>
      <x:c r="I153" s="12" t="str">
        <x:v>簡易値</x:v>
      </x:c>
    </x:row>
    <x:row r="154">
      <x:c r="A154" s="12" t="n">
        <x:v>146</x:v>
      </x:c>
      <x:c r="B154" s="12" t="str">
        <x:v>デッドタイム</x:v>
      </x:c>
      <x:c r="C154" s="12" t="str">
        <x:v>適応デッドタイム有効</x:v>
      </x:c>
      <x:c r="D154" s="12" t="str">
        <x:v>Enable_adaptive_DT</x:v>
      </x:c>
      <x:c r="E154" s="185" t="n">
        <x:v>0</x:v>
      </x:c>
      <x:c r="F154" s="12" t="str">
        <x:v>0/1</x:v>
      </x:c>
      <x:c r="G154" s="12" t="str">
        <x:v>技術選択</x:v>
      </x:c>
      <x:c r="H154" s="12" t="str">
        <x:v>P_dead,制御重量</x:v>
      </x:c>
      <x:c r="I154" s="12"/>
    </x:row>
    <x:row r="155">
      <x:c r="A155" s="12" t="n">
        <x:v>147</x:v>
      </x:c>
      <x:c r="B155" s="12" t="str">
        <x:v>デッドタイム</x:v>
      </x:c>
      <x:c r="C155" s="12" t="str">
        <x:v>適応時デッドタイム残存率</x:v>
      </x:c>
      <x:c r="D155" s="12" t="str">
        <x:v>k_adapt_dead</x:v>
      </x:c>
      <x:c r="E155" s="185" t="n">
        <x:v>0.45</x:v>
      </x:c>
      <x:c r="F155" s="12" t="str">
        <x:v>-</x:v>
      </x:c>
      <x:c r="G155" s="12" t="str">
        <x:v>技術係数</x:v>
      </x:c>
      <x:c r="H155" s="12" t="str">
        <x:v>t_dead_eff</x:v>
      </x:c>
      <x:c r="I155" s="12"/>
    </x:row>
    <x:row r="156">
      <x:c r="A156" s="12" t="n">
        <x:v>148</x:v>
      </x:c>
      <x:c r="B156" s="12" t="str">
        <x:v>デッドタイム</x:v>
      </x:c>
      <x:c r="C156" s="12" t="str">
        <x:v>適応DT追加制御重量</x:v>
      </x:c>
      <x:c r="D156" s="12" t="str">
        <x:v>m_adapt_DT</x:v>
      </x:c>
      <x:c r="E156" s="185" t="n">
        <x:v>0.015</x:v>
      </x:c>
      <x:c r="F156" s="12" t="str">
        <x:v>kg</x:v>
      </x:c>
      <x:c r="G156" s="12" t="str">
        <x:v>技術係数</x:v>
      </x:c>
      <x:c r="H156" s="12" t="str">
        <x:v>M_gate_option</x:v>
      </x:c>
      <x:c r="I156" s="12"/>
    </x:row>
    <x:row r="157">
      <x:c r="A157" s="12" t="n">
        <x:v>149</x:v>
      </x:c>
      <x:c r="B157" s="12" t="str">
        <x:v>ゲート電圧</x:v>
      </x:c>
      <x:c r="C157" s="12" t="str">
        <x:v>ターンオンゲート電圧</x:v>
      </x:c>
      <x:c r="D157" s="12" t="str">
        <x:v>Vgs_on</x:v>
      </x:c>
      <x:c r="E157" s="185" t="n">
        <x:v>18</x:v>
      </x:c>
      <x:c r="F157" s="12" t="str">
        <x:v>V</x:v>
      </x:c>
      <x:c r="G157" s="12" t="str">
        <x:v>設計変数</x:v>
      </x:c>
      <x:c r="H157" s="12" t="str">
        <x:v>R_on,P_gate</x:v>
      </x:c>
      <x:c r="I157" s="12"/>
    </x:row>
    <x:row r="158">
      <x:c r="A158" s="12" t="n">
        <x:v>150</x:v>
      </x:c>
      <x:c r="B158" s="12" t="str">
        <x:v>ゲート電圧</x:v>
      </x:c>
      <x:c r="C158" s="12" t="str">
        <x:v>ターンオフゲート電圧</x:v>
      </x:c>
      <x:c r="D158" s="12" t="str">
        <x:v>Vgs_off</x:v>
      </x:c>
      <x:c r="E158" s="185" t="n">
        <x:v>-3</x:v>
      </x:c>
      <x:c r="F158" s="12" t="str">
        <x:v>V</x:v>
      </x:c>
      <x:c r="G158" s="12" t="str">
        <x:v>設計変数</x:v>
      </x:c>
      <x:c r="H158" s="12" t="str">
        <x:v>P_gate,バイアス重量</x:v>
      </x:c>
      <x:c r="I158" s="12"/>
    </x:row>
    <x:row r="159">
      <x:c r="A159" s="12" t="n">
        <x:v>151</x:v>
      </x:c>
      <x:c r="B159" s="12" t="str">
        <x:v>ゲート電圧</x:v>
      </x:c>
      <x:c r="C159" s="12" t="str">
        <x:v>R_on基準ゲート電圧</x:v>
      </x:c>
      <x:c r="D159" s="12" t="str">
        <x:v>Vgs_ref</x:v>
      </x:c>
      <x:c r="E159" s="185" t="n">
        <x:v>18</x:v>
      </x:c>
      <x:c r="F159" s="12" t="str">
        <x:v>V</x:v>
      </x:c>
      <x:c r="G159" s="12" t="str">
        <x:v>技術係数</x:v>
      </x:c>
      <x:c r="H159" s="12" t="str">
        <x:v>k_vgs_ron</x:v>
      </x:c>
      <x:c r="I159" s="12"/>
    </x:row>
    <x:row r="160">
      <x:c r="A160" s="12" t="n">
        <x:v>152</x:v>
      </x:c>
      <x:c r="B160" s="12" t="str">
        <x:v>ゲート電圧</x:v>
      </x:c>
      <x:c r="C160" s="12" t="str">
        <x:v>Vgs-Ron指数</x:v>
      </x:c>
      <x:c r="D160" s="12" t="str">
        <x:v>a_vgs_ron</x:v>
      </x:c>
      <x:c r="E160" s="185" t="n">
        <x:v>0.7</x:v>
      </x:c>
      <x:c r="F160" s="12" t="str">
        <x:v>-</x:v>
      </x:c>
      <x:c r="G160" s="12" t="str">
        <x:v>技術係数</x:v>
      </x:c>
      <x:c r="H160" s="12" t="str">
        <x:v>k_vgs_ron</x:v>
      </x:c>
      <x:c r="I160" s="12"/>
    </x:row>
    <x:row r="161">
      <x:c r="A161" s="12" t="n">
        <x:v>153</x:v>
      </x:c>
      <x:c r="B161" s="12" t="str">
        <x:v>ゲート電圧</x:v>
      </x:c>
      <x:c r="C161" s="12" t="str">
        <x:v>ゲート電荷</x:v>
      </x:c>
      <x:c r="D161" s="12" t="str">
        <x:v>Q_g</x:v>
      </x:c>
      <x:c r="E161" s="185" t="n">
        <x:v>1.2e-7</x:v>
      </x:c>
      <x:c r="F161" s="12" t="str">
        <x:v>C</x:v>
      </x:c>
      <x:c r="G161" s="12" t="str">
        <x:v>技術係数</x:v>
      </x:c>
      <x:c r="H161" s="12" t="str">
        <x:v>P_gate</x:v>
      </x:c>
      <x:c r="I161" s="12" t="str">
        <x:v>簡易値</x:v>
      </x:c>
    </x:row>
    <x:row r="162">
      <x:c r="A162" s="12" t="n">
        <x:v>154</x:v>
      </x:c>
      <x:c r="B162" s="12" t="str">
        <x:v>ゲート電圧</x:v>
      </x:c>
      <x:c r="C162" s="12" t="str">
        <x:v>ゲート電源重量係数</x:v>
      </x:c>
      <x:c r="D162" s="12" t="str">
        <x:v>k_mgate</x:v>
      </x:c>
      <x:c r="E162" s="185" t="n">
        <x:v>0.03</x:v>
      </x:c>
      <x:c r="F162" s="12" t="str">
        <x:v>kg/W</x:v>
      </x:c>
      <x:c r="G162" s="12" t="str">
        <x:v>技術係数</x:v>
      </x:c>
      <x:c r="H162" s="12" t="str">
        <x:v>M_gate_supply</x:v>
      </x:c>
      <x:c r="I162" s="12"/>
    </x:row>
    <x:row r="163">
      <x:c r="A163" s="12" t="n">
        <x:v>155</x:v>
      </x:c>
      <x:c r="B163" s="12" t="str">
        <x:v>ゲート電圧</x:v>
      </x:c>
      <x:c r="C163" s="12" t="str">
        <x:v>負バイアス追加重量係数</x:v>
      </x:c>
      <x:c r="D163" s="12" t="str">
        <x:v>k_mneg</x:v>
      </x:c>
      <x:c r="E163" s="185" t="n">
        <x:v>0.004</x:v>
      </x:c>
      <x:c r="F163" s="12" t="str">
        <x:v>kg/V</x:v>
      </x:c>
      <x:c r="G163" s="12" t="str">
        <x:v>技術係数</x:v>
      </x:c>
      <x:c r="H163" s="12" t="str">
        <x:v>M_gate_supply</x:v>
      </x:c>
      <x:c r="I163" s="12"/>
    </x:row>
    <x:row r="164">
      <x:c r="A164" s="12" t="n">
        <x:v>156</x:v>
      </x:c>
      <x:c r="B164" s="12" t="str">
        <x:v>寄生/レイアウト</x:v>
      </x:c>
      <x:c r="C164" s="12" t="str">
        <x:v>パワーループ寄生インダクタンス</x:v>
      </x:c>
      <x:c r="D164" s="12" t="str">
        <x:v>L_stray</x:v>
      </x:c>
      <x:c r="E164" s="185" t="n">
        <x:v>1.5e-8</x:v>
      </x:c>
      <x:c r="F164" s="12" t="str">
        <x:v>H</x:v>
      </x:c>
      <x:c r="G164" s="12" t="str">
        <x:v>設計変数</x:v>
      </x:c>
      <x:c r="H164" s="12" t="str">
        <x:v>V_overshoot</x:v>
      </x:c>
      <x:c r="I164" s="12" t="str">
        <x:v>低いほど良いが構造重量増</x:v>
      </x:c>
    </x:row>
    <x:row r="165">
      <x:c r="A165" s="12" t="n">
        <x:v>157</x:v>
      </x:c>
      <x:c r="B165" s="12" t="str">
        <x:v>寄生/レイアウト</x:v>
      </x:c>
      <x:c r="C165" s="12" t="str">
        <x:v>低寄生化基準インダクタンス</x:v>
      </x:c>
      <x:c r="D165" s="12" t="str">
        <x:v>L_stray_ref</x:v>
      </x:c>
      <x:c r="E165" s="185" t="n">
        <x:v>1.5e-8</x:v>
      </x:c>
      <x:c r="F165" s="12" t="str">
        <x:v>H</x:v>
      </x:c>
      <x:c r="G165" s="12" t="str">
        <x:v>技術係数</x:v>
      </x:c>
      <x:c r="H165" s="12" t="str">
        <x:v>M_lowL_layout</x:v>
      </x:c>
      <x:c r="I165" s="12"/>
    </x:row>
    <x:row r="166">
      <x:c r="A166" s="12" t="n">
        <x:v>158</x:v>
      </x:c>
      <x:c r="B166" s="12" t="str">
        <x:v>寄生/レイアウト</x:v>
      </x:c>
      <x:c r="C166" s="12" t="str">
        <x:v>低寄生化構造重量係数</x:v>
      </x:c>
      <x:c r="D166" s="12" t="str">
        <x:v>m_lowL_ref</x:v>
      </x:c>
      <x:c r="E166" s="185" t="n">
        <x:v>0.05</x:v>
      </x:c>
      <x:c r="F166" s="12" t="str">
        <x:v>kg</x:v>
      </x:c>
      <x:c r="G166" s="12" t="str">
        <x:v>技術係数</x:v>
      </x:c>
      <x:c r="H166" s="12" t="str">
        <x:v>M_lowL_layout</x:v>
      </x:c>
      <x:c r="I166" s="12"/>
    </x:row>
    <x:row r="167">
      <x:c r="A167" s="12" t="n">
        <x:v>159</x:v>
      </x:c>
      <x:c r="B167" s="12" t="str">
        <x:v>スナバ</x:v>
      </x:c>
      <x:c r="C167" s="12" t="str">
        <x:v>オーバーシュート低減率</x:v>
      </x:c>
      <x:c r="D167" s="12" t="str">
        <x:v>k_snub_reduce</x:v>
      </x:c>
      <x:c r="E167" s="185" t="n">
        <x:v>0.65</x:v>
      </x:c>
      <x:c r="F167" s="12" t="str">
        <x:v>-</x:v>
      </x:c>
      <x:c r="G167" s="12" t="str">
        <x:v>技術係数</x:v>
      </x:c>
      <x:c r="H167" s="12" t="str">
        <x:v>V_overshoot_eff</x:v>
      </x:c>
      <x:c r="I167" s="12"/>
    </x:row>
    <x:row r="168">
      <x:c r="A168" s="12" t="n">
        <x:v>160</x:v>
      </x:c>
      <x:c r="B168" s="12" t="str">
        <x:v>スナバ</x:v>
      </x:c>
      <x:c r="C168" s="12" t="str">
        <x:v>スナバ容量</x:v>
      </x:c>
      <x:c r="D168" s="12" t="str">
        <x:v>C_snub</x:v>
      </x:c>
      <x:c r="E168" s="185" t="n">
        <x:v>5e-9</x:v>
      </x:c>
      <x:c r="F168" s="12" t="str">
        <x:v>F</x:v>
      </x:c>
      <x:c r="G168" s="12" t="str">
        <x:v>設計変数</x:v>
      </x:c>
      <x:c r="H168" s="12" t="str">
        <x:v>P_snub</x:v>
      </x:c>
      <x:c r="I168" s="12"/>
    </x:row>
    <x:row r="169">
      <x:c r="A169" s="12" t="n">
        <x:v>161</x:v>
      </x:c>
      <x:c r="B169" s="12" t="str">
        <x:v>スナバ</x:v>
      </x:c>
      <x:c r="C169" s="12" t="str">
        <x:v>スナバ追加重量</x:v>
      </x:c>
      <x:c r="D169" s="12" t="str">
        <x:v>m_snub</x:v>
      </x:c>
      <x:c r="E169" s="185" t="n">
        <x:v>0.03</x:v>
      </x:c>
      <x:c r="F169" s="12" t="str">
        <x:v>kg</x:v>
      </x:c>
      <x:c r="G169" s="12" t="str">
        <x:v>技術係数</x:v>
      </x:c>
      <x:c r="H169" s="12" t="str">
        <x:v>M_snub</x:v>
      </x:c>
      <x:c r="I169" s="12"/>
    </x:row>
    <x:row r="170">
      <x:c r="A170" s="12" t="n">
        <x:v>162</x:v>
      </x:c>
      <x:c r="B170" s="12" t="str">
        <x:v>PWM</x:v>
      </x:c>
      <x:c r="C170" s="12" t="str">
        <x:v>DPWM時SWイベント残存率</x:v>
      </x:c>
      <x:c r="D170" s="12" t="str">
        <x:v>k_dpwm_sw</x:v>
      </x:c>
      <x:c r="E170" s="185" t="n">
        <x:v>0.67</x:v>
      </x:c>
      <x:c r="F170" s="12" t="str">
        <x:v>-</x:v>
      </x:c>
      <x:c r="G170" s="12" t="str">
        <x:v>技術係数</x:v>
      </x:c>
      <x:c r="H170" s="12" t="str">
        <x:v>k_pwm_sw</x:v>
      </x:c>
      <x:c r="I170" s="12"/>
    </x:row>
    <x:row r="171">
      <x:c r="A171" s="12" t="n">
        <x:v>163</x:v>
      </x:c>
      <x:c r="B171" s="12" t="str">
        <x:v>PWM</x:v>
      </x:c>
      <x:c r="C171" s="12" t="str">
        <x:v>DPWM高調波/EMI追加重量</x:v>
      </x:c>
      <x:c r="D171" s="12" t="str">
        <x:v>m_dpwm_penalty</x:v>
      </x:c>
      <x:c r="E171" s="185" t="n">
        <x:v>0.025</x:v>
      </x:c>
      <x:c r="F171" s="12" t="str">
        <x:v>kg</x:v>
      </x:c>
      <x:c r="G171" s="12" t="str">
        <x:v>技術係数</x:v>
      </x:c>
      <x:c r="H171" s="12" t="str">
        <x:v>M_DPWM_penalty</x:v>
      </x:c>
      <x:c r="I171" s="12"/>
    </x:row>
    <x:row r="172">
      <x:c r="A172" s="12" t="n">
        <x:v>164</x:v>
      </x:c>
      <x:c r="B172" s="12" t="str">
        <x:v>PWM</x:v>
      </x:c>
      <x:c r="C172" s="12" t="str">
        <x:v>CM低減PWMのSW損失係数</x:v>
      </x:c>
      <x:c r="D172" s="12" t="str">
        <x:v>k_cmpwm_sw</x:v>
      </x:c>
      <x:c r="E172" s="185" t="n">
        <x:v>1.08</x:v>
      </x:c>
      <x:c r="F172" s="12" t="str">
        <x:v>-</x:v>
      </x:c>
      <x:c r="G172" s="12" t="str">
        <x:v>技術係数</x:v>
      </x:c>
      <x:c r="H172" s="12" t="str">
        <x:v>k_pwm_sw</x:v>
      </x:c>
      <x:c r="I172" s="12"/>
    </x:row>
    <x:row r="173">
      <x:c r="A173" s="12" t="n">
        <x:v>165</x:v>
      </x:c>
      <x:c r="B173" s="12" t="str">
        <x:v>PWM</x:v>
      </x:c>
      <x:c r="C173" s="12" t="str">
        <x:v>基準CMフィルタ重量</x:v>
      </x:c>
      <x:c r="D173" s="12" t="str">
        <x:v>m_CM_filter_base</x:v>
      </x:c>
      <x:c r="E173" s="185" t="n">
        <x:v>0.2</x:v>
      </x:c>
      <x:c r="F173" s="12" t="str">
        <x:v>kg</x:v>
      </x:c>
      <x:c r="G173" s="12" t="str">
        <x:v>技術係数</x:v>
      </x:c>
      <x:c r="H173" s="12" t="str">
        <x:v>M_CM_filter</x:v>
      </x:c>
      <x:c r="I173" s="12"/>
    </x:row>
    <x:row r="174">
      <x:c r="A174" s="12" t="n">
        <x:v>166</x:v>
      </x:c>
      <x:c r="B174" s="12" t="str">
        <x:v>PWM</x:v>
      </x:c>
      <x:c r="C174" s="12" t="str">
        <x:v>CMフィルタ低減率</x:v>
      </x:c>
      <x:c r="D174" s="12" t="str">
        <x:v>k_cm_filter_reduce</x:v>
      </x:c>
      <x:c r="E174" s="185" t="n">
        <x:v>0.6</x:v>
      </x:c>
      <x:c r="F174" s="12" t="str">
        <x:v>-</x:v>
      </x:c>
      <x:c r="G174" s="12" t="str">
        <x:v>技術係数</x:v>
      </x:c>
      <x:c r="H174" s="12" t="str">
        <x:v>M_CM_filter</x:v>
      </x:c>
      <x:c r="I174" s="12"/>
    </x:row>
    <x:row r="175">
      <x:c r="A175" s="12" t="n">
        <x:v>167</x:v>
      </x:c>
      <x:c r="B175" s="12" t="str">
        <x:v>PWM</x:v>
      </x:c>
      <x:c r="C175" s="12" t="str">
        <x:v>CM低減PWM追加制御重量</x:v>
      </x:c>
      <x:c r="D175" s="12" t="str">
        <x:v>m_cmpwm_ctrl</x:v>
      </x:c>
      <x:c r="E175" s="185" t="n">
        <x:v>0.005</x:v>
      </x:c>
      <x:c r="F175" s="12" t="str">
        <x:v>kg</x:v>
      </x:c>
      <x:c r="G175" s="12" t="str">
        <x:v>技術係数</x:v>
      </x:c>
      <x:c r="H175" s="12" t="str">
        <x:v>M_PWM_option</x:v>
      </x:c>
      <x:c r="I175" s="12"/>
    </x:row>
    <x:row r="176">
      <x:c r="A176" s="12" t="n">
        <x:v>168</x:v>
      </x:c>
      <x:c r="B176" s="12" t="str">
        <x:v>DCリンクC</x:v>
      </x:c>
      <x:c r="C176" s="12" t="str">
        <x:v>DCリンクCリップル電流係数</x:v>
      </x:c>
      <x:c r="D176" s="12" t="str">
        <x:v>k_Icap_ripple</x:v>
      </x:c>
      <x:c r="E176" s="185" t="n">
        <x:v>0.55</x:v>
      </x:c>
      <x:c r="F176" s="12" t="str">
        <x:v>-</x:v>
      </x:c>
      <x:c r="G176" s="12" t="str">
        <x:v>技術係数</x:v>
      </x:c>
      <x:c r="H176" s="12" t="str">
        <x:v>I_C_rms</x:v>
      </x:c>
      <x:c r="I176" s="12" t="str">
        <x:v>I_C_rms=k×I_phase</x:v>
      </x:c>
    </x:row>
    <x:row r="177">
      <x:c r="A177" s="12" t="n">
        <x:v>169</x:v>
      </x:c>
      <x:c r="B177" s="12" t="str">
        <x:v>DCリンクC</x:v>
      </x:c>
      <x:c r="C177" s="12" t="str">
        <x:v>C単体リップル電流定格</x:v>
      </x:c>
      <x:c r="D177" s="12" t="str">
        <x:v>I_cap_unit_rating</x:v>
      </x:c>
      <x:c r="E177" s="185" t="n">
        <x:v>25</x:v>
      </x:c>
      <x:c r="F177" s="12" t="str">
        <x:v>A</x:v>
      </x:c>
      <x:c r="G177" s="12" t="str">
        <x:v>設計変数</x:v>
      </x:c>
      <x:c r="H177" s="12" t="str">
        <x:v>N_cap_ripple</x:v>
      </x:c>
      <x:c r="I177" s="12"/>
    </x:row>
    <x:row r="178">
      <x:c r="A178" s="12" t="n">
        <x:v>170</x:v>
      </x:c>
      <x:c r="B178" s="12" t="str">
        <x:v>DCリンクC</x:v>
      </x:c>
      <x:c r="C178" s="12" t="str">
        <x:v>C単体重量</x:v>
      </x:c>
      <x:c r="D178" s="12" t="str">
        <x:v>m_cap_unit</x:v>
      </x:c>
      <x:c r="E178" s="185" t="n">
        <x:v>0.35</x:v>
      </x:c>
      <x:c r="F178" s="12" t="str">
        <x:v>kg/個</x:v>
      </x:c>
      <x:c r="G178" s="12" t="str">
        <x:v>技術係数</x:v>
      </x:c>
      <x:c r="H178" s="12" t="str">
        <x:v>M_cap_margin</x:v>
      </x:c>
      <x:c r="I178" s="12"/>
    </x:row>
    <x:row r="179">
      <x:c r="A179" s="12" t="n">
        <x:v>171</x:v>
      </x:c>
      <x:c r="B179" s="12" t="str">
        <x:v>DCリンクC</x:v>
      </x:c>
      <x:c r="C179" s="12" t="str">
        <x:v>C単体ESR</x:v>
      </x:c>
      <x:c r="D179" s="12" t="str">
        <x:v>ESR_cap</x:v>
      </x:c>
      <x:c r="E179" s="185" t="n">
        <x:v>0.003</x:v>
      </x:c>
      <x:c r="F179" s="12" t="str">
        <x:v>Ω</x:v>
      </x:c>
      <x:c r="G179" s="12" t="str">
        <x:v>設計変数</x:v>
      </x:c>
      <x:c r="H179" s="12" t="str">
        <x:v>T_cap_hot</x:v>
      </x:c>
      <x:c r="I179" s="12"/>
    </x:row>
    <x:row r="180">
      <x:c r="A180" s="12" t="n">
        <x:v>172</x:v>
      </x:c>
      <x:c r="B180" s="12" t="str">
        <x:v>DCリンクC</x:v>
      </x:c>
      <x:c r="C180" s="12" t="str">
        <x:v>C熱抵抗</x:v>
      </x:c>
      <x:c r="D180" s="12" t="str">
        <x:v>Rth_cap</x:v>
      </x:c>
      <x:c r="E180" s="185" t="n">
        <x:v>2</x:v>
      </x:c>
      <x:c r="F180" s="12" t="str">
        <x:v>K/W</x:v>
      </x:c>
      <x:c r="G180" s="12" t="str">
        <x:v>技術係数</x:v>
      </x:c>
      <x:c r="H180" s="12" t="str">
        <x:v>T_cap_hot</x:v>
      </x:c>
      <x:c r="I180" s="12"/>
    </x:row>
    <x:row r="181">
      <x:c r="A181" s="12" t="n">
        <x:v>173</x:v>
      </x:c>
      <x:c r="B181" s="12" t="str">
        <x:v>DCリンクC</x:v>
      </x:c>
      <x:c r="C181" s="12" t="str">
        <x:v>寿命基準温度</x:v>
      </x:c>
      <x:c r="D181" s="12" t="str">
        <x:v>T_cap_life_ref</x:v>
      </x:c>
      <x:c r="E181" s="185" t="n">
        <x:v>85</x:v>
      </x:c>
      <x:c r="F181" s="12" t="str">
        <x:v>°C</x:v>
      </x:c>
      <x:c r="G181" s="12" t="str">
        <x:v>技術係数</x:v>
      </x:c>
      <x:c r="H181" s="12" t="str">
        <x:v>life_cap</x:v>
      </x:c>
      <x:c r="I181" s="12"/>
    </x:row>
    <x:row r="182">
      <x:c r="A182" s="12" t="n">
        <x:v>174</x:v>
      </x:c>
      <x:c r="B182" s="12" t="str">
        <x:v>DCリンクC</x:v>
      </x:c>
      <x:c r="C182" s="12" t="str">
        <x:v>基準寿命</x:v>
      </x:c>
      <x:c r="D182" s="12" t="str">
        <x:v>life_cap_ref</x:v>
      </x:c>
      <x:c r="E182" s="185" t="n">
        <x:v>10000</x:v>
      </x:c>
      <x:c r="F182" s="12" t="str">
        <x:v>h</x:v>
      </x:c>
      <x:c r="G182" s="12" t="str">
        <x:v>技術係数</x:v>
      </x:c>
      <x:c r="H182" s="12" t="str">
        <x:v>life_cap</x:v>
      </x:c>
      <x:c r="I182" s="12"/>
    </x:row>
    <x:row r="183">
      <x:c r="A183" s="12" t="n">
        <x:v>175</x:v>
      </x:c>
      <x:c r="B183" s="12" t="str">
        <x:v>ゲート駆動</x:v>
      </x:c>
      <x:c r="C183" s="12" t="str">
        <x:v>スルーレート基準DC電圧</x:v>
      </x:c>
      <x:c r="D183" s="12" t="str">
        <x:v>V_slew_ref</x:v>
      </x:c>
      <x:c r="E183" s="185" t="n">
        <x:v>800</x:v>
      </x:c>
      <x:c r="F183" s="12" t="str">
        <x:v>V</x:v>
      </x:c>
      <x:c r="G183" s="12" t="str">
        <x:v>技術係数</x:v>
      </x:c>
      <x:c r="H183" s="12" t="str">
        <x:v>M_slew_emi</x:v>
      </x:c>
      <x:c r="I183" s="12"/>
    </x:row>
    <x:row r="184">
      <x:c r="A184" s="12" t="n">
        <x:v>176</x:v>
      </x:c>
      <x:c r="B184" s="12" t="str">
        <x:v>DCリンクESL</x:v>
      </x:c>
      <x:c r="C184" s="12" t="str">
        <x:v>DCリンク実効ESL</x:v>
      </x:c>
      <x:c r="D184" s="12" t="str">
        <x:v>ESL_dc</x:v>
      </x:c>
      <x:c r="E184" s="185" t="n">
        <x:v>1.2e-8</x:v>
      </x:c>
      <x:c r="F184" s="12" t="str">
        <x:v>H</x:v>
      </x:c>
      <x:c r="G184" s="12" t="str">
        <x:v>設計変数</x:v>
      </x:c>
      <x:c r="H184" s="12" t="str">
        <x:v>V_overshoot_eff</x:v>
      </x:c>
      <x:c r="I184" s="12"/>
    </x:row>
    <x:row r="185">
      <x:c r="A185" s="12" t="n">
        <x:v>177</x:v>
      </x:c>
      <x:c r="B185" s="12" t="str">
        <x:v>DCリンクESL</x:v>
      </x:c>
      <x:c r="C185" s="12" t="str">
        <x:v>HFデカップリングL低減率</x:v>
      </x:c>
      <x:c r="D185" s="12" t="str">
        <x:v>k_hf_L_reduce</x:v>
      </x:c>
      <x:c r="E185" s="185" t="n">
        <x:v>0.45</x:v>
      </x:c>
      <x:c r="F185" s="12" t="str">
        <x:v>-</x:v>
      </x:c>
      <x:c r="G185" s="12" t="str">
        <x:v>技術係数</x:v>
      </x:c>
      <x:c r="H185" s="12" t="str">
        <x:v>V_overshoot</x:v>
      </x:c>
      <x:c r="I185" s="12"/>
    </x:row>
    <x:row r="186">
      <x:c r="A186" s="12" t="n">
        <x:v>178</x:v>
      </x:c>
      <x:c r="B186" s="12" t="str">
        <x:v>DCリンクESL</x:v>
      </x:c>
      <x:c r="C186" s="12" t="str">
        <x:v>HFデカップリング追加重量</x:v>
      </x:c>
      <x:c r="D186" s="12" t="str">
        <x:v>m_hfcap</x:v>
      </x:c>
      <x:c r="E186" s="185" t="n">
        <x:v>0.035</x:v>
      </x:c>
      <x:c r="F186" s="12" t="str">
        <x:v>kg</x:v>
      </x:c>
      <x:c r="G186" s="12" t="str">
        <x:v>技術係数</x:v>
      </x:c>
      <x:c r="H186" s="12" t="str">
        <x:v>M_inv</x:v>
      </x:c>
      <x:c r="I186" s="12"/>
    </x:row>
    <x:row r="187">
      <x:c r="A187" s="12" t="n">
        <x:v>179</x:v>
      </x:c>
      <x:c r="B187" s="12" t="str">
        <x:v>冷却</x:v>
      </x:c>
      <x:c r="C187" s="12" t="str">
        <x:v>冷媒流量</x:v>
      </x:c>
      <x:c r="D187" s="12" t="str">
        <x:v>Q_flow</x:v>
      </x:c>
      <x:c r="E187" s="185" t="n">
        <x:v>0.00015</x:v>
      </x:c>
      <x:c r="F187" s="12" t="str">
        <x:v>m3/s</x:v>
      </x:c>
      <x:c r="G187" s="12" t="str">
        <x:v>設計変数</x:v>
      </x:c>
      <x:c r="H187" s="12" t="str">
        <x:v>P_pump</x:v>
      </x:c>
      <x:c r="I187" s="12"/>
    </x:row>
    <x:row r="188">
      <x:c r="A188" s="12" t="n">
        <x:v>180</x:v>
      </x:c>
      <x:c r="B188" s="12" t="str">
        <x:v>冷却</x:v>
      </x:c>
      <x:c r="C188" s="12" t="str">
        <x:v>基準流量</x:v>
      </x:c>
      <x:c r="D188" s="12" t="str">
        <x:v>Q_flow_ref</x:v>
      </x:c>
      <x:c r="E188" s="185" t="n">
        <x:v>0.00015</x:v>
      </x:c>
      <x:c r="F188" s="12" t="str">
        <x:v>m3/s</x:v>
      </x:c>
      <x:c r="G188" s="12" t="str">
        <x:v>技術係数</x:v>
      </x:c>
      <x:c r="H188" s="12" t="str">
        <x:v>DeltaP</x:v>
      </x:c>
      <x:c r="I188" s="12"/>
    </x:row>
    <x:row r="189">
      <x:c r="A189" s="12" t="n">
        <x:v>181</x:v>
      </x:c>
      <x:c r="B189" s="12" t="str">
        <x:v>冷却</x:v>
      </x:c>
      <x:c r="C189" s="12" t="str">
        <x:v>基準圧力損失</x:v>
      </x:c>
      <x:c r="D189" s="12" t="str">
        <x:v>DeltaP_ref</x:v>
      </x:c>
      <x:c r="E189" s="185" t="n">
        <x:v>45000</x:v>
      </x:c>
      <x:c r="F189" s="12" t="str">
        <x:v>Pa</x:v>
      </x:c>
      <x:c r="G189" s="12" t="str">
        <x:v>技術係数</x:v>
      </x:c>
      <x:c r="H189" s="12" t="str">
        <x:v>DeltaP</x:v>
      </x:c>
      <x:c r="I189" s="12"/>
    </x:row>
    <x:row r="190">
      <x:c r="A190" s="12" t="n">
        <x:v>182</x:v>
      </x:c>
      <x:c r="B190" s="12" t="str">
        <x:v>冷却</x:v>
      </x:c>
      <x:c r="C190" s="12" t="str">
        <x:v>圧損流量指数</x:v>
      </x:c>
      <x:c r="D190" s="12" t="str">
        <x:v>a_dp_flow</x:v>
      </x:c>
      <x:c r="E190" s="185" t="n">
        <x:v>1.8</x:v>
      </x:c>
      <x:c r="F190" s="12" t="str">
        <x:v>-</x:v>
      </x:c>
      <x:c r="G190" s="12" t="str">
        <x:v>技術係数</x:v>
      </x:c>
      <x:c r="H190" s="12" t="str">
        <x:v>DeltaP</x:v>
      </x:c>
      <x:c r="I190" s="12"/>
    </x:row>
    <x:row r="191">
      <x:c r="A191" s="12" t="n">
        <x:v>183</x:v>
      </x:c>
      <x:c r="B191" s="12" t="str">
        <x:v>冷却</x:v>
      </x:c>
      <x:c r="C191" s="12" t="str">
        <x:v>ポンプ効率</x:v>
      </x:c>
      <x:c r="D191" s="12" t="str">
        <x:v>eta_pump</x:v>
      </x:c>
      <x:c r="E191" s="185" t="n">
        <x:v>0.45</x:v>
      </x:c>
      <x:c r="F191" s="12" t="str">
        <x:v>-</x:v>
      </x:c>
      <x:c r="G191" s="12" t="str">
        <x:v>設計変数</x:v>
      </x:c>
      <x:c r="H191" s="12" t="str">
        <x:v>P_pump</x:v>
      </x:c>
      <x:c r="I191" s="12"/>
    </x:row>
    <x:row r="192">
      <x:c r="A192" s="12" t="n">
        <x:v>184</x:v>
      </x:c>
      <x:c r="B192" s="12" t="str">
        <x:v>冷却</x:v>
      </x:c>
      <x:c r="C192" s="12" t="str">
        <x:v>ポンプ比重量</x:v>
      </x:c>
      <x:c r="D192" s="12" t="str">
        <x:v>k_m_pump</x:v>
      </x:c>
      <x:c r="E192" s="185" t="n">
        <x:v>0.01</x:v>
      </x:c>
      <x:c r="F192" s="12" t="str">
        <x:v>kg/W</x:v>
      </x:c>
      <x:c r="G192" s="12" t="str">
        <x:v>技術係数</x:v>
      </x:c>
      <x:c r="H192" s="12" t="str">
        <x:v>m_pump</x:v>
      </x:c>
      <x:c r="I192" s="12"/>
    </x:row>
    <x:row r="193">
      <x:c r="A193" s="12" t="n">
        <x:v>185</x:v>
      </x:c>
      <x:c r="B193" s="12" t="str">
        <x:v>冷却</x:v>
      </x:c>
      <x:c r="C193" s="12" t="str">
        <x:v>熱伝達密度指数</x:v>
      </x:c>
      <x:c r="D193" s="12" t="str">
        <x:v>a_h_fin</x:v>
      </x:c>
      <x:c r="E193" s="185" t="n">
        <x:v>0.65</x:v>
      </x:c>
      <x:c r="F193" s="12" t="str">
        <x:v>-</x:v>
      </x:c>
      <x:c r="G193" s="12" t="str">
        <x:v>技術係数</x:v>
      </x:c>
      <x:c r="H193" s="12" t="str">
        <x:v>h_eff</x:v>
      </x:c>
      <x:c r="I193" s="12"/>
    </x:row>
    <x:row r="194">
      <x:c r="A194" s="12" t="n">
        <x:v>186</x:v>
      </x:c>
      <x:c r="B194" s="12" t="str">
        <x:v>冷却</x:v>
      </x:c>
      <x:c r="C194" s="12" t="str">
        <x:v>圧損密度指数</x:v>
      </x:c>
      <x:c r="D194" s="12" t="str">
        <x:v>a_dp_fin</x:v>
      </x:c>
      <x:c r="E194" s="185" t="n">
        <x:v>1.7</x:v>
      </x:c>
      <x:c r="F194" s="12" t="str">
        <x:v>-</x:v>
      </x:c>
      <x:c r="G194" s="12" t="str">
        <x:v>技術係数</x:v>
      </x:c>
      <x:c r="H194" s="12" t="str">
        <x:v>DeltaP</x:v>
      </x:c>
      <x:c r="I194" s="12"/>
    </x:row>
    <x:row r="195">
      <x:c r="A195" s="12" t="n">
        <x:v>187</x:v>
      </x:c>
      <x:c r="B195" s="12" t="str">
        <x:v>TIM</x:v>
      </x:c>
      <x:c r="C195" s="12" t="str">
        <x:v>TIM厚さ</x:v>
      </x:c>
      <x:c r="D195" s="12" t="str">
        <x:v>t_TIM</x:v>
      </x:c>
      <x:c r="E195" s="185" t="n">
        <x:v>0.00015</x:v>
      </x:c>
      <x:c r="F195" s="12" t="str">
        <x:v>m</x:v>
      </x:c>
      <x:c r="G195" s="12" t="str">
        <x:v>設計変数</x:v>
      </x:c>
      <x:c r="H195" s="12" t="str">
        <x:v>Rth_TIM</x:v>
      </x:c>
      <x:c r="I195" s="12"/>
    </x:row>
    <x:row r="196">
      <x:c r="A196" s="12" t="n">
        <x:v>188</x:v>
      </x:c>
      <x:c r="B196" s="12" t="str">
        <x:v>TIM</x:v>
      </x:c>
      <x:c r="C196" s="12" t="str">
        <x:v>TIM熱伝導率</x:v>
      </x:c>
      <x:c r="D196" s="12" t="str">
        <x:v>k_TIM</x:v>
      </x:c>
      <x:c r="E196" s="185" t="n">
        <x:v>5</x:v>
      </x:c>
      <x:c r="F196" s="12" t="str">
        <x:v>W/(mK)</x:v>
      </x:c>
      <x:c r="G196" s="12" t="str">
        <x:v>設計変数</x:v>
      </x:c>
      <x:c r="H196" s="12" t="str">
        <x:v>Rth_TIM</x:v>
      </x:c>
      <x:c r="I196" s="12"/>
    </x:row>
    <x:row r="197">
      <x:c r="A197" s="12" t="n">
        <x:v>189</x:v>
      </x:c>
      <x:c r="B197" s="12" t="str">
        <x:v>TIM</x:v>
      </x:c>
      <x:c r="C197" s="12" t="str">
        <x:v>TIM面積</x:v>
      </x:c>
      <x:c r="D197" s="12" t="str">
        <x:v>A_TIM</x:v>
      </x:c>
      <x:c r="E197" s="185" t="n">
        <x:v>0.025</x:v>
      </x:c>
      <x:c r="F197" s="12" t="str">
        <x:v>m2</x:v>
      </x:c>
      <x:c r="G197" s="12" t="str">
        <x:v>設計変数</x:v>
      </x:c>
      <x:c r="H197" s="12" t="str">
        <x:v>Rth_TIM</x:v>
      </x:c>
      <x:c r="I197" s="12"/>
    </x:row>
    <x:row r="198">
      <x:c r="A198" s="12" t="n">
        <x:v>190</x:v>
      </x:c>
      <x:c r="B198" s="12" t="str">
        <x:v>TIM</x:v>
      </x:c>
      <x:c r="C198" s="12" t="str">
        <x:v>基準TIM熱抵抗</x:v>
      </x:c>
      <x:c r="D198" s="12" t="str">
        <x:v>Rth_TIM_ref</x:v>
      </x:c>
      <x:c r="E198" s="185" t="n">
        <x:v>0.0012</x:v>
      </x:c>
      <x:c r="F198" s="12" t="str">
        <x:v>K/W</x:v>
      </x:c>
      <x:c r="G198" s="12" t="str">
        <x:v>技術係数</x:v>
      </x:c>
      <x:c r="H198" s="12" t="str">
        <x:v>M_hx</x:v>
      </x:c>
      <x:c r="I198" s="12"/>
    </x:row>
    <x:row r="199">
      <x:c r="A199" s="12" t="n">
        <x:v>191</x:v>
      </x:c>
      <x:c r="B199" s="12" t="str">
        <x:v>TIM</x:v>
      </x:c>
      <x:c r="C199" s="12" t="str">
        <x:v>締結圧指数</x:v>
      </x:c>
      <x:c r="D199" s="12" t="str">
        <x:v>a_press_TIM</x:v>
      </x:c>
      <x:c r="E199" s="185" t="n">
        <x:v>0.25</x:v>
      </x:c>
      <x:c r="F199" s="12" t="str">
        <x:v>-</x:v>
      </x:c>
      <x:c r="G199" s="12" t="str">
        <x:v>技術係数</x:v>
      </x:c>
      <x:c r="H199" s="12" t="str">
        <x:v>Rth_TIM</x:v>
      </x:c>
      <x:c r="I199" s="12"/>
    </x:row>
    <x:row r="200">
      <x:c r="A200" s="12" t="n">
        <x:v>192</x:v>
      </x:c>
      <x:c r="B200" s="12" t="str">
        <x:v>TIM</x:v>
      </x:c>
      <x:c r="C200" s="12" t="str">
        <x:v>基準締結重量</x:v>
      </x:c>
      <x:c r="D200" s="12" t="str">
        <x:v>m_clamp_ref</x:v>
      </x:c>
      <x:c r="E200" s="185" t="n">
        <x:v>0.05</x:v>
      </x:c>
      <x:c r="F200" s="12" t="str">
        <x:v>kg</x:v>
      </x:c>
      <x:c r="G200" s="12" t="str">
        <x:v>技術係数</x:v>
      </x:c>
      <x:c r="H200" s="12" t="str">
        <x:v>m_clamp</x:v>
      </x:c>
      <x:c r="I200" s="12"/>
    </x:row>
    <x:row r="201">
      <x:c r="A201" s="12" t="n">
        <x:v>193</x:v>
      </x:c>
      <x:c r="B201" s="12" t="str">
        <x:v>熱設計</x:v>
      </x:c>
      <x:c r="C201" s="12" t="str">
        <x:v>基準接合温度</x:v>
      </x:c>
      <x:c r="D201" s="12" t="str">
        <x:v>Tj_ref</x:v>
      </x:c>
      <x:c r="E201" s="185" t="n">
        <x:v>125</x:v>
      </x:c>
      <x:c r="F201" s="12" t="str">
        <x:v>degC</x:v>
      </x:c>
      <x:c r="G201" s="12" t="str">
        <x:v>技術係数</x:v>
      </x:c>
      <x:c r="H201" s="12" t="str">
        <x:v>M_hx,R_on</x:v>
      </x:c>
      <x:c r="I201" s="12"/>
    </x:row>
    <x:row r="202">
      <x:c r="A202" s="12" t="n">
        <x:v>194</x:v>
      </x:c>
      <x:c r="B202" s="12" t="str">
        <x:v>熱設計</x:v>
      </x:c>
      <x:c r="C202" s="12" t="str">
        <x:v>Ron温度係数</x:v>
      </x:c>
      <x:c r="D202" s="12" t="str">
        <x:v>alpha_Ron_T</x:v>
      </x:c>
      <x:c r="E202" s="185" t="n">
        <x:v>0.0035</x:v>
      </x:c>
      <x:c r="F202" s="12" t="str">
        <x:v>1/K</x:v>
      </x:c>
      <x:c r="G202" s="12" t="str">
        <x:v>技術係数</x:v>
      </x:c>
      <x:c r="H202" s="12" t="str">
        <x:v>R_on</x:v>
      </x:c>
      <x:c r="I202" s="12"/>
    </x:row>
    <x:row r="203">
      <x:c r="A203" s="12" t="n">
        <x:v>195</x:v>
      </x:c>
      <x:c r="B203" s="12" t="str">
        <x:v>バスバー</x:v>
      </x:c>
      <x:c r="C203" s="12" t="str">
        <x:v>極間ギャップ</x:v>
      </x:c>
      <x:c r="D203" s="12" t="str">
        <x:v>gap_bus</x:v>
      </x:c>
      <x:c r="E203" s="185" t="n">
        <x:v>0.001</x:v>
      </x:c>
      <x:c r="F203" s="12" t="str">
        <x:v>m</x:v>
      </x:c>
      <x:c r="G203" s="12" t="str">
        <x:v>設計変数</x:v>
      </x:c>
      <x:c r="H203" s="12" t="str">
        <x:v>V_overshoot,M_bus</x:v>
      </x:c>
      <x:c r="I203" s="12"/>
    </x:row>
    <x:row r="204">
      <x:c r="A204" s="12" t="n">
        <x:v>196</x:v>
      </x:c>
      <x:c r="B204" s="12" t="str">
        <x:v>バスバー</x:v>
      </x:c>
      <x:c r="C204" s="12" t="str">
        <x:v>基準ギャップ</x:v>
      </x:c>
      <x:c r="D204" s="12" t="str">
        <x:v>gap_bus_ref</x:v>
      </x:c>
      <x:c r="E204" s="185" t="n">
        <x:v>0.001</x:v>
      </x:c>
      <x:c r="F204" s="12" t="str">
        <x:v>m</x:v>
      </x:c>
      <x:c r="G204" s="12" t="str">
        <x:v>技術係数</x:v>
      </x:c>
      <x:c r="H204" s="12" t="str">
        <x:v>V_overshoot</x:v>
      </x:c>
      <x:c r="I204" s="12"/>
    </x:row>
    <x:row r="205">
      <x:c r="A205" s="12" t="n">
        <x:v>197</x:v>
      </x:c>
      <x:c r="B205" s="12" t="str">
        <x:v>バスバー</x:v>
      </x:c>
      <x:c r="C205" s="12" t="str">
        <x:v>重なり係数</x:v>
      </x:c>
      <x:c r="D205" s="12" t="str">
        <x:v>overlap_bus</x:v>
      </x:c>
      <x:c r="E205" s="185" t="n">
        <x:v>1</x:v>
      </x:c>
      <x:c r="F205" s="12" t="str">
        <x:v>-</x:v>
      </x:c>
      <x:c r="G205" s="12" t="str">
        <x:v>設計変数</x:v>
      </x:c>
      <x:c r="H205" s="12" t="str">
        <x:v>V_overshoot,CM</x:v>
      </x:c>
      <x:c r="I205" s="12"/>
    </x:row>
    <x:row r="206">
      <x:c r="A206" s="12" t="n">
        <x:v>198</x:v>
      </x:c>
      <x:c r="B206" s="12" t="str">
        <x:v>バスバー</x:v>
      </x:c>
      <x:c r="C206" s="12" t="str">
        <x:v>積層構造重量係数</x:v>
      </x:c>
      <x:c r="D206" s="12" t="str">
        <x:v>m_bus_stack_ref</x:v>
      </x:c>
      <x:c r="E206" s="185" t="n">
        <x:v>0.08</x:v>
      </x:c>
      <x:c r="F206" s="12" t="str">
        <x:v>kg</x:v>
      </x:c>
      <x:c r="G206" s="12" t="str">
        <x:v>技術係数</x:v>
      </x:c>
      <x:c r="H206" s="12" t="str">
        <x:v>M_inv</x:v>
      </x:c>
      <x:c r="I206" s="12"/>
    </x:row>
    <x:row r="207">
      <x:c r="A207" s="12" t="n">
        <x:v>199</x:v>
      </x:c>
      <x:c r="B207" s="12" t="str">
        <x:v>バスバー</x:v>
      </x:c>
      <x:c r="C207" s="12" t="str">
        <x:v>Al密度比</x:v>
      </x:c>
      <x:c r="D207" s="12" t="str">
        <x:v>k_rho_Al</x:v>
      </x:c>
      <x:c r="E207" s="185" t="n">
        <x:v>0.301</x:v>
      </x:c>
      <x:c r="F207" s="12" t="str">
        <x:v>-</x:v>
      </x:c>
      <x:c r="G207" s="12" t="str">
        <x:v>技術係数</x:v>
      </x:c>
      <x:c r="H207" s="12" t="str">
        <x:v>M_bus</x:v>
      </x:c>
      <x:c r="I207" s="12"/>
    </x:row>
    <x:row r="208">
      <x:c r="A208" s="12" t="n">
        <x:v>200</x:v>
      </x:c>
      <x:c r="B208" s="12" t="str">
        <x:v>バスバー</x:v>
      </x:c>
      <x:c r="C208" s="12" t="str">
        <x:v>Al抵抗率比</x:v>
      </x:c>
      <x:c r="D208" s="12" t="str">
        <x:v>k_res_Al</x:v>
      </x:c>
      <x:c r="E208" s="185" t="n">
        <x:v>1.64</x:v>
      </x:c>
      <x:c r="F208" s="12" t="str">
        <x:v>-</x:v>
      </x:c>
      <x:c r="G208" s="12" t="str">
        <x:v>技術係数</x:v>
      </x:c>
      <x:c r="H208" s="12" t="str">
        <x:v>J_bus,P_bus</x:v>
      </x:c>
      <x:c r="I208" s="12"/>
    </x:row>
    <x:row r="209">
      <x:c r="A209" s="12" t="n">
        <x:v>201</x:v>
      </x:c>
      <x:c r="B209" s="12" t="str">
        <x:v>バスバー</x:v>
      </x:c>
      <x:c r="C209" s="12" t="str">
        <x:v>導体厚さ</x:v>
      </x:c>
      <x:c r="D209" s="12" t="str">
        <x:v>t_bus_cond</x:v>
      </x:c>
      <x:c r="E209" s="185" t="n">
        <x:v>0.0015</x:v>
      </x:c>
      <x:c r="F209" s="12" t="str">
        <x:v>m</x:v>
      </x:c>
      <x:c r="G209" s="12" t="str">
        <x:v>設計変数</x:v>
      </x:c>
      <x:c r="H209" s="12" t="str">
        <x:v>k_ac_bus</x:v>
      </x:c>
      <x:c r="I209" s="12"/>
    </x:row>
    <x:row r="210">
      <x:c r="A210" s="12" t="n">
        <x:v>202</x:v>
      </x:c>
      <x:c r="B210" s="12" t="str">
        <x:v>バスバー</x:v>
      </x:c>
      <x:c r="C210" s="12" t="str">
        <x:v>基準表皮深さ</x:v>
      </x:c>
      <x:c r="D210" s="12" t="str">
        <x:v>delta_skin_ref</x:v>
      </x:c>
      <x:c r="E210" s="185" t="n">
        <x:v>0.00066</x:v>
      </x:c>
      <x:c r="F210" s="12" t="str">
        <x:v>m</x:v>
      </x:c>
      <x:c r="G210" s="12" t="str">
        <x:v>技術係数</x:v>
      </x:c>
      <x:c r="H210" s="12" t="str">
        <x:v>k_ac_bus</x:v>
      </x:c>
      <x:c r="I210" s="12"/>
    </x:row>
    <x:row r="211">
      <x:c r="A211" s="12" t="n">
        <x:v>203</x:v>
      </x:c>
      <x:c r="B211" s="12" t="str">
        <x:v>バスバー</x:v>
      </x:c>
      <x:c r="C211" s="12" t="str">
        <x:v>積層追加重量</x:v>
      </x:c>
      <x:c r="D211" s="12" t="str">
        <x:v>m_laminate_unit</x:v>
      </x:c>
      <x:c r="E211" s="185" t="n">
        <x:v>0.035</x:v>
      </x:c>
      <x:c r="F211" s="12" t="str">
        <x:v>kg/層</x:v>
      </x:c>
      <x:c r="G211" s="12" t="str">
        <x:v>技術係数</x:v>
      </x:c>
      <x:c r="H211" s="12" t="str">
        <x:v>M_laminate</x:v>
      </x:c>
      <x:c r="I211" s="12"/>
    </x:row>
    <x:row r="212">
      <x:c r="A212" s="12" t="n">
        <x:v>204</x:v>
      </x:c>
      <x:c r="B212" s="12" t="str">
        <x:v>dvdtフィルタ</x:v>
      </x:c>
      <x:c r="C212" s="12" t="str">
        <x:v>dv/dtフィルタ追加重量</x:v>
      </x:c>
      <x:c r="D212" s="12" t="str">
        <x:v>m_dvdt_filter</x:v>
      </x:c>
      <x:c r="E212" s="185" t="n">
        <x:v>0.18</x:v>
      </x:c>
      <x:c r="F212" s="12" t="str">
        <x:v>kg</x:v>
      </x:c>
      <x:c r="G212" s="12" t="str">
        <x:v>技術係数</x:v>
      </x:c>
      <x:c r="H212" s="12" t="str">
        <x:v>M_inv</x:v>
      </x:c>
      <x:c r="I212" s="12"/>
    </x:row>
    <x:row r="213">
      <x:c r="A213" s="12" t="n">
        <x:v>205</x:v>
      </x:c>
      <x:c r="B213" s="12" t="str">
        <x:v>dvdtフィルタ</x:v>
      </x:c>
      <x:c r="C213" s="12" t="str">
        <x:v>EMI低減率</x:v>
      </x:c>
      <x:c r="D213" s="12" t="str">
        <x:v>k_dvdt_reduce</x:v>
      </x:c>
      <x:c r="E213" s="185" t="n">
        <x:v>0.75</x:v>
      </x:c>
      <x:c r="F213" s="12" t="str">
        <x:v>-</x:v>
      </x:c>
      <x:c r="G213" s="12" t="str">
        <x:v>技術係数</x:v>
      </x:c>
      <x:c r="H213" s="12" t="str">
        <x:v>M_slew_emi</x:v>
      </x:c>
      <x:c r="I213" s="12"/>
    </x:row>
    <x:row r="214">
      <x:c r="A214" s="12" t="n">
        <x:v>206</x:v>
      </x:c>
      <x:c r="B214" s="12" t="str">
        <x:v>dvdtフィルタ</x:v>
      </x:c>
      <x:c r="C214" s="12" t="str">
        <x:v>出力フィルタ損失</x:v>
      </x:c>
      <x:c r="D214" s="12" t="str">
        <x:v>P_dvdt_filter_on</x:v>
      </x:c>
      <x:c r="E214" s="185" t="n">
        <x:v>120</x:v>
      </x:c>
      <x:c r="F214" s="12" t="str">
        <x:v>W</x:v>
      </x:c>
      <x:c r="G214" s="12" t="str">
        <x:v>技術係数</x:v>
      </x:c>
      <x:c r="H214" s="12" t="str">
        <x:v>Q_req</x:v>
      </x:c>
      <x:c r="I214" s="12"/>
    </x:row>
    <x:row r="215">
      <x:c r="A215" s="12" t="n">
        <x:v>207</x:v>
      </x:c>
      <x:c r="B215" s="12" t="str">
        <x:v>CMフィルタ</x:v>
      </x:c>
      <x:c r="C215" s="12" t="str">
        <x:v>追加CMフィルタ重量</x:v>
      </x:c>
      <x:c r="D215" s="12" t="str">
        <x:v>m_CM_filter2</x:v>
      </x:c>
      <x:c r="E215" s="185" t="n">
        <x:v>0.12</x:v>
      </x:c>
      <x:c r="F215" s="12" t="str">
        <x:v>kg</x:v>
      </x:c>
      <x:c r="G215" s="12" t="str">
        <x:v>技術係数</x:v>
      </x:c>
      <x:c r="H215" s="12" t="str">
        <x:v>M_inv</x:v>
      </x:c>
      <x:c r="I215" s="12"/>
    </x:row>
    <x:row r="216">
      <x:c r="A216" s="12" t="n">
        <x:v>208</x:v>
      </x:c>
      <x:c r="B216" s="12" t="str">
        <x:v>CMフィルタ</x:v>
      </x:c>
      <x:c r="C216" s="12" t="str">
        <x:v>既存CM対策低減率</x:v>
      </x:c>
      <x:c r="D216" s="12" t="str">
        <x:v>k_CM_reduce2</x:v>
      </x:c>
      <x:c r="E216" s="185" t="n">
        <x:v>0.65</x:v>
      </x:c>
      <x:c r="F216" s="12" t="str">
        <x:v>-</x:v>
      </x:c>
      <x:c r="G216" s="12" t="str">
        <x:v>技術係数</x:v>
      </x:c>
      <x:c r="H216" s="12" t="str">
        <x:v>M_CM_filter</x:v>
      </x:c>
      <x:c r="I216" s="12"/>
    </x:row>
    <x:row r="217">
      <x:c r="A217" s="12" t="n">
        <x:v>209</x:v>
      </x:c>
      <x:c r="B217" s="12" t="str">
        <x:v>CMフィルタ</x:v>
      </x:c>
      <x:c r="C217" s="12" t="str">
        <x:v>Y-Cap漏れペナルティ重量</x:v>
      </x:c>
      <x:c r="D217" s="12" t="str">
        <x:v>m_CM_leak_penalty</x:v>
      </x:c>
      <x:c r="E217" s="185" t="n">
        <x:v>0.015</x:v>
      </x:c>
      <x:c r="F217" s="12" t="str">
        <x:v>kg</x:v>
      </x:c>
      <x:c r="G217" s="12" t="str">
        <x:v>技術係数</x:v>
      </x:c>
      <x:c r="H217" s="12" t="str">
        <x:v>M_inv</x:v>
      </x:c>
      <x:c r="I217" s="12"/>
    </x:row>
    <x:row r="218">
      <x:c r="A218" s="12" t="n">
        <x:v>210</x:v>
      </x:c>
      <x:c r="B218" s="12" t="str">
        <x:v>EMI/構造</x:v>
      </x:c>
      <x:c r="C218" s="12" t="str">
        <x:v>シールド追加重量</x:v>
      </x:c>
      <x:c r="D218" s="12" t="str">
        <x:v>m_shield</x:v>
      </x:c>
      <x:c r="E218" s="185" t="n">
        <x:v>0.12</x:v>
      </x:c>
      <x:c r="F218" s="12" t="str">
        <x:v>kg</x:v>
      </x:c>
      <x:c r="G218" s="12" t="str">
        <x:v>技術係数</x:v>
      </x:c>
      <x:c r="H218" s="12" t="str">
        <x:v>M_shield</x:v>
      </x:c>
      <x:c r="I218" s="12"/>
    </x:row>
    <x:row r="219">
      <x:c r="A219" s="12" t="n">
        <x:v>211</x:v>
      </x:c>
      <x:c r="B219" s="12" t="str">
        <x:v>EMI/構造</x:v>
      </x:c>
      <x:c r="C219" s="12" t="str">
        <x:v>シールドEMI低減率</x:v>
      </x:c>
      <x:c r="D219" s="12" t="str">
        <x:v>k_shield_reduce</x:v>
      </x:c>
      <x:c r="E219" s="185" t="n">
        <x:v>0.35</x:v>
      </x:c>
      <x:c r="F219" s="12" t="str">
        <x:v>-</x:v>
      </x:c>
      <x:c r="G219" s="12" t="str">
        <x:v>技術係数</x:v>
      </x:c>
      <x:c r="H219" s="12" t="str">
        <x:v>M_emi</x:v>
      </x:c>
      <x:c r="I219" s="12"/>
    </x:row>
    <x:row r="220">
      <x:c r="A220" s="12" t="n">
        <x:v>212</x:v>
      </x:c>
      <x:c r="B220" s="12" t="str">
        <x:v>センシング</x:v>
      </x:c>
      <x:c r="C220" s="12" t="str">
        <x:v>シャント抵抗</x:v>
      </x:c>
      <x:c r="D220" s="12" t="str">
        <x:v>R_shunt</x:v>
      </x:c>
      <x:c r="E220" s="185" t="n">
        <x:v>0.0005</x:v>
      </x:c>
      <x:c r="F220" s="12" t="str">
        <x:v>ohm</x:v>
      </x:c>
      <x:c r="G220" s="12" t="str">
        <x:v>設計変数</x:v>
      </x:c>
      <x:c r="H220" s="12" t="str">
        <x:v>P_shunt/M_CSA</x:v>
      </x:c>
      <x:c r="I220" s="12"/>
    </x:row>
    <x:row r="221">
      <x:c r="A221" s="12" t="n">
        <x:v>213</x:v>
      </x:c>
      <x:c r="B221" s="12" t="str">
        <x:v>センシング</x:v>
      </x:c>
      <x:c r="C221" s="12" t="str">
        <x:v>基準シャント抵抗</x:v>
      </x:c>
      <x:c r="D221" s="12" t="str">
        <x:v>R_shunt_ref</x:v>
      </x:c>
      <x:c r="E221" s="185" t="n">
        <x:v>0.0005</x:v>
      </x:c>
      <x:c r="F221" s="12" t="str">
        <x:v>ohm</x:v>
      </x:c>
      <x:c r="G221" s="12" t="str">
        <x:v>技術係数</x:v>
      </x:c>
      <x:c r="H221" s="12" t="str">
        <x:v>M_CSA</x:v>
      </x:c>
      <x:c r="I221" s="12"/>
    </x:row>
    <x:row r="222">
      <x:c r="A222" s="12" t="n">
        <x:v>214</x:v>
      </x:c>
      <x:c r="B222" s="12" t="str">
        <x:v>センシング</x:v>
      </x:c>
      <x:c r="C222" s="12" t="str">
        <x:v>基準電流アンプ重量</x:v>
      </x:c>
      <x:c r="D222" s="12" t="str">
        <x:v>m_CSA_ref</x:v>
      </x:c>
      <x:c r="E222" s="185" t="n">
        <x:v>0.035</x:v>
      </x:c>
      <x:c r="F222" s="12" t="str">
        <x:v>kg</x:v>
      </x:c>
      <x:c r="G222" s="12" t="str">
        <x:v>技術係数</x:v>
      </x:c>
      <x:c r="H222" s="12" t="str">
        <x:v>M_CSA</x:v>
      </x:c>
      <x:c r="I222" s="12"/>
    </x:row>
    <x:row r="223">
      <x:c r="A223" s="12" t="n">
        <x:v>215</x:v>
      </x:c>
      <x:c r="B223" s="12" t="str">
        <x:v>センシング</x:v>
      </x:c>
      <x:c r="C223" s="12" t="str">
        <x:v>Hall方式追加重量</x:v>
      </x:c>
      <x:c r="D223" s="12" t="str">
        <x:v>m_Hall_delta</x:v>
      </x:c>
      <x:c r="E223" s="185" t="n">
        <x:v>0.08</x:v>
      </x:c>
      <x:c r="F223" s="12" t="str">
        <x:v>kg</x:v>
      </x:c>
      <x:c r="G223" s="12" t="str">
        <x:v>技術係数</x:v>
      </x:c>
      <x:c r="H223" s="12" t="str">
        <x:v>M_sensor_option</x:v>
      </x:c>
      <x:c r="I223" s="12"/>
    </x:row>
    <x:row r="224">
      <x:c r="A224" s="12" t="n">
        <x:v>216</x:v>
      </x:c>
      <x:c r="B224" s="12" t="str">
        <x:v>センシング</x:v>
      </x:c>
      <x:c r="C224" s="12" t="str">
        <x:v>1shunt軽量化量</x:v>
      </x:c>
      <x:c r="D224" s="12" t="str">
        <x:v>m_1shunt_save</x:v>
      </x:c>
      <x:c r="E224" s="185" t="n">
        <x:v>0.06</x:v>
      </x:c>
      <x:c r="F224" s="12" t="str">
        <x:v>kg</x:v>
      </x:c>
      <x:c r="G224" s="12" t="str">
        <x:v>技術係数</x:v>
      </x:c>
      <x:c r="H224" s="12" t="str">
        <x:v>M_sensor_option</x:v>
      </x:c>
      <x:c r="I224" s="12"/>
    </x:row>
    <x:row r="225">
      <x:c r="A225" s="12" t="n">
        <x:v>217</x:v>
      </x:c>
      <x:c r="B225" s="12" t="str">
        <x:v>ゲート絶縁</x:v>
      </x:c>
      <x:c r="C225" s="12" t="str">
        <x:v>絶縁バイアス電源有効</x:v>
      </x:c>
      <x:c r="D225" s="12" t="str">
        <x:v>Enable_isolated_bias</x:v>
      </x:c>
      <x:c r="E225" s="185" t="n">
        <x:v>1</x:v>
      </x:c>
      <x:c r="F225" s="12" t="str">
        <x:v>0/1</x:v>
      </x:c>
      <x:c r="G225" s="12" t="str">
        <x:v>技術選択</x:v>
      </x:c>
      <x:c r="H225" s="12" t="str">
        <x:v>M_bias/CMTI</x:v>
      </x:c>
      <x:c r="I225" s="12"/>
    </x:row>
    <x:row r="226">
      <x:c r="A226" s="12" t="n">
        <x:v>218</x:v>
      </x:c>
      <x:c r="B226" s="12" t="str">
        <x:v>ゲート絶縁</x:v>
      </x:c>
      <x:c r="C226" s="12" t="str">
        <x:v>絶縁バイアス追加重量</x:v>
      </x:c>
      <x:c r="D226" s="12" t="str">
        <x:v>m_iso_bias</x:v>
      </x:c>
      <x:c r="E226" s="185" t="n">
        <x:v>0.09</x:v>
      </x:c>
      <x:c r="F226" s="12" t="str">
        <x:v>kg</x:v>
      </x:c>
      <x:c r="G226" s="12" t="str">
        <x:v>技術係数</x:v>
      </x:c>
      <x:c r="H226" s="12" t="str">
        <x:v>M_gate_iso</x:v>
      </x:c>
      <x:c r="I226" s="12"/>
    </x:row>
    <x:row r="227">
      <x:c r="A227" s="12" t="n">
        <x:v>219</x:v>
      </x:c>
      <x:c r="B227" s="12" t="str">
        <x:v>ゲート絶縁</x:v>
      </x:c>
      <x:c r="C227" s="12" t="str">
        <x:v>非絶縁時制御制約重量</x:v>
      </x:c>
      <x:c r="D227" s="12" t="str">
        <x:v>m_bootstrap_penalty</x:v>
      </x:c>
      <x:c r="E227" s="185" t="n">
        <x:v>0.04</x:v>
      </x:c>
      <x:c r="F227" s="12" t="str">
        <x:v>kg</x:v>
      </x:c>
      <x:c r="G227" s="12" t="str">
        <x:v>技術係数</x:v>
      </x:c>
      <x:c r="H227" s="12" t="str">
        <x:v>M_gate_iso</x:v>
      </x:c>
      <x:c r="I227" s="12"/>
    </x:row>
    <x:row r="228">
      <x:c r="A228" s="12" t="n">
        <x:v>220</x:v>
      </x:c>
      <x:c r="B228" s="12" t="str">
        <x:v>保護</x:v>
      </x:c>
      <x:c r="C228" s="12" t="str">
        <x:v>DESAT保護有効</x:v>
      </x:c>
      <x:c r="D228" s="12" t="str">
        <x:v>Enable_DESAT</x:v>
      </x:c>
      <x:c r="E228" s="185" t="n">
        <x:v>1</x:v>
      </x:c>
      <x:c r="F228" s="12" t="str">
        <x:v>0/1</x:v>
      </x:c>
      <x:c r="G228" s="12" t="str">
        <x:v>技術選択</x:v>
      </x:c>
      <x:c r="H228" s="12" t="str">
        <x:v>k_chip_eff/M_protection</x:v>
      </x:c>
      <x:c r="I228" s="12"/>
    </x:row>
    <x:row r="229">
      <x:c r="A229" s="12" t="n">
        <x:v>221</x:v>
      </x:c>
      <x:c r="B229" s="12" t="str">
        <x:v>保護</x:v>
      </x:c>
      <x:c r="C229" s="12" t="str">
        <x:v>DESAT回路重量</x:v>
      </x:c>
      <x:c r="D229" s="12" t="str">
        <x:v>m_DESAT</x:v>
      </x:c>
      <x:c r="E229" s="185" t="n">
        <x:v>0.025</x:v>
      </x:c>
      <x:c r="F229" s="12" t="str">
        <x:v>kg</x:v>
      </x:c>
      <x:c r="G229" s="12" t="str">
        <x:v>技術係数</x:v>
      </x:c>
      <x:c r="H229" s="12" t="str">
        <x:v>M_protection</x:v>
      </x:c>
      <x:c r="I229" s="12"/>
    </x:row>
    <x:row r="230">
      <x:c r="A230" s="12" t="n">
        <x:v>222</x:v>
      </x:c>
      <x:c r="B230" s="12" t="str">
        <x:v>保護</x:v>
      </x:c>
      <x:c r="C230" s="12" t="str">
        <x:v>DESATによる電流余裕低減率</x:v>
      </x:c>
      <x:c r="D230" s="12" t="str">
        <x:v>k_DESAT_margin_reduce</x:v>
      </x:c>
      <x:c r="E230" s="185" t="n">
        <x:v>0.08</x:v>
      </x:c>
      <x:c r="F230" s="12" t="str">
        <x:v>-</x:v>
      </x:c>
      <x:c r="G230" s="12" t="str">
        <x:v>技術係数</x:v>
      </x:c>
      <x:c r="H230" s="12" t="str">
        <x:v>N_chip_mod</x:v>
      </x:c>
      <x:c r="I230" s="12"/>
    </x:row>
    <x:row r="231">
      <x:c r="A231" s="12" t="n">
        <x:v>223</x:v>
      </x:c>
      <x:c r="B231" s="12" t="str">
        <x:v>保護</x:v>
      </x:c>
      <x:c r="C231" s="12" t="str">
        <x:v>クランプovershoot低減率</x:v>
      </x:c>
      <x:c r="D231" s="12" t="str">
        <x:v>k_active_clamp_reduce</x:v>
      </x:c>
      <x:c r="E231" s="185" t="n">
        <x:v>0.45</x:v>
      </x:c>
      <x:c r="F231" s="12" t="str">
        <x:v>-</x:v>
      </x:c>
      <x:c r="G231" s="12" t="str">
        <x:v>技術係数</x:v>
      </x:c>
      <x:c r="H231" s="12" t="str">
        <x:v>V_overshoot</x:v>
      </x:c>
      <x:c r="I231" s="12"/>
    </x:row>
    <x:row r="232">
      <x:c r="A232" s="12" t="n">
        <x:v>224</x:v>
      </x:c>
      <x:c r="B232" s="12" t="str">
        <x:v>保護</x:v>
      </x:c>
      <x:c r="C232" s="12" t="str">
        <x:v>クランプ回路重量</x:v>
      </x:c>
      <x:c r="D232" s="12" t="str">
        <x:v>m_active_clamp</x:v>
      </x:c>
      <x:c r="E232" s="185" t="n">
        <x:v>0.035</x:v>
      </x:c>
      <x:c r="F232" s="12" t="str">
        <x:v>kg</x:v>
      </x:c>
      <x:c r="G232" s="12" t="str">
        <x:v>技術係数</x:v>
      </x:c>
      <x:c r="H232" s="12" t="str">
        <x:v>M_active_clamp</x:v>
      </x:c>
      <x:c r="I232" s="12"/>
    </x:row>
    <x:row r="233">
      <x:c r="A233" s="12" t="n">
        <x:v>225</x:v>
      </x:c>
      <x:c r="B233" s="12" t="str">
        <x:v>保護</x:v>
      </x:c>
      <x:c r="C233" s="12" t="str">
        <x:v>クランプ損失</x:v>
      </x:c>
      <x:c r="D233" s="12" t="str">
        <x:v>P_active_clamp_on</x:v>
      </x:c>
      <x:c r="E233" s="185" t="n">
        <x:v>25</x:v>
      </x:c>
      <x:c r="F233" s="12" t="str">
        <x:v>W</x:v>
      </x:c>
      <x:c r="G233" s="12" t="str">
        <x:v>技術係数</x:v>
      </x:c>
      <x:c r="H233" s="12" t="str">
        <x:v>Q_req</x:v>
      </x:c>
      <x:c r="I233" s="12"/>
    </x:row>
    <x:row r="234">
      <x:c r="A234" s="12" t="n">
        <x:v>226</x:v>
      </x:c>
      <x:c r="B234" s="12" t="str">
        <x:v>絶縁</x:v>
      </x:c>
      <x:c r="C234" s="12" t="str">
        <x:v>高性能絶縁による距離低減率</x:v>
      </x:c>
      <x:c r="D234" s="12" t="str">
        <x:v>k_clearance_reduce</x:v>
      </x:c>
      <x:c r="E234" s="185" t="n">
        <x:v>0.3</x:v>
      </x:c>
      <x:c r="F234" s="12" t="str">
        <x:v>-</x:v>
      </x:c>
      <x:c r="G234" s="12" t="str">
        <x:v>技術係数</x:v>
      </x:c>
      <x:c r="H234" s="12" t="str">
        <x:v>M_clearance</x:v>
      </x:c>
      <x:c r="I234" s="12"/>
    </x:row>
    <x:row r="235">
      <x:c r="A235" s="12" t="n">
        <x:v>227</x:v>
      </x:c>
      <x:c r="B235" s="12" t="str">
        <x:v>絶縁</x:v>
      </x:c>
      <x:c r="C235" s="12" t="str">
        <x:v>高性能絶縁材追加重量</x:v>
      </x:c>
      <x:c r="D235" s="12" t="str">
        <x:v>m_hi_ins</x:v>
      </x:c>
      <x:c r="E235" s="185" t="n">
        <x:v>0.06</x:v>
      </x:c>
      <x:c r="F235" s="12" t="str">
        <x:v>kg</x:v>
      </x:c>
      <x:c r="G235" s="12" t="str">
        <x:v>技術係数</x:v>
      </x:c>
      <x:c r="H235" s="12" t="str">
        <x:v>M_ins_tech</x:v>
      </x:c>
      <x:c r="I235" s="12"/>
    </x:row>
    <x:row r="236">
      <x:c r="A236" s="12" t="n">
        <x:v>228</x:v>
      </x:c>
      <x:c r="B236" s="12" t="str">
        <x:v>絶縁</x:v>
      </x:c>
      <x:c r="C236" s="12" t="str">
        <x:v>基準クリアランス支持重量</x:v>
      </x:c>
      <x:c r="D236" s="12" t="str">
        <x:v>m_clearance_ref</x:v>
      </x:c>
      <x:c r="E236" s="185" t="n">
        <x:v>0.18</x:v>
      </x:c>
      <x:c r="F236" s="12" t="str">
        <x:v>kg</x:v>
      </x:c>
      <x:c r="G236" s="12" t="str">
        <x:v>技術係数</x:v>
      </x:c>
      <x:c r="H236" s="12" t="str">
        <x:v>M_clearance</x:v>
      </x:c>
      <x:c r="I236" s="12"/>
    </x:row>
    <x:row r="237">
      <x:c r="A237" s="12" t="n">
        <x:v>229</x:v>
      </x:c>
      <x:c r="B237" s="12" t="str">
        <x:v>絶縁</x:v>
      </x:c>
      <x:c r="C237" s="12" t="str">
        <x:v>ポッティング重量</x:v>
      </x:c>
      <x:c r="D237" s="12" t="str">
        <x:v>m_potting</x:v>
      </x:c>
      <x:c r="E237" s="185" t="n">
        <x:v>0.22</x:v>
      </x:c>
      <x:c r="F237" s="12" t="str">
        <x:v>kg</x:v>
      </x:c>
      <x:c r="G237" s="12" t="str">
        <x:v>技術係数</x:v>
      </x:c>
      <x:c r="H237" s="12" t="str">
        <x:v>M_potting</x:v>
      </x:c>
      <x:c r="I237" s="12"/>
    </x:row>
    <x:row r="238">
      <x:c r="A238" s="12" t="n">
        <x:v>230</x:v>
      </x:c>
      <x:c r="B238" s="12" t="str">
        <x:v>絶縁</x:v>
      </x:c>
      <x:c r="C238" s="12" t="str">
        <x:v>ポッティング距離低減率</x:v>
      </x:c>
      <x:c r="D238" s="12" t="str">
        <x:v>k_pot_clearance_reduce</x:v>
      </x:c>
      <x:c r="E238" s="185" t="n">
        <x:v>0.45</x:v>
      </x:c>
      <x:c r="F238" s="12" t="str">
        <x:v>-</x:v>
      </x:c>
      <x:c r="G238" s="12" t="str">
        <x:v>技術係数</x:v>
      </x:c>
      <x:c r="H238" s="12" t="str">
        <x:v>M_clearance</x:v>
      </x:c>
      <x:c r="I238" s="12"/>
    </x:row>
    <x:row r="239">
      <x:c r="A239" s="12" t="n">
        <x:v>231</x:v>
      </x:c>
      <x:c r="B239" s="12" t="str">
        <x:v>絶縁</x:v>
      </x:c>
      <x:c r="C239" s="12" t="str">
        <x:v>ポッティング熱ペナルティ</x:v>
      </x:c>
      <x:c r="D239" s="12" t="str">
        <x:v>k_pot_thermal</x:v>
      </x:c>
      <x:c r="E239" s="185" t="n">
        <x:v>0.08</x:v>
      </x:c>
      <x:c r="F239" s="12" t="str">
        <x:v>-</x:v>
      </x:c>
      <x:c r="G239" s="12" t="str">
        <x:v>技術係数</x:v>
      </x:c>
      <x:c r="H239" s="12" t="str">
        <x:v>M_hx</x:v>
      </x:c>
      <x:c r="I239" s="12"/>
    </x:row>
    <x:row r="240">
      <x:c r="A240" s="12" t="n">
        <x:v>232</x:v>
      </x:c>
      <x:c r="B240" s="12" t="str">
        <x:v>補助電源</x:v>
      </x:c>
      <x:c r="C240" s="12" t="str">
        <x:v>バイアス電源効率</x:v>
      </x:c>
      <x:c r="D240" s="12" t="str">
        <x:v>eta_bias</x:v>
      </x:c>
      <x:c r="E240" s="185" t="n">
        <x:v>0.82</x:v>
      </x:c>
      <x:c r="F240" s="12" t="str">
        <x:v>-</x:v>
      </x:c>
      <x:c r="G240" s="12" t="str">
        <x:v>設計変数</x:v>
      </x:c>
      <x:c r="H240" s="12" t="str">
        <x:v>P_bias_loss/M_bias_supply</x:v>
      </x:c>
      <x:c r="I240" s="12"/>
    </x:row>
    <x:row r="241">
      <x:c r="A241" s="12" t="n">
        <x:v>233</x:v>
      </x:c>
      <x:c r="B241" s="12" t="str">
        <x:v>補助電源</x:v>
      </x:c>
      <x:c r="C241" s="12" t="str">
        <x:v>バイアス電源比重量</x:v>
      </x:c>
      <x:c r="D241" s="12" t="str">
        <x:v>k_m_bias</x:v>
      </x:c>
      <x:c r="E241" s="185" t="n">
        <x:v>0.02</x:v>
      </x:c>
      <x:c r="F241" s="12" t="str">
        <x:v>kg/W</x:v>
      </x:c>
      <x:c r="G241" s="12" t="str">
        <x:v>技術係数</x:v>
      </x:c>
      <x:c r="H241" s="12" t="str">
        <x:v>M_bias_supply</x:v>
      </x:c>
      <x:c r="I241" s="12"/>
    </x:row>
    <x:row r="242">
      <x:c r="A242" s="12" t="n">
        <x:v>234</x:v>
      </x:c>
      <x:c r="B242" s="12" t="str">
        <x:v>プリチャージ</x:v>
      </x:c>
      <x:c r="C242" s="12" t="str">
        <x:v>プリチャージ回路重量</x:v>
      </x:c>
      <x:c r="D242" s="12" t="str">
        <x:v>m_precharge</x:v>
      </x:c>
      <x:c r="E242" s="185" t="n">
        <x:v>0.1</x:v>
      </x:c>
      <x:c r="F242" s="12" t="str">
        <x:v>kg</x:v>
      </x:c>
      <x:c r="G242" s="12" t="str">
        <x:v>技術係数</x:v>
      </x:c>
      <x:c r="H242" s="12" t="str">
        <x:v>M_precharge</x:v>
      </x:c>
      <x:c r="I242" s="12"/>
    </x:row>
    <x:row r="243">
      <x:c r="A243" s="12" t="n">
        <x:v>235</x:v>
      </x:c>
      <x:c r="B243" s="12" t="str">
        <x:v>プリチャージ</x:v>
      </x:c>
      <x:c r="C243" s="12" t="str">
        <x:v>コンタクタ重量低減率</x:v>
      </x:c>
      <x:c r="D243" s="12" t="str">
        <x:v>k_contactor_reduce</x:v>
      </x:c>
      <x:c r="E243" s="185" t="n">
        <x:v>0.2</x:v>
      </x:c>
      <x:c r="F243" s="12" t="str">
        <x:v>-</x:v>
      </x:c>
      <x:c r="G243" s="12" t="str">
        <x:v>技術係数</x:v>
      </x:c>
      <x:c r="H243" s="12" t="str">
        <x:v>M_contactor</x:v>
      </x:c>
      <x:c r="I243" s="12"/>
    </x:row>
    <x:row r="244">
      <x:c r="A244" s="12" t="n">
        <x:v>236</x:v>
      </x:c>
      <x:c r="B244" s="12" t="str">
        <x:v>プリチャージ</x:v>
      </x:c>
      <x:c r="C244" s="12" t="str">
        <x:v>基準コンタクタ/ヒューズ重量</x:v>
      </x:c>
      <x:c r="D244" s="12" t="str">
        <x:v>m_contactor_base</x:v>
      </x:c>
      <x:c r="E244" s="185" t="n">
        <x:v>0.35</x:v>
      </x:c>
      <x:c r="F244" s="12" t="str">
        <x:v>kg</x:v>
      </x:c>
      <x:c r="G244" s="12" t="str">
        <x:v>技術係数</x:v>
      </x:c>
      <x:c r="H244" s="12" t="str">
        <x:v>M_contactor</x:v>
      </x:c>
      <x:c r="I244" s="12"/>
    </x:row>
    <x:row r="245">
      <x:c r="A245" t="n">
        <x:v>237</x:v>
      </x:c>
      <x:c r="B245" t="str">
        <x:v>冷却</x:v>
      </x:c>
      <x:c r="C245" t="str">
        <x:v>締結圧係数</x:v>
      </x:c>
      <x:c r="D245" t="str">
        <x:v>p_mount</x:v>
      </x:c>
      <x:c r="E245" t="n">
        <x:v>1</x:v>
      </x:c>
      <x:c r="F245" t="str">
        <x:v>-</x:v>
      </x:c>
      <x:c r="G245" t="str">
        <x:v>設計基準</x:v>
      </x:c>
      <x:c r="H245" t="str">
        <x:v>Rth_TIM,m_clamp</x:v>
      </x:c>
      <x:c r="I245" t="str">
        <x:v>同一冷却構造では固定</x:v>
      </x:c>
    </x:row>
    <x:row r="246">
      <x:c r="A246" t="n">
        <x:v>238</x:v>
      </x:c>
      <x:c r="B246" t="str">
        <x:v>冷却</x:v>
      </x:c>
      <x:c r="C246" t="str">
        <x:v>フィン/流路密度係数</x:v>
      </x:c>
      <x:c r="D246" t="str">
        <x:v>fin_density</x:v>
      </x:c>
      <x:c r="E246" t="n">
        <x:v>1</x:v>
      </x:c>
      <x:c r="F246" t="str">
        <x:v>-</x:v>
      </x:c>
      <x:c r="G246" t="str">
        <x:v>設計基準</x:v>
      </x:c>
      <x:c r="H246" t="str">
        <x:v>h_eff,DeltaP</x:v>
      </x:c>
      <x:c r="I246" t="str">
        <x:v>同一冷却器技術では固定</x:v>
      </x:c>
    </x:row>
    <x:row r="247">
      <x:c r="A247" t="n">
        <x:v>239</x:v>
      </x:c>
      <x:c r="B247" t="str">
        <x:v>放電</x:v>
      </x:c>
      <x:c r="C247" t="str">
        <x:v>アクティブ放電時抵抗重量比</x:v>
      </x:c>
      <x:c r="D247" t="str">
        <x:v>k_discharge_res_mass_active</x:v>
      </x:c>
      <x:c r="E247" t="n">
        <x:v>0.35</x:v>
      </x:c>
      <x:c r="F247" t="str">
        <x:v>-</x:v>
      </x:c>
      <x:c r="G247" t="str">
        <x:v>技術係数</x:v>
      </x:c>
      <x:c r="H247" t="str">
        <x:v>M_discharge_res</x:v>
      </x:c>
      <x:c r="I247" t="str">
        <x:v>短時間定格で抵抗を小型化する簡易係数</x:v>
      </x:c>
    </x:row>
    <x:row r="248">
      <x:c r="A248" t="n">
        <x:v>240</x:v>
      </x:c>
      <x:c r="B248" t="str">
        <x:v>放電</x:v>
      </x:c>
      <x:c r="C248" t="str">
        <x:v>アクティブ放電待機損失比</x:v>
      </x:c>
      <x:c r="D248" t="str">
        <x:v>k_discharge_standby_active</x:v>
      </x:c>
      <x:c r="E248" t="n">
        <x:v>0.02</x:v>
      </x:c>
      <x:c r="F248" t="str">
        <x:v>-</x:v>
      </x:c>
      <x:c r="G248" t="str">
        <x:v>技術係数</x:v>
      </x:c>
      <x:c r="H248" t="str">
        <x:v>P_discharge_standby</x:v>
      </x:c>
      <x:c r="I248" t="str">
        <x:v>能動スイッチOFF時の残存損失比</x:v>
      </x:c>
    </x:row>
    <x:row r="249">
      <x:c r="A249" t="n">
        <x:v>241</x:v>
      </x:c>
      <x:c r="B249" t="str">
        <x:v>放電</x:v>
      </x:c>
      <x:c r="C249" t="str">
        <x:v>ブリーダ抵抗比重量</x:v>
      </x:c>
      <x:c r="D249" t="str">
        <x:v>k_m_bleed</x:v>
      </x:c>
      <x:c r="E249" t="n">
        <x:v>0.00035</x:v>
      </x:c>
      <x:c r="F249" t="str">
        <x:v>kg/W</x:v>
      </x:c>
      <x:c r="G249" t="str">
        <x:v>技術係数</x:v>
      </x:c>
      <x:c r="H249" t="str">
        <x:v>M_discharge_res</x:v>
      </x:c>
      <x:c r="I249" t="str">
        <x:v>連続定格抵抗の簡易比重量</x:v>
      </x:c>
    </x:row>
    <x:row r="250">
      <x:c r="A250" t="n">
        <x:v>242</x:v>
      </x:c>
      <x:c r="B250" t="str">
        <x:v>放電</x:v>
      </x:c>
      <x:c r="C250" t="str">
        <x:v>アクティブ放電制御重量</x:v>
      </x:c>
      <x:c r="D250" t="str">
        <x:v>m_active_discharge_ctrl</x:v>
      </x:c>
      <x:c r="E250" t="n">
        <x:v>0.05</x:v>
      </x:c>
      <x:c r="F250" t="str">
        <x:v>kg</x:v>
      </x:c>
      <x:c r="G250" t="str">
        <x:v>技術係数</x:v>
      </x:c>
      <x:c r="H250" t="str">
        <x:v>M_active_discharge_ctrl</x:v>
      </x:c>
      <x:c r="I250" t="str">
        <x:v>スイッチ/駆動/制御の等価重量</x:v>
      </x:c>
    </x:row>
    <x:row r="251">
      <x:c r="A251" t="n">
        <x:v>243</x:v>
      </x:c>
      <x:c r="B251" t="str">
        <x:v>半導体パッケージ</x:v>
      </x:c>
      <x:c r="C251" t="str">
        <x:v>高度冷却パッケージ熱抵抗低減率</x:v>
      </x:c>
      <x:c r="D251" t="str">
        <x:v>k_pkg_Rth_reduce</x:v>
      </x:c>
      <x:c r="E251" t="n">
        <x:v>0.3</x:v>
      </x:c>
      <x:c r="F251" t="str">
        <x:v>-</x:v>
      </x:c>
      <x:c r="G251" t="str">
        <x:v>技術係数</x:v>
      </x:c>
      <x:c r="H251" t="str">
        <x:v>m_hx</x:v>
      </x:c>
      <x:c r="I251" t="str">
        <x:v>上面/両面冷却等の簡易低減率</x:v>
      </x:c>
    </x:row>
    <x:row r="252">
      <x:c r="A252" t="n">
        <x:v>244</x:v>
      </x:c>
      <x:c r="B252" t="str">
        <x:v>半導体パッケージ</x:v>
      </x:c>
      <x:c r="C252" t="str">
        <x:v>高度冷却パッケージ電流密度向上率</x:v>
      </x:c>
      <x:c r="D252" t="str">
        <x:v>k_pkg_J_gain</x:v>
      </x:c>
      <x:c r="E252" t="n">
        <x:v>0.15</x:v>
      </x:c>
      <x:c r="F252" t="str">
        <x:v>-</x:v>
      </x:c>
      <x:c r="G252" t="str">
        <x:v>技術係数</x:v>
      </x:c>
      <x:c r="H252" t="str">
        <x:v>J_chip_eff</x:v>
      </x:c>
      <x:c r="I252" t="str">
        <x:v>熱制約緩和による簡易電流密度向上</x:v>
      </x:c>
    </x:row>
    <x:row r="253">
      <x:c r="A253" t="n">
        <x:v>245</x:v>
      </x:c>
      <x:c r="B253" t="str">
        <x:v>半導体パッケージ</x:v>
      </x:c>
      <x:c r="C253" t="str">
        <x:v>高度冷却パッケージ追加重量</x:v>
      </x:c>
      <x:c r="D253" t="str">
        <x:v>m_pkg_advanced_delta</x:v>
      </x:c>
      <x:c r="E253" t="n">
        <x:v>0.08</x:v>
      </x:c>
      <x:c r="F253" t="str">
        <x:v>kg</x:v>
      </x:c>
      <x:c r="G253" t="str">
        <x:v>技術係数</x:v>
      </x:c>
      <x:c r="H253" t="str">
        <x:v>M_pkg_advanced</x:v>
      </x:c>
      <x:c r="I253" t="str">
        <x:v>クランプ/絶縁/構造の追加重量</x:v>
      </x:c>
    </x:row>
    <x:row r="254">
      <x:c r="A254" t="n">
        <x:v>246</x:v>
      </x:c>
      <x:c r="B254" t="str">
        <x:v>ケーブル</x:v>
      </x:c>
      <x:c r="C254" t="str">
        <x:v>ケーブル対地容量/長さ</x:v>
      </x:c>
      <x:c r="D254" t="str">
        <x:v>C_cable_per_m</x:v>
      </x:c>
      <x:c r="E254" t="n">
        <x:v>1.5e-10</x:v>
      </x:c>
      <x:c r="F254" t="str">
        <x:v>F/m</x:v>
      </x:c>
      <x:c r="G254" t="str">
        <x:v>技術仕様</x:v>
      </x:c>
      <x:c r="H254" t="str">
        <x:v>I_cm</x:v>
      </x:c>
      <x:c r="I254" t="str">
        <x:v>ケーブル構造を固定した基準値</x:v>
      </x:c>
    </x:row>
    <x:row r="255">
      <x:c r="A255" t="n">
        <x:v>247</x:v>
      </x:c>
      <x:c r="B255" t="str">
        <x:v>ケーブル</x:v>
      </x:c>
      <x:c r="C255" t="str">
        <x:v>基準ケーブル長</x:v>
      </x:c>
      <x:c r="D255" t="str">
        <x:v>L_cable_ref</x:v>
      </x:c>
      <x:c r="E255" t="n">
        <x:v>2</x:v>
      </x:c>
      <x:c r="F255" t="str">
        <x:v>m</x:v>
      </x:c>
      <x:c r="G255" t="str">
        <x:v>設計基準</x:v>
      </x:c>
      <x:c r="H255" t="str">
        <x:v>k_cable_cm,k_cable_dvdt</x:v>
      </x:c>
      <x:c r="I255" t="str">
        <x:v>EMI重量スケーリング基準</x:v>
      </x:c>
    </x:row>
    <x:row r="256">
      <x:c r="A256" t="n">
        <x:v>248</x:v>
      </x:c>
      <x:c r="B256" t="str">
        <x:v>ケーブル</x:v>
      </x:c>
      <x:c r="C256" t="str">
        <x:v>CM重量ケーブル長指数</x:v>
      </x:c>
      <x:c r="D256" t="str">
        <x:v>a_cable_cm</x:v>
      </x:c>
      <x:c r="E256" t="n">
        <x:v>0.7</x:v>
      </x:c>
      <x:c r="F256" t="str">
        <x:v>-</x:v>
      </x:c>
      <x:c r="G256" t="str">
        <x:v>技術係数</x:v>
      </x:c>
      <x:c r="H256" t="str">
        <x:v>M_CM_filter</x:v>
      </x:c>
      <x:c r="I256" t="str">
        <x:v>簡易スケーリング</x:v>
      </x:c>
    </x:row>
    <x:row r="257">
      <x:c r="A257" t="n">
        <x:v>249</x:v>
      </x:c>
      <x:c r="B257" t="str">
        <x:v>ケーブル</x:v>
      </x:c>
      <x:c r="C257" t="str">
        <x:v>dvdt対策重量ケーブル長指数</x:v>
      </x:c>
      <x:c r="D257" t="str">
        <x:v>a_cable_dvdt</x:v>
      </x:c>
      <x:c r="E257" t="n">
        <x:v>0.5</x:v>
      </x:c>
      <x:c r="F257" t="str">
        <x:v>-</x:v>
      </x:c>
      <x:c r="G257" t="str">
        <x:v>技術係数</x:v>
      </x:c>
      <x:c r="H257" t="str">
        <x:v>M_slew_emi</x:v>
      </x:c>
      <x:c r="I257" t="str">
        <x:v>簡易スケーリング</x:v>
      </x:c>
    </x:row>
    <x:row r="258">
      <x:c r="A258" t="n">
        <x:v>250</x:v>
      </x:c>
      <x:c r="B258" t="str">
        <x:v>制御</x:v>
      </x:c>
      <x:c r="C258" t="str">
        <x:v>リップル電圧係数</x:v>
      </x:c>
      <x:c r="D258" t="str">
        <x:v>k_ripple_voltage</x:v>
      </x:c>
      <x:c r="E258" t="n">
        <x:v>0.125</x:v>
      </x:c>
      <x:c r="F258" t="str">
        <x:v>-</x:v>
      </x:c>
      <x:c r="G258" t="str">
        <x:v>設計係数</x:v>
      </x:c>
      <x:c r="H258" t="str">
        <x:v>f_sw_ripple</x:v>
      </x:c>
      <x:c r="I258" t="str">
        <x:v>PWM/変調の平均電圧ステップ簡易係数</x:v>
      </x:c>
    </x:row>
    <x:row r="259">
      <x:c r="A259" t="n">
        <x:v>251</x:v>
      </x:c>
      <x:c r="B259" t="str">
        <x:v>制御</x:v>
      </x:c>
      <x:c r="C259" t="str">
        <x:v>fsw/制御帯域倍率</x:v>
      </x:c>
      <x:c r="D259" t="str">
        <x:v>k_fsw_bw</x:v>
      </x:c>
      <x:c r="E259" t="n">
        <x:v>10</x:v>
      </x:c>
      <x:c r="F259" t="str">
        <x:v>-</x:v>
      </x:c>
      <x:c r="G259" t="str">
        <x:v>設計係数</x:v>
      </x:c>
      <x:c r="H259" t="str">
        <x:v>f_sw_bw</x:v>
      </x:c>
      <x:c r="I259" t="str">
        <x:v>制御帯域に対する最低キャリア倍率</x:v>
      </x:c>
    </x:row>
    <x:row r="260">
      <x:c r="A260" t="n">
        <x:v>252</x:v>
      </x:c>
      <x:c r="B260" t="str">
        <x:v>ゲート駆動</x:v>
      </x:c>
      <x:c r="C260" t="str">
        <x:v>Miller clampによるSW時間低減率</x:v>
      </x:c>
      <x:c r="D260" t="str">
        <x:v>k_miller_sw_reduce</x:v>
      </x:c>
      <x:c r="E260" t="n">
        <x:v>0.1</x:v>
      </x:c>
      <x:c r="F260" t="str">
        <x:v>-</x:v>
      </x:c>
      <x:c r="G260" t="str">
        <x:v>技術係数</x:v>
      </x:c>
      <x:c r="H260" t="str">
        <x:v>P_sw</x:v>
      </x:c>
      <x:c r="I260" t="str">
        <x:v>誤点弧余裕を利用した高速化の簡易係数</x:v>
      </x:c>
    </x:row>
    <x:row r="261">
      <x:c r="A261" t="n">
        <x:v>253</x:v>
      </x:c>
      <x:c r="B261" t="str">
        <x:v>ゲート駆動</x:v>
      </x:c>
      <x:c r="C261" t="str">
        <x:v>Miller clamp追加重量</x:v>
      </x:c>
      <x:c r="D261" t="str">
        <x:v>m_miller_clamp</x:v>
      </x:c>
      <x:c r="E261" t="n">
        <x:v>0.02</x:v>
      </x:c>
      <x:c r="F261" t="str">
        <x:v>kg</x:v>
      </x:c>
      <x:c r="G261" t="str">
        <x:v>技術係数</x:v>
      </x:c>
      <x:c r="H261" t="str">
        <x:v>M_miller_clamp</x:v>
      </x:c>
      <x:c r="I261" t="str">
        <x:v>専用ドライバ/クランプ回路等価重量</x:v>
      </x:c>
    </x:row>
  </x:sheetData>
  <x:mergeCells>
    <x:mergeCell ref="A1:I2"/>
    <x:mergeCell ref="A4:I6"/>
  </x:mergeCells>
  <x:pageMargins left="0.7" right="0.7" top="0.75" bottom="0.75" header="0.3" footer="0.3"/>
</x:worksheet>
</file>

<file path=xl/worksheets/sheet10.xml><?xml version="1.0" encoding="utf-8"?>
<x:worksheet xmlns:x="http://schemas.openxmlformats.org/spreadsheetml/2006/main">
  <x:sheetFormatPr defaultRowHeight="15"/>
  <x:cols>
    <x:col min="1" max="1" width="7" hidden="0" customWidth="1"/>
    <x:col min="2" max="2" width="15" hidden="0" customWidth="1"/>
    <x:col min="3" max="3" width="31" hidden="0" customWidth="1"/>
    <x:col min="4" max="4" width="24" hidden="0" customWidth="1"/>
    <x:col min="5" max="5" width="16" hidden="0" customWidth="1"/>
    <x:col min="6" max="6" width="11" hidden="0" customWidth="1"/>
    <x:col min="7" max="7" width="28" hidden="0" customWidth="1"/>
    <x:col min="8" max="8" width="42" hidden="0" customWidth="1"/>
  </x:cols>
  <x:sheetData>
    <x:row r="1">
      <x:c r="A1" s="178" t="str">
        <x:v>10_シナリオ入力：毎回の設計選択を20項目に集約</x:v>
      </x:c>
      <x:c r="B1" s="178"/>
      <x:c r="C1" s="178"/>
      <x:c r="D1" s="178"/>
      <x:c r="E1" s="178"/>
      <x:c r="F1" s="178"/>
      <x:c r="G1" s="178"/>
      <x:c r="H1" s="178"/>
    </x:row>
    <x:row r="2">
      <x:c r="A2" s="178"/>
      <x:c r="B2" s="178"/>
      <x:c r="C2" s="178"/>
      <x:c r="D2" s="178"/>
      <x:c r="E2" s="178"/>
      <x:c r="F2" s="178"/>
      <x:c r="G2" s="178"/>
      <x:c r="H2" s="178"/>
    </x:row>
    <x:row r="4">
      <x:c r="A4" s="187" t="str">
        <x:v>システム要求とは別に、シナリオごとに設計者が明示的に選択する項目だけを集約しています。01_入力仕様はこの値を自動参照します。</x:v>
      </x:c>
      <x:c r="B4" s="187"/>
      <x:c r="C4" s="187"/>
      <x:c r="D4" s="187"/>
      <x:c r="E4" s="187"/>
      <x:c r="F4" s="187"/>
      <x:c r="G4" s="187"/>
      <x:c r="H4" s="187"/>
    </x:row>
    <x:row r="5">
      <x:c r="A5" s="187"/>
      <x:c r="B5" s="187"/>
      <x:c r="C5" s="187"/>
      <x:c r="D5" s="187"/>
      <x:c r="E5" s="187"/>
      <x:c r="F5" s="187"/>
      <x:c r="G5" s="187"/>
      <x:c r="H5" s="187"/>
    </x:row>
    <x:row r="6">
      <x:c r="A6" s="187"/>
      <x:c r="B6" s="187"/>
      <x:c r="C6" s="187"/>
      <x:c r="D6" s="187"/>
      <x:c r="E6" s="187"/>
      <x:c r="F6" s="187"/>
      <x:c r="G6" s="187"/>
      <x:c r="H6" s="187"/>
    </x:row>
    <x:row r="8">
      <x:c r="A8" s="190" t="str">
        <x:v>No.</x:v>
      </x:c>
      <x:c r="B8" s="190" t="str">
        <x:v>分類</x:v>
      </x:c>
      <x:c r="C8" s="190" t="str">
        <x:v>仕様 / 技術パラメータ</x:v>
      </x:c>
      <x:c r="D8" s="190" t="str">
        <x:v>変数</x:v>
      </x:c>
      <x:c r="E8" s="190" t="str">
        <x:v>シナリオ値</x:v>
      </x:c>
      <x:c r="F8" s="190" t="str">
        <x:v>単位</x:v>
      </x:c>
      <x:c r="G8" s="190" t="str">
        <x:v>主な影響先</x:v>
      </x:c>
      <x:c r="H8" s="190" t="str">
        <x:v>備考</x:v>
      </x:c>
    </x:row>
    <x:row r="9">
      <x:c r="A9" s="12" t="n">
        <x:v>1</x:v>
      </x:c>
      <x:c r="B9" s="12" t="str">
        <x:v>ソフトスイッチング</x:v>
      </x:c>
      <x:c r="C9" s="12" t="str">
        <x:v>ソフトスイッチング有効</x:v>
      </x:c>
      <x:c r="D9" s="12" t="str">
        <x:v>Enable_SS</x:v>
      </x:c>
      <x:c r="E9" s="216" t="n">
        <x:v>0</x:v>
      </x:c>
      <x:c r="F9" s="12" t="str">
        <x:v>0/1</x:v>
      </x:c>
      <x:c r="G9" s="12" t="str">
        <x:v>P_sw低減・追加回路重量増</x:v>
      </x:c>
      <x:c r="H9" s="12" t="str">
        <x:v>0=無効, 1=有効</x:v>
      </x:c>
    </x:row>
    <x:row r="10">
      <x:c r="A10" s="12" t="n">
        <x:v>2</x:v>
      </x:c>
      <x:c r="B10" s="12" t="str">
        <x:v>スナバ</x:v>
      </x:c>
      <x:c r="C10" s="12" t="str">
        <x:v>スナバ有効</x:v>
      </x:c>
      <x:c r="D10" s="12" t="str">
        <x:v>Enable_snubber</x:v>
      </x:c>
      <x:c r="E10" s="216" t="n">
        <x:v>0</x:v>
      </x:c>
      <x:c r="F10" s="12" t="str">
        <x:v>0/1</x:v>
      </x:c>
      <x:c r="G10" s="12" t="str">
        <x:v>V_overshoot,P_snub,M_snub</x:v>
      </x:c>
      <x:c r="H10" s="12"/>
    </x:row>
    <x:row r="11">
      <x:c r="A11" s="12" t="n">
        <x:v>3</x:v>
      </x:c>
      <x:c r="B11" s="12" t="str">
        <x:v>PWM</x:v>
      </x:c>
      <x:c r="C11" s="12" t="str">
        <x:v>DPWM有効</x:v>
      </x:c>
      <x:c r="D11" s="12" t="str">
        <x:v>Enable_DPWM</x:v>
      </x:c>
      <x:c r="E11" s="216" t="n">
        <x:v>0</x:v>
      </x:c>
      <x:c r="F11" s="12" t="str">
        <x:v>0/1</x:v>
      </x:c>
      <x:c r="G11" s="12" t="str">
        <x:v>P_sw,M_DPWM_penalty</x:v>
      </x:c>
      <x:c r="H11" s="12"/>
    </x:row>
    <x:row r="12">
      <x:c r="A12" s="12" t="n">
        <x:v>4</x:v>
      </x:c>
      <x:c r="B12" s="12" t="str">
        <x:v>PWM</x:v>
      </x:c>
      <x:c r="C12" s="12" t="str">
        <x:v>CM低減PWM有効</x:v>
      </x:c>
      <x:c r="D12" s="12" t="str">
        <x:v>Enable_CM_PWM</x:v>
      </x:c>
      <x:c r="E12" s="216" t="n">
        <x:v>0</x:v>
      </x:c>
      <x:c r="F12" s="12" t="str">
        <x:v>0/1</x:v>
      </x:c>
      <x:c r="G12" s="12" t="str">
        <x:v>P_sw,M_CM_filter</x:v>
      </x:c>
      <x:c r="H12" s="12"/>
    </x:row>
    <x:row r="13">
      <x:c r="A13" s="12" t="n">
        <x:v>5</x:v>
      </x:c>
      <x:c r="B13" s="12" t="str">
        <x:v>DCリンクESL</x:v>
      </x:c>
      <x:c r="C13" s="12" t="str">
        <x:v>HFローカルデカップリング有効</x:v>
      </x:c>
      <x:c r="D13" s="12" t="str">
        <x:v>Enable_hf_decouple</x:v>
      </x:c>
      <x:c r="E13" s="216" t="n">
        <x:v>0</x:v>
      </x:c>
      <x:c r="F13" s="12" t="str">
        <x:v>0/1</x:v>
      </x:c>
      <x:c r="G13" s="12" t="str">
        <x:v>V_overshoot,M_hfcap</x:v>
      </x:c>
      <x:c r="H13" s="12"/>
    </x:row>
    <x:row r="14">
      <x:c r="A14" s="12" t="n">
        <x:v>6</x:v>
      </x:c>
      <x:c r="B14" s="12" t="str">
        <x:v>dvdtフィルタ</x:v>
      </x:c>
      <x:c r="C14" s="12" t="str">
        <x:v>dv/dtフィルタ有効</x:v>
      </x:c>
      <x:c r="D14" s="12" t="str">
        <x:v>Enable_dvdt_filter</x:v>
      </x:c>
      <x:c r="E14" s="216" t="n">
        <x:v>0</x:v>
      </x:c>
      <x:c r="F14" s="12" t="str">
        <x:v>0/1</x:v>
      </x:c>
      <x:c r="G14" s="12" t="str">
        <x:v>EMI,M_filter</x:v>
      </x:c>
      <x:c r="H14" s="12"/>
    </x:row>
    <x:row r="15">
      <x:c r="A15" s="12" t="n">
        <x:v>7</x:v>
      </x:c>
      <x:c r="B15" s="12" t="str">
        <x:v>CMフィルタ</x:v>
      </x:c>
      <x:c r="C15" s="12" t="str">
        <x:v>追加CMフィルタ有効</x:v>
      </x:c>
      <x:c r="D15" s="12" t="str">
        <x:v>Enable_CM_filter</x:v>
      </x:c>
      <x:c r="E15" s="216" t="n">
        <x:v>0</x:v>
      </x:c>
      <x:c r="F15" s="12" t="str">
        <x:v>0/1</x:v>
      </x:c>
      <x:c r="G15" s="12" t="str">
        <x:v>CM,M_filter</x:v>
      </x:c>
      <x:c r="H15" s="12"/>
    </x:row>
    <x:row r="16">
      <x:c r="A16" s="12" t="n">
        <x:v>8</x:v>
      </x:c>
      <x:c r="B16" s="12" t="str">
        <x:v>EMI/構造</x:v>
      </x:c>
      <x:c r="C16" s="12" t="str">
        <x:v>シールド有効</x:v>
      </x:c>
      <x:c r="D16" s="12" t="str">
        <x:v>Enable_shield</x:v>
      </x:c>
      <x:c r="E16" s="216" t="n">
        <x:v>0</x:v>
      </x:c>
      <x:c r="F16" s="12" t="str">
        <x:v>0/1</x:v>
      </x:c>
      <x:c r="G16" s="12" t="str">
        <x:v>EMI低減/重量増</x:v>
      </x:c>
      <x:c r="H16" s="12"/>
    </x:row>
    <x:row r="17">
      <x:c r="A17" s="12" t="n">
        <x:v>9</x:v>
      </x:c>
      <x:c r="B17" s="12" t="str">
        <x:v>保護</x:v>
      </x:c>
      <x:c r="C17" s="12" t="str">
        <x:v>アクティブクランプ有効</x:v>
      </x:c>
      <x:c r="D17" s="12" t="str">
        <x:v>Enable_active_clamp</x:v>
      </x:c>
      <x:c r="E17" s="216" t="n">
        <x:v>0</x:v>
      </x:c>
      <x:c r="F17" s="12" t="str">
        <x:v>0/1</x:v>
      </x:c>
      <x:c r="G17" s="12" t="str">
        <x:v>overshoot/M_clamp</x:v>
      </x:c>
      <x:c r="H17" s="12"/>
    </x:row>
    <x:row r="18">
      <x:c r="A18" s="12" t="n">
        <x:v>10</x:v>
      </x:c>
      <x:c r="B18" s="12" t="str">
        <x:v>絶縁</x:v>
      </x:c>
      <x:c r="C18" s="12" t="str">
        <x:v>高性能絶縁材有効</x:v>
      </x:c>
      <x:c r="D18" s="12" t="str">
        <x:v>Enable_hi_ins</x:v>
      </x:c>
      <x:c r="E18" s="216" t="n">
        <x:v>0</x:v>
      </x:c>
      <x:c r="F18" s="12" t="str">
        <x:v>0/1</x:v>
      </x:c>
      <x:c r="G18" s="12" t="str">
        <x:v>clearance/M_ins</x:v>
      </x:c>
      <x:c r="H18" s="12"/>
    </x:row>
    <x:row r="19">
      <x:c r="A19" s="12" t="n">
        <x:v>11</x:v>
      </x:c>
      <x:c r="B19" s="12" t="str">
        <x:v>絶縁</x:v>
      </x:c>
      <x:c r="C19" s="12" t="str">
        <x:v>ポッティング有効</x:v>
      </x:c>
      <x:c r="D19" s="12" t="str">
        <x:v>Enable_potting</x:v>
      </x:c>
      <x:c r="E19" s="216" t="n">
        <x:v>0</x:v>
      </x:c>
      <x:c r="F19" s="12" t="str">
        <x:v>0/1</x:v>
      </x:c>
      <x:c r="G19" s="12" t="str">
        <x:v>clearance/M_pot/Rth</x:v>
      </x:c>
      <x:c r="H19" s="12"/>
    </x:row>
    <x:row r="20">
      <x:c r="A20" s="12" t="n">
        <x:v>12</x:v>
      </x:c>
      <x:c r="B20" s="12" t="str">
        <x:v>プリチャージ</x:v>
      </x:c>
      <x:c r="C20" s="12" t="str">
        <x:v>プリチャージ有効</x:v>
      </x:c>
      <x:c r="D20" s="12" t="str">
        <x:v>Enable_precharge</x:v>
      </x:c>
      <x:c r="E20" s="216" t="n">
        <x:v>1</x:v>
      </x:c>
      <x:c r="F20" s="12" t="str">
        <x:v>0/1</x:v>
      </x:c>
      <x:c r="G20" s="12" t="str">
        <x:v>contactor/M_precharge</x:v>
      </x:c>
      <x:c r="H20" s="12"/>
    </x:row>
    <x:row r="21">
      <x:c r="A21" s="12" t="n">
        <x:v>13</x:v>
      </x:c>
      <x:c r="B21" s="12" t="str">
        <x:v>バスバー</x:v>
      </x:c>
      <x:c r="C21" s="12" t="str">
        <x:v>Al導体選択</x:v>
      </x:c>
      <x:c r="D21" s="12" t="str">
        <x:v>Enable_Al_bus</x:v>
      </x:c>
      <x:c r="E21" s="216" t="n">
        <x:v>0</x:v>
      </x:c>
      <x:c r="F21" s="12" t="str">
        <x:v>0/1</x:v>
      </x:c>
      <x:c r="G21" s="12" t="str">
        <x:v>rho_bus,rho_e_bus</x:v>
      </x:c>
      <x:c r="H21" s="12"/>
    </x:row>
    <x:row r="22">
      <x:c r="A22" s="12" t="n">
        <x:v>14</x:v>
      </x:c>
      <x:c r="B22" s="12" t="str">
        <x:v>バスバー</x:v>
      </x:c>
      <x:c r="C22" s="12" t="str">
        <x:v>積層数</x:v>
      </x:c>
      <x:c r="D22" s="12" t="str">
        <x:v>N_laminate</x:v>
      </x:c>
      <x:c r="E22" s="216" t="n">
        <x:v>1</x:v>
      </x:c>
      <x:c r="F22" s="12" t="str">
        <x:v>-</x:v>
      </x:c>
      <x:c r="G22" s="12" t="str">
        <x:v>k_ac_bus,M_laminate</x:v>
      </x:c>
      <x:c r="H22" s="12"/>
    </x:row>
    <x:row r="23">
      <x:c r="A23" s="12" t="n">
        <x:v>15</x:v>
      </x:c>
      <x:c r="B23" s="12" t="str">
        <x:v>ゲート駆動</x:v>
      </x:c>
      <x:c r="C23" s="12" t="str">
        <x:v>ターンオンゲート抵抗</x:v>
      </x:c>
      <x:c r="D23" s="12" t="str">
        <x:v>R_g_on</x:v>
      </x:c>
      <x:c r="E23" s="216" t="n">
        <x:v>4</x:v>
      </x:c>
      <x:c r="F23" s="12" t="str">
        <x:v>Ω</x:v>
      </x:c>
      <x:c r="G23" s="12" t="str">
        <x:v>t_on,dvdt,P_sw</x:v>
      </x:c>
      <x:c r="H23" s="12" t="str">
        <x:v>小さいほど高速</x:v>
      </x:c>
    </x:row>
    <x:row r="24">
      <x:c r="A24" s="12" t="n">
        <x:v>16</x:v>
      </x:c>
      <x:c r="B24" s="12" t="str">
        <x:v>ゲート駆動</x:v>
      </x:c>
      <x:c r="C24" s="12" t="str">
        <x:v>ターンオフゲート抵抗</x:v>
      </x:c>
      <x:c r="D24" s="12" t="str">
        <x:v>R_g_off</x:v>
      </x:c>
      <x:c r="E24" s="216" t="n">
        <x:v>4</x:v>
      </x:c>
      <x:c r="F24" s="12" t="str">
        <x:v>Ω</x:v>
      </x:c>
      <x:c r="G24" s="12" t="str">
        <x:v>t_off,di_dt,P_sw</x:v>
      </x:c>
      <x:c r="H24" s="12" t="str">
        <x:v>小さいほど高速</x:v>
      </x:c>
    </x:row>
    <x:row r="25">
      <x:c r="A25" s="12" t="n">
        <x:v>17</x:v>
      </x:c>
      <x:c r="B25" s="12" t="str">
        <x:v>センシング</x:v>
      </x:c>
      <x:c r="C25" s="12" t="str">
        <x:v>電流検出方式</x:v>
      </x:c>
      <x:c r="D25" s="12" t="str">
        <x:v>Sense_mode</x:v>
      </x:c>
      <x:c r="E25" s="216" t="n">
        <x:v>0</x:v>
      </x:c>
      <x:c r="F25" s="12" t="str">
        <x:v>0/1/2</x:v>
      </x:c>
      <x:c r="G25" s="12" t="str">
        <x:v>M_sensor/Psense</x:v>
      </x:c>
      <x:c r="H25" s="12" t="str">
        <x:v>0=3shunt,1=1shunt,2=Hall</x:v>
      </x:c>
    </x:row>
    <x:row r="26">
      <x:c r="A26" s="12" t="n">
        <x:v>18</x:v>
      </x:c>
      <x:c r="B26" s="12" t="str">
        <x:v>DCリンク/安全</x:v>
      </x:c>
      <x:c r="C26" s="12" t="str">
        <x:v>アクティブディスチャージ有効</x:v>
      </x:c>
      <x:c r="D26" s="12" t="str">
        <x:v>Enable_active_discharge</x:v>
      </x:c>
      <x:c r="E26" s="216" t="n">
        <x:v>0</x:v>
      </x:c>
      <x:c r="F26" s="12" t="str">
        <x:v>0/1</x:v>
      </x:c>
      <x:c r="G26" s="12" t="str">
        <x:v>M_discharge/P_standby</x:v>
      </x:c>
      <x:c r="H26" s="12" t="str">
        <x:v>0=受動ブリーダ,1=アクティブ放電</x:v>
      </x:c>
    </x:row>
    <x:row r="27">
      <x:c r="A27" s="12" t="n">
        <x:v>19</x:v>
      </x:c>
      <x:c r="B27" s="12" t="str">
        <x:v>半導体熱</x:v>
      </x:c>
      <x:c r="C27" s="12" t="str">
        <x:v>高度冷却パッケージ有効</x:v>
      </x:c>
      <x:c r="D27" s="12" t="str">
        <x:v>Package_cooling_mode</x:v>
      </x:c>
      <x:c r="E27" s="216" t="n">
        <x:v>0</x:v>
      </x:c>
      <x:c r="F27" s="12" t="str">
        <x:v>0/1</x:v>
      </x:c>
      <x:c r="G27" s="12" t="str">
        <x:v>M_cool/J_chip/M_semi</x:v>
      </x:c>
      <x:c r="H27" s="12" t="str">
        <x:v>0=標準,1=上面/両面等の高度冷却</x:v>
      </x:c>
    </x:row>
    <x:row r="28">
      <x:c r="A28" s="12" t="n">
        <x:v>20</x:v>
      </x:c>
      <x:c r="B28" s="12" t="str">
        <x:v>ゲート駆動</x:v>
      </x:c>
      <x:c r="C28" s="12" t="str">
        <x:v>Miller clamp有効</x:v>
      </x:c>
      <x:c r="D28" s="12" t="str">
        <x:v>Enable_Miller_clamp</x:v>
      </x:c>
      <x:c r="E28" s="216" t="n">
        <x:v>0</x:v>
      </x:c>
      <x:c r="F28" s="12" t="str">
        <x:v>0/1</x:v>
      </x:c>
      <x:c r="G28" s="12" t="str">
        <x:v>P_sw/M_gate</x:v>
      </x:c>
      <x:c r="H28" s="12" t="str">
        <x:v>0=無効,1=有効</x:v>
      </x:c>
    </x:row>
  </x:sheetData>
  <x:mergeCells>
    <x:mergeCell ref="A1:H2"/>
    <x:mergeCell ref="A4:H6"/>
  </x:mergeCells>
  <x:dataValidations count="20">
    <x:dataValidation type="list" sqref="E10">
      <x:formula1>"0,1"</x:formula1>
    </x:dataValidation>
    <x:dataValidation type="list" sqref="E13">
      <x:formula1>"0,1"</x:formula1>
    </x:dataValidation>
    <x:dataValidation type="list" sqref="E14">
      <x:formula1>"0,1"</x:formula1>
    </x:dataValidation>
    <x:dataValidation type="list" sqref="E15">
      <x:formula1>"0,1"</x:formula1>
    </x:dataValidation>
    <x:dataValidation type="list" sqref="E16">
      <x:formula1>"0,1"</x:formula1>
    </x:dataValidation>
    <x:dataValidation type="list" sqref="E21">
      <x:formula1>"0,1"</x:formula1>
    </x:dataValidation>
    <x:dataValidation type="list" sqref="E22">
      <x:formula1>"0,1"</x:formula1>
    </x:dataValidation>
    <x:dataValidation type="list" sqref="E23">
      <x:formula1>"0,1"</x:formula1>
    </x:dataValidation>
    <x:dataValidation type="list" sqref="E25">
      <x:formula1>"0,1,2"</x:formula1>
    </x:dataValidation>
    <x:dataValidation type="list" sqref="E26">
      <x:formula1>"0,1"</x:formula1>
    </x:dataValidation>
    <x:dataValidation type="list" sqref="E27">
      <x:formula1>"0,1"</x:formula1>
    </x:dataValidation>
    <x:dataValidation type="list" sqref="E28">
      <x:formula1>"0,1"</x:formula1>
    </x:dataValidation>
    <x:dataValidation type="list" sqref="E19">
      <x:formula1>"0,1"</x:formula1>
    </x:dataValidation>
    <x:dataValidation type="list" sqref="E24">
      <x:formula1>"0,1,2"</x:formula1>
    </x:dataValidation>
    <x:dataValidation type="list" sqref="E9">
      <x:formula1>"0,1"</x:formula1>
    </x:dataValidation>
    <x:dataValidation type="list" sqref="E11">
      <x:formula1>"0,1"</x:formula1>
    </x:dataValidation>
    <x:dataValidation type="list" sqref="E12">
      <x:formula1>"0,1"</x:formula1>
    </x:dataValidation>
    <x:dataValidation type="list" sqref="E17">
      <x:formula1>"0,1"</x:formula1>
    </x:dataValidation>
    <x:dataValidation type="list" sqref="E18">
      <x:formula1>"0,1"</x:formula1>
    </x:dataValidation>
    <x:dataValidation type="list" sqref="E20">
      <x:formula1>"0,1"</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15" hidden="0" customWidth="1"/>
    <x:col min="3" max="3" width="28" hidden="0" customWidth="1"/>
    <x:col min="4" max="4" width="22" hidden="0" customWidth="1"/>
    <x:col min="5" max="5" width="15" hidden="0" customWidth="1"/>
    <x:col min="6" max="6" width="11" hidden="0" customWidth="1"/>
    <x:col min="7" max="7" width="26" hidden="0" customWidth="1"/>
    <x:col min="8" max="8" width="20" hidden="0" customWidth="1"/>
    <x:col min="9" max="9" width="30" hidden="0" customWidth="1"/>
    <x:col min="10" max="10" width="15" hidden="0" customWidth="1"/>
    <x:col min="11" max="11" width="11" hidden="0" customWidth="1"/>
    <x:col min="12" max="12" width="40" hidden="0" customWidth="1"/>
  </x:cols>
  <x:sheetData>
    <x:row r="1">
      <x:c r="A1" s="178" t="str">
        <x:v>11_入力分類一覧：全入力の参照元と編集頻度</x:v>
      </x:c>
      <x:c r="B1" s="178"/>
      <x:c r="C1" s="178"/>
      <x:c r="D1" s="178"/>
      <x:c r="E1" s="178"/>
      <x:c r="F1" s="178"/>
      <x:c r="G1" s="178"/>
      <x:c r="H1" s="178"/>
      <x:c r="I1" s="178"/>
      <x:c r="J1" s="178"/>
      <x:c r="K1" s="178"/>
      <x:c r="L1" s="178"/>
    </x:row>
    <x:row r="2">
      <x:c r="A2" s="178"/>
      <x:c r="B2" s="178"/>
      <x:c r="C2" s="178"/>
      <x:c r="D2" s="178"/>
      <x:c r="E2" s="178"/>
      <x:c r="F2" s="178"/>
      <x:c r="G2" s="178"/>
      <x:c r="H2" s="178"/>
      <x:c r="I2" s="178"/>
      <x:c r="J2" s="178"/>
      <x:c r="K2" s="178"/>
      <x:c r="L2" s="178"/>
    </x:row>
    <x:row r="4">
      <x:c r="A4" s="218" t="str">
        <x:v>分類</x:v>
      </x:c>
      <x:c r="B4" s="218" t="str">
        <x:v>項目数</x:v>
      </x:c>
      <x:c r="D4" s="192" t="str">
        <x:v>参照元</x:v>
      </x:c>
      <x:c r="E4" s="192" t="str">
        <x:v>編集頻度</x:v>
      </x:c>
      <x:c r="F4" s="192" t="str">
        <x:v>役割</x:v>
      </x:c>
    </x:row>
    <x:row r="5">
      <x:c r="A5" t="str">
        <x:v>システム要求→自動計算</x:v>
      </x:c>
      <x:c r="B5" t="n">
        <x:v>18</x:v>
      </x:c>
      <x:c r="D5" t="str">
        <x:v>07_システム要求</x:v>
      </x:c>
      <x:c r="E5" t="str">
        <x:v>シナリオごと</x:v>
      </x:c>
      <x:c r="F5" t="str">
        <x:v>上位要求</x:v>
      </x:c>
    </x:row>
    <x:row r="6">
      <x:c r="A6" t="str">
        <x:v>シナリオ固有手入力</x:v>
      </x:c>
      <x:c r="B6" t="n">
        <x:v>20</x:v>
      </x:c>
      <x:c r="D6" t="str">
        <x:v>10_シナリオ入力</x:v>
      </x:c>
      <x:c r="E6" t="str">
        <x:v>シナリオごと</x:v>
      </x:c>
      <x:c r="F6" t="str">
        <x:v>20項目の技術選択</x:v>
      </x:c>
    </x:row>
    <x:row r="7">
      <x:c r="A7" t="str">
        <x:v>基準仕様（シナリオ間固定）</x:v>
      </x:c>
      <x:c r="B7" t="n">
        <x:v>253</x:v>
      </x:c>
      <x:c r="D7" t="str">
        <x:v>09_基準仕様</x:v>
      </x:c>
      <x:c r="E7" t="str">
        <x:v>原則固定</x:v>
      </x:c>
      <x:c r="F7" t="str">
        <x:v>材料・技術基準</x:v>
      </x:c>
    </x:row>
    <x:row r="10">
      <x:c r="A10" s="219" t="str">
        <x:v>元行</x:v>
      </x:c>
      <x:c r="B10" s="219" t="str">
        <x:v>分類</x:v>
      </x:c>
      <x:c r="C10" s="219" t="str">
        <x:v>仕様</x:v>
      </x:c>
      <x:c r="D10" s="219" t="str">
        <x:v>変数</x:v>
      </x:c>
      <x:c r="E10" s="219" t="str">
        <x:v>現在値</x:v>
      </x:c>
      <x:c r="F10" s="219" t="str">
        <x:v>単位</x:v>
      </x:c>
      <x:c r="G10" s="219" t="str">
        <x:v>新分類</x:v>
      </x:c>
      <x:c r="H10" s="219" t="str">
        <x:v>参照元</x:v>
      </x:c>
      <x:c r="I10" s="219" t="str">
        <x:v>ユーザー操作</x:v>
      </x:c>
      <x:c r="J10" s="219" t="str">
        <x:v>旧入力区分</x:v>
      </x:c>
      <x:c r="K10" s="219" t="str">
        <x:v>感度対象</x:v>
      </x:c>
      <x:c r="L10" s="219" t="str">
        <x:v>備考</x:v>
      </x:c>
    </x:row>
    <x:row r="11">
      <x:c r="A11" s="12" t="n">
        <x:v>5</x:v>
      </x:c>
      <x:c r="B11" s="12" t="str">
        <x:v>システム要求</x:v>
      </x:c>
      <x:c r="C11" s="12" t="str">
        <x:v>定格出力</x:v>
      </x:c>
      <x:c r="D11" s="12" t="str">
        <x:v>P_out</x:v>
      </x:c>
      <x:c r="E11" s="12" t="n">
        <x:v>100</x:v>
      </x:c>
      <x:c r="F11" s="12" t="str">
        <x:v>kW</x:v>
      </x:c>
      <x:c r="G11" s="12" t="str">
        <x:v>システム要求→自動計算</x:v>
      </x:c>
      <x:c r="H11" s="12" t="str">
        <x:v>07_システム要求</x:v>
      </x:c>
      <x:c r="I11" s="12" t="str">
        <x:v>システム要求のみ編集</x:v>
      </x:c>
      <x:c r="J11" s="12" t="str">
        <x:v>固定要求</x:v>
      </x:c>
      <x:c r="K11" s="12" t="str">
        <x:v>対象外</x:v>
      </x:c>
      <x:c r="L11" s="12" t="str">
        <x:v>上位アプリケーションで決定</x:v>
      </x:c>
    </x:row>
    <x:row r="12">
      <x:c r="A12" s="12" t="n">
        <x:v>6</x:v>
      </x:c>
      <x:c r="B12" s="12" t="str">
        <x:v>製品仕様</x:v>
      </x:c>
      <x:c r="C12" s="12" t="str">
        <x:v>DCバス電圧</x:v>
      </x:c>
      <x:c r="D12" s="12" t="str">
        <x:v>V_dc</x:v>
      </x:c>
      <x:c r="E12" s="12" t="n">
        <x:v>800</x:v>
      </x:c>
      <x:c r="F12" s="12" t="str">
        <x:v>V</x:v>
      </x:c>
      <x:c r="G12" s="12" t="str">
        <x:v>システム要求→自動計算</x:v>
      </x:c>
      <x:c r="H12" s="12" t="str">
        <x:v>07_システム要求</x:v>
      </x:c>
      <x:c r="I12" s="12" t="str">
        <x:v>システム要求のみ編集</x:v>
      </x:c>
      <x:c r="J12" s="12" t="str">
        <x:v>設計変数</x:v>
      </x:c>
      <x:c r="K12" s="12" t="str">
        <x:v>対象</x:v>
      </x:c>
      <x:c r="L12" s="12" t="str">
        <x:v>変更余地あり</x:v>
      </x:c>
    </x:row>
    <x:row r="13">
      <x:c r="A13" s="12" t="n">
        <x:v>7</x:v>
      </x:c>
      <x:c r="B13" s="12" t="str">
        <x:v>製品仕様</x:v>
      </x:c>
      <x:c r="C13" s="12" t="str">
        <x:v>モータ線間電圧RMS</x:v>
      </x:c>
      <x:c r="D13" s="12" t="str">
        <x:v>V_ll</x:v>
      </x:c>
      <x:c r="E13" s="12" t="n">
        <x:v>400</x:v>
      </x:c>
      <x:c r="F13" s="12" t="str">
        <x:v>V</x:v>
      </x:c>
      <x:c r="G13" s="12" t="str">
        <x:v>システム要求→自動計算</x:v>
      </x:c>
      <x:c r="H13" s="12" t="str">
        <x:v>07_システム要求</x:v>
      </x:c>
      <x:c r="I13" s="12" t="str">
        <x:v>システム要求のみ編集</x:v>
      </x:c>
      <x:c r="J13" s="12" t="str">
        <x:v>設計変数</x:v>
      </x:c>
      <x:c r="K13" s="12" t="str">
        <x:v>対象</x:v>
      </x:c>
      <x:c r="L13" s="12" t="str">
        <x:v>モータ巻線構成等で変更余地</x:v>
      </x:c>
    </x:row>
    <x:row r="14">
      <x:c r="A14" s="12" t="n">
        <x:v>8</x:v>
      </x:c>
      <x:c r="B14" s="12" t="str">
        <x:v>製品仕様</x:v>
      </x:c>
      <x:c r="C14" s="12" t="str">
        <x:v>力率</x:v>
      </x:c>
      <x:c r="D14" s="12" t="str">
        <x:v>PF</x:v>
      </x:c>
      <x:c r="E14" s="12" t="n">
        <x:v>0.95</x:v>
      </x:c>
      <x:c r="F14" s="12" t="str">
        <x:v>-</x:v>
      </x:c>
      <x:c r="G14" s="12" t="str">
        <x:v>システム要求→自動計算</x:v>
      </x:c>
      <x:c r="H14" s="12" t="str">
        <x:v>07_システム要求</x:v>
      </x:c>
      <x:c r="I14" s="12" t="str">
        <x:v>システム要求のみ編集</x:v>
      </x:c>
      <x:c r="J14" s="12" t="str">
        <x:v>設計変数</x:v>
      </x:c>
      <x:c r="K14" s="12" t="str">
        <x:v>対象</x:v>
      </x:c>
      <x:c r="L14" s="12" t="str">
        <x:v>モータ/制御で改善余地</x:v>
      </x:c>
    </x:row>
    <x:row r="15">
      <x:c r="A15" s="12" t="n">
        <x:v>9</x:v>
      </x:c>
      <x:c r="B15" s="12" t="str">
        <x:v>製品仕様</x:v>
      </x:c>
      <x:c r="C15" s="12" t="str">
        <x:v>インバータ効率</x:v>
      </x:c>
      <x:c r="D15" s="12" t="str">
        <x:v>eta</x:v>
      </x:c>
      <x:c r="E15" s="12" t="n">
        <x:v>0.97</x:v>
      </x:c>
      <x:c r="F15" s="12" t="str">
        <x:v>-</x:v>
      </x:c>
      <x:c r="G15" s="12" t="str">
        <x:v>システム要求→自動計算</x:v>
      </x:c>
      <x:c r="H15" s="12" t="str">
        <x:v>07_システム要求</x:v>
      </x:c>
      <x:c r="I15" s="12" t="str">
        <x:v>システム要求のみ編集</x:v>
      </x:c>
      <x:c r="J15" s="12" t="str">
        <x:v>設計変数</x:v>
      </x:c>
      <x:c r="K15" s="12" t="str">
        <x:v>対象</x:v>
      </x:c>
      <x:c r="L15" s="12" t="str">
        <x:v>簡易扱い</x:v>
      </x:c>
    </x:row>
    <x:row r="16">
      <x:c r="A16" s="12" t="n">
        <x:v>10</x:v>
      </x:c>
      <x:c r="B16" s="12" t="str">
        <x:v>製品仕様</x:v>
      </x:c>
      <x:c r="C16" s="12" t="str">
        <x:v>スイッチング周波数</x:v>
      </x:c>
      <x:c r="D16" s="12" t="str">
        <x:v>f_sw</x:v>
      </x:c>
      <x:c r="E16" s="12" t="n">
        <x:v>16000</x:v>
      </x:c>
      <x:c r="F16" s="12" t="str">
        <x:v>Hz</x:v>
      </x:c>
      <x:c r="G16" s="12" t="str">
        <x:v>システム要求→自動計算</x:v>
      </x:c>
      <x:c r="H16" s="12" t="str">
        <x:v>07_システム要求</x:v>
      </x:c>
      <x:c r="I16" s="12" t="str">
        <x:v>システム要求のみ編集</x:v>
      </x:c>
      <x:c r="J16" s="12" t="str">
        <x:v>設計変数</x:v>
      </x:c>
      <x:c r="K16" s="12" t="str">
        <x:v>対象</x:v>
      </x:c>
      <x:c r="L16" s="12" t="str">
        <x:v>主要トレードオフ</x:v>
      </x:c>
    </x:row>
    <x:row r="17">
      <x:c r="A17" s="12" t="n">
        <x:v>11</x:v>
      </x:c>
      <x:c r="B17" s="12" t="str">
        <x:v>製品仕様</x:v>
      </x:c>
      <x:c r="C17" s="12" t="str">
        <x:v>許容DC電圧リップル率</x:v>
      </x:c>
      <x:c r="D17" s="12" t="str">
        <x:v>r_vdc</x:v>
      </x:c>
      <x:c r="E17" s="12" t="n">
        <x:v>0.05</x:v>
      </x:c>
      <x:c r="F17" s="12" t="str">
        <x:v>-</x:v>
      </x:c>
      <x:c r="G17" s="12" t="str">
        <x:v>基準仕様（シナリオ間固定）</x:v>
      </x:c>
      <x:c r="H17" s="12" t="str">
        <x:v>09_基準仕様</x:v>
      </x:c>
      <x:c r="I17" s="12" t="str">
        <x:v>通常は編集しない</x:v>
      </x:c>
      <x:c r="J17" s="12" t="str">
        <x:v>設計変数</x:v>
      </x:c>
      <x:c r="K17" s="12" t="str">
        <x:v>対象</x:v>
      </x:c>
      <x:c r="L17" s="12"/>
    </x:row>
    <x:row r="18">
      <x:c r="A18" s="12" t="n">
        <x:v>12</x:v>
      </x:c>
      <x:c r="B18" s="12" t="str">
        <x:v>製品仕様</x:v>
      </x:c>
      <x:c r="C18" s="12" t="str">
        <x:v>DCリンクバッファ時間</x:v>
      </x:c>
      <x:c r="D18" s="12" t="str">
        <x:v>t_buf</x:v>
      </x:c>
      <x:c r="E18" s="12" t="n">
        <x:v>0.0005</x:v>
      </x:c>
      <x:c r="F18" s="12" t="str">
        <x:v>s</x:v>
      </x:c>
      <x:c r="G18" s="12" t="str">
        <x:v>基準仕様（シナリオ間固定）</x:v>
      </x:c>
      <x:c r="H18" s="12" t="str">
        <x:v>09_基準仕様</x:v>
      </x:c>
      <x:c r="I18" s="12" t="str">
        <x:v>通常は編集しない</x:v>
      </x:c>
      <x:c r="J18" s="12" t="str">
        <x:v>設計変数</x:v>
      </x:c>
      <x:c r="K18" s="12" t="str">
        <x:v>対象</x:v>
      </x:c>
      <x:c r="L18" s="12"/>
    </x:row>
    <x:row r="19">
      <x:c r="A19" s="12" t="n">
        <x:v>13</x:v>
      </x:c>
      <x:c r="B19" s="12" t="str">
        <x:v>半導体</x:v>
      </x:c>
      <x:c r="C19" s="12" t="str">
        <x:v>パワーモジュール個数</x:v>
      </x:c>
      <x:c r="D19" s="12" t="str">
        <x:v>N_mod</x:v>
      </x:c>
      <x:c r="E19" s="12" t="n">
        <x:v>6</x:v>
      </x:c>
      <x:c r="F19" s="12" t="str">
        <x:v>個</x:v>
      </x:c>
      <x:c r="G19" s="12" t="str">
        <x:v>基準仕様（シナリオ間固定）</x:v>
      </x:c>
      <x:c r="H19" s="12" t="str">
        <x:v>09_基準仕様</x:v>
      </x:c>
      <x:c r="I19" s="12" t="str">
        <x:v>通常は編集しない</x:v>
      </x:c>
      <x:c r="J19" s="12" t="str">
        <x:v>設計変数</x:v>
      </x:c>
      <x:c r="K19" s="12" t="str">
        <x:v>対象</x:v>
      </x:c>
      <x:c r="L19" s="12"/>
    </x:row>
    <x:row r="20">
      <x:c r="A20" s="12" t="n">
        <x:v>14</x:v>
      </x:c>
      <x:c r="B20" s="12" t="str">
        <x:v>半導体</x:v>
      </x:c>
      <x:c r="C20" s="12" t="str">
        <x:v>DC電圧→必要耐圧係数</x:v>
      </x:c>
      <x:c r="D20" s="12" t="str">
        <x:v>K_vblk</x:v>
      </x:c>
      <x:c r="E20" s="12" t="n">
        <x:v>1.25</x:v>
      </x:c>
      <x:c r="F20" s="12" t="str">
        <x:v>-</x:v>
      </x:c>
      <x:c r="G20" s="12" t="str">
        <x:v>基準仕様（シナリオ間固定）</x:v>
      </x:c>
      <x:c r="H20" s="12" t="str">
        <x:v>09_基準仕様</x:v>
      </x:c>
      <x:c r="I20" s="12" t="str">
        <x:v>通常は編集しない</x:v>
      </x:c>
      <x:c r="J20" s="12" t="str">
        <x:v>技術係数</x:v>
      </x:c>
      <x:c r="K20" s="12" t="str">
        <x:v>対象</x:v>
      </x:c>
      <x:c r="L20" s="12" t="str">
        <x:v>サージ/マージン簡略化</x:v>
      </x:c>
    </x:row>
    <x:row r="21">
      <x:c r="A21" s="12" t="n">
        <x:v>15</x:v>
      </x:c>
      <x:c r="B21" s="12" t="str">
        <x:v>半導体</x:v>
      </x:c>
      <x:c r="C21" s="12" t="str">
        <x:v>ドリフト層電界利用率</x:v>
      </x:c>
      <x:c r="D21" s="12" t="str">
        <x:v>k_Euse</x:v>
      </x:c>
      <x:c r="E21" s="12" t="n">
        <x:v>0.72</x:v>
      </x:c>
      <x:c r="F21" s="12" t="str">
        <x:v>-</x:v>
      </x:c>
      <x:c r="G21" s="12" t="str">
        <x:v>基準仕様（シナリオ間固定）</x:v>
      </x:c>
      <x:c r="H21" s="12" t="str">
        <x:v>09_基準仕様</x:v>
      </x:c>
      <x:c r="I21" s="12" t="str">
        <x:v>通常は編集しない</x:v>
      </x:c>
      <x:c r="J21" s="12" t="str">
        <x:v>技術係数</x:v>
      </x:c>
      <x:c r="K21" s="12" t="str">
        <x:v>対象</x:v>
      </x:c>
      <x:c r="L21" s="12"/>
    </x:row>
    <x:row r="22">
      <x:c r="A22" s="12" t="n">
        <x:v>16</x:v>
      </x:c>
      <x:c r="B22" s="12" t="str">
        <x:v>半導体</x:v>
      </x:c>
      <x:c r="C22" s="12" t="str">
        <x:v>材料臨界電界</x:v>
      </x:c>
      <x:c r="D22" s="12" t="str">
        <x:v>E_crit</x:v>
      </x:c>
      <x:c r="E22" s="12" t="n">
        <x:v>250000000</x:v>
      </x:c>
      <x:c r="F22" s="12" t="str">
        <x:v>V/m</x:v>
      </x:c>
      <x:c r="G22" s="12" t="str">
        <x:v>基準仕様（シナリオ間固定）</x:v>
      </x:c>
      <x:c r="H22" s="12" t="str">
        <x:v>09_基準仕様</x:v>
      </x:c>
      <x:c r="I22" s="12" t="str">
        <x:v>通常は編集しない</x:v>
      </x:c>
      <x:c r="J22" s="12" t="str">
        <x:v>材料</x:v>
      </x:c>
      <x:c r="K22" s="12" t="str">
        <x:v>対象</x:v>
      </x:c>
      <x:c r="L22" s="12" t="str">
        <x:v>SiC簡易値</x:v>
      </x:c>
    </x:row>
    <x:row r="23">
      <x:c r="A23" s="12" t="n">
        <x:v>17</x:v>
      </x:c>
      <x:c r="B23" s="12" t="str">
        <x:v>半導体</x:v>
      </x:c>
      <x:c r="C23" s="12" t="str">
        <x:v>ドリフト層厚余裕係数</x:v>
      </x:c>
      <x:c r="D23" s="12" t="str">
        <x:v>K_tdrift</x:v>
      </x:c>
      <x:c r="E23" s="12" t="n">
        <x:v>1.15</x:v>
      </x:c>
      <x:c r="F23" s="12" t="str">
        <x:v>-</x:v>
      </x:c>
      <x:c r="G23" s="12" t="str">
        <x:v>基準仕様（シナリオ間固定）</x:v>
      </x:c>
      <x:c r="H23" s="12" t="str">
        <x:v>09_基準仕様</x:v>
      </x:c>
      <x:c r="I23" s="12" t="str">
        <x:v>通常は編集しない</x:v>
      </x:c>
      <x:c r="J23" s="12" t="str">
        <x:v>技術係数</x:v>
      </x:c>
      <x:c r="K23" s="12" t="str">
        <x:v>対象</x:v>
      </x:c>
      <x:c r="L23" s="12"/>
    </x:row>
    <x:row r="24">
      <x:c r="A24" s="12" t="n">
        <x:v>18</x:v>
      </x:c>
      <x:c r="B24" s="12" t="str">
        <x:v>半導体</x:v>
      </x:c>
      <x:c r="C24" s="12" t="str">
        <x:v>基準ドーピング濃度</x:v>
      </x:c>
      <x:c r="D24" s="12" t="str">
        <x:v>N_d_ref</x:v>
      </x:c>
      <x:c r="E24" s="12" t="n">
        <x:v>8e+21</x:v>
      </x:c>
      <x:c r="F24" s="12" t="str">
        <x:v>1/m³</x:v>
      </x:c>
      <x:c r="G24" s="12" t="str">
        <x:v>基準仕様（シナリオ間固定）</x:v>
      </x:c>
      <x:c r="H24" s="12" t="str">
        <x:v>09_基準仕様</x:v>
      </x:c>
      <x:c r="I24" s="12" t="str">
        <x:v>通常は編集しない</x:v>
      </x:c>
      <x:c r="J24" s="12" t="str">
        <x:v>材料</x:v>
      </x:c>
      <x:c r="K24" s="12" t="str">
        <x:v>対象</x:v>
      </x:c>
      <x:c r="L24" s="12" t="str">
        <x:v>説明用</x:v>
      </x:c>
    </x:row>
    <x:row r="25">
      <x:c r="A25" s="12" t="n">
        <x:v>19</x:v>
      </x:c>
      <x:c r="B25" s="12" t="str">
        <x:v>半導体</x:v>
      </x:c>
      <x:c r="C25" s="12" t="str">
        <x:v>耐圧基準</x:v>
      </x:c>
      <x:c r="D25" s="12" t="str">
        <x:v>V_ref_nd</x:v>
      </x:c>
      <x:c r="E25" s="12" t="n">
        <x:v>1200</x:v>
      </x:c>
      <x:c r="F25" s="12" t="str">
        <x:v>V</x:v>
      </x:c>
      <x:c r="G25" s="12" t="str">
        <x:v>基準仕様（シナリオ間固定）</x:v>
      </x:c>
      <x:c r="H25" s="12" t="str">
        <x:v>09_基準仕様</x:v>
      </x:c>
      <x:c r="I25" s="12" t="str">
        <x:v>通常は編集しない</x:v>
      </x:c>
      <x:c r="J25" s="12" t="str">
        <x:v>技術係数</x:v>
      </x:c>
      <x:c r="K25" s="12" t="str">
        <x:v>対象</x:v>
      </x:c>
      <x:c r="L25" s="12"/>
    </x:row>
    <x:row r="26">
      <x:c r="A26" s="12" t="n">
        <x:v>20</x:v>
      </x:c>
      <x:c r="B26" s="12" t="str">
        <x:v>半導体</x:v>
      </x:c>
      <x:c r="C26" s="12" t="str">
        <x:v>ドーピング耐圧指数</x:v>
      </x:c>
      <x:c r="D26" s="12" t="str">
        <x:v>a_nd</x:v>
      </x:c>
      <x:c r="E26" s="12" t="n">
        <x:v>1.2</x:v>
      </x:c>
      <x:c r="F26" s="12" t="str">
        <x:v>-</x:v>
      </x:c>
      <x:c r="G26" s="12" t="str">
        <x:v>基準仕様（シナリオ間固定）</x:v>
      </x:c>
      <x:c r="H26" s="12" t="str">
        <x:v>09_基準仕様</x:v>
      </x:c>
      <x:c r="I26" s="12" t="str">
        <x:v>通常は編集しない</x:v>
      </x:c>
      <x:c r="J26" s="12" t="str">
        <x:v>技術係数</x:v>
      </x:c>
      <x:c r="K26" s="12" t="str">
        <x:v>対象</x:v>
      </x:c>
      <x:c r="L26" s="12" t="str">
        <x:v>N∝V^-a</x:v>
      </x:c>
    </x:row>
    <x:row r="27">
      <x:c r="A27" s="12" t="n">
        <x:v>21</x:v>
      </x:c>
      <x:c r="B27" s="12" t="str">
        <x:v>半導体</x:v>
      </x:c>
      <x:c r="C27" s="12" t="str">
        <x:v>電子移動度</x:v>
      </x:c>
      <x:c r="D27" s="12" t="str">
        <x:v>mu_n</x:v>
      </x:c>
      <x:c r="E27" s="12" t="n">
        <x:v>0.08</x:v>
      </x:c>
      <x:c r="F27" s="12" t="str">
        <x:v>m²/(V·s)</x:v>
      </x:c>
      <x:c r="G27" s="12" t="str">
        <x:v>基準仕様（シナリオ間固定）</x:v>
      </x:c>
      <x:c r="H27" s="12" t="str">
        <x:v>09_基準仕様</x:v>
      </x:c>
      <x:c r="I27" s="12" t="str">
        <x:v>通常は編集しない</x:v>
      </x:c>
      <x:c r="J27" s="12" t="str">
        <x:v>材料</x:v>
      </x:c>
      <x:c r="K27" s="12" t="str">
        <x:v>対象</x:v>
      </x:c>
      <x:c r="L27" s="12" t="str">
        <x:v>説明用SiC</x:v>
      </x:c>
    </x:row>
    <x:row r="28">
      <x:c r="A28" s="12" t="n">
        <x:v>22</x:v>
      </x:c>
      <x:c r="B28" s="12" t="str">
        <x:v>半導体</x:v>
      </x:c>
      <x:c r="C28" s="12" t="str">
        <x:v>素電荷</x:v>
      </x:c>
      <x:c r="D28" s="12" t="str">
        <x:v>q_e</x:v>
      </x:c>
      <x:c r="E28" s="12" t="n">
        <x:v>1.602e-19</x:v>
      </x:c>
      <x:c r="F28" s="12" t="str">
        <x:v>C</x:v>
      </x:c>
      <x:c r="G28" s="12" t="str">
        <x:v>基準仕様（シナリオ間固定）</x:v>
      </x:c>
      <x:c r="H28" s="12" t="str">
        <x:v>09_基準仕様</x:v>
      </x:c>
      <x:c r="I28" s="12" t="str">
        <x:v>通常は編集しない</x:v>
      </x:c>
      <x:c r="J28" s="12" t="str">
        <x:v>固定定数</x:v>
      </x:c>
      <x:c r="K28" s="12" t="str">
        <x:v>対象外</x:v>
      </x:c>
      <x:c r="L28" s="12" t="str">
        <x:v>物理定数</x:v>
      </x:c>
    </x:row>
    <x:row r="29">
      <x:c r="A29" s="12" t="n">
        <x:v>23</x:v>
      </x:c>
      <x:c r="B29" s="12" t="str">
        <x:v>半導体</x:v>
      </x:c>
      <x:c r="C29" s="12" t="str">
        <x:v>比オン抵抗補正係数</x:v>
      </x:c>
      <x:c r="D29" s="12" t="str">
        <x:v>K_rsp</x:v>
      </x:c>
      <x:c r="E29" s="12" t="n">
        <x:v>1</x:v>
      </x:c>
      <x:c r="F29" s="12" t="str">
        <x:v>-</x:v>
      </x:c>
      <x:c r="G29" s="12" t="str">
        <x:v>基準仕様（シナリオ間固定）</x:v>
      </x:c>
      <x:c r="H29" s="12" t="str">
        <x:v>09_基準仕様</x:v>
      </x:c>
      <x:c r="I29" s="12" t="str">
        <x:v>通常は編集しない</x:v>
      </x:c>
      <x:c r="J29" s="12" t="str">
        <x:v>技術係数</x:v>
      </x:c>
      <x:c r="K29" s="12" t="str">
        <x:v>対象</x:v>
      </x:c>
      <x:c r="L29" s="12"/>
    </x:row>
    <x:row r="30">
      <x:c r="A30" s="12" t="n">
        <x:v>24</x:v>
      </x:c>
      <x:c r="B30" s="12" t="str">
        <x:v>半導体</x:v>
      </x:c>
      <x:c r="C30" s="12" t="str">
        <x:v>セル/コンタクト抵抗面積積</x:v>
      </x:c>
      <x:c r="D30" s="12" t="str">
        <x:v>Rsp_cell</x:v>
      </x:c>
      <x:c r="E30" s="12" t="n">
        <x:v>0.0015</x:v>
      </x:c>
      <x:c r="F30" s="12" t="str">
        <x:v>Ω·mm²</x:v>
      </x:c>
      <x:c r="G30" s="12" t="str">
        <x:v>基準仕様（シナリオ間固定）</x:v>
      </x:c>
      <x:c r="H30" s="12" t="str">
        <x:v>09_基準仕様</x:v>
      </x:c>
      <x:c r="I30" s="12" t="str">
        <x:v>通常は編集しない</x:v>
      </x:c>
      <x:c r="J30" s="12" t="str">
        <x:v>技術係数</x:v>
      </x:c>
      <x:c r="K30" s="12" t="str">
        <x:v>対象</x:v>
      </x:c>
      <x:c r="L30" s="12" t="str">
        <x:v>説明用</x:v>
      </x:c>
    </x:row>
    <x:row r="31">
      <x:c r="A31" s="12" t="n">
        <x:v>25</x:v>
      </x:c>
      <x:c r="B31" s="12" t="str">
        <x:v>半導体</x:v>
      </x:c>
      <x:c r="C31" s="12" t="str">
        <x:v>チップ面積</x:v>
      </x:c>
      <x:c r="D31" s="12" t="str">
        <x:v>A_chip</x:v>
      </x:c>
      <x:c r="E31" s="12" t="n">
        <x:v>100</x:v>
      </x:c>
      <x:c r="F31" s="12" t="str">
        <x:v>mm²</x:v>
      </x:c>
      <x:c r="G31" s="12" t="str">
        <x:v>基準仕様（シナリオ間固定）</x:v>
      </x:c>
      <x:c r="H31" s="12" t="str">
        <x:v>09_基準仕様</x:v>
      </x:c>
      <x:c r="I31" s="12" t="str">
        <x:v>通常は編集しない</x:v>
      </x:c>
      <x:c r="J31" s="12" t="str">
        <x:v>設計変数</x:v>
      </x:c>
      <x:c r="K31" s="12" t="str">
        <x:v>対象</x:v>
      </x:c>
      <x:c r="L31" s="12" t="str">
        <x:v>主要トレードオフ</x:v>
      </x:c>
    </x:row>
    <x:row r="32">
      <x:c r="A32" s="12" t="n">
        <x:v>26</x:v>
      </x:c>
      <x:c r="B32" s="12" t="str">
        <x:v>半導体</x:v>
      </x:c>
      <x:c r="C32" s="12" t="str">
        <x:v>チップ厚さ</x:v>
      </x:c>
      <x:c r="D32" s="12" t="str">
        <x:v>t_chip</x:v>
      </x:c>
      <x:c r="E32" s="12" t="n">
        <x:v>0.18</x:v>
      </x:c>
      <x:c r="F32" s="12" t="str">
        <x:v>mm</x:v>
      </x:c>
      <x:c r="G32" s="12" t="str">
        <x:v>基準仕様（シナリオ間固定）</x:v>
      </x:c>
      <x:c r="H32" s="12" t="str">
        <x:v>09_基準仕様</x:v>
      </x:c>
      <x:c r="I32" s="12" t="str">
        <x:v>通常は編集しない</x:v>
      </x:c>
      <x:c r="J32" s="12" t="str">
        <x:v>設計変数</x:v>
      </x:c>
      <x:c r="K32" s="12" t="str">
        <x:v>対象</x:v>
      </x:c>
      <x:c r="L32" s="12"/>
    </x:row>
    <x:row r="33">
      <x:c r="A33" s="12" t="n">
        <x:v>27</x:v>
      </x:c>
      <x:c r="B33" s="12" t="str">
        <x:v>半導体</x:v>
      </x:c>
      <x:c r="C33" s="12" t="str">
        <x:v>チップ密度</x:v>
      </x:c>
      <x:c r="D33" s="12" t="str">
        <x:v>rho_chip</x:v>
      </x:c>
      <x:c r="E33" s="12" t="n">
        <x:v>3210</x:v>
      </x:c>
      <x:c r="F33" s="12" t="str">
        <x:v>kg/m³</x:v>
      </x:c>
      <x:c r="G33" s="12" t="str">
        <x:v>基準仕様（シナリオ間固定）</x:v>
      </x:c>
      <x:c r="H33" s="12" t="str">
        <x:v>09_基準仕様</x:v>
      </x:c>
      <x:c r="I33" s="12" t="str">
        <x:v>通常は編集しない</x:v>
      </x:c>
      <x:c r="J33" s="12" t="str">
        <x:v>材料</x:v>
      </x:c>
      <x:c r="K33" s="12" t="str">
        <x:v>対象</x:v>
      </x:c>
      <x:c r="L33" s="12" t="str">
        <x:v>SiC</x:v>
      </x:c>
    </x:row>
    <x:row r="34">
      <x:c r="A34" s="12" t="n">
        <x:v>28</x:v>
      </x:c>
      <x:c r="B34" s="12" t="str">
        <x:v>半導体</x:v>
      </x:c>
      <x:c r="C34" s="12" t="str">
        <x:v>出力容量面積係数</x:v>
      </x:c>
      <x:c r="D34" s="12" t="str">
        <x:v>Coss_area_ref</x:v>
      </x:c>
      <x:c r="E34" s="12" t="n">
        <x:v>0.55</x:v>
      </x:c>
      <x:c r="F34" s="12" t="str">
        <x:v>nF/mm²</x:v>
      </x:c>
      <x:c r="G34" s="12" t="str">
        <x:v>基準仕様（シナリオ間固定）</x:v>
      </x:c>
      <x:c r="H34" s="12" t="str">
        <x:v>09_基準仕様</x:v>
      </x:c>
      <x:c r="I34" s="12" t="str">
        <x:v>通常は編集しない</x:v>
      </x:c>
      <x:c r="J34" s="12" t="str">
        <x:v>技術係数</x:v>
      </x:c>
      <x:c r="K34" s="12" t="str">
        <x:v>対象</x:v>
      </x:c>
      <x:c r="L34" s="12" t="str">
        <x:v>説明用</x:v>
      </x:c>
    </x:row>
    <x:row r="35">
      <x:c r="A35" s="12" t="n">
        <x:v>29</x:v>
      </x:c>
      <x:c r="B35" s="12" t="str">
        <x:v>半導体</x:v>
      </x:c>
      <x:c r="C35" s="12" t="str">
        <x:v>容量耐圧指数</x:v>
      </x:c>
      <x:c r="D35" s="12" t="str">
        <x:v>b_coss</x:v>
      </x:c>
      <x:c r="E35" s="12" t="n">
        <x:v>0.35</x:v>
      </x:c>
      <x:c r="F35" s="12" t="str">
        <x:v>-</x:v>
      </x:c>
      <x:c r="G35" s="12" t="str">
        <x:v>基準仕様（シナリオ間固定）</x:v>
      </x:c>
      <x:c r="H35" s="12" t="str">
        <x:v>09_基準仕様</x:v>
      </x:c>
      <x:c r="I35" s="12" t="str">
        <x:v>通常は編集しない</x:v>
      </x:c>
      <x:c r="J35" s="12" t="str">
        <x:v>技術係数</x:v>
      </x:c>
      <x:c r="K35" s="12" t="str">
        <x:v>対象</x:v>
      </x:c>
      <x:c r="L35" s="12" t="str">
        <x:v>Coss∝V^-b</x:v>
      </x:c>
    </x:row>
    <x:row r="36">
      <x:c r="A36" s="12" t="n">
        <x:v>30</x:v>
      </x:c>
      <x:c r="B36" s="12" t="str">
        <x:v>半導体</x:v>
      </x:c>
      <x:c r="C36" s="12" t="str">
        <x:v>容量耐圧基準</x:v>
      </x:c>
      <x:c r="D36" s="12" t="str">
        <x:v>V_ref_coss</x:v>
      </x:c>
      <x:c r="E36" s="12" t="n">
        <x:v>1200</x:v>
      </x:c>
      <x:c r="F36" s="12" t="str">
        <x:v>V</x:v>
      </x:c>
      <x:c r="G36" s="12" t="str">
        <x:v>基準仕様（シナリオ間固定）</x:v>
      </x:c>
      <x:c r="H36" s="12" t="str">
        <x:v>09_基準仕様</x:v>
      </x:c>
      <x:c r="I36" s="12" t="str">
        <x:v>通常は編集しない</x:v>
      </x:c>
      <x:c r="J36" s="12" t="str">
        <x:v>技術係数</x:v>
      </x:c>
      <x:c r="K36" s="12" t="str">
        <x:v>対象</x:v>
      </x:c>
      <x:c r="L36" s="12"/>
    </x:row>
    <x:row r="37">
      <x:c r="A37" s="12" t="n">
        <x:v>31</x:v>
      </x:c>
      <x:c r="B37" s="12" t="str">
        <x:v>半導体</x:v>
      </x:c>
      <x:c r="C37" s="12" t="str">
        <x:v>スイッチングエネルギー容量係数</x:v>
      </x:c>
      <x:c r="D37" s="12" t="str">
        <x:v>K_esw</x:v>
      </x:c>
      <x:c r="E37" s="12" t="n">
        <x:v>1</x:v>
      </x:c>
      <x:c r="F37" s="12" t="str">
        <x:v>-</x:v>
      </x:c>
      <x:c r="G37" s="12" t="str">
        <x:v>基準仕様（シナリオ間固定）</x:v>
      </x:c>
      <x:c r="H37" s="12" t="str">
        <x:v>09_基準仕様</x:v>
      </x:c>
      <x:c r="I37" s="12" t="str">
        <x:v>通常は編集しない</x:v>
      </x:c>
      <x:c r="J37" s="12" t="str">
        <x:v>技術係数</x:v>
      </x:c>
      <x:c r="K37" s="12" t="str">
        <x:v>対象</x:v>
      </x:c>
      <x:c r="L37" s="12" t="str">
        <x:v>0.5CV²簡略化</x:v>
      </x:c>
    </x:row>
    <x:row r="38">
      <x:c r="A38" s="12" t="n">
        <x:v>32</x:v>
      </x:c>
      <x:c r="B38" s="12" t="str">
        <x:v>半導体</x:v>
      </x:c>
      <x:c r="C38" s="12" t="str">
        <x:v>チップ数係数</x:v>
      </x:c>
      <x:c r="D38" s="12" t="str">
        <x:v>k_chip</x:v>
      </x:c>
      <x:c r="E38" s="12" t="n">
        <x:v>1.25</x:v>
      </x:c>
      <x:c r="F38" s="12" t="str">
        <x:v>-</x:v>
      </x:c>
      <x:c r="G38" s="12" t="str">
        <x:v>基準仕様（シナリオ間固定）</x:v>
      </x:c>
      <x:c r="H38" s="12" t="str">
        <x:v>09_基準仕様</x:v>
      </x:c>
      <x:c r="I38" s="12" t="str">
        <x:v>通常は編集しない</x:v>
      </x:c>
      <x:c r="J38" s="12" t="str">
        <x:v>技術係数</x:v>
      </x:c>
      <x:c r="K38" s="12" t="str">
        <x:v>対象</x:v>
      </x:c>
      <x:c r="L38" s="12"/>
    </x:row>
    <x:row r="39">
      <x:c r="A39" s="12" t="n">
        <x:v>33</x:v>
      </x:c>
      <x:c r="B39" s="12" t="str">
        <x:v>半導体</x:v>
      </x:c>
      <x:c r="C39" s="12" t="str">
        <x:v>チップ許容電流密度</x:v>
      </x:c>
      <x:c r="D39" s="12" t="str">
        <x:v>J_chip</x:v>
      </x:c>
      <x:c r="E39" s="12" t="n">
        <x:v>1.15</x:v>
      </x:c>
      <x:c r="F39" s="12" t="str">
        <x:v>A/mm²</x:v>
      </x:c>
      <x:c r="G39" s="12" t="str">
        <x:v>基準仕様（シナリオ間固定）</x:v>
      </x:c>
      <x:c r="H39" s="12" t="str">
        <x:v>09_基準仕様</x:v>
      </x:c>
      <x:c r="I39" s="12" t="str">
        <x:v>通常は編集しない</x:v>
      </x:c>
      <x:c r="J39" s="12" t="str">
        <x:v>設計変数</x:v>
      </x:c>
      <x:c r="K39" s="12" t="str">
        <x:v>対象</x:v>
      </x:c>
      <x:c r="L39" s="12"/>
    </x:row>
    <x:row r="40">
      <x:c r="A40" s="12" t="n">
        <x:v>34</x:v>
      </x:c>
      <x:c r="B40" s="12" t="str">
        <x:v>半導体</x:v>
      </x:c>
      <x:c r="C40" s="12" t="str">
        <x:v>チップ有効面積率</x:v>
      </x:c>
      <x:c r="D40" s="12" t="str">
        <x:v>k_active</x:v>
      </x:c>
      <x:c r="E40" s="12" t="n">
        <x:v>0.72</x:v>
      </x:c>
      <x:c r="F40" s="12" t="str">
        <x:v>-</x:v>
      </x:c>
      <x:c r="G40" s="12" t="str">
        <x:v>基準仕様（シナリオ間固定）</x:v>
      </x:c>
      <x:c r="H40" s="12" t="str">
        <x:v>09_基準仕様</x:v>
      </x:c>
      <x:c r="I40" s="12" t="str">
        <x:v>通常は編集しない</x:v>
      </x:c>
      <x:c r="J40" s="12" t="str">
        <x:v>技術係数</x:v>
      </x:c>
      <x:c r="K40" s="12" t="str">
        <x:v>対象</x:v>
      </x:c>
      <x:c r="L40" s="12"/>
    </x:row>
    <x:row r="41">
      <x:c r="A41" s="12" t="n">
        <x:v>35</x:v>
      </x:c>
      <x:c r="B41" s="12" t="str">
        <x:v>半導体</x:v>
      </x:c>
      <x:c r="C41" s="12" t="str">
        <x:v>DBC面積</x:v>
      </x:c>
      <x:c r="D41" s="12" t="str">
        <x:v>A_dbc</x:v>
      </x:c>
      <x:c r="E41" s="12" t="n">
        <x:v>4200</x:v>
      </x:c>
      <x:c r="F41" s="12" t="str">
        <x:v>mm²</x:v>
      </x:c>
      <x:c r="G41" s="12" t="str">
        <x:v>基準仕様（シナリオ間固定）</x:v>
      </x:c>
      <x:c r="H41" s="12" t="str">
        <x:v>09_基準仕様</x:v>
      </x:c>
      <x:c r="I41" s="12" t="str">
        <x:v>通常は編集しない</x:v>
      </x:c>
      <x:c r="J41" s="12" t="str">
        <x:v>設計変数</x:v>
      </x:c>
      <x:c r="K41" s="12" t="str">
        <x:v>対象</x:v>
      </x:c>
      <x:c r="L41" s="12"/>
    </x:row>
    <x:row r="42">
      <x:c r="A42" s="12" t="n">
        <x:v>36</x:v>
      </x:c>
      <x:c r="B42" s="12" t="str">
        <x:v>半導体</x:v>
      </x:c>
      <x:c r="C42" s="12" t="str">
        <x:v>DBC等価厚さ</x:v>
      </x:c>
      <x:c r="D42" s="12" t="str">
        <x:v>t_dbc</x:v>
      </x:c>
      <x:c r="E42" s="12" t="n">
        <x:v>0.92</x:v>
      </x:c>
      <x:c r="F42" s="12" t="str">
        <x:v>mm</x:v>
      </x:c>
      <x:c r="G42" s="12" t="str">
        <x:v>基準仕様（シナリオ間固定）</x:v>
      </x:c>
      <x:c r="H42" s="12" t="str">
        <x:v>09_基準仕様</x:v>
      </x:c>
      <x:c r="I42" s="12" t="str">
        <x:v>通常は編集しない</x:v>
      </x:c>
      <x:c r="J42" s="12" t="str">
        <x:v>設計変数</x:v>
      </x:c>
      <x:c r="K42" s="12" t="str">
        <x:v>対象</x:v>
      </x:c>
      <x:c r="L42" s="12"/>
    </x:row>
    <x:row r="43">
      <x:c r="A43" s="12" t="n">
        <x:v>37</x:v>
      </x:c>
      <x:c r="B43" s="12" t="str">
        <x:v>半導体</x:v>
      </x:c>
      <x:c r="C43" s="12" t="str">
        <x:v>DBC等価密度</x:v>
      </x:c>
      <x:c r="D43" s="12" t="str">
        <x:v>rho_dbc</x:v>
      </x:c>
      <x:c r="E43" s="12" t="n">
        <x:v>4000</x:v>
      </x:c>
      <x:c r="F43" s="12" t="str">
        <x:v>kg/m³</x:v>
      </x:c>
      <x:c r="G43" s="12" t="str">
        <x:v>基準仕様（シナリオ間固定）</x:v>
      </x:c>
      <x:c r="H43" s="12" t="str">
        <x:v>09_基準仕様</x:v>
      </x:c>
      <x:c r="I43" s="12" t="str">
        <x:v>通常は編集しない</x:v>
      </x:c>
      <x:c r="J43" s="12" t="str">
        <x:v>材料</x:v>
      </x:c>
      <x:c r="K43" s="12" t="str">
        <x:v>対象</x:v>
      </x:c>
      <x:c r="L43" s="12"/>
    </x:row>
    <x:row r="44">
      <x:c r="A44" s="12" t="n">
        <x:v>38</x:v>
      </x:c>
      <x:c r="B44" s="12" t="str">
        <x:v>半導体</x:v>
      </x:c>
      <x:c r="C44" s="12" t="str">
        <x:v>ベース面積</x:v>
      </x:c>
      <x:c r="D44" s="12" t="str">
        <x:v>A_base</x:v>
      </x:c>
      <x:c r="E44" s="12" t="n">
        <x:v>5000</x:v>
      </x:c>
      <x:c r="F44" s="12" t="str">
        <x:v>mm²</x:v>
      </x:c>
      <x:c r="G44" s="12" t="str">
        <x:v>基準仕様（シナリオ間固定）</x:v>
      </x:c>
      <x:c r="H44" s="12" t="str">
        <x:v>09_基準仕様</x:v>
      </x:c>
      <x:c r="I44" s="12" t="str">
        <x:v>通常は編集しない</x:v>
      </x:c>
      <x:c r="J44" s="12" t="str">
        <x:v>設計変数</x:v>
      </x:c>
      <x:c r="K44" s="12" t="str">
        <x:v>対象</x:v>
      </x:c>
      <x:c r="L44" s="12"/>
    </x:row>
    <x:row r="45">
      <x:c r="A45" s="12" t="n">
        <x:v>39</x:v>
      </x:c>
      <x:c r="B45" s="12" t="str">
        <x:v>半導体</x:v>
      </x:c>
      <x:c r="C45" s="12" t="str">
        <x:v>ベース厚さ</x:v>
      </x:c>
      <x:c r="D45" s="12" t="str">
        <x:v>t_base</x:v>
      </x:c>
      <x:c r="E45" s="12" t="n">
        <x:v>3</x:v>
      </x:c>
      <x:c r="F45" s="12" t="str">
        <x:v>mm</x:v>
      </x:c>
      <x:c r="G45" s="12" t="str">
        <x:v>基準仕様（シナリオ間固定）</x:v>
      </x:c>
      <x:c r="H45" s="12" t="str">
        <x:v>09_基準仕様</x:v>
      </x:c>
      <x:c r="I45" s="12" t="str">
        <x:v>通常は編集しない</x:v>
      </x:c>
      <x:c r="J45" s="12" t="str">
        <x:v>設計変数</x:v>
      </x:c>
      <x:c r="K45" s="12" t="str">
        <x:v>対象</x:v>
      </x:c>
      <x:c r="L45" s="12"/>
    </x:row>
    <x:row r="46">
      <x:c r="A46" s="12" t="n">
        <x:v>40</x:v>
      </x:c>
      <x:c r="B46" s="12" t="str">
        <x:v>半導体</x:v>
      </x:c>
      <x:c r="C46" s="12" t="str">
        <x:v>ベース密度</x:v>
      </x:c>
      <x:c r="D46" s="12" t="str">
        <x:v>rho_base</x:v>
      </x:c>
      <x:c r="E46" s="12" t="n">
        <x:v>2700</x:v>
      </x:c>
      <x:c r="F46" s="12" t="str">
        <x:v>kg/m³</x:v>
      </x:c>
      <x:c r="G46" s="12" t="str">
        <x:v>基準仕様（シナリオ間固定）</x:v>
      </x:c>
      <x:c r="H46" s="12" t="str">
        <x:v>09_基準仕様</x:v>
      </x:c>
      <x:c r="I46" s="12" t="str">
        <x:v>通常は編集しない</x:v>
      </x:c>
      <x:c r="J46" s="12" t="str">
        <x:v>材料</x:v>
      </x:c>
      <x:c r="K46" s="12" t="str">
        <x:v>対象</x:v>
      </x:c>
      <x:c r="L46" s="12" t="str">
        <x:v>Al</x:v>
      </x:c>
    </x:row>
    <x:row r="47">
      <x:c r="A47" s="12" t="n">
        <x:v>41</x:v>
      </x:c>
      <x:c r="B47" s="12" t="str">
        <x:v>半導体</x:v>
      </x:c>
      <x:c r="C47" s="12" t="str">
        <x:v>封止・端子重量/モジュール</x:v>
      </x:c>
      <x:c r="D47" s="12" t="str">
        <x:v>m_pkg</x:v>
      </x:c>
      <x:c r="E47" s="12" t="n">
        <x:v>0.075</x:v>
      </x:c>
      <x:c r="F47" s="12" t="str">
        <x:v>kg</x:v>
      </x:c>
      <x:c r="G47" s="12" t="str">
        <x:v>基準仕様（シナリオ間固定）</x:v>
      </x:c>
      <x:c r="H47" s="12" t="str">
        <x:v>09_基準仕様</x:v>
      </x:c>
      <x:c r="I47" s="12" t="str">
        <x:v>通常は編集しない</x:v>
      </x:c>
      <x:c r="J47" s="12" t="str">
        <x:v>設計変数</x:v>
      </x:c>
      <x:c r="K47" s="12" t="str">
        <x:v>対象</x:v>
      </x:c>
      <x:c r="L47" s="12"/>
    </x:row>
    <x:row r="48">
      <x:c r="A48" s="12" t="n">
        <x:v>42</x:v>
      </x:c>
      <x:c r="B48" s="12" t="str">
        <x:v>冷却</x:v>
      </x:c>
      <x:c r="C48" s="12" t="str">
        <x:v>基準熱伝達率</x:v>
      </x:c>
      <x:c r="D48" s="12" t="str">
        <x:v>h_nom</x:v>
      </x:c>
      <x:c r="E48" s="12" t="n">
        <x:v>10000</x:v>
      </x:c>
      <x:c r="F48" s="12" t="str">
        <x:v>W/(m²K)</x:v>
      </x:c>
      <x:c r="G48" s="12" t="str">
        <x:v>基準仕様（シナリオ間固定）</x:v>
      </x:c>
      <x:c r="H48" s="12" t="str">
        <x:v>09_基準仕様</x:v>
      </x:c>
      <x:c r="I48" s="12" t="str">
        <x:v>通常は編集しない</x:v>
      </x:c>
      <x:c r="J48" s="12" t="str">
        <x:v>技術仕様</x:v>
      </x:c>
      <x:c r="K48" s="12" t="str">
        <x:v>対象</x:v>
      </x:c>
      <x:c r="L48" s="12"/>
    </x:row>
    <x:row r="49">
      <x:c r="A49" s="12" t="n">
        <x:v>43</x:v>
      </x:c>
      <x:c r="B49" s="12" t="str">
        <x:v>冷却</x:v>
      </x:c>
      <x:c r="C49" s="12" t="str">
        <x:v>流路形状係数</x:v>
      </x:c>
      <x:c r="D49" s="12" t="str">
        <x:v>k_geom</x:v>
      </x:c>
      <x:c r="E49" s="12" t="n">
        <x:v>0.95</x:v>
      </x:c>
      <x:c r="F49" s="12" t="str">
        <x:v>-</x:v>
      </x:c>
      <x:c r="G49" s="12" t="str">
        <x:v>基準仕様（シナリオ間固定）</x:v>
      </x:c>
      <x:c r="H49" s="12" t="str">
        <x:v>09_基準仕様</x:v>
      </x:c>
      <x:c r="I49" s="12" t="str">
        <x:v>通常は編集しない</x:v>
      </x:c>
      <x:c r="J49" s="12" t="str">
        <x:v>技術係数</x:v>
      </x:c>
      <x:c r="K49" s="12" t="str">
        <x:v>対象</x:v>
      </x:c>
      <x:c r="L49" s="12"/>
    </x:row>
    <x:row r="50">
      <x:c r="A50" s="12" t="n">
        <x:v>44</x:v>
      </x:c>
      <x:c r="B50" s="12" t="str">
        <x:v>冷却</x:v>
      </x:c>
      <x:c r="C50" s="12" t="str">
        <x:v>表面状態係数</x:v>
      </x:c>
      <x:c r="D50" s="12" t="str">
        <x:v>k_surface</x:v>
      </x:c>
      <x:c r="E50" s="12" t="n">
        <x:v>0.95</x:v>
      </x:c>
      <x:c r="F50" s="12" t="str">
        <x:v>-</x:v>
      </x:c>
      <x:c r="G50" s="12" t="str">
        <x:v>基準仕様（シナリオ間固定）</x:v>
      </x:c>
      <x:c r="H50" s="12" t="str">
        <x:v>09_基準仕様</x:v>
      </x:c>
      <x:c r="I50" s="12" t="str">
        <x:v>通常は編集しない</x:v>
      </x:c>
      <x:c r="J50" s="12" t="str">
        <x:v>技術係数</x:v>
      </x:c>
      <x:c r="K50" s="12" t="str">
        <x:v>対象</x:v>
      </x:c>
      <x:c r="L50" s="12"/>
    </x:row>
    <x:row r="51">
      <x:c r="A51" s="12" t="n">
        <x:v>45</x:v>
      </x:c>
      <x:c r="B51" s="12" t="str">
        <x:v>冷却</x:v>
      </x:c>
      <x:c r="C51" s="12" t="str">
        <x:v>フィン効率</x:v>
      </x:c>
      <x:c r="D51" s="12" t="str">
        <x:v>k_fin</x:v>
      </x:c>
      <x:c r="E51" s="12" t="n">
        <x:v>0.75</x:v>
      </x:c>
      <x:c r="F51" s="12" t="str">
        <x:v>-</x:v>
      </x:c>
      <x:c r="G51" s="12" t="str">
        <x:v>基準仕様（シナリオ間固定）</x:v>
      </x:c>
      <x:c r="H51" s="12" t="str">
        <x:v>09_基準仕様</x:v>
      </x:c>
      <x:c r="I51" s="12" t="str">
        <x:v>通常は編集しない</x:v>
      </x:c>
      <x:c r="J51" s="12" t="str">
        <x:v>技術係数</x:v>
      </x:c>
      <x:c r="K51" s="12" t="str">
        <x:v>対象</x:v>
      </x:c>
      <x:c r="L51" s="12"/>
    </x:row>
    <x:row r="52">
      <x:c r="A52" s="12" t="n">
        <x:v>46</x:v>
      </x:c>
      <x:c r="B52" s="12" t="str">
        <x:v>冷却</x:v>
      </x:c>
      <x:c r="C52" s="12" t="str">
        <x:v>冷媒流速</x:v>
      </x:c>
      <x:c r="D52" s="12" t="str">
        <x:v>v_cool</x:v>
      </x:c>
      <x:c r="E52" s="12" t="n">
        <x:v>1.5</x:v>
      </x:c>
      <x:c r="F52" s="12" t="str">
        <x:v>m/s</x:v>
      </x:c>
      <x:c r="G52" s="12" t="str">
        <x:v>基準仕様（シナリオ間固定）</x:v>
      </x:c>
      <x:c r="H52" s="12" t="str">
        <x:v>09_基準仕様</x:v>
      </x:c>
      <x:c r="I52" s="12" t="str">
        <x:v>通常は編集しない</x:v>
      </x:c>
      <x:c r="J52" s="12" t="str">
        <x:v>設計変数</x:v>
      </x:c>
      <x:c r="K52" s="12" t="str">
        <x:v>対象</x:v>
      </x:c>
      <x:c r="L52" s="12"/>
    </x:row>
    <x:row r="53">
      <x:c r="A53" s="12" t="n">
        <x:v>47</x:v>
      </x:c>
      <x:c r="B53" s="12" t="str">
        <x:v>冷却</x:v>
      </x:c>
      <x:c r="C53" s="12" t="str">
        <x:v>基準流速</x:v>
      </x:c>
      <x:c r="D53" s="12" t="str">
        <x:v>v_ref</x:v>
      </x:c>
      <x:c r="E53" s="12" t="n">
        <x:v>1</x:v>
      </x:c>
      <x:c r="F53" s="12" t="str">
        <x:v>m/s</x:v>
      </x:c>
      <x:c r="G53" s="12" t="str">
        <x:v>基準仕様（シナリオ間固定）</x:v>
      </x:c>
      <x:c r="H53" s="12" t="str">
        <x:v>09_基準仕様</x:v>
      </x:c>
      <x:c r="I53" s="12" t="str">
        <x:v>通常は編集しない</x:v>
      </x:c>
      <x:c r="J53" s="12" t="str">
        <x:v>技術係数</x:v>
      </x:c>
      <x:c r="K53" s="12" t="str">
        <x:v>対象</x:v>
      </x:c>
      <x:c r="L53" s="12"/>
    </x:row>
    <x:row r="54">
      <x:c r="A54" s="12" t="n">
        <x:v>48</x:v>
      </x:c>
      <x:c r="B54" s="12" t="str">
        <x:v>冷却</x:v>
      </x:c>
      <x:c r="C54" s="12" t="str">
        <x:v>許容冷媒温度上昇</x:v>
      </x:c>
      <x:c r="D54" s="12" t="str">
        <x:v>dT_cool</x:v>
      </x:c>
      <x:c r="E54" s="12" t="n">
        <x:v>20</x:v>
      </x:c>
      <x:c r="F54" s="12" t="str">
        <x:v>K</x:v>
      </x:c>
      <x:c r="G54" s="12" t="str">
        <x:v>基準仕様（シナリオ間固定）</x:v>
      </x:c>
      <x:c r="H54" s="12" t="str">
        <x:v>09_基準仕様</x:v>
      </x:c>
      <x:c r="I54" s="12" t="str">
        <x:v>通常は編集しない</x:v>
      </x:c>
      <x:c r="J54" s="12" t="str">
        <x:v>設計変数</x:v>
      </x:c>
      <x:c r="K54" s="12" t="str">
        <x:v>対象</x:v>
      </x:c>
      <x:c r="L54" s="12"/>
    </x:row>
    <x:row r="55">
      <x:c r="A55" s="12" t="n">
        <x:v>49</x:v>
      </x:c>
      <x:c r="B55" s="12" t="str">
        <x:v>冷却</x:v>
      </x:c>
      <x:c r="C55" s="12" t="str">
        <x:v>熱交換器等価厚さ</x:v>
      </x:c>
      <x:c r="D55" s="12" t="str">
        <x:v>t_hx_eq</x:v>
      </x:c>
      <x:c r="E55" s="12" t="n">
        <x:v>0.006</x:v>
      </x:c>
      <x:c r="F55" s="12" t="str">
        <x:v>m</x:v>
      </x:c>
      <x:c r="G55" s="12" t="str">
        <x:v>基準仕様（シナリオ間固定）</x:v>
      </x:c>
      <x:c r="H55" s="12" t="str">
        <x:v>09_基準仕様</x:v>
      </x:c>
      <x:c r="I55" s="12" t="str">
        <x:v>通常は編集しない</x:v>
      </x:c>
      <x:c r="J55" s="12" t="str">
        <x:v>設計変数</x:v>
      </x:c>
      <x:c r="K55" s="12" t="str">
        <x:v>対象</x:v>
      </x:c>
      <x:c r="L55" s="12"/>
    </x:row>
    <x:row r="56">
      <x:c r="A56" s="12" t="n">
        <x:v>50</x:v>
      </x:c>
      <x:c r="B56" s="12" t="str">
        <x:v>冷却</x:v>
      </x:c>
      <x:c r="C56" s="12" t="str">
        <x:v>熱交換器等価密度</x:v>
      </x:c>
      <x:c r="D56" s="12" t="str">
        <x:v>rho_hx</x:v>
      </x:c>
      <x:c r="E56" s="12" t="n">
        <x:v>850</x:v>
      </x:c>
      <x:c r="F56" s="12" t="str">
        <x:v>kg/m³</x:v>
      </x:c>
      <x:c r="G56" s="12" t="str">
        <x:v>基準仕様（シナリオ間固定）</x:v>
      </x:c>
      <x:c r="H56" s="12" t="str">
        <x:v>09_基準仕様</x:v>
      </x:c>
      <x:c r="I56" s="12" t="str">
        <x:v>通常は編集しない</x:v>
      </x:c>
      <x:c r="J56" s="12" t="str">
        <x:v>材料</x:v>
      </x:c>
      <x:c r="K56" s="12" t="str">
        <x:v>対象</x:v>
      </x:c>
      <x:c r="L56" s="12"/>
    </x:row>
    <x:row r="57">
      <x:c r="A57" s="12" t="n">
        <x:v>51</x:v>
      </x:c>
      <x:c r="B57" s="12" t="str">
        <x:v>冷却</x:v>
      </x:c>
      <x:c r="C57" s="12" t="str">
        <x:v>熱設計マージン</x:v>
      </x:c>
      <x:c r="D57" s="12" t="str">
        <x:v>K_th</x:v>
      </x:c>
      <x:c r="E57" s="12" t="n">
        <x:v>1.2</x:v>
      </x:c>
      <x:c r="F57" s="12" t="str">
        <x:v>-</x:v>
      </x:c>
      <x:c r="G57" s="12" t="str">
        <x:v>基準仕様（シナリオ間固定）</x:v>
      </x:c>
      <x:c r="H57" s="12" t="str">
        <x:v>09_基準仕様</x:v>
      </x:c>
      <x:c r="I57" s="12" t="str">
        <x:v>通常は編集しない</x:v>
      </x:c>
      <x:c r="J57" s="12" t="str">
        <x:v>技術係数</x:v>
      </x:c>
      <x:c r="K57" s="12" t="str">
        <x:v>対象</x:v>
      </x:c>
      <x:c r="L57" s="12"/>
    </x:row>
    <x:row r="58">
      <x:c r="A58" s="12" t="n">
        <x:v>52</x:v>
      </x:c>
      <x:c r="B58" s="12" t="str">
        <x:v>冷却</x:v>
      </x:c>
      <x:c r="C58" s="12" t="str">
        <x:v>冷却補機固定重量</x:v>
      </x:c>
      <x:c r="D58" s="12" t="str">
        <x:v>m_cool_fix</x:v>
      </x:c>
      <x:c r="E58" s="12" t="n">
        <x:v>0.35</x:v>
      </x:c>
      <x:c r="F58" s="12" t="str">
        <x:v>kg</x:v>
      </x:c>
      <x:c r="G58" s="12" t="str">
        <x:v>基準仕様（シナリオ間固定）</x:v>
      </x:c>
      <x:c r="H58" s="12" t="str">
        <x:v>09_基準仕様</x:v>
      </x:c>
      <x:c r="I58" s="12" t="str">
        <x:v>通常は編集しない</x:v>
      </x:c>
      <x:c r="J58" s="12" t="str">
        <x:v>設計変数</x:v>
      </x:c>
      <x:c r="K58" s="12" t="str">
        <x:v>対象</x:v>
      </x:c>
      <x:c r="L58" s="12"/>
    </x:row>
    <x:row r="59">
      <x:c r="A59" s="12" t="n">
        <x:v>53</x:v>
      </x:c>
      <x:c r="B59" s="12" t="str">
        <x:v>DCリンクC</x:v>
      </x:c>
      <x:c r="C59" s="12" t="str">
        <x:v>コンデンサ定格電圧係数</x:v>
      </x:c>
      <x:c r="D59" s="12" t="str">
        <x:v>K_vcap</x:v>
      </x:c>
      <x:c r="E59" s="12" t="n">
        <x:v>1.25</x:v>
      </x:c>
      <x:c r="F59" s="12" t="str">
        <x:v>-</x:v>
      </x:c>
      <x:c r="G59" s="12" t="str">
        <x:v>基準仕様（シナリオ間固定）</x:v>
      </x:c>
      <x:c r="H59" s="12" t="str">
        <x:v>09_基準仕様</x:v>
      </x:c>
      <x:c r="I59" s="12" t="str">
        <x:v>通常は編集しない</x:v>
      </x:c>
      <x:c r="J59" s="12" t="str">
        <x:v>技術係数</x:v>
      </x:c>
      <x:c r="K59" s="12" t="str">
        <x:v>対象</x:v>
      </x:c>
      <x:c r="L59" s="12"/>
    </x:row>
    <x:row r="60">
      <x:c r="A60" s="12" t="n">
        <x:v>54</x:v>
      </x:c>
      <x:c r="B60" s="12" t="str">
        <x:v>DCリンクC</x:v>
      </x:c>
      <x:c r="C60" s="12" t="str">
        <x:v>基準エネルギー密度</x:v>
      </x:c>
      <x:c r="D60" s="12" t="str">
        <x:v>e_cap_ref</x:v>
      </x:c>
      <x:c r="E60" s="12" t="n">
        <x:v>1800</x:v>
      </x:c>
      <x:c r="F60" s="12" t="str">
        <x:v>J/kg</x:v>
      </x:c>
      <x:c r="G60" s="12" t="str">
        <x:v>基準仕様（シナリオ間固定）</x:v>
      </x:c>
      <x:c r="H60" s="12" t="str">
        <x:v>09_基準仕様</x:v>
      </x:c>
      <x:c r="I60" s="12" t="str">
        <x:v>通常は編集しない</x:v>
      </x:c>
      <x:c r="J60" s="12" t="str">
        <x:v>技術仕様</x:v>
      </x:c>
      <x:c r="K60" s="12" t="str">
        <x:v>対象</x:v>
      </x:c>
      <x:c r="L60" s="12"/>
    </x:row>
    <x:row r="61">
      <x:c r="A61" s="12" t="n">
        <x:v>55</x:v>
      </x:c>
      <x:c r="B61" s="12" t="str">
        <x:v>DCリンクC</x:v>
      </x:c>
      <x:c r="C61" s="12" t="str">
        <x:v>誘電体性能係数</x:v>
      </x:c>
      <x:c r="D61" s="12" t="str">
        <x:v>k_dielectric</x:v>
      </x:c>
      <x:c r="E61" s="12" t="n">
        <x:v>1</x:v>
      </x:c>
      <x:c r="F61" s="12" t="str">
        <x:v>-</x:v>
      </x:c>
      <x:c r="G61" s="12" t="str">
        <x:v>基準仕様（シナリオ間固定）</x:v>
      </x:c>
      <x:c r="H61" s="12" t="str">
        <x:v>09_基準仕様</x:v>
      </x:c>
      <x:c r="I61" s="12" t="str">
        <x:v>通常は編集しない</x:v>
      </x:c>
      <x:c r="J61" s="12" t="str">
        <x:v>技術係数</x:v>
      </x:c>
      <x:c r="K61" s="12" t="str">
        <x:v>対象</x:v>
      </x:c>
      <x:c r="L61" s="12"/>
    </x:row>
    <x:row r="62">
      <x:c r="A62" s="12" t="n">
        <x:v>56</x:v>
      </x:c>
      <x:c r="B62" s="12" t="str">
        <x:v>DCリンクC</x:v>
      </x:c>
      <x:c r="C62" s="12" t="str">
        <x:v>パッケージ利用率</x:v>
      </x:c>
      <x:c r="D62" s="12" t="str">
        <x:v>k_pack_cap</x:v>
      </x:c>
      <x:c r="E62" s="12" t="n">
        <x:v>0.72</x:v>
      </x:c>
      <x:c r="F62" s="12" t="str">
        <x:v>-</x:v>
      </x:c>
      <x:c r="G62" s="12" t="str">
        <x:v>基準仕様（シナリオ間固定）</x:v>
      </x:c>
      <x:c r="H62" s="12" t="str">
        <x:v>09_基準仕様</x:v>
      </x:c>
      <x:c r="I62" s="12" t="str">
        <x:v>通常は編集しない</x:v>
      </x:c>
      <x:c r="J62" s="12" t="str">
        <x:v>技術係数</x:v>
      </x:c>
      <x:c r="K62" s="12" t="str">
        <x:v>対象</x:v>
      </x:c>
      <x:c r="L62" s="12"/>
    </x:row>
    <x:row r="63">
      <x:c r="A63" s="12" t="n">
        <x:v>57</x:v>
      </x:c>
      <x:c r="B63" s="12" t="str">
        <x:v>DCリンクC</x:v>
      </x:c>
      <x:c r="C63" s="12" t="str">
        <x:v>固定重量</x:v>
      </x:c>
      <x:c r="D63" s="12" t="str">
        <x:v>mC_fix</x:v>
      </x:c>
      <x:c r="E63" s="12" t="n">
        <x:v>0.1</x:v>
      </x:c>
      <x:c r="F63" s="12" t="str">
        <x:v>kg</x:v>
      </x:c>
      <x:c r="G63" s="12" t="str">
        <x:v>基準仕様（シナリオ間固定）</x:v>
      </x:c>
      <x:c r="H63" s="12" t="str">
        <x:v>09_基準仕様</x:v>
      </x:c>
      <x:c r="I63" s="12" t="str">
        <x:v>通常は編集しない</x:v>
      </x:c>
      <x:c r="J63" s="12" t="str">
        <x:v>設計変数</x:v>
      </x:c>
      <x:c r="K63" s="12" t="str">
        <x:v>対象</x:v>
      </x:c>
      <x:c r="L63" s="12"/>
    </x:row>
    <x:row r="64">
      <x:c r="A64" s="12" t="n">
        <x:v>58</x:v>
      </x:c>
      <x:c r="B64" s="12" t="str">
        <x:v>バスバー</x:v>
      </x:c>
      <x:c r="C64" s="12" t="str">
        <x:v>基準許容電流密度</x:v>
      </x:c>
      <x:c r="D64" s="12" t="str">
        <x:v>J_bus_ref</x:v>
      </x:c>
      <x:c r="E64" s="12" t="n">
        <x:v>4</x:v>
      </x:c>
      <x:c r="F64" s="12" t="str">
        <x:v>A/mm²</x:v>
      </x:c>
      <x:c r="G64" s="12" t="str">
        <x:v>基準仕様（シナリオ間固定）</x:v>
      </x:c>
      <x:c r="H64" s="12" t="str">
        <x:v>09_基準仕様</x:v>
      </x:c>
      <x:c r="I64" s="12" t="str">
        <x:v>通常は編集しない</x:v>
      </x:c>
      <x:c r="J64" s="12" t="str">
        <x:v>技術仕様</x:v>
      </x:c>
      <x:c r="K64" s="12" t="str">
        <x:v>対象</x:v>
      </x:c>
      <x:c r="L64" s="12"/>
    </x:row>
    <x:row r="65">
      <x:c r="A65" s="12" t="n">
        <x:v>59</x:v>
      </x:c>
      <x:c r="B65" s="12" t="str">
        <x:v>バスバー</x:v>
      </x:c>
      <x:c r="C65" s="12" t="str">
        <x:v>許容導体温度</x:v>
      </x:c>
      <x:c r="D65" s="12" t="str">
        <x:v>T_bus_max</x:v>
      </x:c>
      <x:c r="E65" s="12" t="n">
        <x:v>105</x:v>
      </x:c>
      <x:c r="F65" s="12" t="str">
        <x:v>°C</x:v>
      </x:c>
      <x:c r="G65" s="12" t="str">
        <x:v>基準仕様（シナリオ間固定）</x:v>
      </x:c>
      <x:c r="H65" s="12" t="str">
        <x:v>09_基準仕様</x:v>
      </x:c>
      <x:c r="I65" s="12" t="str">
        <x:v>通常は編集しない</x:v>
      </x:c>
      <x:c r="J65" s="12" t="str">
        <x:v>設計変数</x:v>
      </x:c>
      <x:c r="K65" s="12" t="str">
        <x:v>対象</x:v>
      </x:c>
      <x:c r="L65" s="12"/>
    </x:row>
    <x:row r="66">
      <x:c r="A66" s="12" t="n">
        <x:v>60</x:v>
      </x:c>
      <x:c r="B66" s="12" t="str">
        <x:v>バスバー</x:v>
      </x:c>
      <x:c r="C66" s="12" t="str">
        <x:v>周囲温度</x:v>
      </x:c>
      <x:c r="D66" s="12" t="str">
        <x:v>T_amb</x:v>
      </x:c>
      <x:c r="E66" s="12" t="n">
        <x:v>45</x:v>
      </x:c>
      <x:c r="F66" s="12" t="str">
        <x:v>°C</x:v>
      </x:c>
      <x:c r="G66" s="12" t="str">
        <x:v>システム要求→自動計算</x:v>
      </x:c>
      <x:c r="H66" s="12" t="str">
        <x:v>07_システム要求</x:v>
      </x:c>
      <x:c r="I66" s="12" t="str">
        <x:v>システム要求のみ編集</x:v>
      </x:c>
      <x:c r="J66" s="12" t="str">
        <x:v>外部条件</x:v>
      </x:c>
      <x:c r="K66" s="12" t="str">
        <x:v>対象</x:v>
      </x:c>
      <x:c r="L66" s="12" t="str">
        <x:v>外部条件</x:v>
      </x:c>
    </x:row>
    <x:row r="67">
      <x:c r="A67" s="12" t="n">
        <x:v>61</x:v>
      </x:c>
      <x:c r="B67" s="12" t="str">
        <x:v>バスバー</x:v>
      </x:c>
      <x:c r="C67" s="12" t="str">
        <x:v>基準温度上昇</x:v>
      </x:c>
      <x:c r="D67" s="12" t="str">
        <x:v>dT_bus_ref</x:v>
      </x:c>
      <x:c r="E67" s="12" t="n">
        <x:v>60</x:v>
      </x:c>
      <x:c r="F67" s="12" t="str">
        <x:v>K</x:v>
      </x:c>
      <x:c r="G67" s="12" t="str">
        <x:v>基準仕様（シナリオ間固定）</x:v>
      </x:c>
      <x:c r="H67" s="12" t="str">
        <x:v>09_基準仕様</x:v>
      </x:c>
      <x:c r="I67" s="12" t="str">
        <x:v>通常は編集しない</x:v>
      </x:c>
      <x:c r="J67" s="12" t="str">
        <x:v>技術係数</x:v>
      </x:c>
      <x:c r="K67" s="12" t="str">
        <x:v>対象</x:v>
      </x:c>
      <x:c r="L67" s="12"/>
    </x:row>
    <x:row r="68">
      <x:c r="A68" s="12" t="n">
        <x:v>62</x:v>
      </x:c>
      <x:c r="B68" s="12" t="str">
        <x:v>バスバー</x:v>
      </x:c>
      <x:c r="C68" s="12" t="str">
        <x:v>放熱改善係数</x:v>
      </x:c>
      <x:c r="D68" s="12" t="str">
        <x:v>k_bus_cool</x:v>
      </x:c>
      <x:c r="E68" s="12" t="n">
        <x:v>1</x:v>
      </x:c>
      <x:c r="F68" s="12" t="str">
        <x:v>-</x:v>
      </x:c>
      <x:c r="G68" s="12" t="str">
        <x:v>基準仕様（シナリオ間固定）</x:v>
      </x:c>
      <x:c r="H68" s="12" t="str">
        <x:v>09_基準仕様</x:v>
      </x:c>
      <x:c r="I68" s="12" t="str">
        <x:v>通常は編集しない</x:v>
      </x:c>
      <x:c r="J68" s="12" t="str">
        <x:v>技術係数</x:v>
      </x:c>
      <x:c r="K68" s="12" t="str">
        <x:v>対象</x:v>
      </x:c>
      <x:c r="L68" s="12"/>
    </x:row>
    <x:row r="69">
      <x:c r="A69" s="12" t="n">
        <x:v>63</x:v>
      </x:c>
      <x:c r="B69" s="12" t="str">
        <x:v>バスバー</x:v>
      </x:c>
      <x:c r="C69" s="12" t="str">
        <x:v>導体総長</x:v>
      </x:c>
      <x:c r="D69" s="12" t="str">
        <x:v>L_bus</x:v>
      </x:c>
      <x:c r="E69" s="12" t="n">
        <x:v>1.2</x:v>
      </x:c>
      <x:c r="F69" s="12" t="str">
        <x:v>m</x:v>
      </x:c>
      <x:c r="G69" s="12" t="str">
        <x:v>基準仕様（シナリオ間固定）</x:v>
      </x:c>
      <x:c r="H69" s="12" t="str">
        <x:v>09_基準仕様</x:v>
      </x:c>
      <x:c r="I69" s="12" t="str">
        <x:v>通常は編集しない</x:v>
      </x:c>
      <x:c r="J69" s="12" t="str">
        <x:v>設計変数</x:v>
      </x:c>
      <x:c r="K69" s="12" t="str">
        <x:v>対象</x:v>
      </x:c>
      <x:c r="L69" s="12"/>
    </x:row>
    <x:row r="70">
      <x:c r="A70" s="12" t="n">
        <x:v>64</x:v>
      </x:c>
      <x:c r="B70" s="12" t="str">
        <x:v>バスバー</x:v>
      </x:c>
      <x:c r="C70" s="12" t="str">
        <x:v>導体本数係数</x:v>
      </x:c>
      <x:c r="D70" s="12" t="str">
        <x:v>N_bus</x:v>
      </x:c>
      <x:c r="E70" s="12" t="n">
        <x:v>2</x:v>
      </x:c>
      <x:c r="F70" s="12" t="str">
        <x:v>-</x:v>
      </x:c>
      <x:c r="G70" s="12" t="str">
        <x:v>基準仕様（シナリオ間固定）</x:v>
      </x:c>
      <x:c r="H70" s="12" t="str">
        <x:v>09_基準仕様</x:v>
      </x:c>
      <x:c r="I70" s="12" t="str">
        <x:v>通常は編集しない</x:v>
      </x:c>
      <x:c r="J70" s="12" t="str">
        <x:v>設計係数</x:v>
      </x:c>
      <x:c r="K70" s="12" t="str">
        <x:v>対象</x:v>
      </x:c>
      <x:c r="L70" s="12"/>
    </x:row>
    <x:row r="71">
      <x:c r="A71" s="12" t="n">
        <x:v>65</x:v>
      </x:c>
      <x:c r="B71" s="12" t="str">
        <x:v>バスバー</x:v>
      </x:c>
      <x:c r="C71" s="12" t="str">
        <x:v>導体密度</x:v>
      </x:c>
      <x:c r="D71" s="12" t="str">
        <x:v>rho_bus</x:v>
      </x:c>
      <x:c r="E71" s="12" t="n">
        <x:v>8960</x:v>
      </x:c>
      <x:c r="F71" s="12" t="str">
        <x:v>kg/m³</x:v>
      </x:c>
      <x:c r="G71" s="12" t="str">
        <x:v>基準仕様（シナリオ間固定）</x:v>
      </x:c>
      <x:c r="H71" s="12" t="str">
        <x:v>09_基準仕様</x:v>
      </x:c>
      <x:c r="I71" s="12" t="str">
        <x:v>通常は編集しない</x:v>
      </x:c>
      <x:c r="J71" s="12" t="str">
        <x:v>材料</x:v>
      </x:c>
      <x:c r="K71" s="12" t="str">
        <x:v>対象</x:v>
      </x:c>
      <x:c r="L71" s="12" t="str">
        <x:v>Cu</x:v>
      </x:c>
    </x:row>
    <x:row r="72">
      <x:c r="A72" s="12" t="n">
        <x:v>66</x:v>
      </x:c>
      <x:c r="B72" s="12" t="str">
        <x:v>バスバー</x:v>
      </x:c>
      <x:c r="C72" s="12" t="str">
        <x:v>絶縁・支持係数</x:v>
      </x:c>
      <x:c r="D72" s="12" t="str">
        <x:v>K_bus</x:v>
      </x:c>
      <x:c r="E72" s="12" t="n">
        <x:v>1.18</x:v>
      </x:c>
      <x:c r="F72" s="12" t="str">
        <x:v>-</x:v>
      </x:c>
      <x:c r="G72" s="12" t="str">
        <x:v>基準仕様（シナリオ間固定）</x:v>
      </x:c>
      <x:c r="H72" s="12" t="str">
        <x:v>09_基準仕様</x:v>
      </x:c>
      <x:c r="I72" s="12" t="str">
        <x:v>通常は編集しない</x:v>
      </x:c>
      <x:c r="J72" s="12" t="str">
        <x:v>技術係数</x:v>
      </x:c>
      <x:c r="K72" s="12" t="str">
        <x:v>対象</x:v>
      </x:c>
      <x:c r="L72" s="12"/>
    </x:row>
    <x:row r="73">
      <x:c r="A73" s="12" t="n">
        <x:v>67</x:v>
      </x:c>
      <x:c r="B73" s="12" t="str">
        <x:v>筐体</x:v>
      </x:c>
      <x:c r="C73" s="12" t="str">
        <x:v>筐体長さ</x:v>
      </x:c>
      <x:c r="D73" s="12" t="str">
        <x:v>L_case</x:v>
      </x:c>
      <x:c r="E73" s="12" t="n">
        <x:v>0.45</x:v>
      </x:c>
      <x:c r="F73" s="12" t="str">
        <x:v>m</x:v>
      </x:c>
      <x:c r="G73" s="12" t="str">
        <x:v>基準仕様（シナリオ間固定）</x:v>
      </x:c>
      <x:c r="H73" s="12" t="str">
        <x:v>09_基準仕様</x:v>
      </x:c>
      <x:c r="I73" s="12" t="str">
        <x:v>通常は編集しない</x:v>
      </x:c>
      <x:c r="J73" s="12" t="str">
        <x:v>設計変数</x:v>
      </x:c>
      <x:c r="K73" s="12" t="str">
        <x:v>対象</x:v>
      </x:c>
      <x:c r="L73" s="12"/>
    </x:row>
    <x:row r="74">
      <x:c r="A74" s="12" t="n">
        <x:v>68</x:v>
      </x:c>
      <x:c r="B74" s="12" t="str">
        <x:v>筐体</x:v>
      </x:c>
      <x:c r="C74" s="12" t="str">
        <x:v>筐体幅</x:v>
      </x:c>
      <x:c r="D74" s="12" t="str">
        <x:v>W_case</x:v>
      </x:c>
      <x:c r="E74" s="12" t="n">
        <x:v>0.3</x:v>
      </x:c>
      <x:c r="F74" s="12" t="str">
        <x:v>m</x:v>
      </x:c>
      <x:c r="G74" s="12" t="str">
        <x:v>基準仕様（シナリオ間固定）</x:v>
      </x:c>
      <x:c r="H74" s="12" t="str">
        <x:v>09_基準仕様</x:v>
      </x:c>
      <x:c r="I74" s="12" t="str">
        <x:v>通常は編集しない</x:v>
      </x:c>
      <x:c r="J74" s="12" t="str">
        <x:v>設計変数</x:v>
      </x:c>
      <x:c r="K74" s="12" t="str">
        <x:v>対象</x:v>
      </x:c>
      <x:c r="L74" s="12"/>
    </x:row>
    <x:row r="75">
      <x:c r="A75" s="12" t="n">
        <x:v>69</x:v>
      </x:c>
      <x:c r="B75" s="12" t="str">
        <x:v>筐体</x:v>
      </x:c>
      <x:c r="C75" s="12" t="str">
        <x:v>筐体高さ</x:v>
      </x:c>
      <x:c r="D75" s="12" t="str">
        <x:v>H_case</x:v>
      </x:c>
      <x:c r="E75" s="12" t="n">
        <x:v>0.15</x:v>
      </x:c>
      <x:c r="F75" s="12" t="str">
        <x:v>m</x:v>
      </x:c>
      <x:c r="G75" s="12" t="str">
        <x:v>基準仕様（シナリオ間固定）</x:v>
      </x:c>
      <x:c r="H75" s="12" t="str">
        <x:v>09_基準仕様</x:v>
      </x:c>
      <x:c r="I75" s="12" t="str">
        <x:v>通常は編集しない</x:v>
      </x:c>
      <x:c r="J75" s="12" t="str">
        <x:v>設計変数</x:v>
      </x:c>
      <x:c r="K75" s="12" t="str">
        <x:v>対象</x:v>
      </x:c>
      <x:c r="L75" s="12"/>
    </x:row>
    <x:row r="76">
      <x:c r="A76" s="12" t="n">
        <x:v>70</x:v>
      </x:c>
      <x:c r="B76" s="12" t="str">
        <x:v>筐体</x:v>
      </x:c>
      <x:c r="C76" s="12" t="str">
        <x:v>平均板厚</x:v>
      </x:c>
      <x:c r="D76" s="12" t="str">
        <x:v>t_case</x:v>
      </x:c>
      <x:c r="E76" s="12" t="n">
        <x:v>0.0018</x:v>
      </x:c>
      <x:c r="F76" s="12" t="str">
        <x:v>m</x:v>
      </x:c>
      <x:c r="G76" s="12" t="str">
        <x:v>基準仕様（シナリオ間固定）</x:v>
      </x:c>
      <x:c r="H76" s="12" t="str">
        <x:v>09_基準仕様</x:v>
      </x:c>
      <x:c r="I76" s="12" t="str">
        <x:v>通常は編集しない</x:v>
      </x:c>
      <x:c r="J76" s="12" t="str">
        <x:v>設計変数</x:v>
      </x:c>
      <x:c r="K76" s="12" t="str">
        <x:v>対象</x:v>
      </x:c>
      <x:c r="L76" s="12"/>
    </x:row>
    <x:row r="77">
      <x:c r="A77" s="12" t="n">
        <x:v>71</x:v>
      </x:c>
      <x:c r="B77" s="12" t="str">
        <x:v>筐体</x:v>
      </x:c>
      <x:c r="C77" s="12" t="str">
        <x:v>材料密度</x:v>
      </x:c>
      <x:c r="D77" s="12" t="str">
        <x:v>rho_case</x:v>
      </x:c>
      <x:c r="E77" s="12" t="n">
        <x:v>2700</x:v>
      </x:c>
      <x:c r="F77" s="12" t="str">
        <x:v>kg/m³</x:v>
      </x:c>
      <x:c r="G77" s="12" t="str">
        <x:v>基準仕様（シナリオ間固定）</x:v>
      </x:c>
      <x:c r="H77" s="12" t="str">
        <x:v>09_基準仕様</x:v>
      </x:c>
      <x:c r="I77" s="12" t="str">
        <x:v>通常は編集しない</x:v>
      </x:c>
      <x:c r="J77" s="12" t="str">
        <x:v>材料</x:v>
      </x:c>
      <x:c r="K77" s="12" t="str">
        <x:v>対象</x:v>
      </x:c>
      <x:c r="L77" s="12" t="str">
        <x:v>Al</x:v>
      </x:c>
    </x:row>
    <x:row r="78">
      <x:c r="A78" s="12" t="n">
        <x:v>72</x:v>
      </x:c>
      <x:c r="B78" s="12" t="str">
        <x:v>筐体</x:v>
      </x:c>
      <x:c r="C78" s="12" t="str">
        <x:v>開口率</x:v>
      </x:c>
      <x:c r="D78" s="12" t="str">
        <x:v>r_open</x:v>
      </x:c>
      <x:c r="E78" s="12" t="n">
        <x:v>0.18</x:v>
      </x:c>
      <x:c r="F78" s="12" t="str">
        <x:v>-</x:v>
      </x:c>
      <x:c r="G78" s="12" t="str">
        <x:v>基準仕様（シナリオ間固定）</x:v>
      </x:c>
      <x:c r="H78" s="12" t="str">
        <x:v>09_基準仕様</x:v>
      </x:c>
      <x:c r="I78" s="12" t="str">
        <x:v>通常は編集しない</x:v>
      </x:c>
      <x:c r="J78" s="12" t="str">
        <x:v>設計変数</x:v>
      </x:c>
      <x:c r="K78" s="12" t="str">
        <x:v>対象</x:v>
      </x:c>
      <x:c r="L78" s="12"/>
    </x:row>
    <x:row r="79">
      <x:c r="A79" s="12" t="n">
        <x:v>73</x:v>
      </x:c>
      <x:c r="B79" s="12" t="str">
        <x:v>筐体</x:v>
      </x:c>
      <x:c r="C79" s="12" t="str">
        <x:v>リブ増加係数</x:v>
      </x:c>
      <x:c r="D79" s="12" t="str">
        <x:v>K_rib</x:v>
      </x:c>
      <x:c r="E79" s="12" t="n">
        <x:v>1.08</x:v>
      </x:c>
      <x:c r="F79" s="12" t="str">
        <x:v>-</x:v>
      </x:c>
      <x:c r="G79" s="12" t="str">
        <x:v>基準仕様（シナリオ間固定）</x:v>
      </x:c>
      <x:c r="H79" s="12" t="str">
        <x:v>09_基準仕様</x:v>
      </x:c>
      <x:c r="I79" s="12" t="str">
        <x:v>通常は編集しない</x:v>
      </x:c>
      <x:c r="J79" s="12" t="str">
        <x:v>技術係数</x:v>
      </x:c>
      <x:c r="K79" s="12" t="str">
        <x:v>対象</x:v>
      </x:c>
      <x:c r="L79" s="12"/>
    </x:row>
    <x:row r="80">
      <x:c r="A80" s="12" t="n">
        <x:v>74</x:v>
      </x:c>
      <x:c r="B80" s="12" t="str">
        <x:v>筐体</x:v>
      </x:c>
      <x:c r="C80" s="12" t="str">
        <x:v>製造余裕係数</x:v>
      </x:c>
      <x:c r="D80" s="12" t="str">
        <x:v>K_mfg</x:v>
      </x:c>
      <x:c r="E80" s="12" t="n">
        <x:v>1.02</x:v>
      </x:c>
      <x:c r="F80" s="12" t="str">
        <x:v>-</x:v>
      </x:c>
      <x:c r="G80" s="12" t="str">
        <x:v>基準仕様（シナリオ間固定）</x:v>
      </x:c>
      <x:c r="H80" s="12" t="str">
        <x:v>09_基準仕様</x:v>
      </x:c>
      <x:c r="I80" s="12" t="str">
        <x:v>通常は編集しない</x:v>
      </x:c>
      <x:c r="J80" s="12" t="str">
        <x:v>技術係数</x:v>
      </x:c>
      <x:c r="K80" s="12" t="str">
        <x:v>対象</x:v>
      </x:c>
      <x:c r="L80" s="12"/>
    </x:row>
    <x:row r="81">
      <x:c r="A81" s="12" t="n">
        <x:v>75</x:v>
      </x:c>
      <x:c r="B81" s="12" t="str">
        <x:v>EMI</x:v>
      </x:c>
      <x:c r="C81" s="12" t="str">
        <x:v>DMノイズ等価電圧</x:v>
      </x:c>
      <x:c r="D81" s="12" t="str">
        <x:v>V_noise</x:v>
      </x:c>
      <x:c r="E81" s="12" t="n">
        <x:v>60</x:v>
      </x:c>
      <x:c r="F81" s="12" t="str">
        <x:v>V</x:v>
      </x:c>
      <x:c r="G81" s="12" t="str">
        <x:v>基準仕様（シナリオ間固定）</x:v>
      </x:c>
      <x:c r="H81" s="12" t="str">
        <x:v>09_基準仕様</x:v>
      </x:c>
      <x:c r="I81" s="12" t="str">
        <x:v>通常は編集しない</x:v>
      </x:c>
      <x:c r="J81" s="12" t="str">
        <x:v>技術仕様</x:v>
      </x:c>
      <x:c r="K81" s="12" t="str">
        <x:v>対象</x:v>
      </x:c>
      <x:c r="L81" s="12"/>
    </x:row>
    <x:row r="82">
      <x:c r="A82" s="12" t="n">
        <x:v>76</x:v>
      </x:c>
      <x:c r="B82" s="12" t="str">
        <x:v>EMI</x:v>
      </x:c>
      <x:c r="C82" s="12" t="str">
        <x:v>許容電流リップル率</x:v>
      </x:c>
      <x:c r="D82" s="12" t="str">
        <x:v>r_Iemi</x:v>
      </x:c>
      <x:c r="E82" s="12" t="n">
        <x:v>0.1</x:v>
      </x:c>
      <x:c r="F82" s="12" t="str">
        <x:v>-</x:v>
      </x:c>
      <x:c r="G82" s="12" t="str">
        <x:v>基準仕様（シナリオ間固定）</x:v>
      </x:c>
      <x:c r="H82" s="12" t="str">
        <x:v>09_基準仕様</x:v>
      </x:c>
      <x:c r="I82" s="12" t="str">
        <x:v>通常は編集しない</x:v>
      </x:c>
      <x:c r="J82" s="12" t="str">
        <x:v>設計変数</x:v>
      </x:c>
      <x:c r="K82" s="12" t="str">
        <x:v>対象</x:v>
      </x:c>
      <x:c r="L82" s="12"/>
    </x:row>
    <x:row r="83">
      <x:c r="A83" s="12" t="n">
        <x:v>77</x:v>
      </x:c>
      <x:c r="B83" s="12" t="str">
        <x:v>EMI</x:v>
      </x:c>
      <x:c r="C83" s="12" t="str">
        <x:v>フィルタ遮断周波数係数</x:v>
      </x:c>
      <x:c r="D83" s="12" t="str">
        <x:v>k_fc</x:v>
      </x:c>
      <x:c r="E83" s="12" t="n">
        <x:v>0.1</x:v>
      </x:c>
      <x:c r="F83" s="12" t="str">
        <x:v>-</x:v>
      </x:c>
      <x:c r="G83" s="12" t="str">
        <x:v>基準仕様（シナリオ間固定）</x:v>
      </x:c>
      <x:c r="H83" s="12" t="str">
        <x:v>09_基準仕様</x:v>
      </x:c>
      <x:c r="I83" s="12" t="str">
        <x:v>通常は編集しない</x:v>
      </x:c>
      <x:c r="J83" s="12" t="str">
        <x:v>設計変数</x:v>
      </x:c>
      <x:c r="K83" s="12" t="str">
        <x:v>対象</x:v>
      </x:c>
      <x:c r="L83" s="12" t="str">
        <x:v>主要トレードオフ</x:v>
      </x:c>
    </x:row>
    <x:row r="84">
      <x:c r="A84" s="12" t="n">
        <x:v>78</x:v>
      </x:c>
      <x:c r="B84" s="12" t="str">
        <x:v>EMI</x:v>
      </x:c>
      <x:c r="C84" s="12" t="str">
        <x:v>インダクタ重量係数</x:v>
      </x:c>
      <x:c r="D84" s="12" t="str">
        <x:v>k_mL</x:v>
      </x:c>
      <x:c r="E84" s="12" t="n">
        <x:v>40</x:v>
      </x:c>
      <x:c r="F84" s="12" t="str">
        <x:v>kg/(H·kA²)</x:v>
      </x:c>
      <x:c r="G84" s="12" t="str">
        <x:v>基準仕様（シナリオ間固定）</x:v>
      </x:c>
      <x:c r="H84" s="12" t="str">
        <x:v>09_基準仕様</x:v>
      </x:c>
      <x:c r="I84" s="12" t="str">
        <x:v>通常は編集しない</x:v>
      </x:c>
      <x:c r="J84" s="12" t="str">
        <x:v>技術係数</x:v>
      </x:c>
      <x:c r="K84" s="12" t="str">
        <x:v>対象</x:v>
      </x:c>
      <x:c r="L84" s="12" t="str">
        <x:v>簡易係数</x:v>
      </x:c>
    </x:row>
    <x:row r="85">
      <x:c r="A85" s="12" t="n">
        <x:v>79</x:v>
      </x:c>
      <x:c r="B85" s="12" t="str">
        <x:v>EMI</x:v>
      </x:c>
      <x:c r="C85" s="12" t="str">
        <x:v>ノイズ電流係数</x:v>
      </x:c>
      <x:c r="D85" s="12" t="str">
        <x:v>r_noise</x:v>
      </x:c>
      <x:c r="E85" s="12" t="n">
        <x:v>0.08</x:v>
      </x:c>
      <x:c r="F85" s="12" t="str">
        <x:v>-</x:v>
      </x:c>
      <x:c r="G85" s="12" t="str">
        <x:v>基準仕様（シナリオ間固定）</x:v>
      </x:c>
      <x:c r="H85" s="12" t="str">
        <x:v>09_基準仕様</x:v>
      </x:c>
      <x:c r="I85" s="12" t="str">
        <x:v>通常は編集しない</x:v>
      </x:c>
      <x:c r="J85" s="12" t="str">
        <x:v>技術係数</x:v>
      </x:c>
      <x:c r="K85" s="12" t="str">
        <x:v>対象</x:v>
      </x:c>
      <x:c r="L85" s="12"/>
    </x:row>
    <x:row r="86">
      <x:c r="A86" s="12" t="n">
        <x:v>80</x:v>
      </x:c>
      <x:c r="B86" s="12" t="str">
        <x:v>EMI</x:v>
      </x:c>
      <x:c r="C86" s="12" t="str">
        <x:v>許容電圧リップル率</x:v>
      </x:c>
      <x:c r="D86" s="12" t="str">
        <x:v>r_Vemi</x:v>
      </x:c>
      <x:c r="E86" s="12" t="n">
        <x:v>0.02</x:v>
      </x:c>
      <x:c r="F86" s="12" t="str">
        <x:v>-</x:v>
      </x:c>
      <x:c r="G86" s="12" t="str">
        <x:v>基準仕様（シナリオ間固定）</x:v>
      </x:c>
      <x:c r="H86" s="12" t="str">
        <x:v>09_基準仕様</x:v>
      </x:c>
      <x:c r="I86" s="12" t="str">
        <x:v>通常は編集しない</x:v>
      </x:c>
      <x:c r="J86" s="12" t="str">
        <x:v>設計変数</x:v>
      </x:c>
      <x:c r="K86" s="12" t="str">
        <x:v>対象</x:v>
      </x:c>
      <x:c r="L86" s="12"/>
    </x:row>
    <x:row r="87">
      <x:c r="A87" s="12" t="n">
        <x:v>81</x:v>
      </x:c>
      <x:c r="B87" s="12" t="str">
        <x:v>EMI</x:v>
      </x:c>
      <x:c r="C87" s="12" t="str">
        <x:v>コンデンサ重量係数</x:v>
      </x:c>
      <x:c r="D87" s="12" t="str">
        <x:v>k_mC</x:v>
      </x:c>
      <x:c r="E87" s="12" t="n">
        <x:v>0.18</x:v>
      </x:c>
      <x:c r="F87" s="12" t="str">
        <x:v>kg/(F·kV²)</x:v>
      </x:c>
      <x:c r="G87" s="12" t="str">
        <x:v>基準仕様（シナリオ間固定）</x:v>
      </x:c>
      <x:c r="H87" s="12" t="str">
        <x:v>09_基準仕様</x:v>
      </x:c>
      <x:c r="I87" s="12" t="str">
        <x:v>通常は編集しない</x:v>
      </x:c>
      <x:c r="J87" s="12" t="str">
        <x:v>技術係数</x:v>
      </x:c>
      <x:c r="K87" s="12" t="str">
        <x:v>対象</x:v>
      </x:c>
      <x:c r="L87" s="12" t="str">
        <x:v>簡易係数</x:v>
      </x:c>
    </x:row>
    <x:row r="88">
      <x:c r="A88" s="12" t="n">
        <x:v>82</x:v>
      </x:c>
      <x:c r="B88" s="12" t="str">
        <x:v>固定重量</x:v>
      </x:c>
      <x:c r="C88" s="12" t="str">
        <x:v>制御・ゲート回路重量</x:v>
      </x:c>
      <x:c r="D88" s="12" t="str">
        <x:v>m_ctrl</x:v>
      </x:c>
      <x:c r="E88" s="12" t="n">
        <x:v>0.45</x:v>
      </x:c>
      <x:c r="F88" s="12" t="str">
        <x:v>kg</x:v>
      </x:c>
      <x:c r="G88" s="12" t="str">
        <x:v>基準仕様（シナリオ間固定）</x:v>
      </x:c>
      <x:c r="H88" s="12" t="str">
        <x:v>09_基準仕様</x:v>
      </x:c>
      <x:c r="I88" s="12" t="str">
        <x:v>通常は編集しない</x:v>
      </x:c>
      <x:c r="J88" s="12" t="str">
        <x:v>参考値</x:v>
      </x:c>
      <x:c r="K88" s="12" t="str">
        <x:v>対象外</x:v>
      </x:c>
      <x:c r="L88" s="12"/>
    </x:row>
    <x:row r="89">
      <x:c r="A89" s="12" t="n">
        <x:v>83</x:v>
      </x:c>
      <x:c r="B89" s="12" t="str">
        <x:v>固定重量</x:v>
      </x:c>
      <x:c r="C89" s="12" t="str">
        <x:v>センサ重量</x:v>
      </x:c>
      <x:c r="D89" s="12" t="str">
        <x:v>m_sensor</x:v>
      </x:c>
      <x:c r="E89" s="12" t="n">
        <x:v>0.28</x:v>
      </x:c>
      <x:c r="F89" s="12" t="str">
        <x:v>kg</x:v>
      </x:c>
      <x:c r="G89" s="12" t="str">
        <x:v>基準仕様（シナリオ間固定）</x:v>
      </x:c>
      <x:c r="H89" s="12" t="str">
        <x:v>09_基準仕様</x:v>
      </x:c>
      <x:c r="I89" s="12" t="str">
        <x:v>通常は編集しない</x:v>
      </x:c>
      <x:c r="J89" s="12" t="str">
        <x:v>参考値</x:v>
      </x:c>
      <x:c r="K89" s="12" t="str">
        <x:v>対象外</x:v>
      </x:c>
      <x:c r="L89" s="12"/>
    </x:row>
    <x:row r="90">
      <x:c r="A90" s="12" t="n">
        <x:v>84</x:v>
      </x:c>
      <x:c r="B90" s="12" t="str">
        <x:v>固定重量</x:v>
      </x:c>
      <x:c r="C90" s="12" t="str">
        <x:v>端子・コネクタ重量</x:v>
      </x:c>
      <x:c r="D90" s="12" t="str">
        <x:v>m_conn</x:v>
      </x:c>
      <x:c r="E90" s="12" t="n">
        <x:v>0.42</x:v>
      </x:c>
      <x:c r="F90" s="12" t="str">
        <x:v>kg</x:v>
      </x:c>
      <x:c r="G90" s="12" t="str">
        <x:v>基準仕様（シナリオ間固定）</x:v>
      </x:c>
      <x:c r="H90" s="12" t="str">
        <x:v>09_基準仕様</x:v>
      </x:c>
      <x:c r="I90" s="12" t="str">
        <x:v>通常は編集しない</x:v>
      </x:c>
      <x:c r="J90" s="12" t="str">
        <x:v>参考値</x:v>
      </x:c>
      <x:c r="K90" s="12" t="str">
        <x:v>対象外</x:v>
      </x:c>
      <x:c r="L90" s="12"/>
    </x:row>
    <x:row r="91">
      <x:c r="A91" s="12" t="n">
        <x:v>85</x:v>
      </x:c>
      <x:c r="B91" s="12" t="str">
        <x:v>固定重量</x:v>
      </x:c>
      <x:c r="C91" s="12" t="str">
        <x:v>その他固定重量</x:v>
      </x:c>
      <x:c r="D91" s="12" t="str">
        <x:v>m_other</x:v>
      </x:c>
      <x:c r="E91" s="12" t="n">
        <x:v>0.5</x:v>
      </x:c>
      <x:c r="F91" s="12" t="str">
        <x:v>kg</x:v>
      </x:c>
      <x:c r="G91" s="12" t="str">
        <x:v>基準仕様（シナリオ間固定）</x:v>
      </x:c>
      <x:c r="H91" s="12" t="str">
        <x:v>09_基準仕様</x:v>
      </x:c>
      <x:c r="I91" s="12" t="str">
        <x:v>通常は編集しない</x:v>
      </x:c>
      <x:c r="J91" s="12" t="str">
        <x:v>参考値</x:v>
      </x:c>
      <x:c r="K91" s="12" t="str">
        <x:v>対象外</x:v>
      </x:c>
      <x:c r="L91" s="12"/>
    </x:row>
    <x:row r="92">
      <x:c r="A92" s="12" t="n">
        <x:v>86</x:v>
      </x:c>
      <x:c r="B92" s="12" t="str">
        <x:v>半導体</x:v>
      </x:c>
      <x:c r="C92" s="12" t="str">
        <x:v>並列数</x:v>
      </x:c>
      <x:c r="D92" s="12" t="str">
        <x:v>N_parallel</x:v>
      </x:c>
      <x:c r="E92" s="12" t="n">
        <x:v>3</x:v>
      </x:c>
      <x:c r="F92" s="12" t="str">
        <x:v>-</x:v>
      </x:c>
      <x:c r="G92" s="12" t="str">
        <x:v>システム要求→自動計算</x:v>
      </x:c>
      <x:c r="H92" s="12" t="str">
        <x:v>07_システム要求</x:v>
      </x:c>
      <x:c r="I92" s="12" t="str">
        <x:v>通常は直接編集しない</x:v>
      </x:c>
      <x:c r="J92" s="12" t="str">
        <x:v>設計変数</x:v>
      </x:c>
      <x:c r="K92" s="12" t="str">
        <x:v>対象</x:v>
      </x:c>
      <x:c r="L92" s="12" t="str">
        <x:v>1=現状、2=2並列</x:v>
      </x:c>
    </x:row>
    <x:row r="93">
      <x:c r="A93" s="12" t="n">
        <x:v>87</x:v>
      </x:c>
      <x:c r="B93" s="12" t="str">
        <x:v>半導体</x:v>
      </x:c>
      <x:c r="C93" s="12" t="str">
        <x:v>並列1系統あたり追加重量</x:v>
      </x:c>
      <x:c r="D93" s="12" t="str">
        <x:v>m_parallel_unit</x:v>
      </x:c>
      <x:c r="E93" s="12" t="n">
        <x:v>0.035</x:v>
      </x:c>
      <x:c r="F93" s="12" t="str">
        <x:v>kg/系統</x:v>
      </x:c>
      <x:c r="G93" s="12" t="str">
        <x:v>基準仕様（シナリオ間固定）</x:v>
      </x:c>
      <x:c r="H93" s="12" t="str">
        <x:v>09_基準仕様</x:v>
      </x:c>
      <x:c r="I93" s="12" t="str">
        <x:v>通常は編集しない</x:v>
      </x:c>
      <x:c r="J93" s="12" t="str">
        <x:v>技術係数</x:v>
      </x:c>
      <x:c r="K93" s="12" t="str">
        <x:v>対象</x:v>
      </x:c>
      <x:c r="L93" s="12" t="str">
        <x:v>ゲート/端子/チップ等の等価重量</x:v>
      </x:c>
    </x:row>
    <x:row r="94">
      <x:c r="A94" s="12" t="n">
        <x:v>88</x:v>
      </x:c>
      <x:c r="B94" s="12" t="str">
        <x:v>ソフトスイッチング</x:v>
      </x:c>
      <x:c r="C94" s="12" t="str">
        <x:v>ソフトスイッチング有効</x:v>
      </x:c>
      <x:c r="D94" s="12" t="str">
        <x:v>Enable_SS</x:v>
      </x:c>
      <x:c r="E94" s="12" t="n">
        <x:v>0</x:v>
      </x:c>
      <x:c r="F94" s="12" t="str">
        <x:v>0/1</x:v>
      </x:c>
      <x:c r="G94" s="12" t="str">
        <x:v>シナリオ固有手入力</x:v>
      </x:c>
      <x:c r="H94" s="12" t="str">
        <x:v>10_シナリオ入力</x:v>
      </x:c>
      <x:c r="I94" s="12" t="str">
        <x:v>必要に応じて編集</x:v>
      </x:c>
      <x:c r="J94" s="12" t="str">
        <x:v>技術選択</x:v>
      </x:c>
      <x:c r="K94" s="12" t="str">
        <x:v>対象</x:v>
      </x:c>
      <x:c r="L94" s="12" t="str">
        <x:v>0=無効, 1=有効</x:v>
      </x:c>
    </x:row>
    <x:row r="95">
      <x:c r="A95" s="12" t="n">
        <x:v>89</x:v>
      </x:c>
      <x:c r="B95" s="12" t="str">
        <x:v>ソフトスイッチング</x:v>
      </x:c>
      <x:c r="C95" s="12" t="str">
        <x:v>有効時SW損失残存率</x:v>
      </x:c>
      <x:c r="D95" s="12" t="str">
        <x:v>k_ss_residual</x:v>
      </x:c>
      <x:c r="E95" s="12" t="n">
        <x:v>0.25</x:v>
      </x:c>
      <x:c r="F95" s="12" t="str">
        <x:v>-</x:v>
      </x:c>
      <x:c r="G95" s="12" t="str">
        <x:v>基準仕様（シナリオ間固定）</x:v>
      </x:c>
      <x:c r="H95" s="12" t="str">
        <x:v>09_基準仕様</x:v>
      </x:c>
      <x:c r="I95" s="12" t="str">
        <x:v>通常は編集しない</x:v>
      </x:c>
      <x:c r="J95" s="12" t="str">
        <x:v>技術係数</x:v>
      </x:c>
      <x:c r="K95" s="12" t="str">
        <x:v>対象</x:v>
      </x:c>
      <x:c r="L95" s="12" t="str">
        <x:v>有効時25%残存の簡易例</x:v>
      </x:c>
    </x:row>
    <x:row r="96">
      <x:c r="A96" s="12" t="n">
        <x:v>90</x:v>
      </x:c>
      <x:c r="B96" s="12" t="str">
        <x:v>ソフトスイッチング</x:v>
      </x:c>
      <x:c r="C96" s="12" t="str">
        <x:v>補助スイッチ数</x:v>
      </x:c>
      <x:c r="D96" s="12" t="str">
        <x:v>N_aux_ss</x:v>
      </x:c>
      <x:c r="E96" s="12" t="n">
        <x:v>2</x:v>
      </x:c>
      <x:c r="F96" s="12" t="str">
        <x:v>個</x:v>
      </x:c>
      <x:c r="G96" s="12" t="str">
        <x:v>基準仕様（シナリオ間固定）</x:v>
      </x:c>
      <x:c r="H96" s="12" t="str">
        <x:v>09_基準仕様</x:v>
      </x:c>
      <x:c r="I96" s="12" t="str">
        <x:v>通常は編集しない</x:v>
      </x:c>
      <x:c r="J96" s="12" t="str">
        <x:v>技術仕様</x:v>
      </x:c>
      <x:c r="K96" s="12" t="str">
        <x:v>対象</x:v>
      </x:c>
      <x:c r="L96" s="12"/>
    </x:row>
    <x:row r="97">
      <x:c r="A97" s="12" t="n">
        <x:v>91</x:v>
      </x:c>
      <x:c r="B97" s="12" t="str">
        <x:v>ソフトスイッチング</x:v>
      </x:c>
      <x:c r="C97" s="12" t="str">
        <x:v>補助スイッチ単体重量</x:v>
      </x:c>
      <x:c r="D97" s="12" t="str">
        <x:v>m_aux_ss</x:v>
      </x:c>
      <x:c r="E97" s="12" t="n">
        <x:v>0.045</x:v>
      </x:c>
      <x:c r="F97" s="12" t="str">
        <x:v>kg/個</x:v>
      </x:c>
      <x:c r="G97" s="12" t="str">
        <x:v>基準仕様（シナリオ間固定）</x:v>
      </x:c>
      <x:c r="H97" s="12" t="str">
        <x:v>09_基準仕様</x:v>
      </x:c>
      <x:c r="I97" s="12" t="str">
        <x:v>通常は編集しない</x:v>
      </x:c>
      <x:c r="J97" s="12" t="str">
        <x:v>技術仕様</x:v>
      </x:c>
      <x:c r="K97" s="12" t="str">
        <x:v>対象</x:v>
      </x:c>
      <x:c r="L97" s="12"/>
    </x:row>
    <x:row r="98">
      <x:c r="A98" s="12" t="n">
        <x:v>92</x:v>
      </x:c>
      <x:c r="B98" s="12" t="str">
        <x:v>ソフトスイッチング</x:v>
      </x:c>
      <x:c r="C98" s="12" t="str">
        <x:v>共振L設計係数</x:v>
      </x:c>
      <x:c r="D98" s="12" t="str">
        <x:v>k_Lr</x:v>
      </x:c>
      <x:c r="E98" s="12" t="n">
        <x:v>0.18</x:v>
      </x:c>
      <x:c r="F98" s="12" t="str">
        <x:v>-</x:v>
      </x:c>
      <x:c r="G98" s="12" t="str">
        <x:v>基準仕様（シナリオ間固定）</x:v>
      </x:c>
      <x:c r="H98" s="12" t="str">
        <x:v>09_基準仕様</x:v>
      </x:c>
      <x:c r="I98" s="12" t="str">
        <x:v>通常は編集しない</x:v>
      </x:c>
      <x:c r="J98" s="12" t="str">
        <x:v>技術係数</x:v>
      </x:c>
      <x:c r="K98" s="12" t="str">
        <x:v>対象</x:v>
      </x:c>
      <x:c r="L98" s="12"/>
    </x:row>
    <x:row r="99">
      <x:c r="A99" s="12" t="n">
        <x:v>93</x:v>
      </x:c>
      <x:c r="B99" s="12" t="str">
        <x:v>ソフトスイッチング</x:v>
      </x:c>
      <x:c r="C99" s="12" t="str">
        <x:v>共振C設計係数</x:v>
      </x:c>
      <x:c r="D99" s="12" t="str">
        <x:v>k_Cr</x:v>
      </x:c>
      <x:c r="E99" s="12" t="n">
        <x:v>0.18</x:v>
      </x:c>
      <x:c r="F99" s="12" t="str">
        <x:v>-</x:v>
      </x:c>
      <x:c r="G99" s="12" t="str">
        <x:v>基準仕様（シナリオ間固定）</x:v>
      </x:c>
      <x:c r="H99" s="12" t="str">
        <x:v>09_基準仕様</x:v>
      </x:c>
      <x:c r="I99" s="12" t="str">
        <x:v>通常は編集しない</x:v>
      </x:c>
      <x:c r="J99" s="12" t="str">
        <x:v>技術係数</x:v>
      </x:c>
      <x:c r="K99" s="12" t="str">
        <x:v>対象</x:v>
      </x:c>
      <x:c r="L99" s="12"/>
    </x:row>
    <x:row r="100">
      <x:c r="A100" s="12" t="n">
        <x:v>94</x:v>
      </x:c>
      <x:c r="B100" s="12" t="str">
        <x:v>ソフトスイッチング</x:v>
      </x:c>
      <x:c r="C100" s="12" t="str">
        <x:v>共振L重量係数</x:v>
      </x:c>
      <x:c r="D100" s="12" t="str">
        <x:v>k_mLr</x:v>
      </x:c>
      <x:c r="E100" s="12" t="n">
        <x:v>18</x:v>
      </x:c>
      <x:c r="F100" s="12" t="str">
        <x:v>kg/(H·kA²)</x:v>
      </x:c>
      <x:c r="G100" s="12" t="str">
        <x:v>基準仕様（シナリオ間固定）</x:v>
      </x:c>
      <x:c r="H100" s="12" t="str">
        <x:v>09_基準仕様</x:v>
      </x:c>
      <x:c r="I100" s="12" t="str">
        <x:v>通常は編集しない</x:v>
      </x:c>
      <x:c r="J100" s="12" t="str">
        <x:v>技術係数</x:v>
      </x:c>
      <x:c r="K100" s="12" t="str">
        <x:v>対象</x:v>
      </x:c>
      <x:c r="L100" s="12" t="str">
        <x:v>簡易係数</x:v>
      </x:c>
    </x:row>
    <x:row r="101">
      <x:c r="A101" s="12" t="n">
        <x:v>95</x:v>
      </x:c>
      <x:c r="B101" s="12" t="str">
        <x:v>ソフトスイッチング</x:v>
      </x:c>
      <x:c r="C101" s="12" t="str">
        <x:v>共振C重量係数</x:v>
      </x:c>
      <x:c r="D101" s="12" t="str">
        <x:v>k_mCr</x:v>
      </x:c>
      <x:c r="E101" s="12" t="n">
        <x:v>0.22</x:v>
      </x:c>
      <x:c r="F101" s="12" t="str">
        <x:v>kg/(F·kV²)</x:v>
      </x:c>
      <x:c r="G101" s="12" t="str">
        <x:v>基準仕様（シナリオ間固定）</x:v>
      </x:c>
      <x:c r="H101" s="12" t="str">
        <x:v>09_基準仕様</x:v>
      </x:c>
      <x:c r="I101" s="12" t="str">
        <x:v>通常は編集しない</x:v>
      </x:c>
      <x:c r="J101" s="12" t="str">
        <x:v>技術係数</x:v>
      </x:c>
      <x:c r="K101" s="12" t="str">
        <x:v>対象</x:v>
      </x:c>
      <x:c r="L101" s="12" t="str">
        <x:v>簡易係数</x:v>
      </x:c>
    </x:row>
    <x:row r="102">
      <x:c r="A102" s="12" t="n">
        <x:v>96</x:v>
      </x:c>
      <x:c r="B102" s="12" t="str">
        <x:v>ソフトスイッチング</x:v>
      </x:c>
      <x:c r="C102" s="12" t="str">
        <x:v>追加制御回路重量</x:v>
      </x:c>
      <x:c r="D102" s="12" t="str">
        <x:v>m_ctrl_ss</x:v>
      </x:c>
      <x:c r="E102" s="12" t="n">
        <x:v>0.08</x:v>
      </x:c>
      <x:c r="F102" s="12" t="str">
        <x:v>kg</x:v>
      </x:c>
      <x:c r="G102" s="12" t="str">
        <x:v>基準仕様（シナリオ間固定）</x:v>
      </x:c>
      <x:c r="H102" s="12" t="str">
        <x:v>09_基準仕様</x:v>
      </x:c>
      <x:c r="I102" s="12" t="str">
        <x:v>通常は編集しない</x:v>
      </x:c>
      <x:c r="J102" s="12" t="str">
        <x:v>技術仕様</x:v>
      </x:c>
      <x:c r="K102" s="12" t="str">
        <x:v>対象</x:v>
      </x:c>
      <x:c r="L102" s="12"/>
    </x:row>
    <x:row r="103">
      <x:c r="A103" s="12" t="n">
        <x:v>97</x:v>
      </x:c>
      <x:c r="B103" s="12" t="str">
        <x:v>DBC</x:v>
      </x:c>
      <x:c r="C103" s="12" t="str">
        <x:v>DBC長さ</x:v>
      </x:c>
      <x:c r="D103" s="12" t="str">
        <x:v>L_dbc</x:v>
      </x:c>
      <x:c r="E103" s="12" t="n">
        <x:v>0.07</x:v>
      </x:c>
      <x:c r="F103" s="12" t="str">
        <x:v>m</x:v>
      </x:c>
      <x:c r="G103" s="12" t="str">
        <x:v>基準仕様（シナリオ間固定）</x:v>
      </x:c>
      <x:c r="H103" s="12" t="str">
        <x:v>09_基準仕様</x:v>
      </x:c>
      <x:c r="I103" s="12" t="str">
        <x:v>通常は編集しない</x:v>
      </x:c>
      <x:c r="J103" s="12" t="str">
        <x:v>設計変数</x:v>
      </x:c>
      <x:c r="K103" s="12" t="str">
        <x:v>対象</x:v>
      </x:c>
      <x:c r="L103" s="12"/>
    </x:row>
    <x:row r="104">
      <x:c r="A104" s="12" t="n">
        <x:v>98</x:v>
      </x:c>
      <x:c r="B104" s="12" t="str">
        <x:v>DBC</x:v>
      </x:c>
      <x:c r="C104" s="12" t="str">
        <x:v>DBC幅</x:v>
      </x:c>
      <x:c r="D104" s="12" t="str">
        <x:v>W_dbc</x:v>
      </x:c>
      <x:c r="E104" s="12" t="n">
        <x:v>0.06</x:v>
      </x:c>
      <x:c r="F104" s="12" t="str">
        <x:v>m</x:v>
      </x:c>
      <x:c r="G104" s="12" t="str">
        <x:v>基準仕様（シナリオ間固定）</x:v>
      </x:c>
      <x:c r="H104" s="12" t="str">
        <x:v>09_基準仕様</x:v>
      </x:c>
      <x:c r="I104" s="12" t="str">
        <x:v>通常は編集しない</x:v>
      </x:c>
      <x:c r="J104" s="12" t="str">
        <x:v>設計変数</x:v>
      </x:c>
      <x:c r="K104" s="12" t="str">
        <x:v>対象</x:v>
      </x:c>
      <x:c r="L104" s="12"/>
    </x:row>
    <x:row r="105">
      <x:c r="A105" s="12" t="n">
        <x:v>99</x:v>
      </x:c>
      <x:c r="B105" s="12" t="str">
        <x:v>DBC</x:v>
      </x:c>
      <x:c r="C105" s="12" t="str">
        <x:v>上銅厚</x:v>
      </x:c>
      <x:c r="D105" s="12" t="str">
        <x:v>t_cu_top</x:v>
      </x:c>
      <x:c r="E105" s="12" t="n">
        <x:v>0.3</x:v>
      </x:c>
      <x:c r="F105" s="12" t="str">
        <x:v>mm</x:v>
      </x:c>
      <x:c r="G105" s="12" t="str">
        <x:v>基準仕様（シナリオ間固定）</x:v>
      </x:c>
      <x:c r="H105" s="12" t="str">
        <x:v>09_基準仕様</x:v>
      </x:c>
      <x:c r="I105" s="12" t="str">
        <x:v>通常は編集しない</x:v>
      </x:c>
      <x:c r="J105" s="12" t="str">
        <x:v>設計変数</x:v>
      </x:c>
      <x:c r="K105" s="12" t="str">
        <x:v>対象</x:v>
      </x:c>
      <x:c r="L105" s="12"/>
    </x:row>
    <x:row r="106">
      <x:c r="A106" s="12" t="n">
        <x:v>100</x:v>
      </x:c>
      <x:c r="B106" s="12" t="str">
        <x:v>DBC</x:v>
      </x:c>
      <x:c r="C106" s="12" t="str">
        <x:v>セラミック厚</x:v>
      </x:c>
      <x:c r="D106" s="12" t="str">
        <x:v>t_cer</x:v>
      </x:c>
      <x:c r="E106" s="12" t="n">
        <x:v>0.32</x:v>
      </x:c>
      <x:c r="F106" s="12" t="str">
        <x:v>mm</x:v>
      </x:c>
      <x:c r="G106" s="12" t="str">
        <x:v>基準仕様（シナリオ間固定）</x:v>
      </x:c>
      <x:c r="H106" s="12" t="str">
        <x:v>09_基準仕様</x:v>
      </x:c>
      <x:c r="I106" s="12" t="str">
        <x:v>通常は編集しない</x:v>
      </x:c>
      <x:c r="J106" s="12" t="str">
        <x:v>設計変数</x:v>
      </x:c>
      <x:c r="K106" s="12" t="str">
        <x:v>対象</x:v>
      </x:c>
      <x:c r="L106" s="12"/>
    </x:row>
    <x:row r="107">
      <x:c r="A107" s="12" t="n">
        <x:v>101</x:v>
      </x:c>
      <x:c r="B107" s="12" t="str">
        <x:v>DBC</x:v>
      </x:c>
      <x:c r="C107" s="12" t="str">
        <x:v>下銅厚</x:v>
      </x:c>
      <x:c r="D107" s="12" t="str">
        <x:v>t_cu_bot</x:v>
      </x:c>
      <x:c r="E107" s="12" t="n">
        <x:v>0.3</x:v>
      </x:c>
      <x:c r="F107" s="12" t="str">
        <x:v>mm</x:v>
      </x:c>
      <x:c r="G107" s="12" t="str">
        <x:v>基準仕様（シナリオ間固定）</x:v>
      </x:c>
      <x:c r="H107" s="12" t="str">
        <x:v>09_基準仕様</x:v>
      </x:c>
      <x:c r="I107" s="12" t="str">
        <x:v>通常は編集しない</x:v>
      </x:c>
      <x:c r="J107" s="12" t="str">
        <x:v>設計変数</x:v>
      </x:c>
      <x:c r="K107" s="12" t="str">
        <x:v>対象</x:v>
      </x:c>
      <x:c r="L107" s="12"/>
    </x:row>
    <x:row r="108">
      <x:c r="A108" s="12" t="n">
        <x:v>102</x:v>
      </x:c>
      <x:c r="B108" s="12" t="str">
        <x:v>DBC</x:v>
      </x:c>
      <x:c r="C108" s="12" t="str">
        <x:v>銅密度</x:v>
      </x:c>
      <x:c r="D108" s="12" t="str">
        <x:v>rho_cu</x:v>
      </x:c>
      <x:c r="E108" s="12" t="n">
        <x:v>8960</x:v>
      </x:c>
      <x:c r="F108" s="12" t="str">
        <x:v>kg/m³</x:v>
      </x:c>
      <x:c r="G108" s="12" t="str">
        <x:v>基準仕様（シナリオ間固定）</x:v>
      </x:c>
      <x:c r="H108" s="12" t="str">
        <x:v>09_基準仕様</x:v>
      </x:c>
      <x:c r="I108" s="12" t="str">
        <x:v>通常は編集しない</x:v>
      </x:c>
      <x:c r="J108" s="12" t="str">
        <x:v>材料</x:v>
      </x:c>
      <x:c r="K108" s="12" t="str">
        <x:v>対象</x:v>
      </x:c>
      <x:c r="L108" s="12"/>
    </x:row>
    <x:row r="109">
      <x:c r="A109" s="12" t="n">
        <x:v>103</x:v>
      </x:c>
      <x:c r="B109" s="12" t="str">
        <x:v>DBC</x:v>
      </x:c>
      <x:c r="C109" s="12" t="str">
        <x:v>セラミック密度</x:v>
      </x:c>
      <x:c r="D109" s="12" t="str">
        <x:v>rho_cer</x:v>
      </x:c>
      <x:c r="E109" s="12" t="n">
        <x:v>3260</x:v>
      </x:c>
      <x:c r="F109" s="12" t="str">
        <x:v>kg/m³</x:v>
      </x:c>
      <x:c r="G109" s="12" t="str">
        <x:v>基準仕様（シナリオ間固定）</x:v>
      </x:c>
      <x:c r="H109" s="12" t="str">
        <x:v>09_基準仕様</x:v>
      </x:c>
      <x:c r="I109" s="12" t="str">
        <x:v>通常は編集しない</x:v>
      </x:c>
      <x:c r="J109" s="12" t="str">
        <x:v>材料</x:v>
      </x:c>
      <x:c r="K109" s="12" t="str">
        <x:v>対象</x:v>
      </x:c>
      <x:c r="L109" s="12" t="str">
        <x:v>AlN/Al2O3等価例</x:v>
      </x:c>
    </x:row>
    <x:row r="110">
      <x:c r="A110" s="12" t="n">
        <x:v>104</x:v>
      </x:c>
      <x:c r="B110" s="12" t="str">
        <x:v>ベース</x:v>
      </x:c>
      <x:c r="C110" s="12" t="str">
        <x:v>ベース長さ</x:v>
      </x:c>
      <x:c r="D110" s="12" t="str">
        <x:v>L_base</x:v>
      </x:c>
      <x:c r="E110" s="12" t="n">
        <x:v>0.08</x:v>
      </x:c>
      <x:c r="F110" s="12" t="str">
        <x:v>m</x:v>
      </x:c>
      <x:c r="G110" s="12" t="str">
        <x:v>基準仕様（シナリオ間固定）</x:v>
      </x:c>
      <x:c r="H110" s="12" t="str">
        <x:v>09_基準仕様</x:v>
      </x:c>
      <x:c r="I110" s="12" t="str">
        <x:v>通常は編集しない</x:v>
      </x:c>
      <x:c r="J110" s="12" t="str">
        <x:v>設計変数</x:v>
      </x:c>
      <x:c r="K110" s="12" t="str">
        <x:v>対象</x:v>
      </x:c>
      <x:c r="L110" s="12"/>
    </x:row>
    <x:row r="111">
      <x:c r="A111" s="12" t="n">
        <x:v>105</x:v>
      </x:c>
      <x:c r="B111" s="12" t="str">
        <x:v>ベース</x:v>
      </x:c>
      <x:c r="C111" s="12" t="str">
        <x:v>ベース幅</x:v>
      </x:c>
      <x:c r="D111" s="12" t="str">
        <x:v>W_base</x:v>
      </x:c>
      <x:c r="E111" s="12" t="n">
        <x:v>0.065</x:v>
      </x:c>
      <x:c r="F111" s="12" t="str">
        <x:v>m</x:v>
      </x:c>
      <x:c r="G111" s="12" t="str">
        <x:v>基準仕様（シナリオ間固定）</x:v>
      </x:c>
      <x:c r="H111" s="12" t="str">
        <x:v>09_基準仕様</x:v>
      </x:c>
      <x:c r="I111" s="12" t="str">
        <x:v>通常は編集しない</x:v>
      </x:c>
      <x:c r="J111" s="12" t="str">
        <x:v>設計変数</x:v>
      </x:c>
      <x:c r="K111" s="12" t="str">
        <x:v>対象</x:v>
      </x:c>
      <x:c r="L111" s="12"/>
    </x:row>
    <x:row r="112">
      <x:c r="A112" s="12" t="n">
        <x:v>106</x:v>
      </x:c>
      <x:c r="B112" s="12" t="str">
        <x:v>ベース</x:v>
      </x:c>
      <x:c r="C112" s="12" t="str">
        <x:v>機械荷重係数</x:v>
      </x:c>
      <x:c r="D112" s="12" t="str">
        <x:v>p_base</x:v>
      </x:c>
      <x:c r="E112" s="12" t="n">
        <x:v>1</x:v>
      </x:c>
      <x:c r="F112" s="12" t="str">
        <x:v>-</x:v>
      </x:c>
      <x:c r="G112" s="12" t="str">
        <x:v>基準仕様（シナリオ間固定）</x:v>
      </x:c>
      <x:c r="H112" s="12" t="str">
        <x:v>09_基準仕様</x:v>
      </x:c>
      <x:c r="I112" s="12" t="str">
        <x:v>通常は編集しない</x:v>
      </x:c>
      <x:c r="J112" s="12" t="str">
        <x:v>技術係数</x:v>
      </x:c>
      <x:c r="K112" s="12" t="str">
        <x:v>対象</x:v>
      </x:c>
      <x:c r="L112" s="12" t="str">
        <x:v>簡易無次元荷重</x:v>
      </x:c>
    </x:row>
    <x:row r="113">
      <x:c r="A113" s="12" t="n">
        <x:v>107</x:v>
      </x:c>
      <x:c r="B113" s="12" t="str">
        <x:v>ベース</x:v>
      </x:c>
      <x:c r="C113" s="12" t="str">
        <x:v>許容応力係数</x:v>
      </x:c>
      <x:c r="D113" s="12" t="str">
        <x:v>sigma_base</x:v>
      </x:c>
      <x:c r="E113" s="12" t="n">
        <x:v>1</x:v>
      </x:c>
      <x:c r="F113" s="12" t="str">
        <x:v>-</x:v>
      </x:c>
      <x:c r="G113" s="12" t="str">
        <x:v>基準仕様（シナリオ間固定）</x:v>
      </x:c>
      <x:c r="H113" s="12" t="str">
        <x:v>09_基準仕様</x:v>
      </x:c>
      <x:c r="I113" s="12" t="str">
        <x:v>通常は編集しない</x:v>
      </x:c>
      <x:c r="J113" s="12" t="str">
        <x:v>材料</x:v>
      </x:c>
      <x:c r="K113" s="12" t="str">
        <x:v>対象</x:v>
      </x:c>
      <x:c r="L113" s="12" t="str">
        <x:v>簡易無次元強度</x:v>
      </x:c>
    </x:row>
    <x:row r="114">
      <x:c r="A114" s="12" t="n">
        <x:v>108</x:v>
      </x:c>
      <x:c r="B114" s="12" t="str">
        <x:v>ベース</x:v>
      </x:c>
      <x:c r="C114" s="12" t="str">
        <x:v>厚さ安全係数</x:v>
      </x:c>
      <x:c r="D114" s="12" t="str">
        <x:v>K_base_sf</x:v>
      </x:c>
      <x:c r="E114" s="12" t="n">
        <x:v>1.2</x:v>
      </x:c>
      <x:c r="F114" s="12" t="str">
        <x:v>-</x:v>
      </x:c>
      <x:c r="G114" s="12" t="str">
        <x:v>基準仕様（シナリオ間固定）</x:v>
      </x:c>
      <x:c r="H114" s="12" t="str">
        <x:v>09_基準仕様</x:v>
      </x:c>
      <x:c r="I114" s="12" t="str">
        <x:v>通常は編集しない</x:v>
      </x:c>
      <x:c r="J114" s="12" t="str">
        <x:v>技術係数</x:v>
      </x:c>
      <x:c r="K114" s="12" t="str">
        <x:v>対象</x:v>
      </x:c>
      <x:c r="L114" s="12"/>
    </x:row>
    <x:row r="115">
      <x:c r="A115" s="12" t="n">
        <x:v>109</x:v>
      </x:c>
      <x:c r="B115" s="12" t="str">
        <x:v>コンデンサ物性</x:v>
      </x:c>
      <x:c r="C115" s="12" t="str">
        <x:v>真空誘電率</x:v>
      </x:c>
      <x:c r="D115" s="12" t="str">
        <x:v>eps0</x:v>
      </x:c>
      <x:c r="E115" s="12" t="n">
        <x:v>8.854e-12</x:v>
      </x:c>
      <x:c r="F115" s="12" t="str">
        <x:v>F/m</x:v>
      </x:c>
      <x:c r="G115" s="12" t="str">
        <x:v>基準仕様（シナリオ間固定）</x:v>
      </x:c>
      <x:c r="H115" s="12" t="str">
        <x:v>09_基準仕様</x:v>
      </x:c>
      <x:c r="I115" s="12" t="str">
        <x:v>通常は編集しない</x:v>
      </x:c>
      <x:c r="J115" s="12" t="str">
        <x:v>固定定数</x:v>
      </x:c>
      <x:c r="K115" s="12" t="str">
        <x:v>対象外</x:v>
      </x:c>
      <x:c r="L115" s="12" t="str">
        <x:v>物理定数</x:v>
      </x:c>
    </x:row>
    <x:row r="116">
      <x:c r="A116" s="12" t="n">
        <x:v>110</x:v>
      </x:c>
      <x:c r="B116" s="12" t="str">
        <x:v>コンデンサ物性</x:v>
      </x:c>
      <x:c r="C116" s="12" t="str">
        <x:v>比誘電率</x:v>
      </x:c>
      <x:c r="D116" s="12" t="str">
        <x:v>eps_r</x:v>
      </x:c>
      <x:c r="E116" s="12" t="n">
        <x:v>2.2</x:v>
      </x:c>
      <x:c r="F116" s="12" t="str">
        <x:v>-</x:v>
      </x:c>
      <x:c r="G116" s="12" t="str">
        <x:v>基準仕様（シナリオ間固定）</x:v>
      </x:c>
      <x:c r="H116" s="12" t="str">
        <x:v>09_基準仕様</x:v>
      </x:c>
      <x:c r="I116" s="12" t="str">
        <x:v>通常は編集しない</x:v>
      </x:c>
      <x:c r="J116" s="12" t="str">
        <x:v>材料</x:v>
      </x:c>
      <x:c r="K116" s="12" t="str">
        <x:v>対象</x:v>
      </x:c>
      <x:c r="L116" s="12"/>
    </x:row>
    <x:row r="117">
      <x:c r="A117" s="12" t="n">
        <x:v>111</x:v>
      </x:c>
      <x:c r="B117" s="12" t="str">
        <x:v>コンデンサ物性</x:v>
      </x:c>
      <x:c r="C117" s="12" t="str">
        <x:v>誘電体破壊電界</x:v>
      </x:c>
      <x:c r="D117" s="12" t="str">
        <x:v>E_break_cap</x:v>
      </x:c>
      <x:c r="E117" s="12" t="n">
        <x:v>550000000</x:v>
      </x:c>
      <x:c r="F117" s="12" t="str">
        <x:v>V/m</x:v>
      </x:c>
      <x:c r="G117" s="12" t="str">
        <x:v>基準仕様（シナリオ間固定）</x:v>
      </x:c>
      <x:c r="H117" s="12" t="str">
        <x:v>09_基準仕様</x:v>
      </x:c>
      <x:c r="I117" s="12" t="str">
        <x:v>通常は編集しない</x:v>
      </x:c>
      <x:c r="J117" s="12" t="str">
        <x:v>材料</x:v>
      </x:c>
      <x:c r="K117" s="12" t="str">
        <x:v>対象</x:v>
      </x:c>
      <x:c r="L117" s="12" t="str">
        <x:v>説明用</x:v>
      </x:c>
    </x:row>
    <x:row r="118">
      <x:c r="A118" s="12" t="n">
        <x:v>112</x:v>
      </x:c>
      <x:c r="B118" s="12" t="str">
        <x:v>コンデンサ物性</x:v>
      </x:c>
      <x:c r="C118" s="12" t="str">
        <x:v>電界利用率</x:v>
      </x:c>
      <x:c r="D118" s="12" t="str">
        <x:v>k_Ecap</x:v>
      </x:c>
      <x:c r="E118" s="12" t="n">
        <x:v>0.45</x:v>
      </x:c>
      <x:c r="F118" s="12" t="str">
        <x:v>-</x:v>
      </x:c>
      <x:c r="G118" s="12" t="str">
        <x:v>基準仕様（シナリオ間固定）</x:v>
      </x:c>
      <x:c r="H118" s="12" t="str">
        <x:v>09_基準仕様</x:v>
      </x:c>
      <x:c r="I118" s="12" t="str">
        <x:v>通常は編集しない</x:v>
      </x:c>
      <x:c r="J118" s="12" t="str">
        <x:v>技術係数</x:v>
      </x:c>
      <x:c r="K118" s="12" t="str">
        <x:v>対象</x:v>
      </x:c>
      <x:c r="L118" s="12"/>
    </x:row>
    <x:row r="119">
      <x:c r="A119" s="12" t="n">
        <x:v>113</x:v>
      </x:c>
      <x:c r="B119" s="12" t="str">
        <x:v>コンデンサ物性</x:v>
      </x:c>
      <x:c r="C119" s="12" t="str">
        <x:v>誘電体密度</x:v>
      </x:c>
      <x:c r="D119" s="12" t="str">
        <x:v>rho_die</x:v>
      </x:c>
      <x:c r="E119" s="12" t="n">
        <x:v>1400</x:v>
      </x:c>
      <x:c r="F119" s="12" t="str">
        <x:v>kg/m³</x:v>
      </x:c>
      <x:c r="G119" s="12" t="str">
        <x:v>基準仕様（シナリオ間固定）</x:v>
      </x:c>
      <x:c r="H119" s="12" t="str">
        <x:v>09_基準仕様</x:v>
      </x:c>
      <x:c r="I119" s="12" t="str">
        <x:v>通常は編集しない</x:v>
      </x:c>
      <x:c r="J119" s="12" t="str">
        <x:v>材料</x:v>
      </x:c>
      <x:c r="K119" s="12" t="str">
        <x:v>対象</x:v>
      </x:c>
      <x:c r="L119" s="12"/>
    </x:row>
    <x:row r="120">
      <x:c r="A120" s="12" t="n">
        <x:v>114</x:v>
      </x:c>
      <x:c r="B120" s="12" t="str">
        <x:v>コンデンサ物性</x:v>
      </x:c>
      <x:c r="C120" s="12" t="str">
        <x:v>体積利用率</x:v>
      </x:c>
      <x:c r="D120" s="12" t="str">
        <x:v>k_vol_cap</x:v>
      </x:c>
      <x:c r="E120" s="12" t="n">
        <x:v>0.55</x:v>
      </x:c>
      <x:c r="F120" s="12" t="str">
        <x:v>-</x:v>
      </x:c>
      <x:c r="G120" s="12" t="str">
        <x:v>基準仕様（シナリオ間固定）</x:v>
      </x:c>
      <x:c r="H120" s="12" t="str">
        <x:v>09_基準仕様</x:v>
      </x:c>
      <x:c r="I120" s="12" t="str">
        <x:v>通常は編集しない</x:v>
      </x:c>
      <x:c r="J120" s="12" t="str">
        <x:v>技術係数</x:v>
      </x:c>
      <x:c r="K120" s="12" t="str">
        <x:v>対象</x:v>
      </x:c>
      <x:c r="L120" s="12"/>
    </x:row>
    <x:row r="121">
      <x:c r="A121" s="12" t="n">
        <x:v>115</x:v>
      </x:c>
      <x:c r="B121" s="12" t="str">
        <x:v>筐体力学</x:v>
      </x:c>
      <x:c r="C121" s="12" t="str">
        <x:v>筐体等価圧力係数</x:v>
      </x:c>
      <x:c r="D121" s="12" t="str">
        <x:v>p_case</x:v>
      </x:c>
      <x:c r="E121" s="12" t="n">
        <x:v>1</x:v>
      </x:c>
      <x:c r="F121" s="12" t="str">
        <x:v>-</x:v>
      </x:c>
      <x:c r="G121" s="12" t="str">
        <x:v>基準仕様（シナリオ間固定）</x:v>
      </x:c>
      <x:c r="H121" s="12" t="str">
        <x:v>09_基準仕様</x:v>
      </x:c>
      <x:c r="I121" s="12" t="str">
        <x:v>通常は編集しない</x:v>
      </x:c>
      <x:c r="J121" s="12" t="str">
        <x:v>技術係数</x:v>
      </x:c>
      <x:c r="K121" s="12" t="str">
        <x:v>対象</x:v>
      </x:c>
      <x:c r="L121" s="12" t="str">
        <x:v>簡易荷重係数</x:v>
      </x:c>
    </x:row>
    <x:row r="122">
      <x:c r="A122" s="12" t="n">
        <x:v>116</x:v>
      </x:c>
      <x:c r="B122" s="12" t="str">
        <x:v>筐体力学</x:v>
      </x:c>
      <x:c r="C122" s="12" t="str">
        <x:v>材料基準強度</x:v>
      </x:c>
      <x:c r="D122" s="12" t="str">
        <x:v>sigma_y_ref</x:v>
      </x:c>
      <x:c r="E122" s="12" t="n">
        <x:v>1</x:v>
      </x:c>
      <x:c r="F122" s="12" t="str">
        <x:v>-</x:v>
      </x:c>
      <x:c r="G122" s="12" t="str">
        <x:v>基準仕様（シナリオ間固定）</x:v>
      </x:c>
      <x:c r="H122" s="12" t="str">
        <x:v>09_基準仕様</x:v>
      </x:c>
      <x:c r="I122" s="12" t="str">
        <x:v>通常は編集しない</x:v>
      </x:c>
      <x:c r="J122" s="12" t="str">
        <x:v>材料</x:v>
      </x:c>
      <x:c r="K122" s="12" t="str">
        <x:v>対象</x:v>
      </x:c>
      <x:c r="L122" s="12" t="str">
        <x:v>無次元簡易値</x:v>
      </x:c>
    </x:row>
    <x:row r="123">
      <x:c r="A123" s="12" t="n">
        <x:v>117</x:v>
      </x:c>
      <x:c r="B123" s="12" t="str">
        <x:v>筐体力学</x:v>
      </x:c>
      <x:c r="C123" s="12" t="str">
        <x:v>温度強度低下係数</x:v>
      </x:c>
      <x:c r="D123" s="12" t="str">
        <x:v>k_temp_case</x:v>
      </x:c>
      <x:c r="E123" s="12" t="n">
        <x:v>0.9</x:v>
      </x:c>
      <x:c r="F123" s="12" t="str">
        <x:v>-</x:v>
      </x:c>
      <x:c r="G123" s="12" t="str">
        <x:v>基準仕様（シナリオ間固定）</x:v>
      </x:c>
      <x:c r="H123" s="12" t="str">
        <x:v>09_基準仕様</x:v>
      </x:c>
      <x:c r="I123" s="12" t="str">
        <x:v>通常は編集しない</x:v>
      </x:c>
      <x:c r="J123" s="12" t="str">
        <x:v>技術係数</x:v>
      </x:c>
      <x:c r="K123" s="12" t="str">
        <x:v>対象</x:v>
      </x:c>
      <x:c r="L123" s="12"/>
    </x:row>
    <x:row r="124">
      <x:c r="A124" s="12" t="n">
        <x:v>118</x:v>
      </x:c>
      <x:c r="B124" s="12" t="str">
        <x:v>筐体力学</x:v>
      </x:c>
      <x:c r="C124" s="12" t="str">
        <x:v>加工強度係数</x:v>
      </x:c>
      <x:c r="D124" s="12" t="str">
        <x:v>k_proc_case</x:v>
      </x:c>
      <x:c r="E124" s="12" t="n">
        <x:v>0.95</x:v>
      </x:c>
      <x:c r="F124" s="12" t="str">
        <x:v>-</x:v>
      </x:c>
      <x:c r="G124" s="12" t="str">
        <x:v>基準仕様（シナリオ間固定）</x:v>
      </x:c>
      <x:c r="H124" s="12" t="str">
        <x:v>09_基準仕様</x:v>
      </x:c>
      <x:c r="I124" s="12" t="str">
        <x:v>通常は編集しない</x:v>
      </x:c>
      <x:c r="J124" s="12" t="str">
        <x:v>技術係数</x:v>
      </x:c>
      <x:c r="K124" s="12" t="str">
        <x:v>対象</x:v>
      </x:c>
      <x:c r="L124" s="12"/>
    </x:row>
    <x:row r="125">
      <x:c r="A125" s="12" t="n">
        <x:v>119</x:v>
      </x:c>
      <x:c r="B125" s="12" t="str">
        <x:v>筐体力学</x:v>
      </x:c>
      <x:c r="C125" s="12" t="str">
        <x:v>板厚安全係数</x:v>
      </x:c>
      <x:c r="D125" s="12" t="str">
        <x:v>K_tcase_sf</x:v>
      </x:c>
      <x:c r="E125" s="12" t="n">
        <x:v>1.15</x:v>
      </x:c>
      <x:c r="F125" s="12" t="str">
        <x:v>-</x:v>
      </x:c>
      <x:c r="G125" s="12" t="str">
        <x:v>基準仕様（シナリオ間固定）</x:v>
      </x:c>
      <x:c r="H125" s="12" t="str">
        <x:v>09_基準仕様</x:v>
      </x:c>
      <x:c r="I125" s="12" t="str">
        <x:v>通常は編集しない</x:v>
      </x:c>
      <x:c r="J125" s="12" t="str">
        <x:v>技術係数</x:v>
      </x:c>
      <x:c r="K125" s="12" t="str">
        <x:v>対象</x:v>
      </x:c>
      <x:c r="L125" s="12"/>
    </x:row>
    <x:row r="126">
      <x:c r="A126" s="12" t="n">
        <x:v>120</x:v>
      </x:c>
      <x:c r="B126" s="12" t="str">
        <x:v>バスバー熱</x:v>
      </x:c>
      <x:c r="C126" s="12" t="str">
        <x:v>基準熱伝達係数</x:v>
      </x:c>
      <x:c r="D126" s="12" t="str">
        <x:v>h_bus</x:v>
      </x:c>
      <x:c r="E126" s="12" t="n">
        <x:v>20</x:v>
      </x:c>
      <x:c r="F126" s="12" t="str">
        <x:v>W/(m²K)</x:v>
      </x:c>
      <x:c r="G126" s="12" t="str">
        <x:v>基準仕様（シナリオ間固定）</x:v>
      </x:c>
      <x:c r="H126" s="12" t="str">
        <x:v>09_基準仕様</x:v>
      </x:c>
      <x:c r="I126" s="12" t="str">
        <x:v>通常は編集しない</x:v>
      </x:c>
      <x:c r="J126" s="12" t="str">
        <x:v>技術仕様</x:v>
      </x:c>
      <x:c r="K126" s="12" t="str">
        <x:v>対象</x:v>
      </x:c>
      <x:c r="L126" s="12" t="str">
        <x:v>自然/強制空冷等価</x:v>
      </x:c>
    </x:row>
    <x:row r="127">
      <x:c r="A127" s="12" t="n">
        <x:v>121</x:v>
      </x:c>
      <x:c r="B127" s="12" t="str">
        <x:v>バスバー熱</x:v>
      </x:c>
      <x:c r="C127" s="12" t="str">
        <x:v>銅抵抗率</x:v>
      </x:c>
      <x:c r="D127" s="12" t="str">
        <x:v>rho_e_bus</x:v>
      </x:c>
      <x:c r="E127" s="12" t="n">
        <x:v>1.72e-8</x:v>
      </x:c>
      <x:c r="F127" s="12" t="str">
        <x:v>Ωm</x:v>
      </x:c>
      <x:c r="G127" s="12" t="str">
        <x:v>基準仕様（シナリオ間固定）</x:v>
      </x:c>
      <x:c r="H127" s="12" t="str">
        <x:v>09_基準仕様</x:v>
      </x:c>
      <x:c r="I127" s="12" t="str">
        <x:v>通常は編集しない</x:v>
      </x:c>
      <x:c r="J127" s="12" t="str">
        <x:v>材料</x:v>
      </x:c>
      <x:c r="K127" s="12" t="str">
        <x:v>対象</x:v>
      </x:c>
      <x:c r="L127" s="12"/>
    </x:row>
    <x:row r="128">
      <x:c r="A128" s="12" t="n">
        <x:v>122</x:v>
      </x:c>
      <x:c r="B128" s="12" t="str">
        <x:v>バスバー熱</x:v>
      </x:c>
      <x:c r="C128" s="12" t="str">
        <x:v>表面積/体積係数</x:v>
      </x:c>
      <x:c r="D128" s="12" t="str">
        <x:v>k_sav_bus</x:v>
      </x:c>
      <x:c r="E128" s="12" t="n">
        <x:v>500</x:v>
      </x:c>
      <x:c r="F128" s="12" t="str">
        <x:v>1/m</x:v>
      </x:c>
      <x:c r="G128" s="12" t="str">
        <x:v>基準仕様（シナリオ間固定）</x:v>
      </x:c>
      <x:c r="H128" s="12" t="str">
        <x:v>09_基準仕様</x:v>
      </x:c>
      <x:c r="I128" s="12" t="str">
        <x:v>通常は編集しない</x:v>
      </x:c>
      <x:c r="J128" s="12" t="str">
        <x:v>技術係数</x:v>
      </x:c>
      <x:c r="K128" s="12" t="str">
        <x:v>対象</x:v>
      </x:c>
      <x:c r="L128" s="12" t="str">
        <x:v>断面形状等価</x:v>
      </x:c>
    </x:row>
    <x:row r="129">
      <x:c r="A129" s="12" t="n">
        <x:v>123</x:v>
      </x:c>
      <x:c r="B129" s="12" t="str">
        <x:v>EMI磁性</x:v>
      </x:c>
      <x:c r="C129" s="12" t="str">
        <x:v>コア許容磁束密度</x:v>
      </x:c>
      <x:c r="D129" s="12" t="str">
        <x:v>B_max</x:v>
      </x:c>
      <x:c r="E129" s="12" t="n">
        <x:v>0.25</x:v>
      </x:c>
      <x:c r="F129" s="12" t="str">
        <x:v>T</x:v>
      </x:c>
      <x:c r="G129" s="12" t="str">
        <x:v>基準仕様（シナリオ間固定）</x:v>
      </x:c>
      <x:c r="H129" s="12" t="str">
        <x:v>09_基準仕様</x:v>
      </x:c>
      <x:c r="I129" s="12" t="str">
        <x:v>通常は編集しない</x:v>
      </x:c>
      <x:c r="J129" s="12" t="str">
        <x:v>材料</x:v>
      </x:c>
      <x:c r="K129" s="12" t="str">
        <x:v>対象</x:v>
      </x:c>
      <x:c r="L129" s="12"/>
    </x:row>
    <x:row r="130">
      <x:c r="A130" s="12" t="n">
        <x:v>124</x:v>
      </x:c>
      <x:c r="B130" s="12" t="str">
        <x:v>EMI磁性</x:v>
      </x:c>
      <x:c r="C130" s="12" t="str">
        <x:v>コア透磁率係数</x:v>
      </x:c>
      <x:c r="D130" s="12" t="str">
        <x:v>k_mu_core</x:v>
      </x:c>
      <x:c r="E130" s="12" t="n">
        <x:v>1</x:v>
      </x:c>
      <x:c r="F130" s="12" t="str">
        <x:v>-</x:v>
      </x:c>
      <x:c r="G130" s="12" t="str">
        <x:v>基準仕様（シナリオ間固定）</x:v>
      </x:c>
      <x:c r="H130" s="12" t="str">
        <x:v>09_基準仕様</x:v>
      </x:c>
      <x:c r="I130" s="12" t="str">
        <x:v>通常は編集しない</x:v>
      </x:c>
      <x:c r="J130" s="12" t="str">
        <x:v>材料</x:v>
      </x:c>
      <x:c r="K130" s="12" t="str">
        <x:v>対象</x:v>
      </x:c>
      <x:c r="L130" s="12" t="str">
        <x:v>簡易係数</x:v>
      </x:c>
    </x:row>
    <x:row r="131">
      <x:c r="A131" s="12" t="n">
        <x:v>125</x:v>
      </x:c>
      <x:c r="B131" s="12" t="str">
        <x:v>EMI磁性</x:v>
      </x:c>
      <x:c r="C131" s="12" t="str">
        <x:v>巻線充填率</x:v>
      </x:c>
      <x:c r="D131" s="12" t="str">
        <x:v>k_fill_L</x:v>
      </x:c>
      <x:c r="E131" s="12" t="n">
        <x:v>0.4</x:v>
      </x:c>
      <x:c r="F131" s="12" t="str">
        <x:v>-</x:v>
      </x:c>
      <x:c r="G131" s="12" t="str">
        <x:v>基準仕様（シナリオ間固定）</x:v>
      </x:c>
      <x:c r="H131" s="12" t="str">
        <x:v>09_基準仕様</x:v>
      </x:c>
      <x:c r="I131" s="12" t="str">
        <x:v>通常は編集しない</x:v>
      </x:c>
      <x:c r="J131" s="12" t="str">
        <x:v>技術係数</x:v>
      </x:c>
      <x:c r="K131" s="12" t="str">
        <x:v>対象</x:v>
      </x:c>
      <x:c r="L131" s="12"/>
    </x:row>
    <x:row r="132">
      <x:c r="A132" s="12" t="n">
        <x:v>126</x:v>
      </x:c>
      <x:c r="B132" s="12" t="str">
        <x:v>EMI磁性</x:v>
      </x:c>
      <x:c r="C132" s="12" t="str">
        <x:v>コア/銅等価密度</x:v>
      </x:c>
      <x:c r="D132" s="12" t="str">
        <x:v>rho_L_eq</x:v>
      </x:c>
      <x:c r="E132" s="12" t="n">
        <x:v>5000</x:v>
      </x:c>
      <x:c r="F132" s="12" t="str">
        <x:v>kg/m³</x:v>
      </x:c>
      <x:c r="G132" s="12" t="str">
        <x:v>基準仕様（シナリオ間固定）</x:v>
      </x:c>
      <x:c r="H132" s="12" t="str">
        <x:v>09_基準仕様</x:v>
      </x:c>
      <x:c r="I132" s="12" t="str">
        <x:v>通常は編集しない</x:v>
      </x:c>
      <x:c r="J132" s="12" t="str">
        <x:v>材料</x:v>
      </x:c>
      <x:c r="K132" s="12" t="str">
        <x:v>対象</x:v>
      </x:c>
      <x:c r="L132" s="12"/>
    </x:row>
    <x:row r="133">
      <x:c r="A133" s="12" t="n">
        <x:v>127</x:v>
      </x:c>
      <x:c r="B133" s="12" t="str">
        <x:v>制御回路</x:v>
      </x:c>
      <x:c r="C133" s="12" t="str">
        <x:v>制御PCB面積</x:v>
      </x:c>
      <x:c r="D133" s="12" t="str">
        <x:v>A_ctrl_pcb</x:v>
      </x:c>
      <x:c r="E133" s="12" t="n">
        <x:v>0.03</x:v>
      </x:c>
      <x:c r="F133" s="12" t="str">
        <x:v>m²</x:v>
      </x:c>
      <x:c r="G133" s="12" t="str">
        <x:v>基準仕様（シナリオ間固定）</x:v>
      </x:c>
      <x:c r="H133" s="12" t="str">
        <x:v>09_基準仕様</x:v>
      </x:c>
      <x:c r="I133" s="12" t="str">
        <x:v>通常は編集しない</x:v>
      </x:c>
      <x:c r="J133" s="12" t="str">
        <x:v>設計変数</x:v>
      </x:c>
      <x:c r="K133" s="12" t="str">
        <x:v>対象</x:v>
      </x:c>
      <x:c r="L133" s="12"/>
    </x:row>
    <x:row r="134">
      <x:c r="A134" s="12" t="n">
        <x:v>128</x:v>
      </x:c>
      <x:c r="B134" s="12" t="str">
        <x:v>制御回路</x:v>
      </x:c>
      <x:c r="C134" s="12" t="str">
        <x:v>制御PCB厚さ</x:v>
      </x:c>
      <x:c r="D134" s="12" t="str">
        <x:v>t_ctrl_pcb</x:v>
      </x:c>
      <x:c r="E134" s="12" t="n">
        <x:v>0.0016</x:v>
      </x:c>
      <x:c r="F134" s="12" t="str">
        <x:v>m</x:v>
      </x:c>
      <x:c r="G134" s="12" t="str">
        <x:v>基準仕様（シナリオ間固定）</x:v>
      </x:c>
      <x:c r="H134" s="12" t="str">
        <x:v>09_基準仕様</x:v>
      </x:c>
      <x:c r="I134" s="12" t="str">
        <x:v>通常は編集しない</x:v>
      </x:c>
      <x:c r="J134" s="12" t="str">
        <x:v>設計変数</x:v>
      </x:c>
      <x:c r="K134" s="12" t="str">
        <x:v>対象</x:v>
      </x:c>
      <x:c r="L134" s="12"/>
    </x:row>
    <x:row r="135">
      <x:c r="A135" s="12" t="n">
        <x:v>129</x:v>
      </x:c>
      <x:c r="B135" s="12" t="str">
        <x:v>制御回路</x:v>
      </x:c>
      <x:c r="C135" s="12" t="str">
        <x:v>PCB等価密度</x:v>
      </x:c>
      <x:c r="D135" s="12" t="str">
        <x:v>rho_ctrl_pcb</x:v>
      </x:c>
      <x:c r="E135" s="12" t="n">
        <x:v>1900</x:v>
      </x:c>
      <x:c r="F135" s="12" t="str">
        <x:v>kg/m³</x:v>
      </x:c>
      <x:c r="G135" s="12" t="str">
        <x:v>基準仕様（シナリオ間固定）</x:v>
      </x:c>
      <x:c r="H135" s="12" t="str">
        <x:v>09_基準仕様</x:v>
      </x:c>
      <x:c r="I135" s="12" t="str">
        <x:v>通常は編集しない</x:v>
      </x:c>
      <x:c r="J135" s="12" t="str">
        <x:v>材料</x:v>
      </x:c>
      <x:c r="K135" s="12" t="str">
        <x:v>対象</x:v>
      </x:c>
      <x:c r="L135" s="12"/>
    </x:row>
    <x:row r="136">
      <x:c r="A136" s="12" t="n">
        <x:v>130</x:v>
      </x:c>
      <x:c r="B136" s="12" t="str">
        <x:v>制御回路</x:v>
      </x:c>
      <x:c r="C136" s="12" t="str">
        <x:v>PCB搭載部品重量</x:v>
      </x:c>
      <x:c r="D136" s="12" t="str">
        <x:v>m_ctrl_comp</x:v>
      </x:c>
      <x:c r="E136" s="12" t="n">
        <x:v>0.1</x:v>
      </x:c>
      <x:c r="F136" s="12" t="str">
        <x:v>kg</x:v>
      </x:c>
      <x:c r="G136" s="12" t="str">
        <x:v>基準仕様（シナリオ間固定）</x:v>
      </x:c>
      <x:c r="H136" s="12" t="str">
        <x:v>09_基準仕様</x:v>
      </x:c>
      <x:c r="I136" s="12" t="str">
        <x:v>通常は編集しない</x:v>
      </x:c>
      <x:c r="J136" s="12" t="str">
        <x:v>設計変数</x:v>
      </x:c>
      <x:c r="K136" s="12" t="str">
        <x:v>対象</x:v>
      </x:c>
      <x:c r="L136" s="12"/>
    </x:row>
    <x:row r="137">
      <x:c r="A137" s="12" t="n">
        <x:v>131</x:v>
      </x:c>
      <x:c r="B137" s="12" t="str">
        <x:v>ゲート回路</x:v>
      </x:c>
      <x:c r="C137" s="12" t="str">
        <x:v>ゲートドライバ数</x:v>
      </x:c>
      <x:c r="D137" s="12" t="str">
        <x:v>N_gate</x:v>
      </x:c>
      <x:c r="E137" s="12" t="n">
        <x:v>6</x:v>
      </x:c>
      <x:c r="F137" s="12" t="str">
        <x:v>個</x:v>
      </x:c>
      <x:c r="G137" s="12" t="str">
        <x:v>システム要求→自動計算</x:v>
      </x:c>
      <x:c r="H137" s="12" t="str">
        <x:v>07_システム要求</x:v>
      </x:c>
      <x:c r="I137" s="12" t="str">
        <x:v>システム要求のみ編集</x:v>
      </x:c>
      <x:c r="J137" s="12" t="str">
        <x:v>設計変数</x:v>
      </x:c>
      <x:c r="K137" s="12" t="str">
        <x:v>対象</x:v>
      </x:c>
      <x:c r="L137" s="12"/>
    </x:row>
    <x:row r="138">
      <x:c r="A138" s="12" t="n">
        <x:v>132</x:v>
      </x:c>
      <x:c r="B138" s="12" t="str">
        <x:v>ゲート回路</x:v>
      </x:c>
      <x:c r="C138" s="12" t="str">
        <x:v>ドライバ単体重量</x:v>
      </x:c>
      <x:c r="D138" s="12" t="str">
        <x:v>m_gate_unit</x:v>
      </x:c>
      <x:c r="E138" s="12" t="n">
        <x:v>0.018</x:v>
      </x:c>
      <x:c r="F138" s="12" t="str">
        <x:v>kg/個</x:v>
      </x:c>
      <x:c r="G138" s="12" t="str">
        <x:v>基準仕様（シナリオ間固定）</x:v>
      </x:c>
      <x:c r="H138" s="12" t="str">
        <x:v>09_基準仕様</x:v>
      </x:c>
      <x:c r="I138" s="12" t="str">
        <x:v>通常は編集しない</x:v>
      </x:c>
      <x:c r="J138" s="12" t="str">
        <x:v>設計変数</x:v>
      </x:c>
      <x:c r="K138" s="12" t="str">
        <x:v>対象</x:v>
      </x:c>
      <x:c r="L138" s="12"/>
    </x:row>
    <x:row r="139">
      <x:c r="A139" s="12" t="n">
        <x:v>133</x:v>
      </x:c>
      <x:c r="B139" s="12" t="str">
        <x:v>制御回路</x:v>
      </x:c>
      <x:c r="C139" s="12" t="str">
        <x:v>補助電源重量</x:v>
      </x:c>
      <x:c r="D139" s="12" t="str">
        <x:v>m_aux_supply</x:v>
      </x:c>
      <x:c r="E139" s="12" t="n">
        <x:v>0.12</x:v>
      </x:c>
      <x:c r="F139" s="12" t="str">
        <x:v>kg</x:v>
      </x:c>
      <x:c r="G139" s="12" t="str">
        <x:v>基準仕様（シナリオ間固定）</x:v>
      </x:c>
      <x:c r="H139" s="12" t="str">
        <x:v>09_基準仕様</x:v>
      </x:c>
      <x:c r="I139" s="12" t="str">
        <x:v>通常は編集しない</x:v>
      </x:c>
      <x:c r="J139" s="12" t="str">
        <x:v>設計変数</x:v>
      </x:c>
      <x:c r="K139" s="12" t="str">
        <x:v>対象</x:v>
      </x:c>
      <x:c r="L139" s="12"/>
    </x:row>
    <x:row r="140">
      <x:c r="A140" s="12" t="n">
        <x:v>134</x:v>
      </x:c>
      <x:c r="B140" s="12" t="str">
        <x:v>センサ</x:v>
      </x:c>
      <x:c r="C140" s="12" t="str">
        <x:v>電流センサ数</x:v>
      </x:c>
      <x:c r="D140" s="12" t="str">
        <x:v>N_isens</x:v>
      </x:c>
      <x:c r="E140" s="12" t="n">
        <x:v>3</x:v>
      </x:c>
      <x:c r="F140" s="12" t="str">
        <x:v>個</x:v>
      </x:c>
      <x:c r="G140" s="12" t="str">
        <x:v>基準仕様（シナリオ間固定）</x:v>
      </x:c>
      <x:c r="H140" s="12" t="str">
        <x:v>09_基準仕様</x:v>
      </x:c>
      <x:c r="I140" s="12" t="str">
        <x:v>通常は編集しない</x:v>
      </x:c>
      <x:c r="J140" s="12" t="str">
        <x:v>設計変数</x:v>
      </x:c>
      <x:c r="K140" s="12" t="str">
        <x:v>対象</x:v>
      </x:c>
      <x:c r="L140" s="12"/>
    </x:row>
    <x:row r="141">
      <x:c r="A141" s="12" t="n">
        <x:v>135</x:v>
      </x:c>
      <x:c r="B141" s="12" t="str">
        <x:v>センサ</x:v>
      </x:c>
      <x:c r="C141" s="12" t="str">
        <x:v>電流センサ単体重量</x:v>
      </x:c>
      <x:c r="D141" s="12" t="str">
        <x:v>m_isens_unit</x:v>
      </x:c>
      <x:c r="E141" s="12" t="n">
        <x:v>0.045</x:v>
      </x:c>
      <x:c r="F141" s="12" t="str">
        <x:v>kg/個</x:v>
      </x:c>
      <x:c r="G141" s="12" t="str">
        <x:v>基準仕様（シナリオ間固定）</x:v>
      </x:c>
      <x:c r="H141" s="12" t="str">
        <x:v>09_基準仕様</x:v>
      </x:c>
      <x:c r="I141" s="12" t="str">
        <x:v>通常は編集しない</x:v>
      </x:c>
      <x:c r="J141" s="12" t="str">
        <x:v>設計変数</x:v>
      </x:c>
      <x:c r="K141" s="12" t="str">
        <x:v>対象</x:v>
      </x:c>
      <x:c r="L141" s="12"/>
    </x:row>
    <x:row r="142">
      <x:c r="A142" s="12" t="n">
        <x:v>136</x:v>
      </x:c>
      <x:c r="B142" s="12" t="str">
        <x:v>センサ</x:v>
      </x:c>
      <x:c r="C142" s="12" t="str">
        <x:v>電圧センサ数</x:v>
      </x:c>
      <x:c r="D142" s="12" t="str">
        <x:v>N_vsens</x:v>
      </x:c>
      <x:c r="E142" s="12" t="n">
        <x:v>2</x:v>
      </x:c>
      <x:c r="F142" s="12" t="str">
        <x:v>個</x:v>
      </x:c>
      <x:c r="G142" s="12" t="str">
        <x:v>基準仕様（シナリオ間固定）</x:v>
      </x:c>
      <x:c r="H142" s="12" t="str">
        <x:v>09_基準仕様</x:v>
      </x:c>
      <x:c r="I142" s="12" t="str">
        <x:v>通常は編集しない</x:v>
      </x:c>
      <x:c r="J142" s="12" t="str">
        <x:v>設計変数</x:v>
      </x:c>
      <x:c r="K142" s="12" t="str">
        <x:v>対象</x:v>
      </x:c>
      <x:c r="L142" s="12"/>
    </x:row>
    <x:row r="143">
      <x:c r="A143" s="12" t="n">
        <x:v>137</x:v>
      </x:c>
      <x:c r="B143" s="12" t="str">
        <x:v>センサ</x:v>
      </x:c>
      <x:c r="C143" s="12" t="str">
        <x:v>電圧センサ単体重量</x:v>
      </x:c>
      <x:c r="D143" s="12" t="str">
        <x:v>m_vsens_unit</x:v>
      </x:c>
      <x:c r="E143" s="12" t="n">
        <x:v>0.025</x:v>
      </x:c>
      <x:c r="F143" s="12" t="str">
        <x:v>kg/個</x:v>
      </x:c>
      <x:c r="G143" s="12" t="str">
        <x:v>基準仕様（シナリオ間固定）</x:v>
      </x:c>
      <x:c r="H143" s="12" t="str">
        <x:v>09_基準仕様</x:v>
      </x:c>
      <x:c r="I143" s="12" t="str">
        <x:v>通常は編集しない</x:v>
      </x:c>
      <x:c r="J143" s="12" t="str">
        <x:v>設計変数</x:v>
      </x:c>
      <x:c r="K143" s="12" t="str">
        <x:v>対象</x:v>
      </x:c>
      <x:c r="L143" s="12"/>
    </x:row>
    <x:row r="144">
      <x:c r="A144" s="12" t="n">
        <x:v>138</x:v>
      </x:c>
      <x:c r="B144" s="12" t="str">
        <x:v>センサ</x:v>
      </x:c>
      <x:c r="C144" s="12" t="str">
        <x:v>温度センサ数</x:v>
      </x:c>
      <x:c r="D144" s="12" t="str">
        <x:v>N_tsens</x:v>
      </x:c>
      <x:c r="E144" s="12" t="n">
        <x:v>4</x:v>
      </x:c>
      <x:c r="F144" s="12" t="str">
        <x:v>個</x:v>
      </x:c>
      <x:c r="G144" s="12" t="str">
        <x:v>基準仕様（シナリオ間固定）</x:v>
      </x:c>
      <x:c r="H144" s="12" t="str">
        <x:v>09_基準仕様</x:v>
      </x:c>
      <x:c r="I144" s="12" t="str">
        <x:v>通常は編集しない</x:v>
      </x:c>
      <x:c r="J144" s="12" t="str">
        <x:v>設計変数</x:v>
      </x:c>
      <x:c r="K144" s="12" t="str">
        <x:v>対象</x:v>
      </x:c>
      <x:c r="L144" s="12"/>
    </x:row>
    <x:row r="145">
      <x:c r="A145" s="12" t="n">
        <x:v>139</x:v>
      </x:c>
      <x:c r="B145" s="12" t="str">
        <x:v>センサ</x:v>
      </x:c>
      <x:c r="C145" s="12" t="str">
        <x:v>温度センサ単体重量</x:v>
      </x:c>
      <x:c r="D145" s="12" t="str">
        <x:v>m_tsens_unit</x:v>
      </x:c>
      <x:c r="E145" s="12" t="n">
        <x:v>0.01</x:v>
      </x:c>
      <x:c r="F145" s="12" t="str">
        <x:v>kg/個</x:v>
      </x:c>
      <x:c r="G145" s="12" t="str">
        <x:v>基準仕様（シナリオ間固定）</x:v>
      </x:c>
      <x:c r="H145" s="12" t="str">
        <x:v>09_基準仕様</x:v>
      </x:c>
      <x:c r="I145" s="12" t="str">
        <x:v>通常は編集しない</x:v>
      </x:c>
      <x:c r="J145" s="12" t="str">
        <x:v>設計変数</x:v>
      </x:c>
      <x:c r="K145" s="12" t="str">
        <x:v>対象</x:v>
      </x:c>
      <x:c r="L145" s="12"/>
    </x:row>
    <x:row r="146">
      <x:c r="A146" s="12" t="n">
        <x:v>140</x:v>
      </x:c>
      <x:c r="B146" s="12" t="str">
        <x:v>センサ</x:v>
      </x:c>
      <x:c r="C146" s="12" t="str">
        <x:v>センサ配線重量</x:v>
      </x:c>
      <x:c r="D146" s="12" t="str">
        <x:v>m_sensor_harness</x:v>
      </x:c>
      <x:c r="E146" s="12" t="n">
        <x:v>0.055</x:v>
      </x:c>
      <x:c r="F146" s="12" t="str">
        <x:v>kg</x:v>
      </x:c>
      <x:c r="G146" s="12" t="str">
        <x:v>基準仕様（シナリオ間固定）</x:v>
      </x:c>
      <x:c r="H146" s="12" t="str">
        <x:v>09_基準仕様</x:v>
      </x:c>
      <x:c r="I146" s="12" t="str">
        <x:v>通常は編集しない</x:v>
      </x:c>
      <x:c r="J146" s="12" t="str">
        <x:v>設計変数</x:v>
      </x:c>
      <x:c r="K146" s="12" t="str">
        <x:v>対象</x:v>
      </x:c>
      <x:c r="L146" s="12"/>
    </x:row>
    <x:row r="147">
      <x:c r="A147" s="12" t="n">
        <x:v>141</x:v>
      </x:c>
      <x:c r="B147" s="12" t="str">
        <x:v>コネクタ</x:v>
      </x:c>
      <x:c r="C147" s="12" t="str">
        <x:v>DC端子数</x:v>
      </x:c>
      <x:c r="D147" s="12" t="str">
        <x:v>N_conn_dc</x:v>
      </x:c>
      <x:c r="E147" s="12" t="n">
        <x:v>2</x:v>
      </x:c>
      <x:c r="F147" s="12" t="str">
        <x:v>個</x:v>
      </x:c>
      <x:c r="G147" s="12" t="str">
        <x:v>基準仕様（シナリオ間固定）</x:v>
      </x:c>
      <x:c r="H147" s="12" t="str">
        <x:v>09_基準仕様</x:v>
      </x:c>
      <x:c r="I147" s="12" t="str">
        <x:v>通常は編集しない</x:v>
      </x:c>
      <x:c r="J147" s="12" t="str">
        <x:v>設計変数</x:v>
      </x:c>
      <x:c r="K147" s="12" t="str">
        <x:v>対象</x:v>
      </x:c>
      <x:c r="L147" s="12"/>
    </x:row>
    <x:row r="148">
      <x:c r="A148" s="12" t="n">
        <x:v>142</x:v>
      </x:c>
      <x:c r="B148" s="12" t="str">
        <x:v>コネクタ</x:v>
      </x:c>
      <x:c r="C148" s="12" t="str">
        <x:v>DC端子単体重量</x:v>
      </x:c>
      <x:c r="D148" s="12" t="str">
        <x:v>m_conn_dc_unit</x:v>
      </x:c>
      <x:c r="E148" s="12" t="n">
        <x:v>0.055</x:v>
      </x:c>
      <x:c r="F148" s="12" t="str">
        <x:v>kg/個</x:v>
      </x:c>
      <x:c r="G148" s="12" t="str">
        <x:v>基準仕様（シナリオ間固定）</x:v>
      </x:c>
      <x:c r="H148" s="12" t="str">
        <x:v>09_基準仕様</x:v>
      </x:c>
      <x:c r="I148" s="12" t="str">
        <x:v>通常は編集しない</x:v>
      </x:c>
      <x:c r="J148" s="12" t="str">
        <x:v>設計変数</x:v>
      </x:c>
      <x:c r="K148" s="12" t="str">
        <x:v>対象</x:v>
      </x:c>
      <x:c r="L148" s="12"/>
    </x:row>
    <x:row r="149">
      <x:c r="A149" s="12" t="n">
        <x:v>143</x:v>
      </x:c>
      <x:c r="B149" s="12" t="str">
        <x:v>コネクタ</x:v>
      </x:c>
      <x:c r="C149" s="12" t="str">
        <x:v>AC端子数</x:v>
      </x:c>
      <x:c r="D149" s="12" t="str">
        <x:v>N_conn_ac</x:v>
      </x:c>
      <x:c r="E149" s="12" t="n">
        <x:v>3</x:v>
      </x:c>
      <x:c r="F149" s="12" t="str">
        <x:v>個</x:v>
      </x:c>
      <x:c r="G149" s="12" t="str">
        <x:v>基準仕様（シナリオ間固定）</x:v>
      </x:c>
      <x:c r="H149" s="12" t="str">
        <x:v>09_基準仕様</x:v>
      </x:c>
      <x:c r="I149" s="12" t="str">
        <x:v>通常は編集しない</x:v>
      </x:c>
      <x:c r="J149" s="12" t="str">
        <x:v>設計変数</x:v>
      </x:c>
      <x:c r="K149" s="12" t="str">
        <x:v>対象</x:v>
      </x:c>
      <x:c r="L149" s="12"/>
    </x:row>
    <x:row r="150">
      <x:c r="A150" s="12" t="n">
        <x:v>144</x:v>
      </x:c>
      <x:c r="B150" s="12" t="str">
        <x:v>コネクタ</x:v>
      </x:c>
      <x:c r="C150" s="12" t="str">
        <x:v>AC端子単体重量</x:v>
      </x:c>
      <x:c r="D150" s="12" t="str">
        <x:v>m_conn_ac_unit</x:v>
      </x:c>
      <x:c r="E150" s="12" t="n">
        <x:v>0.055</x:v>
      </x:c>
      <x:c r="F150" s="12" t="str">
        <x:v>kg/個</x:v>
      </x:c>
      <x:c r="G150" s="12" t="str">
        <x:v>基準仕様（シナリオ間固定）</x:v>
      </x:c>
      <x:c r="H150" s="12" t="str">
        <x:v>09_基準仕様</x:v>
      </x:c>
      <x:c r="I150" s="12" t="str">
        <x:v>通常は編集しない</x:v>
      </x:c>
      <x:c r="J150" s="12" t="str">
        <x:v>設計変数</x:v>
      </x:c>
      <x:c r="K150" s="12" t="str">
        <x:v>対象</x:v>
      </x:c>
      <x:c r="L150" s="12"/>
    </x:row>
    <x:row r="151">
      <x:c r="A151" s="12" t="n">
        <x:v>145</x:v>
      </x:c>
      <x:c r="B151" s="12" t="str">
        <x:v>コネクタ</x:v>
      </x:c>
      <x:c r="C151" s="12" t="str">
        <x:v>信号コネクタ重量</x:v>
      </x:c>
      <x:c r="D151" s="12" t="str">
        <x:v>m_conn_sig</x:v>
      </x:c>
      <x:c r="E151" s="12" t="n">
        <x:v>0.075</x:v>
      </x:c>
      <x:c r="F151" s="12" t="str">
        <x:v>kg</x:v>
      </x:c>
      <x:c r="G151" s="12" t="str">
        <x:v>基準仕様（シナリオ間固定）</x:v>
      </x:c>
      <x:c r="H151" s="12" t="str">
        <x:v>09_基準仕様</x:v>
      </x:c>
      <x:c r="I151" s="12" t="str">
        <x:v>通常は編集しない</x:v>
      </x:c>
      <x:c r="J151" s="12" t="str">
        <x:v>設計変数</x:v>
      </x:c>
      <x:c r="K151" s="12" t="str">
        <x:v>対象</x:v>
      </x:c>
      <x:c r="L151" s="12"/>
    </x:row>
    <x:row r="152">
      <x:c r="A152" s="12" t="n">
        <x:v>146</x:v>
      </x:c>
      <x:c r="B152" s="12" t="str">
        <x:v>コネクタ</x:v>
      </x:c>
      <x:c r="C152" s="12" t="str">
        <x:v>端子支持部重量</x:v>
      </x:c>
      <x:c r="D152" s="12" t="str">
        <x:v>m_conn_support</x:v>
      </x:c>
      <x:c r="E152" s="12" t="n">
        <x:v>0.07</x:v>
      </x:c>
      <x:c r="F152" s="12" t="str">
        <x:v>kg</x:v>
      </x:c>
      <x:c r="G152" s="12" t="str">
        <x:v>基準仕様（シナリオ間固定）</x:v>
      </x:c>
      <x:c r="H152" s="12" t="str">
        <x:v>09_基準仕様</x:v>
      </x:c>
      <x:c r="I152" s="12" t="str">
        <x:v>通常は編集しない</x:v>
      </x:c>
      <x:c r="J152" s="12" t="str">
        <x:v>設計変数</x:v>
      </x:c>
      <x:c r="K152" s="12" t="str">
        <x:v>対象</x:v>
      </x:c>
      <x:c r="L152" s="12"/>
    </x:row>
    <x:row r="153">
      <x:c r="A153" s="12" t="n">
        <x:v>147</x:v>
      </x:c>
      <x:c r="B153" s="12" t="str">
        <x:v>その他</x:v>
      </x:c>
      <x:c r="C153" s="12" t="str">
        <x:v>締結部品重量</x:v>
      </x:c>
      <x:c r="D153" s="12" t="str">
        <x:v>m_fastener</x:v>
      </x:c>
      <x:c r="E153" s="12" t="n">
        <x:v>0.15</x:v>
      </x:c>
      <x:c r="F153" s="12" t="str">
        <x:v>kg</x:v>
      </x:c>
      <x:c r="G153" s="12" t="str">
        <x:v>基準仕様（シナリオ間固定）</x:v>
      </x:c>
      <x:c r="H153" s="12" t="str">
        <x:v>09_基準仕様</x:v>
      </x:c>
      <x:c r="I153" s="12" t="str">
        <x:v>通常は編集しない</x:v>
      </x:c>
      <x:c r="J153" s="12" t="str">
        <x:v>設計変数</x:v>
      </x:c>
      <x:c r="K153" s="12" t="str">
        <x:v>対象</x:v>
      </x:c>
      <x:c r="L153" s="12"/>
    </x:row>
    <x:row r="154">
      <x:c r="A154" s="12" t="n">
        <x:v>148</x:v>
      </x:c>
      <x:c r="B154" s="12" t="str">
        <x:v>その他</x:v>
      </x:c>
      <x:c r="C154" s="12" t="str">
        <x:v>絶縁材重量</x:v>
      </x:c>
      <x:c r="D154" s="12" t="str">
        <x:v>m_insulation</x:v>
      </x:c>
      <x:c r="E154" s="12" t="n">
        <x:v>0.15</x:v>
      </x:c>
      <x:c r="F154" s="12" t="str">
        <x:v>kg</x:v>
      </x:c>
      <x:c r="G154" s="12" t="str">
        <x:v>基準仕様（シナリオ間固定）</x:v>
      </x:c>
      <x:c r="H154" s="12" t="str">
        <x:v>09_基準仕様</x:v>
      </x:c>
      <x:c r="I154" s="12" t="str">
        <x:v>通常は編集しない</x:v>
      </x:c>
      <x:c r="J154" s="12" t="str">
        <x:v>設計変数</x:v>
      </x:c>
      <x:c r="K154" s="12" t="str">
        <x:v>対象</x:v>
      </x:c>
      <x:c r="L154" s="12"/>
    </x:row>
    <x:row r="155">
      <x:c r="A155" s="12" t="n">
        <x:v>149</x:v>
      </x:c>
      <x:c r="B155" s="12" t="str">
        <x:v>その他</x:v>
      </x:c>
      <x:c r="C155" s="12" t="str">
        <x:v>内部ハーネス重量</x:v>
      </x:c>
      <x:c r="D155" s="12" t="str">
        <x:v>m_harness</x:v>
      </x:c>
      <x:c r="E155" s="12" t="n">
        <x:v>0.2</x:v>
      </x:c>
      <x:c r="F155" s="12" t="str">
        <x:v>kg</x:v>
      </x:c>
      <x:c r="G155" s="12" t="str">
        <x:v>基準仕様（シナリオ間固定）</x:v>
      </x:c>
      <x:c r="H155" s="12" t="str">
        <x:v>09_基準仕様</x:v>
      </x:c>
      <x:c r="I155" s="12" t="str">
        <x:v>通常は編集しない</x:v>
      </x:c>
      <x:c r="J155" s="12" t="str">
        <x:v>設計変数</x:v>
      </x:c>
      <x:c r="K155" s="12" t="str">
        <x:v>対象</x:v>
      </x:c>
      <x:c r="L155" s="12"/>
    </x:row>
    <x:row r="156">
      <x:c r="A156" s="12" t="n">
        <x:v>150</x:v>
      </x:c>
      <x:c r="B156" s="12" t="str">
        <x:v>ゲート駆動</x:v>
      </x:c>
      <x:c r="C156" s="12" t="str">
        <x:v>ターンオンゲート抵抗</x:v>
      </x:c>
      <x:c r="D156" s="12" t="str">
        <x:v>R_g_on</x:v>
      </x:c>
      <x:c r="E156" s="12" t="n">
        <x:v>0</x:v>
      </x:c>
      <x:c r="F156" s="12" t="str">
        <x:v>Ω</x:v>
      </x:c>
      <x:c r="G156" s="12" t="str">
        <x:v>シナリオ固有手入力</x:v>
      </x:c>
      <x:c r="H156" s="12" t="str">
        <x:v>10_シナリオ入力</x:v>
      </x:c>
      <x:c r="I156" s="12" t="str">
        <x:v>必要に応じて編集</x:v>
      </x:c>
      <x:c r="J156" s="12" t="str">
        <x:v>設計変数</x:v>
      </x:c>
      <x:c r="K156" s="12" t="str">
        <x:v>対象</x:v>
      </x:c>
      <x:c r="L156" s="12" t="str">
        <x:v>小さいほど高速</x:v>
      </x:c>
    </x:row>
    <x:row r="157">
      <x:c r="A157" s="12" t="n">
        <x:v>151</x:v>
      </x:c>
      <x:c r="B157" s="12" t="str">
        <x:v>ゲート駆動</x:v>
      </x:c>
      <x:c r="C157" s="12" t="str">
        <x:v>ターンオフゲート抵抗</x:v>
      </x:c>
      <x:c r="D157" s="12" t="str">
        <x:v>R_g_off</x:v>
      </x:c>
      <x:c r="E157" s="12" t="n">
        <x:v>0</x:v>
      </x:c>
      <x:c r="F157" s="12" t="str">
        <x:v>Ω</x:v>
      </x:c>
      <x:c r="G157" s="12" t="str">
        <x:v>シナリオ固有手入力</x:v>
      </x:c>
      <x:c r="H157" s="12" t="str">
        <x:v>10_シナリオ入力</x:v>
      </x:c>
      <x:c r="I157" s="12" t="str">
        <x:v>必要に応じて編集</x:v>
      </x:c>
      <x:c r="J157" s="12" t="str">
        <x:v>設計変数</x:v>
      </x:c>
      <x:c r="K157" s="12" t="str">
        <x:v>対象</x:v>
      </x:c>
      <x:c r="L157" s="12" t="str">
        <x:v>小さいほど高速</x:v>
      </x:c>
    </x:row>
    <x:row r="158">
      <x:c r="A158" s="12" t="n">
        <x:v>152</x:v>
      </x:c>
      <x:c r="B158" s="12" t="str">
        <x:v>ゲート駆動</x:v>
      </x:c>
      <x:c r="C158" s="12" t="str">
        <x:v>ゲート抵抗基準</x:v>
      </x:c>
      <x:c r="D158" s="12" t="str">
        <x:v>R_g_ref</x:v>
      </x:c>
      <x:c r="E158" s="12" t="n">
        <x:v>4</x:v>
      </x:c>
      <x:c r="F158" s="12" t="str">
        <x:v>Ω</x:v>
      </x:c>
      <x:c r="G158" s="12" t="str">
        <x:v>基準仕様（シナリオ間固定）</x:v>
      </x:c>
      <x:c r="H158" s="12" t="str">
        <x:v>09_基準仕様</x:v>
      </x:c>
      <x:c r="I158" s="12" t="str">
        <x:v>通常は編集しない</x:v>
      </x:c>
      <x:c r="J158" s="12" t="str">
        <x:v>技術係数</x:v>
      </x:c>
      <x:c r="K158" s="12" t="str">
        <x:v>対象</x:v>
      </x:c>
      <x:c r="L158" s="12"/>
    </x:row>
    <x:row r="159">
      <x:c r="A159" s="12" t="n">
        <x:v>153</x:v>
      </x:c>
      <x:c r="B159" s="12" t="str">
        <x:v>ゲート駆動</x:v>
      </x:c>
      <x:c r="C159" s="12" t="str">
        <x:v>基準ターンオン時間</x:v>
      </x:c>
      <x:c r="D159" s="12" t="str">
        <x:v>t_on_ref</x:v>
      </x:c>
      <x:c r="E159" s="12" t="n">
        <x:v>5e-8</x:v>
      </x:c>
      <x:c r="F159" s="12" t="str">
        <x:v>s</x:v>
      </x:c>
      <x:c r="G159" s="12" t="str">
        <x:v>基準仕様（シナリオ間固定）</x:v>
      </x:c>
      <x:c r="H159" s="12" t="str">
        <x:v>09_基準仕様</x:v>
      </x:c>
      <x:c r="I159" s="12" t="str">
        <x:v>通常は編集しない</x:v>
      </x:c>
      <x:c r="J159" s="12" t="str">
        <x:v>技術係数</x:v>
      </x:c>
      <x:c r="K159" s="12" t="str">
        <x:v>対象</x:v>
      </x:c>
      <x:c r="L159" s="12"/>
    </x:row>
    <x:row r="160">
      <x:c r="A160" s="12" t="n">
        <x:v>154</x:v>
      </x:c>
      <x:c r="B160" s="12" t="str">
        <x:v>ゲート駆動</x:v>
      </x:c>
      <x:c r="C160" s="12" t="str">
        <x:v>基準ターンオフ時間</x:v>
      </x:c>
      <x:c r="D160" s="12" t="str">
        <x:v>t_off_ref</x:v>
      </x:c>
      <x:c r="E160" s="12" t="n">
        <x:v>5e-8</x:v>
      </x:c>
      <x:c r="F160" s="12" t="str">
        <x:v>s</x:v>
      </x:c>
      <x:c r="G160" s="12" t="str">
        <x:v>基準仕様（シナリオ間固定）</x:v>
      </x:c>
      <x:c r="H160" s="12" t="str">
        <x:v>09_基準仕様</x:v>
      </x:c>
      <x:c r="I160" s="12" t="str">
        <x:v>通常は編集しない</x:v>
      </x:c>
      <x:c r="J160" s="12" t="str">
        <x:v>技術係数</x:v>
      </x:c>
      <x:c r="K160" s="12" t="str">
        <x:v>対象</x:v>
      </x:c>
      <x:c r="L160" s="12"/>
    </x:row>
    <x:row r="161">
      <x:c r="A161" s="12" t="n">
        <x:v>155</x:v>
      </x:c>
      <x:c r="B161" s="12" t="str">
        <x:v>ゲート駆動</x:v>
      </x:c>
      <x:c r="C161" s="12" t="str">
        <x:v>分離Rg有効</x:v>
      </x:c>
      <x:c r="D161" s="12" t="str">
        <x:v>Enable_split_Rg</x:v>
      </x:c>
      <x:c r="E161" s="12" t="n">
        <x:v>0</x:v>
      </x:c>
      <x:c r="F161" s="12" t="str">
        <x:v>0/1</x:v>
      </x:c>
      <x:c r="G161" s="12" t="str">
        <x:v>基準仕様（シナリオ間固定）</x:v>
      </x:c>
      <x:c r="H161" s="12" t="str">
        <x:v>09_基準仕様</x:v>
      </x:c>
      <x:c r="I161" s="12" t="str">
        <x:v>通常は編集しない</x:v>
      </x:c>
      <x:c r="J161" s="12" t="str">
        <x:v>技術選択</x:v>
      </x:c>
      <x:c r="K161" s="12" t="str">
        <x:v>対象</x:v>
      </x:c>
      <x:c r="L161" s="12" t="str">
        <x:v>0=無効,1=有効</x:v>
      </x:c>
    </x:row>
    <x:row r="162">
      <x:c r="A162" s="12" t="n">
        <x:v>156</x:v>
      </x:c>
      <x:c r="B162" s="12" t="str">
        <x:v>ゲート駆動</x:v>
      </x:c>
      <x:c r="C162" s="12" t="str">
        <x:v>分離Rg時SW時間係数</x:v>
      </x:c>
      <x:c r="D162" s="12" t="str">
        <x:v>k_split_sw</x:v>
      </x:c>
      <x:c r="E162" s="12" t="n">
        <x:v>0.9</x:v>
      </x:c>
      <x:c r="F162" s="12" t="str">
        <x:v>-</x:v>
      </x:c>
      <x:c r="G162" s="12" t="str">
        <x:v>基準仕様（シナリオ間固定）</x:v>
      </x:c>
      <x:c r="H162" s="12" t="str">
        <x:v>09_基準仕様</x:v>
      </x:c>
      <x:c r="I162" s="12" t="str">
        <x:v>通常は編集しない</x:v>
      </x:c>
      <x:c r="J162" s="12" t="str">
        <x:v>技術係数</x:v>
      </x:c>
      <x:c r="K162" s="12" t="str">
        <x:v>対象</x:v>
      </x:c>
      <x:c r="L162" s="12" t="str">
        <x:v>有効時10%改善の簡易値</x:v>
      </x:c>
    </x:row>
    <x:row r="163">
      <x:c r="A163" s="12" t="n">
        <x:v>157</x:v>
      </x:c>
      <x:c r="B163" s="12" t="str">
        <x:v>ゲート駆動</x:v>
      </x:c>
      <x:c r="C163" s="12" t="str">
        <x:v>分離Rg追加重量</x:v>
      </x:c>
      <x:c r="D163" s="12" t="str">
        <x:v>m_split_Rg</x:v>
      </x:c>
      <x:c r="E163" s="12" t="n">
        <x:v>0.003</x:v>
      </x:c>
      <x:c r="F163" s="12" t="str">
        <x:v>kg</x:v>
      </x:c>
      <x:c r="G163" s="12" t="str">
        <x:v>基準仕様（シナリオ間固定）</x:v>
      </x:c>
      <x:c r="H163" s="12" t="str">
        <x:v>09_基準仕様</x:v>
      </x:c>
      <x:c r="I163" s="12" t="str">
        <x:v>通常は編集しない</x:v>
      </x:c>
      <x:c r="J163" s="12" t="str">
        <x:v>技術係数</x:v>
      </x:c>
      <x:c r="K163" s="12" t="str">
        <x:v>対象</x:v>
      </x:c>
      <x:c r="L163" s="12"/>
    </x:row>
    <x:row r="164">
      <x:c r="A164" s="12" t="n">
        <x:v>158</x:v>
      </x:c>
      <x:c r="B164" s="12" t="str">
        <x:v>ゲート駆動</x:v>
      </x:c>
      <x:c r="C164" s="12" t="str">
        <x:v>スルーレートEMI基準重量</x:v>
      </x:c>
      <x:c r="D164" s="12" t="str">
        <x:v>m_slew_emi_ref</x:v>
      </x:c>
      <x:c r="E164" s="12" t="n">
        <x:v>0.08</x:v>
      </x:c>
      <x:c r="F164" s="12" t="str">
        <x:v>kg</x:v>
      </x:c>
      <x:c r="G164" s="12" t="str">
        <x:v>基準仕様（シナリオ間固定）</x:v>
      </x:c>
      <x:c r="H164" s="12" t="str">
        <x:v>09_基準仕様</x:v>
      </x:c>
      <x:c r="I164" s="12" t="str">
        <x:v>通常は編集しない</x:v>
      </x:c>
      <x:c r="J164" s="12" t="str">
        <x:v>技術係数</x:v>
      </x:c>
      <x:c r="K164" s="12" t="str">
        <x:v>対象</x:v>
      </x:c>
      <x:c r="L164" s="12"/>
    </x:row>
    <x:row r="165">
      <x:c r="A165" s="12" t="n">
        <x:v>159</x:v>
      </x:c>
      <x:c r="B165" s="12" t="str">
        <x:v>ゲート駆動</x:v>
      </x:c>
      <x:c r="C165" s="12" t="str">
        <x:v>スルーレート重量指数</x:v>
      </x:c>
      <x:c r="D165" s="12" t="str">
        <x:v>a_slew_emi</x:v>
      </x:c>
      <x:c r="E165" s="12" t="n">
        <x:v>0.7</x:v>
      </x:c>
      <x:c r="F165" s="12" t="str">
        <x:v>-</x:v>
      </x:c>
      <x:c r="G165" s="12" t="str">
        <x:v>基準仕様（シナリオ間固定）</x:v>
      </x:c>
      <x:c r="H165" s="12" t="str">
        <x:v>09_基準仕様</x:v>
      </x:c>
      <x:c r="I165" s="12" t="str">
        <x:v>通常は編集しない</x:v>
      </x:c>
      <x:c r="J165" s="12" t="str">
        <x:v>技術係数</x:v>
      </x:c>
      <x:c r="K165" s="12" t="str">
        <x:v>対象</x:v>
      </x:c>
      <x:c r="L165" s="12"/>
    </x:row>
    <x:row r="166">
      <x:c r="A166" s="12" t="n">
        <x:v>160</x:v>
      </x:c>
      <x:c r="B166" s="12" t="str">
        <x:v>デッドタイム</x:v>
      </x:c>
      <x:c r="C166" s="12" t="str">
        <x:v>デッドタイム</x:v>
      </x:c>
      <x:c r="D166" s="12" t="str">
        <x:v>t_dead</x:v>
      </x:c>
      <x:c r="E166" s="12" t="n">
        <x:v>3e-7</x:v>
      </x:c>
      <x:c r="F166" s="12" t="str">
        <x:v>s</x:v>
      </x:c>
      <x:c r="G166" s="12" t="str">
        <x:v>基準仕様（シナリオ間固定）</x:v>
      </x:c>
      <x:c r="H166" s="12" t="str">
        <x:v>09_基準仕様</x:v>
      </x:c>
      <x:c r="I166" s="12" t="str">
        <x:v>通常は編集しない</x:v>
      </x:c>
      <x:c r="J166" s="12" t="str">
        <x:v>設計変数</x:v>
      </x:c>
      <x:c r="K166" s="12" t="str">
        <x:v>対象</x:v>
      </x:c>
      <x:c r="L166" s="12"/>
    </x:row>
    <x:row r="167">
      <x:c r="A167" s="12" t="n">
        <x:v>161</x:v>
      </x:c>
      <x:c r="B167" s="12" t="str">
        <x:v>デッドタイム</x:v>
      </x:c>
      <x:c r="C167" s="12" t="str">
        <x:v>第3象限等価電圧</x:v>
      </x:c>
      <x:c r="D167" s="12" t="str">
        <x:v>V_dead_drop</x:v>
      </x:c>
      <x:c r="E167" s="12" t="n">
        <x:v>2.5</x:v>
      </x:c>
      <x:c r="F167" s="12" t="str">
        <x:v>V</x:v>
      </x:c>
      <x:c r="G167" s="12" t="str">
        <x:v>基準仕様（シナリオ間固定）</x:v>
      </x:c>
      <x:c r="H167" s="12" t="str">
        <x:v>09_基準仕様</x:v>
      </x:c>
      <x:c r="I167" s="12" t="str">
        <x:v>通常は編集しない</x:v>
      </x:c>
      <x:c r="J167" s="12" t="str">
        <x:v>技術係数</x:v>
      </x:c>
      <x:c r="K167" s="12" t="str">
        <x:v>対象</x:v>
      </x:c>
      <x:c r="L167" s="12" t="str">
        <x:v>簡易値</x:v>
      </x:c>
    </x:row>
    <x:row r="168">
      <x:c r="A168" s="12" t="n">
        <x:v>162</x:v>
      </x:c>
      <x:c r="B168" s="12" t="str">
        <x:v>デッドタイム</x:v>
      </x:c>
      <x:c r="C168" s="12" t="str">
        <x:v>適応デッドタイム有効</x:v>
      </x:c>
      <x:c r="D168" s="12" t="str">
        <x:v>Enable_adaptive_DT</x:v>
      </x:c>
      <x:c r="E168" s="12" t="n">
        <x:v>0</x:v>
      </x:c>
      <x:c r="F168" s="12" t="str">
        <x:v>0/1</x:v>
      </x:c>
      <x:c r="G168" s="12" t="str">
        <x:v>基準仕様（シナリオ間固定）</x:v>
      </x:c>
      <x:c r="H168" s="12" t="str">
        <x:v>09_基準仕様</x:v>
      </x:c>
      <x:c r="I168" s="12" t="str">
        <x:v>通常は編集しない</x:v>
      </x:c>
      <x:c r="J168" s="12" t="str">
        <x:v>技術選択</x:v>
      </x:c>
      <x:c r="K168" s="12" t="str">
        <x:v>対象</x:v>
      </x:c>
      <x:c r="L168" s="12"/>
    </x:row>
    <x:row r="169">
      <x:c r="A169" s="12" t="n">
        <x:v>163</x:v>
      </x:c>
      <x:c r="B169" s="12" t="str">
        <x:v>デッドタイム</x:v>
      </x:c>
      <x:c r="C169" s="12" t="str">
        <x:v>適応時デッドタイム残存率</x:v>
      </x:c>
      <x:c r="D169" s="12" t="str">
        <x:v>k_adapt_dead</x:v>
      </x:c>
      <x:c r="E169" s="12" t="n">
        <x:v>0.45</x:v>
      </x:c>
      <x:c r="F169" s="12" t="str">
        <x:v>-</x:v>
      </x:c>
      <x:c r="G169" s="12" t="str">
        <x:v>基準仕様（シナリオ間固定）</x:v>
      </x:c>
      <x:c r="H169" s="12" t="str">
        <x:v>09_基準仕様</x:v>
      </x:c>
      <x:c r="I169" s="12" t="str">
        <x:v>通常は編集しない</x:v>
      </x:c>
      <x:c r="J169" s="12" t="str">
        <x:v>技術係数</x:v>
      </x:c>
      <x:c r="K169" s="12" t="str">
        <x:v>対象</x:v>
      </x:c>
      <x:c r="L169" s="12"/>
    </x:row>
    <x:row r="170">
      <x:c r="A170" s="12" t="n">
        <x:v>164</x:v>
      </x:c>
      <x:c r="B170" s="12" t="str">
        <x:v>デッドタイム</x:v>
      </x:c>
      <x:c r="C170" s="12" t="str">
        <x:v>適応DT追加制御重量</x:v>
      </x:c>
      <x:c r="D170" s="12" t="str">
        <x:v>m_adapt_DT</x:v>
      </x:c>
      <x:c r="E170" s="12" t="n">
        <x:v>0.015</x:v>
      </x:c>
      <x:c r="F170" s="12" t="str">
        <x:v>kg</x:v>
      </x:c>
      <x:c r="G170" s="12" t="str">
        <x:v>基準仕様（シナリオ間固定）</x:v>
      </x:c>
      <x:c r="H170" s="12" t="str">
        <x:v>09_基準仕様</x:v>
      </x:c>
      <x:c r="I170" s="12" t="str">
        <x:v>通常は編集しない</x:v>
      </x:c>
      <x:c r="J170" s="12" t="str">
        <x:v>技術係数</x:v>
      </x:c>
      <x:c r="K170" s="12" t="str">
        <x:v>対象</x:v>
      </x:c>
      <x:c r="L170" s="12"/>
    </x:row>
    <x:row r="171">
      <x:c r="A171" s="12" t="n">
        <x:v>165</x:v>
      </x:c>
      <x:c r="B171" s="12" t="str">
        <x:v>ゲート電圧</x:v>
      </x:c>
      <x:c r="C171" s="12" t="str">
        <x:v>ターンオンゲート電圧</x:v>
      </x:c>
      <x:c r="D171" s="12" t="str">
        <x:v>Vgs_on</x:v>
      </x:c>
      <x:c r="E171" s="12" t="n">
        <x:v>18</x:v>
      </x:c>
      <x:c r="F171" s="12" t="str">
        <x:v>V</x:v>
      </x:c>
      <x:c r="G171" s="12" t="str">
        <x:v>基準仕様（シナリオ間固定）</x:v>
      </x:c>
      <x:c r="H171" s="12" t="str">
        <x:v>09_基準仕様</x:v>
      </x:c>
      <x:c r="I171" s="12" t="str">
        <x:v>通常は編集しない</x:v>
      </x:c>
      <x:c r="J171" s="12" t="str">
        <x:v>設計変数</x:v>
      </x:c>
      <x:c r="K171" s="12" t="str">
        <x:v>対象</x:v>
      </x:c>
      <x:c r="L171" s="12"/>
    </x:row>
    <x:row r="172">
      <x:c r="A172" s="12" t="n">
        <x:v>166</x:v>
      </x:c>
      <x:c r="B172" s="12" t="str">
        <x:v>ゲート電圧</x:v>
      </x:c>
      <x:c r="C172" s="12" t="str">
        <x:v>ターンオフゲート電圧</x:v>
      </x:c>
      <x:c r="D172" s="12" t="str">
        <x:v>Vgs_off</x:v>
      </x:c>
      <x:c r="E172" s="12" t="n">
        <x:v>-3</x:v>
      </x:c>
      <x:c r="F172" s="12" t="str">
        <x:v>V</x:v>
      </x:c>
      <x:c r="G172" s="12" t="str">
        <x:v>基準仕様（シナリオ間固定）</x:v>
      </x:c>
      <x:c r="H172" s="12" t="str">
        <x:v>09_基準仕様</x:v>
      </x:c>
      <x:c r="I172" s="12" t="str">
        <x:v>通常は編集しない</x:v>
      </x:c>
      <x:c r="J172" s="12" t="str">
        <x:v>設計変数</x:v>
      </x:c>
      <x:c r="K172" s="12" t="str">
        <x:v>対象</x:v>
      </x:c>
      <x:c r="L172" s="12"/>
    </x:row>
    <x:row r="173">
      <x:c r="A173" s="12" t="n">
        <x:v>167</x:v>
      </x:c>
      <x:c r="B173" s="12" t="str">
        <x:v>ゲート電圧</x:v>
      </x:c>
      <x:c r="C173" s="12" t="str">
        <x:v>R_on基準ゲート電圧</x:v>
      </x:c>
      <x:c r="D173" s="12" t="str">
        <x:v>Vgs_ref</x:v>
      </x:c>
      <x:c r="E173" s="12" t="n">
        <x:v>18</x:v>
      </x:c>
      <x:c r="F173" s="12" t="str">
        <x:v>V</x:v>
      </x:c>
      <x:c r="G173" s="12" t="str">
        <x:v>基準仕様（シナリオ間固定）</x:v>
      </x:c>
      <x:c r="H173" s="12" t="str">
        <x:v>09_基準仕様</x:v>
      </x:c>
      <x:c r="I173" s="12" t="str">
        <x:v>通常は編集しない</x:v>
      </x:c>
      <x:c r="J173" s="12" t="str">
        <x:v>技術係数</x:v>
      </x:c>
      <x:c r="K173" s="12" t="str">
        <x:v>対象</x:v>
      </x:c>
      <x:c r="L173" s="12"/>
    </x:row>
    <x:row r="174">
      <x:c r="A174" s="12" t="n">
        <x:v>168</x:v>
      </x:c>
      <x:c r="B174" s="12" t="str">
        <x:v>ゲート電圧</x:v>
      </x:c>
      <x:c r="C174" s="12" t="str">
        <x:v>Vgs-Ron指数</x:v>
      </x:c>
      <x:c r="D174" s="12" t="str">
        <x:v>a_vgs_ron</x:v>
      </x:c>
      <x:c r="E174" s="12" t="n">
        <x:v>0.7</x:v>
      </x:c>
      <x:c r="F174" s="12" t="str">
        <x:v>-</x:v>
      </x:c>
      <x:c r="G174" s="12" t="str">
        <x:v>基準仕様（シナリオ間固定）</x:v>
      </x:c>
      <x:c r="H174" s="12" t="str">
        <x:v>09_基準仕様</x:v>
      </x:c>
      <x:c r="I174" s="12" t="str">
        <x:v>通常は編集しない</x:v>
      </x:c>
      <x:c r="J174" s="12" t="str">
        <x:v>技術係数</x:v>
      </x:c>
      <x:c r="K174" s="12" t="str">
        <x:v>対象</x:v>
      </x:c>
      <x:c r="L174" s="12"/>
    </x:row>
    <x:row r="175">
      <x:c r="A175" s="12" t="n">
        <x:v>169</x:v>
      </x:c>
      <x:c r="B175" s="12" t="str">
        <x:v>ゲート電圧</x:v>
      </x:c>
      <x:c r="C175" s="12" t="str">
        <x:v>ゲート電荷</x:v>
      </x:c>
      <x:c r="D175" s="12" t="str">
        <x:v>Q_g</x:v>
      </x:c>
      <x:c r="E175" s="12" t="n">
        <x:v>1.2e-7</x:v>
      </x:c>
      <x:c r="F175" s="12" t="str">
        <x:v>C</x:v>
      </x:c>
      <x:c r="G175" s="12" t="str">
        <x:v>基準仕様（シナリオ間固定）</x:v>
      </x:c>
      <x:c r="H175" s="12" t="str">
        <x:v>09_基準仕様</x:v>
      </x:c>
      <x:c r="I175" s="12" t="str">
        <x:v>通常は編集しない</x:v>
      </x:c>
      <x:c r="J175" s="12" t="str">
        <x:v>技術係数</x:v>
      </x:c>
      <x:c r="K175" s="12" t="str">
        <x:v>対象</x:v>
      </x:c>
      <x:c r="L175" s="12" t="str">
        <x:v>簡易値</x:v>
      </x:c>
    </x:row>
    <x:row r="176">
      <x:c r="A176" s="12" t="n">
        <x:v>170</x:v>
      </x:c>
      <x:c r="B176" s="12" t="str">
        <x:v>ゲート電圧</x:v>
      </x:c>
      <x:c r="C176" s="12" t="str">
        <x:v>ゲート電源重量係数</x:v>
      </x:c>
      <x:c r="D176" s="12" t="str">
        <x:v>k_mgate</x:v>
      </x:c>
      <x:c r="E176" s="12" t="n">
        <x:v>0.03</x:v>
      </x:c>
      <x:c r="F176" s="12" t="str">
        <x:v>kg/W</x:v>
      </x:c>
      <x:c r="G176" s="12" t="str">
        <x:v>基準仕様（シナリオ間固定）</x:v>
      </x:c>
      <x:c r="H176" s="12" t="str">
        <x:v>09_基準仕様</x:v>
      </x:c>
      <x:c r="I176" s="12" t="str">
        <x:v>通常は編集しない</x:v>
      </x:c>
      <x:c r="J176" s="12" t="str">
        <x:v>技術係数</x:v>
      </x:c>
      <x:c r="K176" s="12" t="str">
        <x:v>対象</x:v>
      </x:c>
      <x:c r="L176" s="12"/>
    </x:row>
    <x:row r="177">
      <x:c r="A177" s="12" t="n">
        <x:v>171</x:v>
      </x:c>
      <x:c r="B177" s="12" t="str">
        <x:v>ゲート電圧</x:v>
      </x:c>
      <x:c r="C177" s="12" t="str">
        <x:v>負バイアス追加重量係数</x:v>
      </x:c>
      <x:c r="D177" s="12" t="str">
        <x:v>k_mneg</x:v>
      </x:c>
      <x:c r="E177" s="12" t="n">
        <x:v>0.004</x:v>
      </x:c>
      <x:c r="F177" s="12" t="str">
        <x:v>kg/V</x:v>
      </x:c>
      <x:c r="G177" s="12" t="str">
        <x:v>基準仕様（シナリオ間固定）</x:v>
      </x:c>
      <x:c r="H177" s="12" t="str">
        <x:v>09_基準仕様</x:v>
      </x:c>
      <x:c r="I177" s="12" t="str">
        <x:v>通常は編集しない</x:v>
      </x:c>
      <x:c r="J177" s="12" t="str">
        <x:v>技術係数</x:v>
      </x:c>
      <x:c r="K177" s="12" t="str">
        <x:v>対象</x:v>
      </x:c>
      <x:c r="L177" s="12"/>
    </x:row>
    <x:row r="178">
      <x:c r="A178" s="12" t="n">
        <x:v>172</x:v>
      </x:c>
      <x:c r="B178" s="12" t="str">
        <x:v>寄生/レイアウト</x:v>
      </x:c>
      <x:c r="C178" s="12" t="str">
        <x:v>パワーループ寄生インダクタンス</x:v>
      </x:c>
      <x:c r="D178" s="12" t="str">
        <x:v>L_stray</x:v>
      </x:c>
      <x:c r="E178" s="12" t="n">
        <x:v>1.5e-8</x:v>
      </x:c>
      <x:c r="F178" s="12" t="str">
        <x:v>H</x:v>
      </x:c>
      <x:c r="G178" s="12" t="str">
        <x:v>基準仕様（シナリオ間固定）</x:v>
      </x:c>
      <x:c r="H178" s="12" t="str">
        <x:v>09_基準仕様</x:v>
      </x:c>
      <x:c r="I178" s="12" t="str">
        <x:v>通常は編集しない</x:v>
      </x:c>
      <x:c r="J178" s="12" t="str">
        <x:v>設計変数</x:v>
      </x:c>
      <x:c r="K178" s="12" t="str">
        <x:v>対象</x:v>
      </x:c>
      <x:c r="L178" s="12" t="str">
        <x:v>低いほど良いが構造重量増</x:v>
      </x:c>
    </x:row>
    <x:row r="179">
      <x:c r="A179" s="12" t="n">
        <x:v>173</x:v>
      </x:c>
      <x:c r="B179" s="12" t="str">
        <x:v>寄生/レイアウト</x:v>
      </x:c>
      <x:c r="C179" s="12" t="str">
        <x:v>低寄生化基準インダクタンス</x:v>
      </x:c>
      <x:c r="D179" s="12" t="str">
        <x:v>L_stray_ref</x:v>
      </x:c>
      <x:c r="E179" s="12" t="n">
        <x:v>1.5e-8</x:v>
      </x:c>
      <x:c r="F179" s="12" t="str">
        <x:v>H</x:v>
      </x:c>
      <x:c r="G179" s="12" t="str">
        <x:v>基準仕様（シナリオ間固定）</x:v>
      </x:c>
      <x:c r="H179" s="12" t="str">
        <x:v>09_基準仕様</x:v>
      </x:c>
      <x:c r="I179" s="12" t="str">
        <x:v>通常は編集しない</x:v>
      </x:c>
      <x:c r="J179" s="12" t="str">
        <x:v>技術係数</x:v>
      </x:c>
      <x:c r="K179" s="12" t="str">
        <x:v>対象</x:v>
      </x:c>
      <x:c r="L179" s="12"/>
    </x:row>
    <x:row r="180">
      <x:c r="A180" s="12" t="n">
        <x:v>174</x:v>
      </x:c>
      <x:c r="B180" s="12" t="str">
        <x:v>寄生/レイアウト</x:v>
      </x:c>
      <x:c r="C180" s="12" t="str">
        <x:v>低寄生化構造重量係数</x:v>
      </x:c>
      <x:c r="D180" s="12" t="str">
        <x:v>m_lowL_ref</x:v>
      </x:c>
      <x:c r="E180" s="12" t="n">
        <x:v>0.05</x:v>
      </x:c>
      <x:c r="F180" s="12" t="str">
        <x:v>kg</x:v>
      </x:c>
      <x:c r="G180" s="12" t="str">
        <x:v>基準仕様（シナリオ間固定）</x:v>
      </x:c>
      <x:c r="H180" s="12" t="str">
        <x:v>09_基準仕様</x:v>
      </x:c>
      <x:c r="I180" s="12" t="str">
        <x:v>通常は編集しない</x:v>
      </x:c>
      <x:c r="J180" s="12" t="str">
        <x:v>技術係数</x:v>
      </x:c>
      <x:c r="K180" s="12" t="str">
        <x:v>対象</x:v>
      </x:c>
      <x:c r="L180" s="12"/>
    </x:row>
    <x:row r="181">
      <x:c r="A181" s="12" t="n">
        <x:v>175</x:v>
      </x:c>
      <x:c r="B181" s="12" t="str">
        <x:v>スナバ</x:v>
      </x:c>
      <x:c r="C181" s="12" t="str">
        <x:v>スナバ有効</x:v>
      </x:c>
      <x:c r="D181" s="12" t="str">
        <x:v>Enable_snubber</x:v>
      </x:c>
      <x:c r="E181" s="12" t="n">
        <x:v>0</x:v>
      </x:c>
      <x:c r="F181" s="12" t="str">
        <x:v>0/1</x:v>
      </x:c>
      <x:c r="G181" s="12" t="str">
        <x:v>シナリオ固有手入力</x:v>
      </x:c>
      <x:c r="H181" s="12" t="str">
        <x:v>10_シナリオ入力</x:v>
      </x:c>
      <x:c r="I181" s="12" t="str">
        <x:v>必要に応じて編集</x:v>
      </x:c>
      <x:c r="J181" s="12" t="str">
        <x:v>技術選択</x:v>
      </x:c>
      <x:c r="K181" s="12" t="str">
        <x:v>対象</x:v>
      </x:c>
      <x:c r="L181" s="12"/>
    </x:row>
    <x:row r="182">
      <x:c r="A182" s="12" t="n">
        <x:v>176</x:v>
      </x:c>
      <x:c r="B182" s="12" t="str">
        <x:v>スナバ</x:v>
      </x:c>
      <x:c r="C182" s="12" t="str">
        <x:v>オーバーシュート低減率</x:v>
      </x:c>
      <x:c r="D182" s="12" t="str">
        <x:v>k_snub_reduce</x:v>
      </x:c>
      <x:c r="E182" s="12" t="n">
        <x:v>0.65</x:v>
      </x:c>
      <x:c r="F182" s="12" t="str">
        <x:v>-</x:v>
      </x:c>
      <x:c r="G182" s="12" t="str">
        <x:v>基準仕様（シナリオ間固定）</x:v>
      </x:c>
      <x:c r="H182" s="12" t="str">
        <x:v>09_基準仕様</x:v>
      </x:c>
      <x:c r="I182" s="12" t="str">
        <x:v>通常は編集しない</x:v>
      </x:c>
      <x:c r="J182" s="12" t="str">
        <x:v>技術係数</x:v>
      </x:c>
      <x:c r="K182" s="12" t="str">
        <x:v>対象</x:v>
      </x:c>
      <x:c r="L182" s="12"/>
    </x:row>
    <x:row r="183">
      <x:c r="A183" s="12" t="n">
        <x:v>177</x:v>
      </x:c>
      <x:c r="B183" s="12" t="str">
        <x:v>スナバ</x:v>
      </x:c>
      <x:c r="C183" s="12" t="str">
        <x:v>スナバ容量</x:v>
      </x:c>
      <x:c r="D183" s="12" t="str">
        <x:v>C_snub</x:v>
      </x:c>
      <x:c r="E183" s="12" t="n">
        <x:v>5e-9</x:v>
      </x:c>
      <x:c r="F183" s="12" t="str">
        <x:v>F</x:v>
      </x:c>
      <x:c r="G183" s="12" t="str">
        <x:v>基準仕様（シナリオ間固定）</x:v>
      </x:c>
      <x:c r="H183" s="12" t="str">
        <x:v>09_基準仕様</x:v>
      </x:c>
      <x:c r="I183" s="12" t="str">
        <x:v>通常は編集しない</x:v>
      </x:c>
      <x:c r="J183" s="12" t="str">
        <x:v>設計変数</x:v>
      </x:c>
      <x:c r="K183" s="12" t="str">
        <x:v>対象</x:v>
      </x:c>
      <x:c r="L183" s="12"/>
    </x:row>
    <x:row r="184">
      <x:c r="A184" s="12" t="n">
        <x:v>178</x:v>
      </x:c>
      <x:c r="B184" s="12" t="str">
        <x:v>スナバ</x:v>
      </x:c>
      <x:c r="C184" s="12" t="str">
        <x:v>スナバ追加重量</x:v>
      </x:c>
      <x:c r="D184" s="12" t="str">
        <x:v>m_snub</x:v>
      </x:c>
      <x:c r="E184" s="12" t="n">
        <x:v>0.03</x:v>
      </x:c>
      <x:c r="F184" s="12" t="str">
        <x:v>kg</x:v>
      </x:c>
      <x:c r="G184" s="12" t="str">
        <x:v>基準仕様（シナリオ間固定）</x:v>
      </x:c>
      <x:c r="H184" s="12" t="str">
        <x:v>09_基準仕様</x:v>
      </x:c>
      <x:c r="I184" s="12" t="str">
        <x:v>通常は編集しない</x:v>
      </x:c>
      <x:c r="J184" s="12" t="str">
        <x:v>技術係数</x:v>
      </x:c>
      <x:c r="K184" s="12" t="str">
        <x:v>対象</x:v>
      </x:c>
      <x:c r="L184" s="12"/>
    </x:row>
    <x:row r="185">
      <x:c r="A185" s="12" t="n">
        <x:v>179</x:v>
      </x:c>
      <x:c r="B185" s="12" t="str">
        <x:v>PWM</x:v>
      </x:c>
      <x:c r="C185" s="12" t="str">
        <x:v>DPWM有効</x:v>
      </x:c>
      <x:c r="D185" s="12" t="str">
        <x:v>Enable_DPWM</x:v>
      </x:c>
      <x:c r="E185" s="12" t="n">
        <x:v>0</x:v>
      </x:c>
      <x:c r="F185" s="12" t="str">
        <x:v>0/1</x:v>
      </x:c>
      <x:c r="G185" s="12" t="str">
        <x:v>シナリオ固有手入力</x:v>
      </x:c>
      <x:c r="H185" s="12" t="str">
        <x:v>10_シナリオ入力</x:v>
      </x:c>
      <x:c r="I185" s="12" t="str">
        <x:v>必要に応じて編集</x:v>
      </x:c>
      <x:c r="J185" s="12" t="str">
        <x:v>技術選択</x:v>
      </x:c>
      <x:c r="K185" s="12" t="str">
        <x:v>対象</x:v>
      </x:c>
      <x:c r="L185" s="12"/>
    </x:row>
    <x:row r="186">
      <x:c r="A186" s="12" t="n">
        <x:v>180</x:v>
      </x:c>
      <x:c r="B186" s="12" t="str">
        <x:v>PWM</x:v>
      </x:c>
      <x:c r="C186" s="12" t="str">
        <x:v>DPWM時SWイベント残存率</x:v>
      </x:c>
      <x:c r="D186" s="12" t="str">
        <x:v>k_dpwm_sw</x:v>
      </x:c>
      <x:c r="E186" s="12" t="n">
        <x:v>0.67</x:v>
      </x:c>
      <x:c r="F186" s="12" t="str">
        <x:v>-</x:v>
      </x:c>
      <x:c r="G186" s="12" t="str">
        <x:v>基準仕様（シナリオ間固定）</x:v>
      </x:c>
      <x:c r="H186" s="12" t="str">
        <x:v>09_基準仕様</x:v>
      </x:c>
      <x:c r="I186" s="12" t="str">
        <x:v>通常は編集しない</x:v>
      </x:c>
      <x:c r="J186" s="12" t="str">
        <x:v>技術係数</x:v>
      </x:c>
      <x:c r="K186" s="12" t="str">
        <x:v>対象</x:v>
      </x:c>
      <x:c r="L186" s="12"/>
    </x:row>
    <x:row r="187">
      <x:c r="A187" s="12" t="n">
        <x:v>181</x:v>
      </x:c>
      <x:c r="B187" s="12" t="str">
        <x:v>PWM</x:v>
      </x:c>
      <x:c r="C187" s="12" t="str">
        <x:v>DPWM高調波/EMI追加重量</x:v>
      </x:c>
      <x:c r="D187" s="12" t="str">
        <x:v>m_dpwm_penalty</x:v>
      </x:c>
      <x:c r="E187" s="12" t="n">
        <x:v>0.025</x:v>
      </x:c>
      <x:c r="F187" s="12" t="str">
        <x:v>kg</x:v>
      </x:c>
      <x:c r="G187" s="12" t="str">
        <x:v>基準仕様（シナリオ間固定）</x:v>
      </x:c>
      <x:c r="H187" s="12" t="str">
        <x:v>09_基準仕様</x:v>
      </x:c>
      <x:c r="I187" s="12" t="str">
        <x:v>通常は編集しない</x:v>
      </x:c>
      <x:c r="J187" s="12" t="str">
        <x:v>技術係数</x:v>
      </x:c>
      <x:c r="K187" s="12" t="str">
        <x:v>対象</x:v>
      </x:c>
      <x:c r="L187" s="12"/>
    </x:row>
    <x:row r="188">
      <x:c r="A188" s="12" t="n">
        <x:v>182</x:v>
      </x:c>
      <x:c r="B188" s="12" t="str">
        <x:v>PWM</x:v>
      </x:c>
      <x:c r="C188" s="12" t="str">
        <x:v>CM低減PWM有効</x:v>
      </x:c>
      <x:c r="D188" s="12" t="str">
        <x:v>Enable_CM_PWM</x:v>
      </x:c>
      <x:c r="E188" s="12" t="n">
        <x:v>0</x:v>
      </x:c>
      <x:c r="F188" s="12" t="str">
        <x:v>0/1</x:v>
      </x:c>
      <x:c r="G188" s="12" t="str">
        <x:v>シナリオ固有手入力</x:v>
      </x:c>
      <x:c r="H188" s="12" t="str">
        <x:v>10_シナリオ入力</x:v>
      </x:c>
      <x:c r="I188" s="12" t="str">
        <x:v>必要に応じて編集</x:v>
      </x:c>
      <x:c r="J188" s="12" t="str">
        <x:v>技術選択</x:v>
      </x:c>
      <x:c r="K188" s="12" t="str">
        <x:v>対象</x:v>
      </x:c>
      <x:c r="L188" s="12"/>
    </x:row>
    <x:row r="189">
      <x:c r="A189" s="12" t="n">
        <x:v>183</x:v>
      </x:c>
      <x:c r="B189" s="12" t="str">
        <x:v>PWM</x:v>
      </x:c>
      <x:c r="C189" s="12" t="str">
        <x:v>CM低減PWMのSW損失係数</x:v>
      </x:c>
      <x:c r="D189" s="12" t="str">
        <x:v>k_cmpwm_sw</x:v>
      </x:c>
      <x:c r="E189" s="12" t="n">
        <x:v>1.08</x:v>
      </x:c>
      <x:c r="F189" s="12" t="str">
        <x:v>-</x:v>
      </x:c>
      <x:c r="G189" s="12" t="str">
        <x:v>基準仕様（シナリオ間固定）</x:v>
      </x:c>
      <x:c r="H189" s="12" t="str">
        <x:v>09_基準仕様</x:v>
      </x:c>
      <x:c r="I189" s="12" t="str">
        <x:v>通常は編集しない</x:v>
      </x:c>
      <x:c r="J189" s="12" t="str">
        <x:v>技術係数</x:v>
      </x:c>
      <x:c r="K189" s="12" t="str">
        <x:v>対象</x:v>
      </x:c>
      <x:c r="L189" s="12"/>
    </x:row>
    <x:row r="190">
      <x:c r="A190" s="12" t="n">
        <x:v>184</x:v>
      </x:c>
      <x:c r="B190" s="12" t="str">
        <x:v>PWM</x:v>
      </x:c>
      <x:c r="C190" s="12" t="str">
        <x:v>基準CMフィルタ重量</x:v>
      </x:c>
      <x:c r="D190" s="12" t="str">
        <x:v>m_CM_filter_base</x:v>
      </x:c>
      <x:c r="E190" s="12" t="n">
        <x:v>0.2</x:v>
      </x:c>
      <x:c r="F190" s="12" t="str">
        <x:v>kg</x:v>
      </x:c>
      <x:c r="G190" s="12" t="str">
        <x:v>基準仕様（シナリオ間固定）</x:v>
      </x:c>
      <x:c r="H190" s="12" t="str">
        <x:v>09_基準仕様</x:v>
      </x:c>
      <x:c r="I190" s="12" t="str">
        <x:v>通常は編集しない</x:v>
      </x:c>
      <x:c r="J190" s="12" t="str">
        <x:v>技術係数</x:v>
      </x:c>
      <x:c r="K190" s="12" t="str">
        <x:v>対象</x:v>
      </x:c>
      <x:c r="L190" s="12"/>
    </x:row>
    <x:row r="191">
      <x:c r="A191" s="12" t="n">
        <x:v>185</x:v>
      </x:c>
      <x:c r="B191" s="12" t="str">
        <x:v>PWM</x:v>
      </x:c>
      <x:c r="C191" s="12" t="str">
        <x:v>CMフィルタ低減率</x:v>
      </x:c>
      <x:c r="D191" s="12" t="str">
        <x:v>k_cm_filter_reduce</x:v>
      </x:c>
      <x:c r="E191" s="12" t="n">
        <x:v>0.6</x:v>
      </x:c>
      <x:c r="F191" s="12" t="str">
        <x:v>-</x:v>
      </x:c>
      <x:c r="G191" s="12" t="str">
        <x:v>基準仕様（シナリオ間固定）</x:v>
      </x:c>
      <x:c r="H191" s="12" t="str">
        <x:v>09_基準仕様</x:v>
      </x:c>
      <x:c r="I191" s="12" t="str">
        <x:v>通常は編集しない</x:v>
      </x:c>
      <x:c r="J191" s="12" t="str">
        <x:v>技術係数</x:v>
      </x:c>
      <x:c r="K191" s="12" t="str">
        <x:v>対象</x:v>
      </x:c>
      <x:c r="L191" s="12"/>
    </x:row>
    <x:row r="192">
      <x:c r="A192" s="12" t="n">
        <x:v>186</x:v>
      </x:c>
      <x:c r="B192" s="12" t="str">
        <x:v>PWM</x:v>
      </x:c>
      <x:c r="C192" s="12" t="str">
        <x:v>CM低減PWM追加制御重量</x:v>
      </x:c>
      <x:c r="D192" s="12" t="str">
        <x:v>m_cmpwm_ctrl</x:v>
      </x:c>
      <x:c r="E192" s="12" t="n">
        <x:v>0.005</x:v>
      </x:c>
      <x:c r="F192" s="12" t="str">
        <x:v>kg</x:v>
      </x:c>
      <x:c r="G192" s="12" t="str">
        <x:v>基準仕様（シナリオ間固定）</x:v>
      </x:c>
      <x:c r="H192" s="12" t="str">
        <x:v>09_基準仕様</x:v>
      </x:c>
      <x:c r="I192" s="12" t="str">
        <x:v>通常は編集しない</x:v>
      </x:c>
      <x:c r="J192" s="12" t="str">
        <x:v>技術係数</x:v>
      </x:c>
      <x:c r="K192" s="12" t="str">
        <x:v>対象</x:v>
      </x:c>
      <x:c r="L192" s="12"/>
    </x:row>
    <x:row r="193">
      <x:c r="A193" s="12" t="n">
        <x:v>187</x:v>
      </x:c>
      <x:c r="B193" s="12" t="str">
        <x:v>DCリンクC</x:v>
      </x:c>
      <x:c r="C193" s="12" t="str">
        <x:v>DCリンクCリップル電流係数</x:v>
      </x:c>
      <x:c r="D193" s="12" t="str">
        <x:v>k_Icap_ripple</x:v>
      </x:c>
      <x:c r="E193" s="12" t="n">
        <x:v>0.55</x:v>
      </x:c>
      <x:c r="F193" s="12" t="str">
        <x:v>-</x:v>
      </x:c>
      <x:c r="G193" s="12" t="str">
        <x:v>基準仕様（シナリオ間固定）</x:v>
      </x:c>
      <x:c r="H193" s="12" t="str">
        <x:v>09_基準仕様</x:v>
      </x:c>
      <x:c r="I193" s="12" t="str">
        <x:v>通常は編集しない</x:v>
      </x:c>
      <x:c r="J193" s="12" t="str">
        <x:v>技術係数</x:v>
      </x:c>
      <x:c r="K193" s="12" t="str">
        <x:v>対象</x:v>
      </x:c>
      <x:c r="L193" s="12" t="str">
        <x:v>I_C_rms=k×I_phase</x:v>
      </x:c>
    </x:row>
    <x:row r="194">
      <x:c r="A194" s="12" t="n">
        <x:v>188</x:v>
      </x:c>
      <x:c r="B194" s="12" t="str">
        <x:v>DCリンクC</x:v>
      </x:c>
      <x:c r="C194" s="12" t="str">
        <x:v>C単体リップル電流定格</x:v>
      </x:c>
      <x:c r="D194" s="12" t="str">
        <x:v>I_cap_unit_rating</x:v>
      </x:c>
      <x:c r="E194" s="12" t="n">
        <x:v>25</x:v>
      </x:c>
      <x:c r="F194" s="12" t="str">
        <x:v>A</x:v>
      </x:c>
      <x:c r="G194" s="12" t="str">
        <x:v>基準仕様（シナリオ間固定）</x:v>
      </x:c>
      <x:c r="H194" s="12" t="str">
        <x:v>09_基準仕様</x:v>
      </x:c>
      <x:c r="I194" s="12" t="str">
        <x:v>通常は編集しない</x:v>
      </x:c>
      <x:c r="J194" s="12" t="str">
        <x:v>設計変数</x:v>
      </x:c>
      <x:c r="K194" s="12" t="str">
        <x:v>対象</x:v>
      </x:c>
      <x:c r="L194" s="12"/>
    </x:row>
    <x:row r="195">
      <x:c r="A195" s="12" t="n">
        <x:v>189</x:v>
      </x:c>
      <x:c r="B195" s="12" t="str">
        <x:v>DCリンクC</x:v>
      </x:c>
      <x:c r="C195" s="12" t="str">
        <x:v>C単体重量</x:v>
      </x:c>
      <x:c r="D195" s="12" t="str">
        <x:v>m_cap_unit</x:v>
      </x:c>
      <x:c r="E195" s="12" t="n">
        <x:v>0.35</x:v>
      </x:c>
      <x:c r="F195" s="12" t="str">
        <x:v>kg/個</x:v>
      </x:c>
      <x:c r="G195" s="12" t="str">
        <x:v>基準仕様（シナリオ間固定）</x:v>
      </x:c>
      <x:c r="H195" s="12" t="str">
        <x:v>09_基準仕様</x:v>
      </x:c>
      <x:c r="I195" s="12" t="str">
        <x:v>通常は編集しない</x:v>
      </x:c>
      <x:c r="J195" s="12" t="str">
        <x:v>技術係数</x:v>
      </x:c>
      <x:c r="K195" s="12" t="str">
        <x:v>対象</x:v>
      </x:c>
      <x:c r="L195" s="12"/>
    </x:row>
    <x:row r="196">
      <x:c r="A196" s="12" t="n">
        <x:v>190</x:v>
      </x:c>
      <x:c r="B196" s="12" t="str">
        <x:v>DCリンクC</x:v>
      </x:c>
      <x:c r="C196" s="12" t="str">
        <x:v>C単体ESR</x:v>
      </x:c>
      <x:c r="D196" s="12" t="str">
        <x:v>ESR_cap</x:v>
      </x:c>
      <x:c r="E196" s="12" t="n">
        <x:v>0.003</x:v>
      </x:c>
      <x:c r="F196" s="12" t="str">
        <x:v>Ω</x:v>
      </x:c>
      <x:c r="G196" s="12" t="str">
        <x:v>基準仕様（シナリオ間固定）</x:v>
      </x:c>
      <x:c r="H196" s="12" t="str">
        <x:v>09_基準仕様</x:v>
      </x:c>
      <x:c r="I196" s="12" t="str">
        <x:v>通常は編集しない</x:v>
      </x:c>
      <x:c r="J196" s="12" t="str">
        <x:v>設計変数</x:v>
      </x:c>
      <x:c r="K196" s="12" t="str">
        <x:v>対象</x:v>
      </x:c>
      <x:c r="L196" s="12"/>
    </x:row>
    <x:row r="197">
      <x:c r="A197" s="12" t="n">
        <x:v>191</x:v>
      </x:c>
      <x:c r="B197" s="12" t="str">
        <x:v>DCリンクC</x:v>
      </x:c>
      <x:c r="C197" s="12" t="str">
        <x:v>C熱抵抗</x:v>
      </x:c>
      <x:c r="D197" s="12" t="str">
        <x:v>Rth_cap</x:v>
      </x:c>
      <x:c r="E197" s="12" t="n">
        <x:v>2</x:v>
      </x:c>
      <x:c r="F197" s="12" t="str">
        <x:v>K/W</x:v>
      </x:c>
      <x:c r="G197" s="12" t="str">
        <x:v>基準仕様（シナリオ間固定）</x:v>
      </x:c>
      <x:c r="H197" s="12" t="str">
        <x:v>09_基準仕様</x:v>
      </x:c>
      <x:c r="I197" s="12" t="str">
        <x:v>通常は編集しない</x:v>
      </x:c>
      <x:c r="J197" s="12" t="str">
        <x:v>技術係数</x:v>
      </x:c>
      <x:c r="K197" s="12" t="str">
        <x:v>対象</x:v>
      </x:c>
      <x:c r="L197" s="12"/>
    </x:row>
    <x:row r="198">
      <x:c r="A198" s="12" t="n">
        <x:v>192</x:v>
      </x:c>
      <x:c r="B198" s="12" t="str">
        <x:v>DCリンクC</x:v>
      </x:c>
      <x:c r="C198" s="12" t="str">
        <x:v>寿命基準温度</x:v>
      </x:c>
      <x:c r="D198" s="12" t="str">
        <x:v>T_cap_life_ref</x:v>
      </x:c>
      <x:c r="E198" s="12" t="n">
        <x:v>85</x:v>
      </x:c>
      <x:c r="F198" s="12" t="str">
        <x:v>°C</x:v>
      </x:c>
      <x:c r="G198" s="12" t="str">
        <x:v>基準仕様（シナリオ間固定）</x:v>
      </x:c>
      <x:c r="H198" s="12" t="str">
        <x:v>09_基準仕様</x:v>
      </x:c>
      <x:c r="I198" s="12" t="str">
        <x:v>通常は編集しない</x:v>
      </x:c>
      <x:c r="J198" s="12" t="str">
        <x:v>技術係数</x:v>
      </x:c>
      <x:c r="K198" s="12" t="str">
        <x:v>対象</x:v>
      </x:c>
      <x:c r="L198" s="12"/>
    </x:row>
    <x:row r="199">
      <x:c r="A199" s="12" t="n">
        <x:v>193</x:v>
      </x:c>
      <x:c r="B199" s="12" t="str">
        <x:v>DCリンクC</x:v>
      </x:c>
      <x:c r="C199" s="12" t="str">
        <x:v>基準寿命</x:v>
      </x:c>
      <x:c r="D199" s="12" t="str">
        <x:v>life_cap_ref</x:v>
      </x:c>
      <x:c r="E199" s="12" t="n">
        <x:v>10000</x:v>
      </x:c>
      <x:c r="F199" s="12" t="str">
        <x:v>h</x:v>
      </x:c>
      <x:c r="G199" s="12" t="str">
        <x:v>基準仕様（シナリオ間固定）</x:v>
      </x:c>
      <x:c r="H199" s="12" t="str">
        <x:v>09_基準仕様</x:v>
      </x:c>
      <x:c r="I199" s="12" t="str">
        <x:v>通常は編集しない</x:v>
      </x:c>
      <x:c r="J199" s="12" t="str">
        <x:v>技術係数</x:v>
      </x:c>
      <x:c r="K199" s="12" t="str">
        <x:v>対象</x:v>
      </x:c>
      <x:c r="L199" s="12"/>
    </x:row>
    <x:row r="200">
      <x:c r="A200" s="12" t="n">
        <x:v>194</x:v>
      </x:c>
      <x:c r="B200" s="12" t="str">
        <x:v>DCリンクC</x:v>
      </x:c>
      <x:c r="C200" s="12" t="str">
        <x:v>要求寿命</x:v>
      </x:c>
      <x:c r="D200" s="12" t="str">
        <x:v>life_cap_req</x:v>
      </x:c>
      <x:c r="E200" s="12" t="n">
        <x:v>150000</x:v>
      </x:c>
      <x:c r="F200" s="12" t="str">
        <x:v>h</x:v>
      </x:c>
      <x:c r="G200" s="12" t="str">
        <x:v>システム要求→自動計算</x:v>
      </x:c>
      <x:c r="H200" s="12" t="str">
        <x:v>07_システム要求</x:v>
      </x:c>
      <x:c r="I200" s="12" t="str">
        <x:v>システム要求のみ編集</x:v>
      </x:c>
      <x:c r="J200" s="12" t="str">
        <x:v>要求仕様</x:v>
      </x:c>
      <x:c r="K200" s="12" t="str">
        <x:v>対象</x:v>
      </x:c>
      <x:c r="L200" s="12"/>
    </x:row>
    <x:row r="201">
      <x:c r="A201" s="12" t="n">
        <x:v>195</x:v>
      </x:c>
      <x:c r="B201" s="12" t="str">
        <x:v>ゲート駆動</x:v>
      </x:c>
      <x:c r="C201" s="12" t="str">
        <x:v>スルーレート基準DC電圧</x:v>
      </x:c>
      <x:c r="D201" s="12" t="str">
        <x:v>V_slew_ref</x:v>
      </x:c>
      <x:c r="E201" s="12" t="n">
        <x:v>800</x:v>
      </x:c>
      <x:c r="F201" s="12" t="str">
        <x:v>V</x:v>
      </x:c>
      <x:c r="G201" s="12" t="str">
        <x:v>基準仕様（シナリオ間固定）</x:v>
      </x:c>
      <x:c r="H201" s="12" t="str">
        <x:v>09_基準仕様</x:v>
      </x:c>
      <x:c r="I201" s="12" t="str">
        <x:v>通常は編集しない</x:v>
      </x:c>
      <x:c r="J201" s="12" t="str">
        <x:v>技術係数</x:v>
      </x:c>
      <x:c r="K201" s="12" t="str">
        <x:v>対象</x:v>
      </x:c>
      <x:c r="L201" s="12"/>
    </x:row>
    <x:row r="202">
      <x:c r="A202" s="12" t="n">
        <x:v>196</x:v>
      </x:c>
      <x:c r="B202" s="12" t="str">
        <x:v>DCリンクESL</x:v>
      </x:c>
      <x:c r="C202" s="12" t="str">
        <x:v>DCリンク実効ESL</x:v>
      </x:c>
      <x:c r="D202" s="12" t="str">
        <x:v>ESL_dc</x:v>
      </x:c>
      <x:c r="E202" s="12" t="n">
        <x:v>1.2e-8</x:v>
      </x:c>
      <x:c r="F202" s="12" t="str">
        <x:v>H</x:v>
      </x:c>
      <x:c r="G202" s="12" t="str">
        <x:v>基準仕様（シナリオ間固定）</x:v>
      </x:c>
      <x:c r="H202" s="12" t="str">
        <x:v>09_基準仕様</x:v>
      </x:c>
      <x:c r="I202" s="12" t="str">
        <x:v>通常は編集しない</x:v>
      </x:c>
      <x:c r="J202" s="12" t="str">
        <x:v>設計変数</x:v>
      </x:c>
      <x:c r="K202" s="12" t="str">
        <x:v>対象</x:v>
      </x:c>
      <x:c r="L202" s="12"/>
    </x:row>
    <x:row r="203">
      <x:c r="A203" s="12" t="n">
        <x:v>197</x:v>
      </x:c>
      <x:c r="B203" s="12" t="str">
        <x:v>DCリンクESL</x:v>
      </x:c>
      <x:c r="C203" s="12" t="str">
        <x:v>HFローカルデカップリング有効</x:v>
      </x:c>
      <x:c r="D203" s="12" t="str">
        <x:v>Enable_hf_decouple</x:v>
      </x:c>
      <x:c r="E203" s="12" t="n">
        <x:v>0</x:v>
      </x:c>
      <x:c r="F203" s="12" t="str">
        <x:v>0/1</x:v>
      </x:c>
      <x:c r="G203" s="12" t="str">
        <x:v>シナリオ固有手入力</x:v>
      </x:c>
      <x:c r="H203" s="12" t="str">
        <x:v>10_シナリオ入力</x:v>
      </x:c>
      <x:c r="I203" s="12" t="str">
        <x:v>必要に応じて編集</x:v>
      </x:c>
      <x:c r="J203" s="12" t="str">
        <x:v>技術選択</x:v>
      </x:c>
      <x:c r="K203" s="12" t="str">
        <x:v>対象</x:v>
      </x:c>
      <x:c r="L203" s="12"/>
    </x:row>
    <x:row r="204">
      <x:c r="A204" s="12" t="n">
        <x:v>198</x:v>
      </x:c>
      <x:c r="B204" s="12" t="str">
        <x:v>DCリンクESL</x:v>
      </x:c>
      <x:c r="C204" s="12" t="str">
        <x:v>HFデカップリングL低減率</x:v>
      </x:c>
      <x:c r="D204" s="12" t="str">
        <x:v>k_hf_L_reduce</x:v>
      </x:c>
      <x:c r="E204" s="12" t="n">
        <x:v>0.45</x:v>
      </x:c>
      <x:c r="F204" s="12" t="str">
        <x:v>-</x:v>
      </x:c>
      <x:c r="G204" s="12" t="str">
        <x:v>基準仕様（シナリオ間固定）</x:v>
      </x:c>
      <x:c r="H204" s="12" t="str">
        <x:v>09_基準仕様</x:v>
      </x:c>
      <x:c r="I204" s="12" t="str">
        <x:v>通常は編集しない</x:v>
      </x:c>
      <x:c r="J204" s="12" t="str">
        <x:v>技術係数</x:v>
      </x:c>
      <x:c r="K204" s="12" t="str">
        <x:v>対象</x:v>
      </x:c>
      <x:c r="L204" s="12"/>
    </x:row>
    <x:row r="205">
      <x:c r="A205" s="12" t="n">
        <x:v>199</x:v>
      </x:c>
      <x:c r="B205" s="12" t="str">
        <x:v>DCリンクESL</x:v>
      </x:c>
      <x:c r="C205" s="12" t="str">
        <x:v>HFデカップリング追加重量</x:v>
      </x:c>
      <x:c r="D205" s="12" t="str">
        <x:v>m_hfcap</x:v>
      </x:c>
      <x:c r="E205" s="12" t="n">
        <x:v>0.035</x:v>
      </x:c>
      <x:c r="F205" s="12" t="str">
        <x:v>kg</x:v>
      </x:c>
      <x:c r="G205" s="12" t="str">
        <x:v>基準仕様（シナリオ間固定）</x:v>
      </x:c>
      <x:c r="H205" s="12" t="str">
        <x:v>09_基準仕様</x:v>
      </x:c>
      <x:c r="I205" s="12" t="str">
        <x:v>通常は編集しない</x:v>
      </x:c>
      <x:c r="J205" s="12" t="str">
        <x:v>技術係数</x:v>
      </x:c>
      <x:c r="K205" s="12" t="str">
        <x:v>対象</x:v>
      </x:c>
      <x:c r="L205" s="12"/>
    </x:row>
    <x:row r="206">
      <x:c r="A206" s="12" t="n">
        <x:v>200</x:v>
      </x:c>
      <x:c r="B206" s="12" t="str">
        <x:v>冷却</x:v>
      </x:c>
      <x:c r="C206" s="12" t="str">
        <x:v>冷媒流量</x:v>
      </x:c>
      <x:c r="D206" s="12" t="str">
        <x:v>Q_flow</x:v>
      </x:c>
      <x:c r="E206" s="12" t="n">
        <x:v>0.00015</x:v>
      </x:c>
      <x:c r="F206" s="12" t="str">
        <x:v>m3/s</x:v>
      </x:c>
      <x:c r="G206" s="12" t="str">
        <x:v>基準仕様（シナリオ間固定）</x:v>
      </x:c>
      <x:c r="H206" s="12" t="str">
        <x:v>09_基準仕様</x:v>
      </x:c>
      <x:c r="I206" s="12" t="str">
        <x:v>通常は編集しない</x:v>
      </x:c>
      <x:c r="J206" s="12" t="str">
        <x:v>設計変数</x:v>
      </x:c>
      <x:c r="K206" s="12" t="str">
        <x:v>対象</x:v>
      </x:c>
      <x:c r="L206" s="12"/>
    </x:row>
    <x:row r="207">
      <x:c r="A207" s="12" t="n">
        <x:v>201</x:v>
      </x:c>
      <x:c r="B207" s="12" t="str">
        <x:v>冷却</x:v>
      </x:c>
      <x:c r="C207" s="12" t="str">
        <x:v>基準流量</x:v>
      </x:c>
      <x:c r="D207" s="12" t="str">
        <x:v>Q_flow_ref</x:v>
      </x:c>
      <x:c r="E207" s="12" t="n">
        <x:v>0.00015</x:v>
      </x:c>
      <x:c r="F207" s="12" t="str">
        <x:v>m3/s</x:v>
      </x:c>
      <x:c r="G207" s="12" t="str">
        <x:v>基準仕様（シナリオ間固定）</x:v>
      </x:c>
      <x:c r="H207" s="12" t="str">
        <x:v>09_基準仕様</x:v>
      </x:c>
      <x:c r="I207" s="12" t="str">
        <x:v>通常は編集しない</x:v>
      </x:c>
      <x:c r="J207" s="12" t="str">
        <x:v>技術係数</x:v>
      </x:c>
      <x:c r="K207" s="12" t="str">
        <x:v>対象</x:v>
      </x:c>
      <x:c r="L207" s="12"/>
    </x:row>
    <x:row r="208">
      <x:c r="A208" s="12" t="n">
        <x:v>202</x:v>
      </x:c>
      <x:c r="B208" s="12" t="str">
        <x:v>冷却</x:v>
      </x:c>
      <x:c r="C208" s="12" t="str">
        <x:v>基準圧力損失</x:v>
      </x:c>
      <x:c r="D208" s="12" t="str">
        <x:v>DeltaP_ref</x:v>
      </x:c>
      <x:c r="E208" s="12" t="n">
        <x:v>45000</x:v>
      </x:c>
      <x:c r="F208" s="12" t="str">
        <x:v>Pa</x:v>
      </x:c>
      <x:c r="G208" s="12" t="str">
        <x:v>基準仕様（シナリオ間固定）</x:v>
      </x:c>
      <x:c r="H208" s="12" t="str">
        <x:v>09_基準仕様</x:v>
      </x:c>
      <x:c r="I208" s="12" t="str">
        <x:v>通常は編集しない</x:v>
      </x:c>
      <x:c r="J208" s="12" t="str">
        <x:v>技術係数</x:v>
      </x:c>
      <x:c r="K208" s="12" t="str">
        <x:v>対象</x:v>
      </x:c>
      <x:c r="L208" s="12"/>
    </x:row>
    <x:row r="209">
      <x:c r="A209" s="12" t="n">
        <x:v>203</x:v>
      </x:c>
      <x:c r="B209" s="12" t="str">
        <x:v>冷却</x:v>
      </x:c>
      <x:c r="C209" s="12" t="str">
        <x:v>圧損流量指数</x:v>
      </x:c>
      <x:c r="D209" s="12" t="str">
        <x:v>a_dp_flow</x:v>
      </x:c>
      <x:c r="E209" s="12" t="n">
        <x:v>1.8</x:v>
      </x:c>
      <x:c r="F209" s="12" t="str">
        <x:v>-</x:v>
      </x:c>
      <x:c r="G209" s="12" t="str">
        <x:v>基準仕様（シナリオ間固定）</x:v>
      </x:c>
      <x:c r="H209" s="12" t="str">
        <x:v>09_基準仕様</x:v>
      </x:c>
      <x:c r="I209" s="12" t="str">
        <x:v>通常は編集しない</x:v>
      </x:c>
      <x:c r="J209" s="12" t="str">
        <x:v>技術係数</x:v>
      </x:c>
      <x:c r="K209" s="12" t="str">
        <x:v>対象</x:v>
      </x:c>
      <x:c r="L209" s="12"/>
    </x:row>
    <x:row r="210">
      <x:c r="A210" s="12" t="n">
        <x:v>204</x:v>
      </x:c>
      <x:c r="B210" s="12" t="str">
        <x:v>冷却</x:v>
      </x:c>
      <x:c r="C210" s="12" t="str">
        <x:v>ポンプ効率</x:v>
      </x:c>
      <x:c r="D210" s="12" t="str">
        <x:v>eta_pump</x:v>
      </x:c>
      <x:c r="E210" s="12" t="n">
        <x:v>0.45</x:v>
      </x:c>
      <x:c r="F210" s="12" t="str">
        <x:v>-</x:v>
      </x:c>
      <x:c r="G210" s="12" t="str">
        <x:v>基準仕様（シナリオ間固定）</x:v>
      </x:c>
      <x:c r="H210" s="12" t="str">
        <x:v>09_基準仕様</x:v>
      </x:c>
      <x:c r="I210" s="12" t="str">
        <x:v>通常は編集しない</x:v>
      </x:c>
      <x:c r="J210" s="12" t="str">
        <x:v>設計変数</x:v>
      </x:c>
      <x:c r="K210" s="12" t="str">
        <x:v>対象</x:v>
      </x:c>
      <x:c r="L210" s="12"/>
    </x:row>
    <x:row r="211">
      <x:c r="A211" s="12" t="n">
        <x:v>205</x:v>
      </x:c>
      <x:c r="B211" s="12" t="str">
        <x:v>冷却</x:v>
      </x:c>
      <x:c r="C211" s="12" t="str">
        <x:v>ポンプ比重量</x:v>
      </x:c>
      <x:c r="D211" s="12" t="str">
        <x:v>k_m_pump</x:v>
      </x:c>
      <x:c r="E211" s="12" t="n">
        <x:v>0.01</x:v>
      </x:c>
      <x:c r="F211" s="12" t="str">
        <x:v>kg/W</x:v>
      </x:c>
      <x:c r="G211" s="12" t="str">
        <x:v>基準仕様（シナリオ間固定）</x:v>
      </x:c>
      <x:c r="H211" s="12" t="str">
        <x:v>09_基準仕様</x:v>
      </x:c>
      <x:c r="I211" s="12" t="str">
        <x:v>通常は編集しない</x:v>
      </x:c>
      <x:c r="J211" s="12" t="str">
        <x:v>技術係数</x:v>
      </x:c>
      <x:c r="K211" s="12" t="str">
        <x:v>対象</x:v>
      </x:c>
      <x:c r="L211" s="12"/>
    </x:row>
    <x:row r="212">
      <x:c r="A212" s="12" t="n">
        <x:v>206</x:v>
      </x:c>
      <x:c r="B212" s="12" t="str">
        <x:v>冷却</x:v>
      </x:c>
      <x:c r="C212" s="12" t="str">
        <x:v>フィン/流路密度係数</x:v>
      </x:c>
      <x:c r="D212" s="12" t="str">
        <x:v>fin_density</x:v>
      </x:c>
      <x:c r="E212" s="12" t="n">
        <x:v>1</x:v>
      </x:c>
      <x:c r="F212" s="12" t="str">
        <x:v>-</x:v>
      </x:c>
      <x:c r="G212" s="12" t="str">
        <x:v>基準仕様（シナリオ間固定）</x:v>
      </x:c>
      <x:c r="H212" s="12" t="str">
        <x:v>09_基準仕様</x:v>
      </x:c>
      <x:c r="I212" s="12" t="str">
        <x:v>通常は編集しない</x:v>
      </x:c>
      <x:c r="J212" s="12" t="str">
        <x:v>設計変数</x:v>
      </x:c>
      <x:c r="K212" s="12" t="str">
        <x:v>対象</x:v>
      </x:c>
      <x:c r="L212" s="12"/>
    </x:row>
    <x:row r="213">
      <x:c r="A213" s="12" t="n">
        <x:v>207</x:v>
      </x:c>
      <x:c r="B213" s="12" t="str">
        <x:v>冷却</x:v>
      </x:c>
      <x:c r="C213" s="12" t="str">
        <x:v>熱伝達密度指数</x:v>
      </x:c>
      <x:c r="D213" s="12" t="str">
        <x:v>a_h_fin</x:v>
      </x:c>
      <x:c r="E213" s="12" t="n">
        <x:v>0.65</x:v>
      </x:c>
      <x:c r="F213" s="12" t="str">
        <x:v>-</x:v>
      </x:c>
      <x:c r="G213" s="12" t="str">
        <x:v>基準仕様（シナリオ間固定）</x:v>
      </x:c>
      <x:c r="H213" s="12" t="str">
        <x:v>09_基準仕様</x:v>
      </x:c>
      <x:c r="I213" s="12" t="str">
        <x:v>通常は編集しない</x:v>
      </x:c>
      <x:c r="J213" s="12" t="str">
        <x:v>技術係数</x:v>
      </x:c>
      <x:c r="K213" s="12" t="str">
        <x:v>対象</x:v>
      </x:c>
      <x:c r="L213" s="12"/>
    </x:row>
    <x:row r="214">
      <x:c r="A214" s="12" t="n">
        <x:v>208</x:v>
      </x:c>
      <x:c r="B214" s="12" t="str">
        <x:v>冷却</x:v>
      </x:c>
      <x:c r="C214" s="12" t="str">
        <x:v>圧損密度指数</x:v>
      </x:c>
      <x:c r="D214" s="12" t="str">
        <x:v>a_dp_fin</x:v>
      </x:c>
      <x:c r="E214" s="12" t="n">
        <x:v>1.7</x:v>
      </x:c>
      <x:c r="F214" s="12" t="str">
        <x:v>-</x:v>
      </x:c>
      <x:c r="G214" s="12" t="str">
        <x:v>基準仕様（シナリオ間固定）</x:v>
      </x:c>
      <x:c r="H214" s="12" t="str">
        <x:v>09_基準仕様</x:v>
      </x:c>
      <x:c r="I214" s="12" t="str">
        <x:v>通常は編集しない</x:v>
      </x:c>
      <x:c r="J214" s="12" t="str">
        <x:v>技術係数</x:v>
      </x:c>
      <x:c r="K214" s="12" t="str">
        <x:v>対象</x:v>
      </x:c>
      <x:c r="L214" s="12"/>
    </x:row>
    <x:row r="215">
      <x:c r="A215" s="12" t="n">
        <x:v>209</x:v>
      </x:c>
      <x:c r="B215" s="12" t="str">
        <x:v>TIM</x:v>
      </x:c>
      <x:c r="C215" s="12" t="str">
        <x:v>TIM厚さ</x:v>
      </x:c>
      <x:c r="D215" s="12" t="str">
        <x:v>t_TIM</x:v>
      </x:c>
      <x:c r="E215" s="12" t="n">
        <x:v>0.00015</x:v>
      </x:c>
      <x:c r="F215" s="12" t="str">
        <x:v>m</x:v>
      </x:c>
      <x:c r="G215" s="12" t="str">
        <x:v>基準仕様（シナリオ間固定）</x:v>
      </x:c>
      <x:c r="H215" s="12" t="str">
        <x:v>09_基準仕様</x:v>
      </x:c>
      <x:c r="I215" s="12" t="str">
        <x:v>通常は編集しない</x:v>
      </x:c>
      <x:c r="J215" s="12" t="str">
        <x:v>設計変数</x:v>
      </x:c>
      <x:c r="K215" s="12" t="str">
        <x:v>対象</x:v>
      </x:c>
      <x:c r="L215" s="12"/>
    </x:row>
    <x:row r="216">
      <x:c r="A216" s="12" t="n">
        <x:v>210</x:v>
      </x:c>
      <x:c r="B216" s="12" t="str">
        <x:v>TIM</x:v>
      </x:c>
      <x:c r="C216" s="12" t="str">
        <x:v>TIM熱伝導率</x:v>
      </x:c>
      <x:c r="D216" s="12" t="str">
        <x:v>k_TIM</x:v>
      </x:c>
      <x:c r="E216" s="12" t="n">
        <x:v>5</x:v>
      </x:c>
      <x:c r="F216" s="12" t="str">
        <x:v>W/(mK)</x:v>
      </x:c>
      <x:c r="G216" s="12" t="str">
        <x:v>基準仕様（シナリオ間固定）</x:v>
      </x:c>
      <x:c r="H216" s="12" t="str">
        <x:v>09_基準仕様</x:v>
      </x:c>
      <x:c r="I216" s="12" t="str">
        <x:v>通常は編集しない</x:v>
      </x:c>
      <x:c r="J216" s="12" t="str">
        <x:v>設計変数</x:v>
      </x:c>
      <x:c r="K216" s="12" t="str">
        <x:v>対象</x:v>
      </x:c>
      <x:c r="L216" s="12"/>
    </x:row>
    <x:row r="217">
      <x:c r="A217" s="12" t="n">
        <x:v>211</x:v>
      </x:c>
      <x:c r="B217" s="12" t="str">
        <x:v>TIM</x:v>
      </x:c>
      <x:c r="C217" s="12" t="str">
        <x:v>TIM面積</x:v>
      </x:c>
      <x:c r="D217" s="12" t="str">
        <x:v>A_TIM</x:v>
      </x:c>
      <x:c r="E217" s="12" t="n">
        <x:v>0.025</x:v>
      </x:c>
      <x:c r="F217" s="12" t="str">
        <x:v>m2</x:v>
      </x:c>
      <x:c r="G217" s="12" t="str">
        <x:v>基準仕様（シナリオ間固定）</x:v>
      </x:c>
      <x:c r="H217" s="12" t="str">
        <x:v>09_基準仕様</x:v>
      </x:c>
      <x:c r="I217" s="12" t="str">
        <x:v>通常は編集しない</x:v>
      </x:c>
      <x:c r="J217" s="12" t="str">
        <x:v>設計変数</x:v>
      </x:c>
      <x:c r="K217" s="12" t="str">
        <x:v>対象</x:v>
      </x:c>
      <x:c r="L217" s="12"/>
    </x:row>
    <x:row r="218">
      <x:c r="A218" s="12" t="n">
        <x:v>212</x:v>
      </x:c>
      <x:c r="B218" s="12" t="str">
        <x:v>TIM</x:v>
      </x:c>
      <x:c r="C218" s="12" t="str">
        <x:v>基準TIM熱抵抗</x:v>
      </x:c>
      <x:c r="D218" s="12" t="str">
        <x:v>Rth_TIM_ref</x:v>
      </x:c>
      <x:c r="E218" s="12" t="n">
        <x:v>0.0012</x:v>
      </x:c>
      <x:c r="F218" s="12" t="str">
        <x:v>K/W</x:v>
      </x:c>
      <x:c r="G218" s="12" t="str">
        <x:v>基準仕様（シナリオ間固定）</x:v>
      </x:c>
      <x:c r="H218" s="12" t="str">
        <x:v>09_基準仕様</x:v>
      </x:c>
      <x:c r="I218" s="12" t="str">
        <x:v>通常は編集しない</x:v>
      </x:c>
      <x:c r="J218" s="12" t="str">
        <x:v>技術係数</x:v>
      </x:c>
      <x:c r="K218" s="12" t="str">
        <x:v>対象</x:v>
      </x:c>
      <x:c r="L218" s="12"/>
    </x:row>
    <x:row r="219">
      <x:c r="A219" s="12" t="n">
        <x:v>213</x:v>
      </x:c>
      <x:c r="B219" s="12" t="str">
        <x:v>TIM</x:v>
      </x:c>
      <x:c r="C219" s="12" t="str">
        <x:v>締結圧係数</x:v>
      </x:c>
      <x:c r="D219" s="12" t="str">
        <x:v>p_mount</x:v>
      </x:c>
      <x:c r="E219" s="12" t="n">
        <x:v>1</x:v>
      </x:c>
      <x:c r="F219" s="12" t="str">
        <x:v>-</x:v>
      </x:c>
      <x:c r="G219" s="12" t="str">
        <x:v>基準仕様（シナリオ間固定）</x:v>
      </x:c>
      <x:c r="H219" s="12" t="str">
        <x:v>09_基準仕様</x:v>
      </x:c>
      <x:c r="I219" s="12" t="str">
        <x:v>通常は編集しない</x:v>
      </x:c>
      <x:c r="J219" s="12" t="str">
        <x:v>設計変数</x:v>
      </x:c>
      <x:c r="K219" s="12" t="str">
        <x:v>対象</x:v>
      </x:c>
      <x:c r="L219" s="12"/>
    </x:row>
    <x:row r="220">
      <x:c r="A220" s="12" t="n">
        <x:v>214</x:v>
      </x:c>
      <x:c r="B220" s="12" t="str">
        <x:v>TIM</x:v>
      </x:c>
      <x:c r="C220" s="12" t="str">
        <x:v>締結圧指数</x:v>
      </x:c>
      <x:c r="D220" s="12" t="str">
        <x:v>a_press_TIM</x:v>
      </x:c>
      <x:c r="E220" s="12" t="n">
        <x:v>0.25</x:v>
      </x:c>
      <x:c r="F220" s="12" t="str">
        <x:v>-</x:v>
      </x:c>
      <x:c r="G220" s="12" t="str">
        <x:v>基準仕様（シナリオ間固定）</x:v>
      </x:c>
      <x:c r="H220" s="12" t="str">
        <x:v>09_基準仕様</x:v>
      </x:c>
      <x:c r="I220" s="12" t="str">
        <x:v>通常は編集しない</x:v>
      </x:c>
      <x:c r="J220" s="12" t="str">
        <x:v>技術係数</x:v>
      </x:c>
      <x:c r="K220" s="12" t="str">
        <x:v>対象</x:v>
      </x:c>
      <x:c r="L220" s="12"/>
    </x:row>
    <x:row r="221">
      <x:c r="A221" s="12" t="n">
        <x:v>215</x:v>
      </x:c>
      <x:c r="B221" s="12" t="str">
        <x:v>TIM</x:v>
      </x:c>
      <x:c r="C221" s="12" t="str">
        <x:v>基準締結重量</x:v>
      </x:c>
      <x:c r="D221" s="12" t="str">
        <x:v>m_clamp_ref</x:v>
      </x:c>
      <x:c r="E221" s="12" t="n">
        <x:v>0.05</x:v>
      </x:c>
      <x:c r="F221" s="12" t="str">
        <x:v>kg</x:v>
      </x:c>
      <x:c r="G221" s="12" t="str">
        <x:v>基準仕様（シナリオ間固定）</x:v>
      </x:c>
      <x:c r="H221" s="12" t="str">
        <x:v>09_基準仕様</x:v>
      </x:c>
      <x:c r="I221" s="12" t="str">
        <x:v>通常は編集しない</x:v>
      </x:c>
      <x:c r="J221" s="12" t="str">
        <x:v>技術係数</x:v>
      </x:c>
      <x:c r="K221" s="12" t="str">
        <x:v>対象</x:v>
      </x:c>
      <x:c r="L221" s="12"/>
    </x:row>
    <x:row r="222">
      <x:c r="A222" s="12" t="n">
        <x:v>216</x:v>
      </x:c>
      <x:c r="B222" s="12" t="str">
        <x:v>熱設計</x:v>
      </x:c>
      <x:c r="C222" s="12" t="str">
        <x:v>目標接合温度</x:v>
      </x:c>
      <x:c r="D222" s="12" t="str">
        <x:v>Tj_target</x:v>
      </x:c>
      <x:c r="E222" s="12" t="n">
        <x:v>150</x:v>
      </x:c>
      <x:c r="F222" s="12" t="str">
        <x:v>degC</x:v>
      </x:c>
      <x:c r="G222" s="12" t="str">
        <x:v>システム要求→自動計算</x:v>
      </x:c>
      <x:c r="H222" s="12" t="str">
        <x:v>07_システム要求</x:v>
      </x:c>
      <x:c r="I222" s="12" t="str">
        <x:v>システム要求のみ編集</x:v>
      </x:c>
      <x:c r="J222" s="12" t="str">
        <x:v>設計変数</x:v>
      </x:c>
      <x:c r="K222" s="12" t="str">
        <x:v>対象</x:v>
      </x:c>
      <x:c r="L222" s="12"/>
    </x:row>
    <x:row r="223">
      <x:c r="A223" s="12" t="n">
        <x:v>217</x:v>
      </x:c>
      <x:c r="B223" s="12" t="str">
        <x:v>熱設計</x:v>
      </x:c>
      <x:c r="C223" s="12" t="str">
        <x:v>基準接合温度</x:v>
      </x:c>
      <x:c r="D223" s="12" t="str">
        <x:v>Tj_ref</x:v>
      </x:c>
      <x:c r="E223" s="12" t="n">
        <x:v>125</x:v>
      </x:c>
      <x:c r="F223" s="12" t="str">
        <x:v>degC</x:v>
      </x:c>
      <x:c r="G223" s="12" t="str">
        <x:v>基準仕様（シナリオ間固定）</x:v>
      </x:c>
      <x:c r="H223" s="12" t="str">
        <x:v>09_基準仕様</x:v>
      </x:c>
      <x:c r="I223" s="12" t="str">
        <x:v>通常は編集しない</x:v>
      </x:c>
      <x:c r="J223" s="12" t="str">
        <x:v>技術係数</x:v>
      </x:c>
      <x:c r="K223" s="12" t="str">
        <x:v>対象</x:v>
      </x:c>
      <x:c r="L223" s="12"/>
    </x:row>
    <x:row r="224">
      <x:c r="A224" s="12" t="n">
        <x:v>218</x:v>
      </x:c>
      <x:c r="B224" s="12" t="str">
        <x:v>熱設計</x:v>
      </x:c>
      <x:c r="C224" s="12" t="str">
        <x:v>冷媒基準温度</x:v>
      </x:c>
      <x:c r="D224" s="12" t="str">
        <x:v>T_cool_ref</x:v>
      </x:c>
      <x:c r="E224" s="12" t="n">
        <x:v>65</x:v>
      </x:c>
      <x:c r="F224" s="12" t="str">
        <x:v>degC</x:v>
      </x:c>
      <x:c r="G224" s="12" t="str">
        <x:v>システム要求→自動計算</x:v>
      </x:c>
      <x:c r="H224" s="12" t="str">
        <x:v>07_システム要求</x:v>
      </x:c>
      <x:c r="I224" s="12" t="str">
        <x:v>システム要求のみ編集</x:v>
      </x:c>
      <x:c r="J224" s="12" t="str">
        <x:v>外部条件</x:v>
      </x:c>
      <x:c r="K224" s="12" t="str">
        <x:v>対象</x:v>
      </x:c>
      <x:c r="L224" s="12"/>
    </x:row>
    <x:row r="225">
      <x:c r="A225" s="12" t="n">
        <x:v>219</x:v>
      </x:c>
      <x:c r="B225" s="12" t="str">
        <x:v>熱設計</x:v>
      </x:c>
      <x:c r="C225" s="12" t="str">
        <x:v>Ron温度係数</x:v>
      </x:c>
      <x:c r="D225" s="12" t="str">
        <x:v>alpha_Ron_T</x:v>
      </x:c>
      <x:c r="E225" s="12" t="n">
        <x:v>0.0035</x:v>
      </x:c>
      <x:c r="F225" s="12" t="str">
        <x:v>1/K</x:v>
      </x:c>
      <x:c r="G225" s="12" t="str">
        <x:v>基準仕様（シナリオ間固定）</x:v>
      </x:c>
      <x:c r="H225" s="12" t="str">
        <x:v>09_基準仕様</x:v>
      </x:c>
      <x:c r="I225" s="12" t="str">
        <x:v>通常は編集しない</x:v>
      </x:c>
      <x:c r="J225" s="12" t="str">
        <x:v>技術係数</x:v>
      </x:c>
      <x:c r="K225" s="12" t="str">
        <x:v>対象</x:v>
      </x:c>
      <x:c r="L225" s="12"/>
    </x:row>
    <x:row r="226">
      <x:c r="A226" s="12" t="n">
        <x:v>220</x:v>
      </x:c>
      <x:c r="B226" s="12" t="str">
        <x:v>バスバー</x:v>
      </x:c>
      <x:c r="C226" s="12" t="str">
        <x:v>極間ギャップ</x:v>
      </x:c>
      <x:c r="D226" s="12" t="str">
        <x:v>gap_bus</x:v>
      </x:c>
      <x:c r="E226" s="12" t="n">
        <x:v>0.001</x:v>
      </x:c>
      <x:c r="F226" s="12" t="str">
        <x:v>m</x:v>
      </x:c>
      <x:c r="G226" s="12" t="str">
        <x:v>基準仕様（シナリオ間固定）</x:v>
      </x:c>
      <x:c r="H226" s="12" t="str">
        <x:v>09_基準仕様</x:v>
      </x:c>
      <x:c r="I226" s="12" t="str">
        <x:v>通常は編集しない</x:v>
      </x:c>
      <x:c r="J226" s="12" t="str">
        <x:v>設計変数</x:v>
      </x:c>
      <x:c r="K226" s="12" t="str">
        <x:v>対象</x:v>
      </x:c>
      <x:c r="L226" s="12"/>
    </x:row>
    <x:row r="227">
      <x:c r="A227" s="12" t="n">
        <x:v>221</x:v>
      </x:c>
      <x:c r="B227" s="12" t="str">
        <x:v>バスバー</x:v>
      </x:c>
      <x:c r="C227" s="12" t="str">
        <x:v>基準ギャップ</x:v>
      </x:c>
      <x:c r="D227" s="12" t="str">
        <x:v>gap_bus_ref</x:v>
      </x:c>
      <x:c r="E227" s="12" t="n">
        <x:v>0.001</x:v>
      </x:c>
      <x:c r="F227" s="12" t="str">
        <x:v>m</x:v>
      </x:c>
      <x:c r="G227" s="12" t="str">
        <x:v>基準仕様（シナリオ間固定）</x:v>
      </x:c>
      <x:c r="H227" s="12" t="str">
        <x:v>09_基準仕様</x:v>
      </x:c>
      <x:c r="I227" s="12" t="str">
        <x:v>通常は編集しない</x:v>
      </x:c>
      <x:c r="J227" s="12" t="str">
        <x:v>技術係数</x:v>
      </x:c>
      <x:c r="K227" s="12" t="str">
        <x:v>対象</x:v>
      </x:c>
      <x:c r="L227" s="12"/>
    </x:row>
    <x:row r="228">
      <x:c r="A228" s="12" t="n">
        <x:v>222</x:v>
      </x:c>
      <x:c r="B228" s="12" t="str">
        <x:v>バスバー</x:v>
      </x:c>
      <x:c r="C228" s="12" t="str">
        <x:v>重なり係数</x:v>
      </x:c>
      <x:c r="D228" s="12" t="str">
        <x:v>overlap_bus</x:v>
      </x:c>
      <x:c r="E228" s="12" t="n">
        <x:v>1</x:v>
      </x:c>
      <x:c r="F228" s="12" t="str">
        <x:v>-</x:v>
      </x:c>
      <x:c r="G228" s="12" t="str">
        <x:v>基準仕様（シナリオ間固定）</x:v>
      </x:c>
      <x:c r="H228" s="12" t="str">
        <x:v>09_基準仕様</x:v>
      </x:c>
      <x:c r="I228" s="12" t="str">
        <x:v>通常は編集しない</x:v>
      </x:c>
      <x:c r="J228" s="12" t="str">
        <x:v>設計変数</x:v>
      </x:c>
      <x:c r="K228" s="12" t="str">
        <x:v>対象</x:v>
      </x:c>
      <x:c r="L228" s="12"/>
    </x:row>
    <x:row r="229">
      <x:c r="A229" s="12" t="n">
        <x:v>223</x:v>
      </x:c>
      <x:c r="B229" s="12" t="str">
        <x:v>バスバー</x:v>
      </x:c>
      <x:c r="C229" s="12" t="str">
        <x:v>積層構造重量係数</x:v>
      </x:c>
      <x:c r="D229" s="12" t="str">
        <x:v>m_bus_stack_ref</x:v>
      </x:c>
      <x:c r="E229" s="12" t="n">
        <x:v>0.08</x:v>
      </x:c>
      <x:c r="F229" s="12" t="str">
        <x:v>kg</x:v>
      </x:c>
      <x:c r="G229" s="12" t="str">
        <x:v>基準仕様（シナリオ間固定）</x:v>
      </x:c>
      <x:c r="H229" s="12" t="str">
        <x:v>09_基準仕様</x:v>
      </x:c>
      <x:c r="I229" s="12" t="str">
        <x:v>通常は編集しない</x:v>
      </x:c>
      <x:c r="J229" s="12" t="str">
        <x:v>技術係数</x:v>
      </x:c>
      <x:c r="K229" s="12" t="str">
        <x:v>対象</x:v>
      </x:c>
      <x:c r="L229" s="12"/>
    </x:row>
    <x:row r="230">
      <x:c r="A230" s="12" t="n">
        <x:v>224</x:v>
      </x:c>
      <x:c r="B230" s="12" t="str">
        <x:v>バスバー</x:v>
      </x:c>
      <x:c r="C230" s="12" t="str">
        <x:v>Al導体選択</x:v>
      </x:c>
      <x:c r="D230" s="12" t="str">
        <x:v>Enable_Al_bus</x:v>
      </x:c>
      <x:c r="E230" s="12" t="n">
        <x:v>0</x:v>
      </x:c>
      <x:c r="F230" s="12" t="str">
        <x:v>0/1</x:v>
      </x:c>
      <x:c r="G230" s="12" t="str">
        <x:v>シナリオ固有手入力</x:v>
      </x:c>
      <x:c r="H230" s="12" t="str">
        <x:v>10_シナリオ入力</x:v>
      </x:c>
      <x:c r="I230" s="12" t="str">
        <x:v>必要に応じて編集</x:v>
      </x:c>
      <x:c r="J230" s="12" t="str">
        <x:v>技術選択</x:v>
      </x:c>
      <x:c r="K230" s="12" t="str">
        <x:v>対象</x:v>
      </x:c>
      <x:c r="L230" s="12"/>
    </x:row>
    <x:row r="231">
      <x:c r="A231" s="12" t="n">
        <x:v>225</x:v>
      </x:c>
      <x:c r="B231" s="12" t="str">
        <x:v>バスバー</x:v>
      </x:c>
      <x:c r="C231" s="12" t="str">
        <x:v>Al密度比</x:v>
      </x:c>
      <x:c r="D231" s="12" t="str">
        <x:v>k_rho_Al</x:v>
      </x:c>
      <x:c r="E231" s="12" t="n">
        <x:v>0.301</x:v>
      </x:c>
      <x:c r="F231" s="12" t="str">
        <x:v>-</x:v>
      </x:c>
      <x:c r="G231" s="12" t="str">
        <x:v>基準仕様（シナリオ間固定）</x:v>
      </x:c>
      <x:c r="H231" s="12" t="str">
        <x:v>09_基準仕様</x:v>
      </x:c>
      <x:c r="I231" s="12" t="str">
        <x:v>通常は編集しない</x:v>
      </x:c>
      <x:c r="J231" s="12" t="str">
        <x:v>技術係数</x:v>
      </x:c>
      <x:c r="K231" s="12" t="str">
        <x:v>対象</x:v>
      </x:c>
      <x:c r="L231" s="12"/>
    </x:row>
    <x:row r="232">
      <x:c r="A232" s="12" t="n">
        <x:v>226</x:v>
      </x:c>
      <x:c r="B232" s="12" t="str">
        <x:v>バスバー</x:v>
      </x:c>
      <x:c r="C232" s="12" t="str">
        <x:v>Al抵抗率比</x:v>
      </x:c>
      <x:c r="D232" s="12" t="str">
        <x:v>k_res_Al</x:v>
      </x:c>
      <x:c r="E232" s="12" t="n">
        <x:v>1.64</x:v>
      </x:c>
      <x:c r="F232" s="12" t="str">
        <x:v>-</x:v>
      </x:c>
      <x:c r="G232" s="12" t="str">
        <x:v>基準仕様（シナリオ間固定）</x:v>
      </x:c>
      <x:c r="H232" s="12" t="str">
        <x:v>09_基準仕様</x:v>
      </x:c>
      <x:c r="I232" s="12" t="str">
        <x:v>通常は編集しない</x:v>
      </x:c>
      <x:c r="J232" s="12" t="str">
        <x:v>技術係数</x:v>
      </x:c>
      <x:c r="K232" s="12" t="str">
        <x:v>対象</x:v>
      </x:c>
      <x:c r="L232" s="12"/>
    </x:row>
    <x:row r="233">
      <x:c r="A233" s="12" t="n">
        <x:v>227</x:v>
      </x:c>
      <x:c r="B233" s="12" t="str">
        <x:v>バスバー</x:v>
      </x:c>
      <x:c r="C233" s="12" t="str">
        <x:v>導体厚さ</x:v>
      </x:c>
      <x:c r="D233" s="12" t="str">
        <x:v>t_bus_cond</x:v>
      </x:c>
      <x:c r="E233" s="12" t="n">
        <x:v>0.0015</x:v>
      </x:c>
      <x:c r="F233" s="12" t="str">
        <x:v>m</x:v>
      </x:c>
      <x:c r="G233" s="12" t="str">
        <x:v>基準仕様（シナリオ間固定）</x:v>
      </x:c>
      <x:c r="H233" s="12" t="str">
        <x:v>09_基準仕様</x:v>
      </x:c>
      <x:c r="I233" s="12" t="str">
        <x:v>通常は編集しない</x:v>
      </x:c>
      <x:c r="J233" s="12" t="str">
        <x:v>設計変数</x:v>
      </x:c>
      <x:c r="K233" s="12" t="str">
        <x:v>対象</x:v>
      </x:c>
      <x:c r="L233" s="12"/>
    </x:row>
    <x:row r="234">
      <x:c r="A234" s="12" t="n">
        <x:v>228</x:v>
      </x:c>
      <x:c r="B234" s="12" t="str">
        <x:v>バスバー</x:v>
      </x:c>
      <x:c r="C234" s="12" t="str">
        <x:v>基準表皮深さ</x:v>
      </x:c>
      <x:c r="D234" s="12" t="str">
        <x:v>delta_skin_ref</x:v>
      </x:c>
      <x:c r="E234" s="12" t="n">
        <x:v>0.00066</x:v>
      </x:c>
      <x:c r="F234" s="12" t="str">
        <x:v>m</x:v>
      </x:c>
      <x:c r="G234" s="12" t="str">
        <x:v>基準仕様（シナリオ間固定）</x:v>
      </x:c>
      <x:c r="H234" s="12" t="str">
        <x:v>09_基準仕様</x:v>
      </x:c>
      <x:c r="I234" s="12" t="str">
        <x:v>通常は編集しない</x:v>
      </x:c>
      <x:c r="J234" s="12" t="str">
        <x:v>技術係数</x:v>
      </x:c>
      <x:c r="K234" s="12" t="str">
        <x:v>対象</x:v>
      </x:c>
      <x:c r="L234" s="12"/>
    </x:row>
    <x:row r="235">
      <x:c r="A235" s="12" t="n">
        <x:v>229</x:v>
      </x:c>
      <x:c r="B235" s="12" t="str">
        <x:v>バスバー</x:v>
      </x:c>
      <x:c r="C235" s="12" t="str">
        <x:v>積層数</x:v>
      </x:c>
      <x:c r="D235" s="12" t="str">
        <x:v>N_laminate</x:v>
      </x:c>
      <x:c r="E235" s="12" t="n">
        <x:v>1</x:v>
      </x:c>
      <x:c r="F235" s="12" t="str">
        <x:v>-</x:v>
      </x:c>
      <x:c r="G235" s="12" t="str">
        <x:v>シナリオ固有手入力</x:v>
      </x:c>
      <x:c r="H235" s="12" t="str">
        <x:v>10_シナリオ入力</x:v>
      </x:c>
      <x:c r="I235" s="12" t="str">
        <x:v>必要に応じて編集</x:v>
      </x:c>
      <x:c r="J235" s="12" t="str">
        <x:v>設計変数</x:v>
      </x:c>
      <x:c r="K235" s="12" t="str">
        <x:v>対象</x:v>
      </x:c>
      <x:c r="L235" s="12"/>
    </x:row>
    <x:row r="236">
      <x:c r="A236" s="12" t="n">
        <x:v>230</x:v>
      </x:c>
      <x:c r="B236" s="12" t="str">
        <x:v>バスバー</x:v>
      </x:c>
      <x:c r="C236" s="12" t="str">
        <x:v>積層追加重量</x:v>
      </x:c>
      <x:c r="D236" s="12" t="str">
        <x:v>m_laminate_unit</x:v>
      </x:c>
      <x:c r="E236" s="12" t="n">
        <x:v>0.035</x:v>
      </x:c>
      <x:c r="F236" s="12" t="str">
        <x:v>kg/層</x:v>
      </x:c>
      <x:c r="G236" s="12" t="str">
        <x:v>基準仕様（シナリオ間固定）</x:v>
      </x:c>
      <x:c r="H236" s="12" t="str">
        <x:v>09_基準仕様</x:v>
      </x:c>
      <x:c r="I236" s="12" t="str">
        <x:v>通常は編集しない</x:v>
      </x:c>
      <x:c r="J236" s="12" t="str">
        <x:v>技術係数</x:v>
      </x:c>
      <x:c r="K236" s="12" t="str">
        <x:v>対象</x:v>
      </x:c>
      <x:c r="L236" s="12"/>
    </x:row>
    <x:row r="237">
      <x:c r="A237" s="12" t="n">
        <x:v>231</x:v>
      </x:c>
      <x:c r="B237" s="12" t="str">
        <x:v>dvdtフィルタ</x:v>
      </x:c>
      <x:c r="C237" s="12" t="str">
        <x:v>dv/dtフィルタ有効</x:v>
      </x:c>
      <x:c r="D237" s="12" t="str">
        <x:v>Enable_dvdt_filter</x:v>
      </x:c>
      <x:c r="E237" s="12" t="n">
        <x:v>0</x:v>
      </x:c>
      <x:c r="F237" s="12" t="str">
        <x:v>0/1</x:v>
      </x:c>
      <x:c r="G237" s="12" t="str">
        <x:v>シナリオ固有手入力</x:v>
      </x:c>
      <x:c r="H237" s="12" t="str">
        <x:v>10_シナリオ入力</x:v>
      </x:c>
      <x:c r="I237" s="12" t="str">
        <x:v>必要に応じて編集</x:v>
      </x:c>
      <x:c r="J237" s="12" t="str">
        <x:v>技術選択</x:v>
      </x:c>
      <x:c r="K237" s="12" t="str">
        <x:v>対象</x:v>
      </x:c>
      <x:c r="L237" s="12"/>
    </x:row>
    <x:row r="238">
      <x:c r="A238" s="12" t="n">
        <x:v>232</x:v>
      </x:c>
      <x:c r="B238" s="12" t="str">
        <x:v>dvdtフィルタ</x:v>
      </x:c>
      <x:c r="C238" s="12" t="str">
        <x:v>dv/dtフィルタ追加重量</x:v>
      </x:c>
      <x:c r="D238" s="12" t="str">
        <x:v>m_dvdt_filter</x:v>
      </x:c>
      <x:c r="E238" s="12" t="n">
        <x:v>0.18</x:v>
      </x:c>
      <x:c r="F238" s="12" t="str">
        <x:v>kg</x:v>
      </x:c>
      <x:c r="G238" s="12" t="str">
        <x:v>基準仕様（シナリオ間固定）</x:v>
      </x:c>
      <x:c r="H238" s="12" t="str">
        <x:v>09_基準仕様</x:v>
      </x:c>
      <x:c r="I238" s="12" t="str">
        <x:v>通常は編集しない</x:v>
      </x:c>
      <x:c r="J238" s="12" t="str">
        <x:v>技術係数</x:v>
      </x:c>
      <x:c r="K238" s="12" t="str">
        <x:v>対象</x:v>
      </x:c>
      <x:c r="L238" s="12"/>
    </x:row>
    <x:row r="239">
      <x:c r="A239" s="12" t="n">
        <x:v>233</x:v>
      </x:c>
      <x:c r="B239" s="12" t="str">
        <x:v>dvdtフィルタ</x:v>
      </x:c>
      <x:c r="C239" s="12" t="str">
        <x:v>EMI低減率</x:v>
      </x:c>
      <x:c r="D239" s="12" t="str">
        <x:v>k_dvdt_reduce</x:v>
      </x:c>
      <x:c r="E239" s="12" t="n">
        <x:v>0.75</x:v>
      </x:c>
      <x:c r="F239" s="12" t="str">
        <x:v>-</x:v>
      </x:c>
      <x:c r="G239" s="12" t="str">
        <x:v>基準仕様（シナリオ間固定）</x:v>
      </x:c>
      <x:c r="H239" s="12" t="str">
        <x:v>09_基準仕様</x:v>
      </x:c>
      <x:c r="I239" s="12" t="str">
        <x:v>通常は編集しない</x:v>
      </x:c>
      <x:c r="J239" s="12" t="str">
        <x:v>技術係数</x:v>
      </x:c>
      <x:c r="K239" s="12" t="str">
        <x:v>対象</x:v>
      </x:c>
      <x:c r="L239" s="12"/>
    </x:row>
    <x:row r="240">
      <x:c r="A240" s="12" t="n">
        <x:v>234</x:v>
      </x:c>
      <x:c r="B240" s="12" t="str">
        <x:v>dvdtフィルタ</x:v>
      </x:c>
      <x:c r="C240" s="12" t="str">
        <x:v>出力フィルタ損失</x:v>
      </x:c>
      <x:c r="D240" s="12" t="str">
        <x:v>P_dvdt_filter_on</x:v>
      </x:c>
      <x:c r="E240" s="12" t="n">
        <x:v>120</x:v>
      </x:c>
      <x:c r="F240" s="12" t="str">
        <x:v>W</x:v>
      </x:c>
      <x:c r="G240" s="12" t="str">
        <x:v>基準仕様（シナリオ間固定）</x:v>
      </x:c>
      <x:c r="H240" s="12" t="str">
        <x:v>09_基準仕様</x:v>
      </x:c>
      <x:c r="I240" s="12" t="str">
        <x:v>通常は編集しない</x:v>
      </x:c>
      <x:c r="J240" s="12" t="str">
        <x:v>技術係数</x:v>
      </x:c>
      <x:c r="K240" s="12" t="str">
        <x:v>対象</x:v>
      </x:c>
      <x:c r="L240" s="12"/>
    </x:row>
    <x:row r="241">
      <x:c r="A241" s="12" t="n">
        <x:v>235</x:v>
      </x:c>
      <x:c r="B241" s="12" t="str">
        <x:v>CMフィルタ</x:v>
      </x:c>
      <x:c r="C241" s="12" t="str">
        <x:v>追加CMフィルタ有効</x:v>
      </x:c>
      <x:c r="D241" s="12" t="str">
        <x:v>Enable_CM_filter</x:v>
      </x:c>
      <x:c r="E241" s="12" t="n">
        <x:v>1</x:v>
      </x:c>
      <x:c r="F241" s="12" t="str">
        <x:v>0/1</x:v>
      </x:c>
      <x:c r="G241" s="12" t="str">
        <x:v>シナリオ固有手入力</x:v>
      </x:c>
      <x:c r="H241" s="12" t="str">
        <x:v>10_シナリオ入力</x:v>
      </x:c>
      <x:c r="I241" s="12" t="str">
        <x:v>必要に応じて編集</x:v>
      </x:c>
      <x:c r="J241" s="12" t="str">
        <x:v>技術選択</x:v>
      </x:c>
      <x:c r="K241" s="12" t="str">
        <x:v>対象</x:v>
      </x:c>
      <x:c r="L241" s="12"/>
    </x:row>
    <x:row r="242">
      <x:c r="A242" s="12" t="n">
        <x:v>236</x:v>
      </x:c>
      <x:c r="B242" s="12" t="str">
        <x:v>CMフィルタ</x:v>
      </x:c>
      <x:c r="C242" s="12" t="str">
        <x:v>追加CMフィルタ重量</x:v>
      </x:c>
      <x:c r="D242" s="12" t="str">
        <x:v>m_CM_filter2</x:v>
      </x:c>
      <x:c r="E242" s="12" t="n">
        <x:v>0.12</x:v>
      </x:c>
      <x:c r="F242" s="12" t="str">
        <x:v>kg</x:v>
      </x:c>
      <x:c r="G242" s="12" t="str">
        <x:v>基準仕様（シナリオ間固定）</x:v>
      </x:c>
      <x:c r="H242" s="12" t="str">
        <x:v>09_基準仕様</x:v>
      </x:c>
      <x:c r="I242" s="12" t="str">
        <x:v>通常は編集しない</x:v>
      </x:c>
      <x:c r="J242" s="12" t="str">
        <x:v>技術係数</x:v>
      </x:c>
      <x:c r="K242" s="12" t="str">
        <x:v>対象</x:v>
      </x:c>
      <x:c r="L242" s="12"/>
    </x:row>
    <x:row r="243">
      <x:c r="A243" s="12" t="n">
        <x:v>237</x:v>
      </x:c>
      <x:c r="B243" s="12" t="str">
        <x:v>CMフィルタ</x:v>
      </x:c>
      <x:c r="C243" s="12" t="str">
        <x:v>既存CM対策低減率</x:v>
      </x:c>
      <x:c r="D243" s="12" t="str">
        <x:v>k_CM_reduce2</x:v>
      </x:c>
      <x:c r="E243" s="12" t="n">
        <x:v>0.65</x:v>
      </x:c>
      <x:c r="F243" s="12" t="str">
        <x:v>-</x:v>
      </x:c>
      <x:c r="G243" s="12" t="str">
        <x:v>基準仕様（シナリオ間固定）</x:v>
      </x:c>
      <x:c r="H243" s="12" t="str">
        <x:v>09_基準仕様</x:v>
      </x:c>
      <x:c r="I243" s="12" t="str">
        <x:v>通常は編集しない</x:v>
      </x:c>
      <x:c r="J243" s="12" t="str">
        <x:v>技術係数</x:v>
      </x:c>
      <x:c r="K243" s="12" t="str">
        <x:v>対象</x:v>
      </x:c>
      <x:c r="L243" s="12"/>
    </x:row>
    <x:row r="244">
      <x:c r="A244" s="12" t="n">
        <x:v>238</x:v>
      </x:c>
      <x:c r="B244" s="12" t="str">
        <x:v>CMフィルタ</x:v>
      </x:c>
      <x:c r="C244" s="12" t="str">
        <x:v>Y-Cap漏れペナルティ重量</x:v>
      </x:c>
      <x:c r="D244" s="12" t="str">
        <x:v>m_CM_leak_penalty</x:v>
      </x:c>
      <x:c r="E244" s="12" t="n">
        <x:v>0.015</x:v>
      </x:c>
      <x:c r="F244" s="12" t="str">
        <x:v>kg</x:v>
      </x:c>
      <x:c r="G244" s="12" t="str">
        <x:v>基準仕様（シナリオ間固定）</x:v>
      </x:c>
      <x:c r="H244" s="12" t="str">
        <x:v>09_基準仕様</x:v>
      </x:c>
      <x:c r="I244" s="12" t="str">
        <x:v>通常は編集しない</x:v>
      </x:c>
      <x:c r="J244" s="12" t="str">
        <x:v>技術係数</x:v>
      </x:c>
      <x:c r="K244" s="12" t="str">
        <x:v>対象</x:v>
      </x:c>
      <x:c r="L244" s="12"/>
    </x:row>
    <x:row r="245">
      <x:c r="A245" s="12" t="n">
        <x:v>239</x:v>
      </x:c>
      <x:c r="B245" s="12" t="str">
        <x:v>EMI/構造</x:v>
      </x:c>
      <x:c r="C245" s="12" t="str">
        <x:v>シールド有効</x:v>
      </x:c>
      <x:c r="D245" s="12" t="str">
        <x:v>Enable_shield</x:v>
      </x:c>
      <x:c r="E245" s="12" t="n">
        <x:v>4</x:v>
      </x:c>
      <x:c r="F245" s="12" t="str">
        <x:v>0/1</x:v>
      </x:c>
      <x:c r="G245" s="12" t="str">
        <x:v>シナリオ固有手入力</x:v>
      </x:c>
      <x:c r="H245" s="12" t="str">
        <x:v>10_シナリオ入力</x:v>
      </x:c>
      <x:c r="I245" s="12" t="str">
        <x:v>必要に応じて編集</x:v>
      </x:c>
      <x:c r="J245" s="12" t="str">
        <x:v>技術選択</x:v>
      </x:c>
      <x:c r="K245" s="12" t="str">
        <x:v>対象</x:v>
      </x:c>
      <x:c r="L245" s="12"/>
    </x:row>
    <x:row r="246">
      <x:c r="A246" s="12" t="n">
        <x:v>240</x:v>
      </x:c>
      <x:c r="B246" s="12" t="str">
        <x:v>EMI/構造</x:v>
      </x:c>
      <x:c r="C246" s="12" t="str">
        <x:v>シールド追加重量</x:v>
      </x:c>
      <x:c r="D246" s="12" t="str">
        <x:v>m_shield</x:v>
      </x:c>
      <x:c r="E246" s="12" t="n">
        <x:v>0.12</x:v>
      </x:c>
      <x:c r="F246" s="12" t="str">
        <x:v>kg</x:v>
      </x:c>
      <x:c r="G246" s="12" t="str">
        <x:v>基準仕様（シナリオ間固定）</x:v>
      </x:c>
      <x:c r="H246" s="12" t="str">
        <x:v>09_基準仕様</x:v>
      </x:c>
      <x:c r="I246" s="12" t="str">
        <x:v>通常は編集しない</x:v>
      </x:c>
      <x:c r="J246" s="12" t="str">
        <x:v>技術係数</x:v>
      </x:c>
      <x:c r="K246" s="12" t="str">
        <x:v>対象</x:v>
      </x:c>
      <x:c r="L246" s="12"/>
    </x:row>
    <x:row r="247">
      <x:c r="A247" s="12" t="n">
        <x:v>241</x:v>
      </x:c>
      <x:c r="B247" s="12" t="str">
        <x:v>EMI/構造</x:v>
      </x:c>
      <x:c r="C247" s="12" t="str">
        <x:v>シールドEMI低減率</x:v>
      </x:c>
      <x:c r="D247" s="12" t="str">
        <x:v>k_shield_reduce</x:v>
      </x:c>
      <x:c r="E247" s="12" t="n">
        <x:v>0.35</x:v>
      </x:c>
      <x:c r="F247" s="12" t="str">
        <x:v>-</x:v>
      </x:c>
      <x:c r="G247" s="12" t="str">
        <x:v>基準仕様（シナリオ間固定）</x:v>
      </x:c>
      <x:c r="H247" s="12" t="str">
        <x:v>09_基準仕様</x:v>
      </x:c>
      <x:c r="I247" s="12" t="str">
        <x:v>通常は編集しない</x:v>
      </x:c>
      <x:c r="J247" s="12" t="str">
        <x:v>技術係数</x:v>
      </x:c>
      <x:c r="K247" s="12" t="str">
        <x:v>対象</x:v>
      </x:c>
      <x:c r="L247" s="12"/>
    </x:row>
    <x:row r="248">
      <x:c r="A248" s="12" t="n">
        <x:v>242</x:v>
      </x:c>
      <x:c r="B248" s="12" t="str">
        <x:v>センシング</x:v>
      </x:c>
      <x:c r="C248" s="12" t="str">
        <x:v>シャント抵抗</x:v>
      </x:c>
      <x:c r="D248" s="12" t="str">
        <x:v>R_shunt</x:v>
      </x:c>
      <x:c r="E248" s="12" t="n">
        <x:v>0.0005</x:v>
      </x:c>
      <x:c r="F248" s="12" t="str">
        <x:v>ohm</x:v>
      </x:c>
      <x:c r="G248" s="12" t="str">
        <x:v>基準仕様（シナリオ間固定）</x:v>
      </x:c>
      <x:c r="H248" s="12" t="str">
        <x:v>09_基準仕様</x:v>
      </x:c>
      <x:c r="I248" s="12" t="str">
        <x:v>通常は編集しない</x:v>
      </x:c>
      <x:c r="J248" s="12" t="str">
        <x:v>設計変数</x:v>
      </x:c>
      <x:c r="K248" s="12" t="str">
        <x:v>対象</x:v>
      </x:c>
      <x:c r="L248" s="12"/>
    </x:row>
    <x:row r="249">
      <x:c r="A249" s="12" t="n">
        <x:v>243</x:v>
      </x:c>
      <x:c r="B249" s="12" t="str">
        <x:v>センシング</x:v>
      </x:c>
      <x:c r="C249" s="12" t="str">
        <x:v>基準シャント抵抗</x:v>
      </x:c>
      <x:c r="D249" s="12" t="str">
        <x:v>R_shunt_ref</x:v>
      </x:c>
      <x:c r="E249" s="12" t="n">
        <x:v>0.0005</x:v>
      </x:c>
      <x:c r="F249" s="12" t="str">
        <x:v>ohm</x:v>
      </x:c>
      <x:c r="G249" s="12" t="str">
        <x:v>基準仕様（シナリオ間固定）</x:v>
      </x:c>
      <x:c r="H249" s="12" t="str">
        <x:v>09_基準仕様</x:v>
      </x:c>
      <x:c r="I249" s="12" t="str">
        <x:v>通常は編集しない</x:v>
      </x:c>
      <x:c r="J249" s="12" t="str">
        <x:v>技術係数</x:v>
      </x:c>
      <x:c r="K249" s="12" t="str">
        <x:v>対象</x:v>
      </x:c>
      <x:c r="L249" s="12"/>
    </x:row>
    <x:row r="250">
      <x:c r="A250" s="12" t="n">
        <x:v>244</x:v>
      </x:c>
      <x:c r="B250" s="12" t="str">
        <x:v>センシング</x:v>
      </x:c>
      <x:c r="C250" s="12" t="str">
        <x:v>基準電流アンプ重量</x:v>
      </x:c>
      <x:c r="D250" s="12" t="str">
        <x:v>m_CSA_ref</x:v>
      </x:c>
      <x:c r="E250" s="12" t="n">
        <x:v>0.035</x:v>
      </x:c>
      <x:c r="F250" s="12" t="str">
        <x:v>kg</x:v>
      </x:c>
      <x:c r="G250" s="12" t="str">
        <x:v>基準仕様（シナリオ間固定）</x:v>
      </x:c>
      <x:c r="H250" s="12" t="str">
        <x:v>09_基準仕様</x:v>
      </x:c>
      <x:c r="I250" s="12" t="str">
        <x:v>通常は編集しない</x:v>
      </x:c>
      <x:c r="J250" s="12" t="str">
        <x:v>技術係数</x:v>
      </x:c>
      <x:c r="K250" s="12" t="str">
        <x:v>対象</x:v>
      </x:c>
      <x:c r="L250" s="12"/>
    </x:row>
    <x:row r="251">
      <x:c r="A251" s="12" t="n">
        <x:v>245</x:v>
      </x:c>
      <x:c r="B251" s="12" t="str">
        <x:v>センシング</x:v>
      </x:c>
      <x:c r="C251" s="12" t="str">
        <x:v>電流検出方式</x:v>
      </x:c>
      <x:c r="D251" s="12" t="str">
        <x:v>Sense_mode</x:v>
      </x:c>
      <x:c r="E251" s="12" t="n">
        <x:v>4</x:v>
      </x:c>
      <x:c r="F251" s="12" t="str">
        <x:v>0/1/2</x:v>
      </x:c>
      <x:c r="G251" s="12" t="str">
        <x:v>シナリオ固有手入力</x:v>
      </x:c>
      <x:c r="H251" s="12" t="str">
        <x:v>10_シナリオ入力</x:v>
      </x:c>
      <x:c r="I251" s="12" t="str">
        <x:v>必要に応じて編集</x:v>
      </x:c>
      <x:c r="J251" s="12" t="str">
        <x:v>技術選択</x:v>
      </x:c>
      <x:c r="K251" s="12" t="str">
        <x:v>対象</x:v>
      </x:c>
      <x:c r="L251" s="12" t="str">
        <x:v>0=3shunt,1=1shunt,2=Hall</x:v>
      </x:c>
    </x:row>
    <x:row r="252">
      <x:c r="A252" s="12" t="n">
        <x:v>246</x:v>
      </x:c>
      <x:c r="B252" s="12" t="str">
        <x:v>センシング</x:v>
      </x:c>
      <x:c r="C252" s="12" t="str">
        <x:v>Hall方式追加重量</x:v>
      </x:c>
      <x:c r="D252" s="12" t="str">
        <x:v>m_Hall_delta</x:v>
      </x:c>
      <x:c r="E252" s="12" t="n">
        <x:v>0.08</x:v>
      </x:c>
      <x:c r="F252" s="12" t="str">
        <x:v>kg</x:v>
      </x:c>
      <x:c r="G252" s="12" t="str">
        <x:v>基準仕様（シナリオ間固定）</x:v>
      </x:c>
      <x:c r="H252" s="12" t="str">
        <x:v>09_基準仕様</x:v>
      </x:c>
      <x:c r="I252" s="12" t="str">
        <x:v>通常は編集しない</x:v>
      </x:c>
      <x:c r="J252" s="12" t="str">
        <x:v>技術係数</x:v>
      </x:c>
      <x:c r="K252" s="12" t="str">
        <x:v>対象</x:v>
      </x:c>
      <x:c r="L252" s="12"/>
    </x:row>
    <x:row r="253">
      <x:c r="A253" s="12" t="n">
        <x:v>247</x:v>
      </x:c>
      <x:c r="B253" s="12" t="str">
        <x:v>センシング</x:v>
      </x:c>
      <x:c r="C253" s="12" t="str">
        <x:v>1shunt軽量化量</x:v>
      </x:c>
      <x:c r="D253" s="12" t="str">
        <x:v>m_1shunt_save</x:v>
      </x:c>
      <x:c r="E253" s="12" t="n">
        <x:v>0.06</x:v>
      </x:c>
      <x:c r="F253" s="12" t="str">
        <x:v>kg</x:v>
      </x:c>
      <x:c r="G253" s="12" t="str">
        <x:v>基準仕様（シナリオ間固定）</x:v>
      </x:c>
      <x:c r="H253" s="12" t="str">
        <x:v>09_基準仕様</x:v>
      </x:c>
      <x:c r="I253" s="12" t="str">
        <x:v>通常は編集しない</x:v>
      </x:c>
      <x:c r="J253" s="12" t="str">
        <x:v>技術係数</x:v>
      </x:c>
      <x:c r="K253" s="12" t="str">
        <x:v>対象</x:v>
      </x:c>
      <x:c r="L253" s="12"/>
    </x:row>
    <x:row r="254">
      <x:c r="A254" s="12" t="n">
        <x:v>248</x:v>
      </x:c>
      <x:c r="B254" s="12" t="str">
        <x:v>ゲート絶縁</x:v>
      </x:c>
      <x:c r="C254" s="12" t="str">
        <x:v>絶縁バイアス電源有効</x:v>
      </x:c>
      <x:c r="D254" s="12" t="str">
        <x:v>Enable_isolated_bias</x:v>
      </x:c>
      <x:c r="E254" s="12" t="n">
        <x:v>1</x:v>
      </x:c>
      <x:c r="F254" s="12" t="str">
        <x:v>0/1</x:v>
      </x:c>
      <x:c r="G254" s="12" t="str">
        <x:v>基準仕様（シナリオ間固定）</x:v>
      </x:c>
      <x:c r="H254" s="12" t="str">
        <x:v>09_基準仕様</x:v>
      </x:c>
      <x:c r="I254" s="12" t="str">
        <x:v>通常は編集しない</x:v>
      </x:c>
      <x:c r="J254" s="12" t="str">
        <x:v>技術選択</x:v>
      </x:c>
      <x:c r="K254" s="12" t="str">
        <x:v>対象</x:v>
      </x:c>
      <x:c r="L254" s="12"/>
    </x:row>
    <x:row r="255">
      <x:c r="A255" s="12" t="n">
        <x:v>249</x:v>
      </x:c>
      <x:c r="B255" s="12" t="str">
        <x:v>ゲート絶縁</x:v>
      </x:c>
      <x:c r="C255" s="12" t="str">
        <x:v>絶縁バイアス追加重量</x:v>
      </x:c>
      <x:c r="D255" s="12" t="str">
        <x:v>m_iso_bias</x:v>
      </x:c>
      <x:c r="E255" s="12" t="n">
        <x:v>0.09</x:v>
      </x:c>
      <x:c r="F255" s="12" t="str">
        <x:v>kg</x:v>
      </x:c>
      <x:c r="G255" s="12" t="str">
        <x:v>基準仕様（シナリオ間固定）</x:v>
      </x:c>
      <x:c r="H255" s="12" t="str">
        <x:v>09_基準仕様</x:v>
      </x:c>
      <x:c r="I255" s="12" t="str">
        <x:v>通常は編集しない</x:v>
      </x:c>
      <x:c r="J255" s="12" t="str">
        <x:v>技術係数</x:v>
      </x:c>
      <x:c r="K255" s="12" t="str">
        <x:v>対象</x:v>
      </x:c>
      <x:c r="L255" s="12"/>
    </x:row>
    <x:row r="256">
      <x:c r="A256" s="12" t="n">
        <x:v>250</x:v>
      </x:c>
      <x:c r="B256" s="12" t="str">
        <x:v>ゲート絶縁</x:v>
      </x:c>
      <x:c r="C256" s="12" t="str">
        <x:v>非絶縁時制御制約重量</x:v>
      </x:c>
      <x:c r="D256" s="12" t="str">
        <x:v>m_bootstrap_penalty</x:v>
      </x:c>
      <x:c r="E256" s="12" t="n">
        <x:v>0.04</x:v>
      </x:c>
      <x:c r="F256" s="12" t="str">
        <x:v>kg</x:v>
      </x:c>
      <x:c r="G256" s="12" t="str">
        <x:v>基準仕様（シナリオ間固定）</x:v>
      </x:c>
      <x:c r="H256" s="12" t="str">
        <x:v>09_基準仕様</x:v>
      </x:c>
      <x:c r="I256" s="12" t="str">
        <x:v>通常は編集しない</x:v>
      </x:c>
      <x:c r="J256" s="12" t="str">
        <x:v>技術係数</x:v>
      </x:c>
      <x:c r="K256" s="12" t="str">
        <x:v>対象</x:v>
      </x:c>
      <x:c r="L256" s="12"/>
    </x:row>
    <x:row r="257">
      <x:c r="A257" s="12" t="n">
        <x:v>251</x:v>
      </x:c>
      <x:c r="B257" s="12" t="str">
        <x:v>保護</x:v>
      </x:c>
      <x:c r="C257" s="12" t="str">
        <x:v>DESAT保護有効</x:v>
      </x:c>
      <x:c r="D257" s="12" t="str">
        <x:v>Enable_DESAT</x:v>
      </x:c>
      <x:c r="E257" s="12" t="n">
        <x:v>1</x:v>
      </x:c>
      <x:c r="F257" s="12" t="str">
        <x:v>0/1</x:v>
      </x:c>
      <x:c r="G257" s="12" t="str">
        <x:v>基準仕様（シナリオ間固定）</x:v>
      </x:c>
      <x:c r="H257" s="12" t="str">
        <x:v>09_基準仕様</x:v>
      </x:c>
      <x:c r="I257" s="12" t="str">
        <x:v>通常は編集しない</x:v>
      </x:c>
      <x:c r="J257" s="12" t="str">
        <x:v>技術選択</x:v>
      </x:c>
      <x:c r="K257" s="12" t="str">
        <x:v>対象</x:v>
      </x:c>
      <x:c r="L257" s="12"/>
    </x:row>
    <x:row r="258">
      <x:c r="A258" s="12" t="n">
        <x:v>252</x:v>
      </x:c>
      <x:c r="B258" s="12" t="str">
        <x:v>保護</x:v>
      </x:c>
      <x:c r="C258" s="12" t="str">
        <x:v>DESAT回路重量</x:v>
      </x:c>
      <x:c r="D258" s="12" t="str">
        <x:v>m_DESAT</x:v>
      </x:c>
      <x:c r="E258" s="12" t="n">
        <x:v>0.025</x:v>
      </x:c>
      <x:c r="F258" s="12" t="str">
        <x:v>kg</x:v>
      </x:c>
      <x:c r="G258" s="12" t="str">
        <x:v>基準仕様（シナリオ間固定）</x:v>
      </x:c>
      <x:c r="H258" s="12" t="str">
        <x:v>09_基準仕様</x:v>
      </x:c>
      <x:c r="I258" s="12" t="str">
        <x:v>通常は編集しない</x:v>
      </x:c>
      <x:c r="J258" s="12" t="str">
        <x:v>技術係数</x:v>
      </x:c>
      <x:c r="K258" s="12" t="str">
        <x:v>対象</x:v>
      </x:c>
      <x:c r="L258" s="12"/>
    </x:row>
    <x:row r="259">
      <x:c r="A259" s="12" t="n">
        <x:v>253</x:v>
      </x:c>
      <x:c r="B259" s="12" t="str">
        <x:v>保護</x:v>
      </x:c>
      <x:c r="C259" s="12" t="str">
        <x:v>DESATによる電流余裕低減率</x:v>
      </x:c>
      <x:c r="D259" s="12" t="str">
        <x:v>k_DESAT_margin_reduce</x:v>
      </x:c>
      <x:c r="E259" s="12" t="n">
        <x:v>0.08</x:v>
      </x:c>
      <x:c r="F259" s="12" t="str">
        <x:v>-</x:v>
      </x:c>
      <x:c r="G259" s="12" t="str">
        <x:v>基準仕様（シナリオ間固定）</x:v>
      </x:c>
      <x:c r="H259" s="12" t="str">
        <x:v>09_基準仕様</x:v>
      </x:c>
      <x:c r="I259" s="12" t="str">
        <x:v>通常は編集しない</x:v>
      </x:c>
      <x:c r="J259" s="12" t="str">
        <x:v>技術係数</x:v>
      </x:c>
      <x:c r="K259" s="12" t="str">
        <x:v>対象</x:v>
      </x:c>
      <x:c r="L259" s="12"/>
    </x:row>
    <x:row r="260">
      <x:c r="A260" s="12" t="n">
        <x:v>254</x:v>
      </x:c>
      <x:c r="B260" s="12" t="str">
        <x:v>保護</x:v>
      </x:c>
      <x:c r="C260" s="12" t="str">
        <x:v>アクティブクランプ有効</x:v>
      </x:c>
      <x:c r="D260" s="12" t="str">
        <x:v>Enable_active_clamp</x:v>
      </x:c>
      <x:c r="E260" s="12" t="n">
        <x:v>0</x:v>
      </x:c>
      <x:c r="F260" s="12" t="str">
        <x:v>0/1</x:v>
      </x:c>
      <x:c r="G260" s="12" t="str">
        <x:v>シナリオ固有手入力</x:v>
      </x:c>
      <x:c r="H260" s="12" t="str">
        <x:v>10_シナリオ入力</x:v>
      </x:c>
      <x:c r="I260" s="12" t="str">
        <x:v>必要に応じて編集</x:v>
      </x:c>
      <x:c r="J260" s="12" t="str">
        <x:v>技術選択</x:v>
      </x:c>
      <x:c r="K260" s="12" t="str">
        <x:v>対象</x:v>
      </x:c>
      <x:c r="L260" s="12"/>
    </x:row>
    <x:row r="261">
      <x:c r="A261" s="12" t="n">
        <x:v>255</x:v>
      </x:c>
      <x:c r="B261" s="12" t="str">
        <x:v>保護</x:v>
      </x:c>
      <x:c r="C261" s="12" t="str">
        <x:v>クランプovershoot低減率</x:v>
      </x:c>
      <x:c r="D261" s="12" t="str">
        <x:v>k_active_clamp_reduce</x:v>
      </x:c>
      <x:c r="E261" s="12" t="n">
        <x:v>0.45</x:v>
      </x:c>
      <x:c r="F261" s="12" t="str">
        <x:v>-</x:v>
      </x:c>
      <x:c r="G261" s="12" t="str">
        <x:v>基準仕様（シナリオ間固定）</x:v>
      </x:c>
      <x:c r="H261" s="12" t="str">
        <x:v>09_基準仕様</x:v>
      </x:c>
      <x:c r="I261" s="12" t="str">
        <x:v>通常は編集しない</x:v>
      </x:c>
      <x:c r="J261" s="12" t="str">
        <x:v>技術係数</x:v>
      </x:c>
      <x:c r="K261" s="12" t="str">
        <x:v>対象</x:v>
      </x:c>
      <x:c r="L261" s="12"/>
    </x:row>
    <x:row r="262">
      <x:c r="A262" s="12" t="n">
        <x:v>256</x:v>
      </x:c>
      <x:c r="B262" s="12" t="str">
        <x:v>保護</x:v>
      </x:c>
      <x:c r="C262" s="12" t="str">
        <x:v>クランプ回路重量</x:v>
      </x:c>
      <x:c r="D262" s="12" t="str">
        <x:v>m_active_clamp</x:v>
      </x:c>
      <x:c r="E262" s="12" t="n">
        <x:v>0.035</x:v>
      </x:c>
      <x:c r="F262" s="12" t="str">
        <x:v>kg</x:v>
      </x:c>
      <x:c r="G262" s="12" t="str">
        <x:v>基準仕様（シナリオ間固定）</x:v>
      </x:c>
      <x:c r="H262" s="12" t="str">
        <x:v>09_基準仕様</x:v>
      </x:c>
      <x:c r="I262" s="12" t="str">
        <x:v>通常は編集しない</x:v>
      </x:c>
      <x:c r="J262" s="12" t="str">
        <x:v>技術係数</x:v>
      </x:c>
      <x:c r="K262" s="12" t="str">
        <x:v>対象</x:v>
      </x:c>
      <x:c r="L262" s="12"/>
    </x:row>
    <x:row r="263">
      <x:c r="A263" s="12" t="n">
        <x:v>257</x:v>
      </x:c>
      <x:c r="B263" s="12" t="str">
        <x:v>保護</x:v>
      </x:c>
      <x:c r="C263" s="12" t="str">
        <x:v>クランプ損失</x:v>
      </x:c>
      <x:c r="D263" s="12" t="str">
        <x:v>P_active_clamp_on</x:v>
      </x:c>
      <x:c r="E263" s="12" t="n">
        <x:v>25</x:v>
      </x:c>
      <x:c r="F263" s="12" t="str">
        <x:v>W</x:v>
      </x:c>
      <x:c r="G263" s="12" t="str">
        <x:v>基準仕様（シナリオ間固定）</x:v>
      </x:c>
      <x:c r="H263" s="12" t="str">
        <x:v>09_基準仕様</x:v>
      </x:c>
      <x:c r="I263" s="12" t="str">
        <x:v>通常は編集しない</x:v>
      </x:c>
      <x:c r="J263" s="12" t="str">
        <x:v>技術係数</x:v>
      </x:c>
      <x:c r="K263" s="12" t="str">
        <x:v>対象</x:v>
      </x:c>
      <x:c r="L263" s="12"/>
    </x:row>
    <x:row r="264">
      <x:c r="A264" s="12" t="n">
        <x:v>258</x:v>
      </x:c>
      <x:c r="B264" s="12" t="str">
        <x:v>絶縁</x:v>
      </x:c>
      <x:c r="C264" s="12" t="str">
        <x:v>高性能絶縁材有効</x:v>
      </x:c>
      <x:c r="D264" s="12" t="str">
        <x:v>Enable_hi_ins</x:v>
      </x:c>
      <x:c r="E264" s="12" t="n">
        <x:v>0</x:v>
      </x:c>
      <x:c r="F264" s="12" t="str">
        <x:v>0/1</x:v>
      </x:c>
      <x:c r="G264" s="12" t="str">
        <x:v>シナリオ固有手入力</x:v>
      </x:c>
      <x:c r="H264" s="12" t="str">
        <x:v>10_シナリオ入力</x:v>
      </x:c>
      <x:c r="I264" s="12" t="str">
        <x:v>必要に応じて編集</x:v>
      </x:c>
      <x:c r="J264" s="12" t="str">
        <x:v>技術選択</x:v>
      </x:c>
      <x:c r="K264" s="12" t="str">
        <x:v>対象</x:v>
      </x:c>
      <x:c r="L264" s="12"/>
    </x:row>
    <x:row r="265">
      <x:c r="A265" s="12" t="n">
        <x:v>259</x:v>
      </x:c>
      <x:c r="B265" s="12" t="str">
        <x:v>絶縁</x:v>
      </x:c>
      <x:c r="C265" s="12" t="str">
        <x:v>高性能絶縁による距離低減率</x:v>
      </x:c>
      <x:c r="D265" s="12" t="str">
        <x:v>k_clearance_reduce</x:v>
      </x:c>
      <x:c r="E265" s="12" t="n">
        <x:v>0.3</x:v>
      </x:c>
      <x:c r="F265" s="12" t="str">
        <x:v>-</x:v>
      </x:c>
      <x:c r="G265" s="12" t="str">
        <x:v>基準仕様（シナリオ間固定）</x:v>
      </x:c>
      <x:c r="H265" s="12" t="str">
        <x:v>09_基準仕様</x:v>
      </x:c>
      <x:c r="I265" s="12" t="str">
        <x:v>通常は編集しない</x:v>
      </x:c>
      <x:c r="J265" s="12" t="str">
        <x:v>技術係数</x:v>
      </x:c>
      <x:c r="K265" s="12" t="str">
        <x:v>対象</x:v>
      </x:c>
      <x:c r="L265" s="12"/>
    </x:row>
    <x:row r="266">
      <x:c r="A266" s="12" t="n">
        <x:v>260</x:v>
      </x:c>
      <x:c r="B266" s="12" t="str">
        <x:v>絶縁</x:v>
      </x:c>
      <x:c r="C266" s="12" t="str">
        <x:v>高性能絶縁材追加重量</x:v>
      </x:c>
      <x:c r="D266" s="12" t="str">
        <x:v>m_hi_ins</x:v>
      </x:c>
      <x:c r="E266" s="12" t="n">
        <x:v>0.06</x:v>
      </x:c>
      <x:c r="F266" s="12" t="str">
        <x:v>kg</x:v>
      </x:c>
      <x:c r="G266" s="12" t="str">
        <x:v>基準仕様（シナリオ間固定）</x:v>
      </x:c>
      <x:c r="H266" s="12" t="str">
        <x:v>09_基準仕様</x:v>
      </x:c>
      <x:c r="I266" s="12" t="str">
        <x:v>通常は編集しない</x:v>
      </x:c>
      <x:c r="J266" s="12" t="str">
        <x:v>技術係数</x:v>
      </x:c>
      <x:c r="K266" s="12" t="str">
        <x:v>対象</x:v>
      </x:c>
      <x:c r="L266" s="12"/>
    </x:row>
    <x:row r="267">
      <x:c r="A267" s="12" t="n">
        <x:v>261</x:v>
      </x:c>
      <x:c r="B267" s="12" t="str">
        <x:v>絶縁</x:v>
      </x:c>
      <x:c r="C267" s="12" t="str">
        <x:v>基準クリアランス支持重量</x:v>
      </x:c>
      <x:c r="D267" s="12" t="str">
        <x:v>m_clearance_ref</x:v>
      </x:c>
      <x:c r="E267" s="12" t="n">
        <x:v>0.18</x:v>
      </x:c>
      <x:c r="F267" s="12" t="str">
        <x:v>kg</x:v>
      </x:c>
      <x:c r="G267" s="12" t="str">
        <x:v>基準仕様（シナリオ間固定）</x:v>
      </x:c>
      <x:c r="H267" s="12" t="str">
        <x:v>09_基準仕様</x:v>
      </x:c>
      <x:c r="I267" s="12" t="str">
        <x:v>通常は編集しない</x:v>
      </x:c>
      <x:c r="J267" s="12" t="str">
        <x:v>技術係数</x:v>
      </x:c>
      <x:c r="K267" s="12" t="str">
        <x:v>対象</x:v>
      </x:c>
      <x:c r="L267" s="12"/>
    </x:row>
    <x:row r="268">
      <x:c r="A268" s="12" t="n">
        <x:v>262</x:v>
      </x:c>
      <x:c r="B268" s="12" t="str">
        <x:v>絶縁</x:v>
      </x:c>
      <x:c r="C268" s="12" t="str">
        <x:v>ポッティング有効</x:v>
      </x:c>
      <x:c r="D268" s="12" t="str">
        <x:v>Enable_potting</x:v>
      </x:c>
      <x:c r="E268" s="12" t="n">
        <x:v>0</x:v>
      </x:c>
      <x:c r="F268" s="12" t="str">
        <x:v>0/1</x:v>
      </x:c>
      <x:c r="G268" s="12" t="str">
        <x:v>シナリオ固有手入力</x:v>
      </x:c>
      <x:c r="H268" s="12" t="str">
        <x:v>10_シナリオ入力</x:v>
      </x:c>
      <x:c r="I268" s="12" t="str">
        <x:v>必要に応じて編集</x:v>
      </x:c>
      <x:c r="J268" s="12" t="str">
        <x:v>技術選択</x:v>
      </x:c>
      <x:c r="K268" s="12" t="str">
        <x:v>対象</x:v>
      </x:c>
      <x:c r="L268" s="12"/>
    </x:row>
    <x:row r="269">
      <x:c r="A269" s="12" t="n">
        <x:v>263</x:v>
      </x:c>
      <x:c r="B269" s="12" t="str">
        <x:v>絶縁</x:v>
      </x:c>
      <x:c r="C269" s="12" t="str">
        <x:v>ポッティング重量</x:v>
      </x:c>
      <x:c r="D269" s="12" t="str">
        <x:v>m_potting</x:v>
      </x:c>
      <x:c r="E269" s="12" t="n">
        <x:v>0.22</x:v>
      </x:c>
      <x:c r="F269" s="12" t="str">
        <x:v>kg</x:v>
      </x:c>
      <x:c r="G269" s="12" t="str">
        <x:v>基準仕様（シナリオ間固定）</x:v>
      </x:c>
      <x:c r="H269" s="12" t="str">
        <x:v>09_基準仕様</x:v>
      </x:c>
      <x:c r="I269" s="12" t="str">
        <x:v>通常は編集しない</x:v>
      </x:c>
      <x:c r="J269" s="12" t="str">
        <x:v>技術係数</x:v>
      </x:c>
      <x:c r="K269" s="12" t="str">
        <x:v>対象</x:v>
      </x:c>
      <x:c r="L269" s="12"/>
    </x:row>
    <x:row r="270">
      <x:c r="A270" s="12" t="n">
        <x:v>264</x:v>
      </x:c>
      <x:c r="B270" s="12" t="str">
        <x:v>絶縁</x:v>
      </x:c>
      <x:c r="C270" s="12" t="str">
        <x:v>ポッティング距離低減率</x:v>
      </x:c>
      <x:c r="D270" s="12" t="str">
        <x:v>k_pot_clearance_reduce</x:v>
      </x:c>
      <x:c r="E270" s="12" t="n">
        <x:v>0.45</x:v>
      </x:c>
      <x:c r="F270" s="12" t="str">
        <x:v>-</x:v>
      </x:c>
      <x:c r="G270" s="12" t="str">
        <x:v>基準仕様（シナリオ間固定）</x:v>
      </x:c>
      <x:c r="H270" s="12" t="str">
        <x:v>09_基準仕様</x:v>
      </x:c>
      <x:c r="I270" s="12" t="str">
        <x:v>通常は編集しない</x:v>
      </x:c>
      <x:c r="J270" s="12" t="str">
        <x:v>技術係数</x:v>
      </x:c>
      <x:c r="K270" s="12" t="str">
        <x:v>対象</x:v>
      </x:c>
      <x:c r="L270" s="12"/>
    </x:row>
    <x:row r="271">
      <x:c r="A271" s="12" t="n">
        <x:v>265</x:v>
      </x:c>
      <x:c r="B271" s="12" t="str">
        <x:v>絶縁</x:v>
      </x:c>
      <x:c r="C271" s="12" t="str">
        <x:v>ポッティング熱ペナルティ</x:v>
      </x:c>
      <x:c r="D271" s="12" t="str">
        <x:v>k_pot_thermal</x:v>
      </x:c>
      <x:c r="E271" s="12" t="n">
        <x:v>0.08</x:v>
      </x:c>
      <x:c r="F271" s="12" t="str">
        <x:v>-</x:v>
      </x:c>
      <x:c r="G271" s="12" t="str">
        <x:v>基準仕様（シナリオ間固定）</x:v>
      </x:c>
      <x:c r="H271" s="12" t="str">
        <x:v>09_基準仕様</x:v>
      </x:c>
      <x:c r="I271" s="12" t="str">
        <x:v>通常は編集しない</x:v>
      </x:c>
      <x:c r="J271" s="12" t="str">
        <x:v>技術係数</x:v>
      </x:c>
      <x:c r="K271" s="12" t="str">
        <x:v>対象</x:v>
      </x:c>
      <x:c r="L271" s="12"/>
    </x:row>
    <x:row r="272">
      <x:c r="A272" s="12" t="n">
        <x:v>266</x:v>
      </x:c>
      <x:c r="B272" s="12" t="str">
        <x:v>補助電源</x:v>
      </x:c>
      <x:c r="C272" s="12" t="str">
        <x:v>バイアス電源効率</x:v>
      </x:c>
      <x:c r="D272" s="12" t="str">
        <x:v>eta_bias</x:v>
      </x:c>
      <x:c r="E272" s="12" t="n">
        <x:v>0.82</x:v>
      </x:c>
      <x:c r="F272" s="12" t="str">
        <x:v>-</x:v>
      </x:c>
      <x:c r="G272" s="12" t="str">
        <x:v>基準仕様（シナリオ間固定）</x:v>
      </x:c>
      <x:c r="H272" s="12" t="str">
        <x:v>09_基準仕様</x:v>
      </x:c>
      <x:c r="I272" s="12" t="str">
        <x:v>通常は編集しない</x:v>
      </x:c>
      <x:c r="J272" s="12" t="str">
        <x:v>設計変数</x:v>
      </x:c>
      <x:c r="K272" s="12" t="str">
        <x:v>対象</x:v>
      </x:c>
      <x:c r="L272" s="12"/>
    </x:row>
    <x:row r="273">
      <x:c r="A273" s="12" t="n">
        <x:v>267</x:v>
      </x:c>
      <x:c r="B273" s="12" t="str">
        <x:v>補助電源</x:v>
      </x:c>
      <x:c r="C273" s="12" t="str">
        <x:v>バイアス電源比重量</x:v>
      </x:c>
      <x:c r="D273" s="12" t="str">
        <x:v>k_m_bias</x:v>
      </x:c>
      <x:c r="E273" s="12" t="n">
        <x:v>0.02</x:v>
      </x:c>
      <x:c r="F273" s="12" t="str">
        <x:v>kg/W</x:v>
      </x:c>
      <x:c r="G273" s="12" t="str">
        <x:v>基準仕様（シナリオ間固定）</x:v>
      </x:c>
      <x:c r="H273" s="12" t="str">
        <x:v>09_基準仕様</x:v>
      </x:c>
      <x:c r="I273" s="12" t="str">
        <x:v>通常は編集しない</x:v>
      </x:c>
      <x:c r="J273" s="12" t="str">
        <x:v>技術係数</x:v>
      </x:c>
      <x:c r="K273" s="12" t="str">
        <x:v>対象</x:v>
      </x:c>
      <x:c r="L273" s="12"/>
    </x:row>
    <x:row r="274">
      <x:c r="A274" s="12" t="n">
        <x:v>268</x:v>
      </x:c>
      <x:c r="B274" s="12" t="str">
        <x:v>プリチャージ</x:v>
      </x:c>
      <x:c r="C274" s="12" t="str">
        <x:v>プリチャージ有効</x:v>
      </x:c>
      <x:c r="D274" s="12" t="str">
        <x:v>Enable_precharge</x:v>
      </x:c>
      <x:c r="E274" s="12" t="n">
        <x:v>0</x:v>
      </x:c>
      <x:c r="F274" s="12" t="str">
        <x:v>0/1</x:v>
      </x:c>
      <x:c r="G274" s="12" t="str">
        <x:v>シナリオ固有手入力</x:v>
      </x:c>
      <x:c r="H274" s="12" t="str">
        <x:v>10_シナリオ入力</x:v>
      </x:c>
      <x:c r="I274" s="12" t="str">
        <x:v>必要に応じて編集</x:v>
      </x:c>
      <x:c r="J274" s="12" t="str">
        <x:v>技術選択</x:v>
      </x:c>
      <x:c r="K274" s="12" t="str">
        <x:v>対象</x:v>
      </x:c>
      <x:c r="L274" s="12"/>
    </x:row>
    <x:row r="275">
      <x:c r="A275" s="12" t="n">
        <x:v>269</x:v>
      </x:c>
      <x:c r="B275" s="12" t="str">
        <x:v>プリチャージ</x:v>
      </x:c>
      <x:c r="C275" s="12" t="str">
        <x:v>プリチャージ回路重量</x:v>
      </x:c>
      <x:c r="D275" s="12" t="str">
        <x:v>m_precharge</x:v>
      </x:c>
      <x:c r="E275" s="12" t="n">
        <x:v>0.1</x:v>
      </x:c>
      <x:c r="F275" s="12" t="str">
        <x:v>kg</x:v>
      </x:c>
      <x:c r="G275" s="12" t="str">
        <x:v>基準仕様（シナリオ間固定）</x:v>
      </x:c>
      <x:c r="H275" s="12" t="str">
        <x:v>09_基準仕様</x:v>
      </x:c>
      <x:c r="I275" s="12" t="str">
        <x:v>通常は編集しない</x:v>
      </x:c>
      <x:c r="J275" s="12" t="str">
        <x:v>技術係数</x:v>
      </x:c>
      <x:c r="K275" s="12" t="str">
        <x:v>対象</x:v>
      </x:c>
      <x:c r="L275" s="12"/>
    </x:row>
    <x:row r="276">
      <x:c r="A276" s="12" t="n">
        <x:v>270</x:v>
      </x:c>
      <x:c r="B276" s="12" t="str">
        <x:v>プリチャージ</x:v>
      </x:c>
      <x:c r="C276" s="12" t="str">
        <x:v>コンタクタ重量低減率</x:v>
      </x:c>
      <x:c r="D276" s="12" t="str">
        <x:v>k_contactor_reduce</x:v>
      </x:c>
      <x:c r="E276" s="12" t="n">
        <x:v>0.2</x:v>
      </x:c>
      <x:c r="F276" s="12" t="str">
        <x:v>-</x:v>
      </x:c>
      <x:c r="G276" s="12" t="str">
        <x:v>基準仕様（シナリオ間固定）</x:v>
      </x:c>
      <x:c r="H276" s="12" t="str">
        <x:v>09_基準仕様</x:v>
      </x:c>
      <x:c r="I276" s="12" t="str">
        <x:v>通常は編集しない</x:v>
      </x:c>
      <x:c r="J276" s="12" t="str">
        <x:v>技術係数</x:v>
      </x:c>
      <x:c r="K276" s="12" t="str">
        <x:v>対象</x:v>
      </x:c>
      <x:c r="L276" s="12"/>
    </x:row>
    <x:row r="277">
      <x:c r="A277" s="12" t="n">
        <x:v>271</x:v>
      </x:c>
      <x:c r="B277" s="12" t="str">
        <x:v>プリチャージ</x:v>
      </x:c>
      <x:c r="C277" s="12" t="str">
        <x:v>基準コンタクタ/ヒューズ重量</x:v>
      </x:c>
      <x:c r="D277" s="12" t="str">
        <x:v>m_contactor_base</x:v>
      </x:c>
      <x:c r="E277" s="12" t="n">
        <x:v>0.35</x:v>
      </x:c>
      <x:c r="F277" s="12" t="str">
        <x:v>kg</x:v>
      </x:c>
      <x:c r="G277" s="12" t="str">
        <x:v>基準仕様（シナリオ間固定）</x:v>
      </x:c>
      <x:c r="H277" s="12" t="str">
        <x:v>09_基準仕様</x:v>
      </x:c>
      <x:c r="I277" s="12" t="str">
        <x:v>通常は編集しない</x:v>
      </x:c>
      <x:c r="J277" s="12" t="str">
        <x:v>技術係数</x:v>
      </x:c>
      <x:c r="K277" s="12" t="str">
        <x:v>対象</x:v>
      </x:c>
      <x:c r="L277" s="12"/>
    </x:row>
    <x:row r="278">
      <x:c r="A278" s="12" t="n">
        <x:v>272</x:v>
      </x:c>
      <x:c r="B278" s="12" t="str">
        <x:v>システム要求</x:v>
      </x:c>
      <x:c r="C278" s="12" t="str">
        <x:v>モータケーブル長</x:v>
      </x:c>
      <x:c r="D278" s="12" t="str">
        <x:v>L_cable</x:v>
      </x:c>
      <x:c r="E278" s="12" t="n">
        <x:v>2</x:v>
      </x:c>
      <x:c r="F278" s="12" t="str">
        <x:v>m</x:v>
      </x:c>
      <x:c r="G278" s="12" t="str">
        <x:v>システム要求→自動計算</x:v>
      </x:c>
      <x:c r="H278" s="12" t="str">
        <x:v>07_システム要求</x:v>
      </x:c>
      <x:c r="I278" s="12" t="str">
        <x:v>参照元を編集</x:v>
      </x:c>
      <x:c r="J278" s="12" t="str">
        <x:v>固定要求</x:v>
      </x:c>
      <x:c r="K278" s="12" t="str">
        <x:v>対象外</x:v>
      </x:c>
      <x:c r="L278" s="12" t="str">
        <x:v>07_システム要求から自動</x:v>
      </x:c>
    </x:row>
    <x:row r="279">
      <x:c r="A279" s="12" t="n">
        <x:v>273</x:v>
      </x:c>
      <x:c r="B279" s="12" t="str">
        <x:v>システム要求</x:v>
      </x:c>
      <x:c r="C279" s="12" t="str">
        <x:v>許容相電流リップル率</x:v>
      </x:c>
      <x:c r="D279" s="12" t="str">
        <x:v>ripple_i_req</x:v>
      </x:c>
      <x:c r="E279" s="12" t="n">
        <x:v>0.1</x:v>
      </x:c>
      <x:c r="F279" s="12" t="str">
        <x:v>-</x:v>
      </x:c>
      <x:c r="G279" s="12" t="str">
        <x:v>システム要求→自動計算</x:v>
      </x:c>
      <x:c r="H279" s="12" t="str">
        <x:v>07_システム要求</x:v>
      </x:c>
      <x:c r="I279" s="12" t="str">
        <x:v>参照元を編集</x:v>
      </x:c>
      <x:c r="J279" s="12" t="str">
        <x:v>固定要求</x:v>
      </x:c>
      <x:c r="K279" s="12" t="str">
        <x:v>対象外</x:v>
      </x:c>
      <x:c r="L279" s="12" t="str">
        <x:v>07_システム要求から自動</x:v>
      </x:c>
    </x:row>
    <x:row r="280">
      <x:c r="A280" s="12" t="n">
        <x:v>274</x:v>
      </x:c>
      <x:c r="B280" s="12" t="str">
        <x:v>システム要求</x:v>
      </x:c>
      <x:c r="C280" s="12" t="str">
        <x:v>モータ相インダクタンス</x:v>
      </x:c>
      <x:c r="D280" s="12" t="str">
        <x:v>L_motor</x:v>
      </x:c>
      <x:c r="E280" s="12" t="n">
        <x:v>0.00035</x:v>
      </x:c>
      <x:c r="F280" s="12" t="str">
        <x:v>H</x:v>
      </x:c>
      <x:c r="G280" s="12" t="str">
        <x:v>システム要求→自動計算</x:v>
      </x:c>
      <x:c r="H280" s="12" t="str">
        <x:v>07_システム要求</x:v>
      </x:c>
      <x:c r="I280" s="12" t="str">
        <x:v>参照元を編集</x:v>
      </x:c>
      <x:c r="J280" s="12" t="str">
        <x:v>固定要求</x:v>
      </x:c>
      <x:c r="K280" s="12" t="str">
        <x:v>対象外</x:v>
      </x:c>
      <x:c r="L280" s="12" t="str">
        <x:v>07_システム要求から自動</x:v>
      </x:c>
    </x:row>
    <x:row r="281">
      <x:c r="A281" s="12" t="n">
        <x:v>275</x:v>
      </x:c>
      <x:c r="B281" s="12" t="str">
        <x:v>システム要求</x:v>
      </x:c>
      <x:c r="C281" s="12" t="str">
        <x:v>DCリンク放電要求時間</x:v>
      </x:c>
      <x:c r="D281" s="12" t="str">
        <x:v>t_discharge_req</x:v>
      </x:c>
      <x:c r="E281" s="12" t="n">
        <x:v>5</x:v>
      </x:c>
      <x:c r="F281" s="12" t="str">
        <x:v>s</x:v>
      </x:c>
      <x:c r="G281" s="12" t="str">
        <x:v>システム要求→自動計算</x:v>
      </x:c>
      <x:c r="H281" s="12" t="str">
        <x:v>07_システム要求</x:v>
      </x:c>
      <x:c r="I281" s="12" t="str">
        <x:v>参照元を編集</x:v>
      </x:c>
      <x:c r="J281" s="12" t="str">
        <x:v>固定要求</x:v>
      </x:c>
      <x:c r="K281" s="12" t="str">
        <x:v>対象外</x:v>
      </x:c>
      <x:c r="L281" s="12" t="str">
        <x:v>07_システム要求から自動</x:v>
      </x:c>
    </x:row>
    <x:row r="282">
      <x:c r="A282" s="12" t="n">
        <x:v>276</x:v>
      </x:c>
      <x:c r="B282" s="12" t="str">
        <x:v>システム要求</x:v>
      </x:c>
      <x:c r="C282" s="12" t="str">
        <x:v>放電完了安全電圧</x:v>
      </x:c>
      <x:c r="D282" s="12" t="str">
        <x:v>V_safe_discharge</x:v>
      </x:c>
      <x:c r="E282" s="12" t="n">
        <x:v>60</x:v>
      </x:c>
      <x:c r="F282" s="12" t="str">
        <x:v>V</x:v>
      </x:c>
      <x:c r="G282" s="12" t="str">
        <x:v>システム要求→自動計算</x:v>
      </x:c>
      <x:c r="H282" s="12" t="str">
        <x:v>07_システム要求</x:v>
      </x:c>
      <x:c r="I282" s="12" t="str">
        <x:v>参照元を編集</x:v>
      </x:c>
      <x:c r="J282" s="12" t="str">
        <x:v>固定要求</x:v>
      </x:c>
      <x:c r="K282" s="12" t="str">
        <x:v>対象外</x:v>
      </x:c>
      <x:c r="L282" s="12" t="str">
        <x:v>07_システム要求から自動</x:v>
      </x:c>
    </x:row>
    <x:row r="283">
      <x:c r="A283" s="12" t="n">
        <x:v>277</x:v>
      </x:c>
      <x:c r="B283" s="12" t="str">
        <x:v>システム要求</x:v>
      </x:c>
      <x:c r="C283" s="12" t="str">
        <x:v>電流制御帯域</x:v>
      </x:c>
      <x:c r="D283" s="12" t="str">
        <x:v>BW_current</x:v>
      </x:c>
      <x:c r="E283" s="12" t="n">
        <x:v>1000</x:v>
      </x:c>
      <x:c r="F283" s="12" t="str">
        <x:v>Hz</x:v>
      </x:c>
      <x:c r="G283" s="12" t="str">
        <x:v>システム要求→自動計算</x:v>
      </x:c>
      <x:c r="H283" s="12" t="str">
        <x:v>07_システム要求</x:v>
      </x:c>
      <x:c r="I283" s="12" t="str">
        <x:v>参照元を編集</x:v>
      </x:c>
      <x:c r="J283" s="12" t="str">
        <x:v>固定要求</x:v>
      </x:c>
      <x:c r="K283" s="12" t="str">
        <x:v>対象外</x:v>
      </x:c>
      <x:c r="L283" s="12" t="str">
        <x:v>07_システム要求から自動</x:v>
      </x:c>
    </x:row>
    <x:row r="284">
      <x:c r="A284" s="12" t="n">
        <x:v>278</x:v>
      </x:c>
      <x:c r="B284" s="12" t="str">
        <x:v>放電</x:v>
      </x:c>
      <x:c r="C284" s="12" t="str">
        <x:v>アクティブ放電時抵抗重量比</x:v>
      </x:c>
      <x:c r="D284" s="12" t="str">
        <x:v>k_discharge_res_mass_active</x:v>
      </x:c>
      <x:c r="E284" s="12" t="n">
        <x:v>0.35</x:v>
      </x:c>
      <x:c r="F284" s="12" t="str">
        <x:v>-</x:v>
      </x:c>
      <x:c r="G284" s="12" t="str">
        <x:v>基準仕様（シナリオ間固定）</x:v>
      </x:c>
      <x:c r="H284" s="12" t="str">
        <x:v>09_基準仕様</x:v>
      </x:c>
      <x:c r="I284" s="12" t="str">
        <x:v>参照元を編集</x:v>
      </x:c>
      <x:c r="J284" s="12" t="str">
        <x:v>技術係数</x:v>
      </x:c>
      <x:c r="K284" s="12" t="str">
        <x:v>対象</x:v>
      </x:c>
      <x:c r="L284" s="12" t="str">
        <x:v>短時間定格で抵抗を小型化する簡易係数</x:v>
      </x:c>
    </x:row>
    <x:row r="285">
      <x:c r="A285" s="12" t="n">
        <x:v>279</x:v>
      </x:c>
      <x:c r="B285" s="12" t="str">
        <x:v>放電</x:v>
      </x:c>
      <x:c r="C285" s="12" t="str">
        <x:v>アクティブ放電待機損失比</x:v>
      </x:c>
      <x:c r="D285" s="12" t="str">
        <x:v>k_discharge_standby_active</x:v>
      </x:c>
      <x:c r="E285" s="12" t="n">
        <x:v>0.02</x:v>
      </x:c>
      <x:c r="F285" s="12" t="str">
        <x:v>-</x:v>
      </x:c>
      <x:c r="G285" s="12" t="str">
        <x:v>基準仕様（シナリオ間固定）</x:v>
      </x:c>
      <x:c r="H285" s="12" t="str">
        <x:v>09_基準仕様</x:v>
      </x:c>
      <x:c r="I285" s="12" t="str">
        <x:v>参照元を編集</x:v>
      </x:c>
      <x:c r="J285" s="12" t="str">
        <x:v>技術係数</x:v>
      </x:c>
      <x:c r="K285" s="12" t="str">
        <x:v>対象</x:v>
      </x:c>
      <x:c r="L285" s="12" t="str">
        <x:v>能動スイッチOFF時の残存損失比</x:v>
      </x:c>
    </x:row>
    <x:row r="286">
      <x:c r="A286" s="12" t="n">
        <x:v>280</x:v>
      </x:c>
      <x:c r="B286" s="12" t="str">
        <x:v>放電</x:v>
      </x:c>
      <x:c r="C286" s="12" t="str">
        <x:v>ブリーダ抵抗比重量</x:v>
      </x:c>
      <x:c r="D286" s="12" t="str">
        <x:v>k_m_bleed</x:v>
      </x:c>
      <x:c r="E286" s="12" t="n">
        <x:v>0.00035</x:v>
      </x:c>
      <x:c r="F286" s="12" t="str">
        <x:v>kg/W</x:v>
      </x:c>
      <x:c r="G286" s="12" t="str">
        <x:v>基準仕様（シナリオ間固定）</x:v>
      </x:c>
      <x:c r="H286" s="12" t="str">
        <x:v>09_基準仕様</x:v>
      </x:c>
      <x:c r="I286" s="12" t="str">
        <x:v>参照元を編集</x:v>
      </x:c>
      <x:c r="J286" s="12" t="str">
        <x:v>技術係数</x:v>
      </x:c>
      <x:c r="K286" s="12" t="str">
        <x:v>対象</x:v>
      </x:c>
      <x:c r="L286" s="12" t="str">
        <x:v>連続定格抵抗の簡易比重量</x:v>
      </x:c>
    </x:row>
    <x:row r="287">
      <x:c r="A287" s="12" t="n">
        <x:v>281</x:v>
      </x:c>
      <x:c r="B287" s="12" t="str">
        <x:v>放電</x:v>
      </x:c>
      <x:c r="C287" s="12" t="str">
        <x:v>アクティブ放電制御重量</x:v>
      </x:c>
      <x:c r="D287" s="12" t="str">
        <x:v>m_active_discharge_ctrl</x:v>
      </x:c>
      <x:c r="E287" s="12" t="n">
        <x:v>0.05</x:v>
      </x:c>
      <x:c r="F287" s="12" t="str">
        <x:v>kg</x:v>
      </x:c>
      <x:c r="G287" s="12" t="str">
        <x:v>基準仕様（シナリオ間固定）</x:v>
      </x:c>
      <x:c r="H287" s="12" t="str">
        <x:v>09_基準仕様</x:v>
      </x:c>
      <x:c r="I287" s="12" t="str">
        <x:v>参照元を編集</x:v>
      </x:c>
      <x:c r="J287" s="12" t="str">
        <x:v>技術係数</x:v>
      </x:c>
      <x:c r="K287" s="12" t="str">
        <x:v>対象</x:v>
      </x:c>
      <x:c r="L287" s="12" t="str">
        <x:v>スイッチ/駆動/制御の等価重量</x:v>
      </x:c>
    </x:row>
    <x:row r="288">
      <x:c r="A288" s="12" t="n">
        <x:v>282</x:v>
      </x:c>
      <x:c r="B288" s="12" t="str">
        <x:v>半導体パッケージ</x:v>
      </x:c>
      <x:c r="C288" s="12" t="str">
        <x:v>高度冷却パッケージ熱抵抗低減率</x:v>
      </x:c>
      <x:c r="D288" s="12" t="str">
        <x:v>k_pkg_Rth_reduce</x:v>
      </x:c>
      <x:c r="E288" s="12" t="n">
        <x:v>0.3</x:v>
      </x:c>
      <x:c r="F288" s="12" t="str">
        <x:v>-</x:v>
      </x:c>
      <x:c r="G288" s="12" t="str">
        <x:v>基準仕様（シナリオ間固定）</x:v>
      </x:c>
      <x:c r="H288" s="12" t="str">
        <x:v>09_基準仕様</x:v>
      </x:c>
      <x:c r="I288" s="12" t="str">
        <x:v>参照元を編集</x:v>
      </x:c>
      <x:c r="J288" s="12" t="str">
        <x:v>技術係数</x:v>
      </x:c>
      <x:c r="K288" s="12" t="str">
        <x:v>対象</x:v>
      </x:c>
      <x:c r="L288" s="12" t="str">
        <x:v>上面/両面冷却等の簡易低減率</x:v>
      </x:c>
    </x:row>
    <x:row r="289">
      <x:c r="A289" s="12" t="n">
        <x:v>283</x:v>
      </x:c>
      <x:c r="B289" s="12" t="str">
        <x:v>半導体パッケージ</x:v>
      </x:c>
      <x:c r="C289" s="12" t="str">
        <x:v>高度冷却パッケージ電流密度向上率</x:v>
      </x:c>
      <x:c r="D289" s="12" t="str">
        <x:v>k_pkg_J_gain</x:v>
      </x:c>
      <x:c r="E289" s="12" t="n">
        <x:v>0.15</x:v>
      </x:c>
      <x:c r="F289" s="12" t="str">
        <x:v>-</x:v>
      </x:c>
      <x:c r="G289" s="12" t="str">
        <x:v>基準仕様（シナリオ間固定）</x:v>
      </x:c>
      <x:c r="H289" s="12" t="str">
        <x:v>09_基準仕様</x:v>
      </x:c>
      <x:c r="I289" s="12" t="str">
        <x:v>参照元を編集</x:v>
      </x:c>
      <x:c r="J289" s="12" t="str">
        <x:v>技術係数</x:v>
      </x:c>
      <x:c r="K289" s="12" t="str">
        <x:v>対象</x:v>
      </x:c>
      <x:c r="L289" s="12" t="str">
        <x:v>熱制約緩和による簡易電流密度向上</x:v>
      </x:c>
    </x:row>
    <x:row r="290">
      <x:c r="A290" s="12" t="n">
        <x:v>284</x:v>
      </x:c>
      <x:c r="B290" s="12" t="str">
        <x:v>半導体パッケージ</x:v>
      </x:c>
      <x:c r="C290" s="12" t="str">
        <x:v>高度冷却パッケージ追加重量</x:v>
      </x:c>
      <x:c r="D290" s="12" t="str">
        <x:v>m_pkg_advanced_delta</x:v>
      </x:c>
      <x:c r="E290" s="12" t="n">
        <x:v>0.08</x:v>
      </x:c>
      <x:c r="F290" s="12" t="str">
        <x:v>kg</x:v>
      </x:c>
      <x:c r="G290" s="12" t="str">
        <x:v>基準仕様（シナリオ間固定）</x:v>
      </x:c>
      <x:c r="H290" s="12" t="str">
        <x:v>09_基準仕様</x:v>
      </x:c>
      <x:c r="I290" s="12" t="str">
        <x:v>参照元を編集</x:v>
      </x:c>
      <x:c r="J290" s="12" t="str">
        <x:v>技術係数</x:v>
      </x:c>
      <x:c r="K290" s="12" t="str">
        <x:v>対象</x:v>
      </x:c>
      <x:c r="L290" s="12" t="str">
        <x:v>クランプ/絶縁/構造の追加重量</x:v>
      </x:c>
    </x:row>
    <x:row r="291">
      <x:c r="A291" s="12" t="n">
        <x:v>285</x:v>
      </x:c>
      <x:c r="B291" s="12" t="str">
        <x:v>ケーブル</x:v>
      </x:c>
      <x:c r="C291" s="12" t="str">
        <x:v>ケーブル対地容量/長さ</x:v>
      </x:c>
      <x:c r="D291" s="12" t="str">
        <x:v>C_cable_per_m</x:v>
      </x:c>
      <x:c r="E291" s="12" t="n">
        <x:v>1.5e-10</x:v>
      </x:c>
      <x:c r="F291" s="12" t="str">
        <x:v>F/m</x:v>
      </x:c>
      <x:c r="G291" s="12" t="str">
        <x:v>基準仕様（シナリオ間固定）</x:v>
      </x:c>
      <x:c r="H291" s="12" t="str">
        <x:v>09_基準仕様</x:v>
      </x:c>
      <x:c r="I291" s="12" t="str">
        <x:v>参照元を編集</x:v>
      </x:c>
      <x:c r="J291" s="12" t="str">
        <x:v>技術係数</x:v>
      </x:c>
      <x:c r="K291" s="12" t="str">
        <x:v>対象</x:v>
      </x:c>
      <x:c r="L291" s="12" t="str">
        <x:v>ケーブル構造を固定した基準値</x:v>
      </x:c>
    </x:row>
    <x:row r="292">
      <x:c r="A292" s="12" t="n">
        <x:v>286</x:v>
      </x:c>
      <x:c r="B292" s="12" t="str">
        <x:v>ケーブル</x:v>
      </x:c>
      <x:c r="C292" s="12" t="str">
        <x:v>基準ケーブル長</x:v>
      </x:c>
      <x:c r="D292" s="12" t="str">
        <x:v>L_cable_ref</x:v>
      </x:c>
      <x:c r="E292" s="12" t="n">
        <x:v>2</x:v>
      </x:c>
      <x:c r="F292" s="12" t="str">
        <x:v>m</x:v>
      </x:c>
      <x:c r="G292" s="12" t="str">
        <x:v>基準仕様（シナリオ間固定）</x:v>
      </x:c>
      <x:c r="H292" s="12" t="str">
        <x:v>09_基準仕様</x:v>
      </x:c>
      <x:c r="I292" s="12" t="str">
        <x:v>参照元を編集</x:v>
      </x:c>
      <x:c r="J292" s="12" t="str">
        <x:v>技術係数</x:v>
      </x:c>
      <x:c r="K292" s="12" t="str">
        <x:v>対象</x:v>
      </x:c>
      <x:c r="L292" s="12" t="str">
        <x:v>EMI重量スケーリング基準</x:v>
      </x:c>
    </x:row>
    <x:row r="293">
      <x:c r="A293" s="12" t="n">
        <x:v>287</x:v>
      </x:c>
      <x:c r="B293" s="12" t="str">
        <x:v>ケーブル</x:v>
      </x:c>
      <x:c r="C293" s="12" t="str">
        <x:v>CM重量ケーブル長指数</x:v>
      </x:c>
      <x:c r="D293" s="12" t="str">
        <x:v>a_cable_cm</x:v>
      </x:c>
      <x:c r="E293" s="12" t="n">
        <x:v>0.7</x:v>
      </x:c>
      <x:c r="F293" s="12" t="str">
        <x:v>-</x:v>
      </x:c>
      <x:c r="G293" s="12" t="str">
        <x:v>基準仕様（シナリオ間固定）</x:v>
      </x:c>
      <x:c r="H293" s="12" t="str">
        <x:v>09_基準仕様</x:v>
      </x:c>
      <x:c r="I293" s="12" t="str">
        <x:v>参照元を編集</x:v>
      </x:c>
      <x:c r="J293" s="12" t="str">
        <x:v>技術係数</x:v>
      </x:c>
      <x:c r="K293" s="12" t="str">
        <x:v>対象</x:v>
      </x:c>
      <x:c r="L293" s="12" t="str">
        <x:v>簡易スケーリング</x:v>
      </x:c>
    </x:row>
    <x:row r="294">
      <x:c r="A294" s="12" t="n">
        <x:v>288</x:v>
      </x:c>
      <x:c r="B294" s="12" t="str">
        <x:v>ケーブル</x:v>
      </x:c>
      <x:c r="C294" s="12" t="str">
        <x:v>dvdt対策重量ケーブル長指数</x:v>
      </x:c>
      <x:c r="D294" s="12" t="str">
        <x:v>a_cable_dvdt</x:v>
      </x:c>
      <x:c r="E294" s="12" t="n">
        <x:v>0.5</x:v>
      </x:c>
      <x:c r="F294" s="12" t="str">
        <x:v>-</x:v>
      </x:c>
      <x:c r="G294" s="12" t="str">
        <x:v>基準仕様（シナリオ間固定）</x:v>
      </x:c>
      <x:c r="H294" s="12" t="str">
        <x:v>09_基準仕様</x:v>
      </x:c>
      <x:c r="I294" s="12" t="str">
        <x:v>参照元を編集</x:v>
      </x:c>
      <x:c r="J294" s="12" t="str">
        <x:v>技術係数</x:v>
      </x:c>
      <x:c r="K294" s="12" t="str">
        <x:v>対象</x:v>
      </x:c>
      <x:c r="L294" s="12" t="str">
        <x:v>簡易スケーリング</x:v>
      </x:c>
    </x:row>
    <x:row r="295">
      <x:c r="A295" s="12" t="n">
        <x:v>289</x:v>
      </x:c>
      <x:c r="B295" s="12" t="str">
        <x:v>制御</x:v>
      </x:c>
      <x:c r="C295" s="12" t="str">
        <x:v>リップル電圧係数</x:v>
      </x:c>
      <x:c r="D295" s="12" t="str">
        <x:v>k_ripple_voltage</x:v>
      </x:c>
      <x:c r="E295" s="12" t="n">
        <x:v>0.125</x:v>
      </x:c>
      <x:c r="F295" s="12" t="str">
        <x:v>-</x:v>
      </x:c>
      <x:c r="G295" s="12" t="str">
        <x:v>基準仕様（シナリオ間固定）</x:v>
      </x:c>
      <x:c r="H295" s="12" t="str">
        <x:v>09_基準仕様</x:v>
      </x:c>
      <x:c r="I295" s="12" t="str">
        <x:v>参照元を編集</x:v>
      </x:c>
      <x:c r="J295" s="12" t="str">
        <x:v>技術係数</x:v>
      </x:c>
      <x:c r="K295" s="12" t="str">
        <x:v>対象</x:v>
      </x:c>
      <x:c r="L295" s="12" t="str">
        <x:v>PWM/変調の平均電圧ステップ簡易係数</x:v>
      </x:c>
    </x:row>
    <x:row r="296">
      <x:c r="A296" s="12" t="n">
        <x:v>290</x:v>
      </x:c>
      <x:c r="B296" s="12" t="str">
        <x:v>制御</x:v>
      </x:c>
      <x:c r="C296" s="12" t="str">
        <x:v>fsw/制御帯域倍率</x:v>
      </x:c>
      <x:c r="D296" s="12" t="str">
        <x:v>k_fsw_bw</x:v>
      </x:c>
      <x:c r="E296" s="12" t="n">
        <x:v>10</x:v>
      </x:c>
      <x:c r="F296" s="12" t="str">
        <x:v>-</x:v>
      </x:c>
      <x:c r="G296" s="12" t="str">
        <x:v>基準仕様（シナリオ間固定）</x:v>
      </x:c>
      <x:c r="H296" s="12" t="str">
        <x:v>09_基準仕様</x:v>
      </x:c>
      <x:c r="I296" s="12" t="str">
        <x:v>参照元を編集</x:v>
      </x:c>
      <x:c r="J296" s="12" t="str">
        <x:v>技術係数</x:v>
      </x:c>
      <x:c r="K296" s="12" t="str">
        <x:v>対象</x:v>
      </x:c>
      <x:c r="L296" s="12" t="str">
        <x:v>制御帯域に対する最低キャリア倍率</x:v>
      </x:c>
    </x:row>
    <x:row r="297">
      <x:c r="A297" s="12" t="n">
        <x:v>291</x:v>
      </x:c>
      <x:c r="B297" s="12" t="str">
        <x:v>ゲート駆動</x:v>
      </x:c>
      <x:c r="C297" s="12" t="str">
        <x:v>Miller clampによるSW時間低減率</x:v>
      </x:c>
      <x:c r="D297" s="12" t="str">
        <x:v>k_miller_sw_reduce</x:v>
      </x:c>
      <x:c r="E297" s="12" t="n">
        <x:v>0.1</x:v>
      </x:c>
      <x:c r="F297" s="12" t="str">
        <x:v>-</x:v>
      </x:c>
      <x:c r="G297" s="12" t="str">
        <x:v>基準仕様（シナリオ間固定）</x:v>
      </x:c>
      <x:c r="H297" s="12" t="str">
        <x:v>09_基準仕様</x:v>
      </x:c>
      <x:c r="I297" s="12" t="str">
        <x:v>参照元を編集</x:v>
      </x:c>
      <x:c r="J297" s="12" t="str">
        <x:v>技術係数</x:v>
      </x:c>
      <x:c r="K297" s="12" t="str">
        <x:v>対象</x:v>
      </x:c>
      <x:c r="L297" s="12" t="str">
        <x:v>誤点弧余裕を利用した高速化の簡易係数</x:v>
      </x:c>
    </x:row>
    <x:row r="298">
      <x:c r="A298" s="12" t="n">
        <x:v>292</x:v>
      </x:c>
      <x:c r="B298" s="12" t="str">
        <x:v>ゲート駆動</x:v>
      </x:c>
      <x:c r="C298" s="12" t="str">
        <x:v>Miller clamp追加重量</x:v>
      </x:c>
      <x:c r="D298" s="12" t="str">
        <x:v>m_miller_clamp</x:v>
      </x:c>
      <x:c r="E298" s="12" t="n">
        <x:v>0.02</x:v>
      </x:c>
      <x:c r="F298" s="12" t="str">
        <x:v>kg</x:v>
      </x:c>
      <x:c r="G298" s="12" t="str">
        <x:v>基準仕様（シナリオ間固定）</x:v>
      </x:c>
      <x:c r="H298" s="12" t="str">
        <x:v>09_基準仕様</x:v>
      </x:c>
      <x:c r="I298" s="12" t="str">
        <x:v>参照元を編集</x:v>
      </x:c>
      <x:c r="J298" s="12" t="str">
        <x:v>技術係数</x:v>
      </x:c>
      <x:c r="K298" s="12" t="str">
        <x:v>対象</x:v>
      </x:c>
      <x:c r="L298" s="12" t="str">
        <x:v>専用ドライバ/クランプ回路等価重量</x:v>
      </x:c>
    </x:row>
    <x:row r="299">
      <x:c r="A299" s="12" t="n">
        <x:v>293</x:v>
      </x:c>
      <x:c r="B299" s="12" t="str">
        <x:v>DCリンク/安全</x:v>
      </x:c>
      <x:c r="C299" s="12" t="str">
        <x:v>アクティブディスチャージ有効</x:v>
      </x:c>
      <x:c r="D299" s="12" t="str">
        <x:v>Enable_active_discharge</x:v>
      </x:c>
      <x:c r="E299" s="12" t="n">
        <x:v>0</x:v>
      </x:c>
      <x:c r="F299" s="12" t="str">
        <x:v>0/1</x:v>
      </x:c>
      <x:c r="G299" s="12" t="str">
        <x:v>シナリオ固有手入力</x:v>
      </x:c>
      <x:c r="H299" s="12" t="str">
        <x:v>10_シナリオ入力</x:v>
      </x:c>
      <x:c r="I299" s="12" t="str">
        <x:v>参照元を編集</x:v>
      </x:c>
      <x:c r="J299" s="12" t="str">
        <x:v>技術選択</x:v>
      </x:c>
      <x:c r="K299" s="12" t="str">
        <x:v>対象</x:v>
      </x:c>
      <x:c r="L299" s="12" t="str">
        <x:v>技術選択</x:v>
      </x:c>
    </x:row>
    <x:row r="300">
      <x:c r="A300" s="12" t="n">
        <x:v>294</x:v>
      </x:c>
      <x:c r="B300" s="12" t="str">
        <x:v>半導体熱</x:v>
      </x:c>
      <x:c r="C300" s="12" t="str">
        <x:v>高度冷却パッケージ有効</x:v>
      </x:c>
      <x:c r="D300" s="12" t="str">
        <x:v>Package_cooling_mode</x:v>
      </x:c>
      <x:c r="E300" s="12" t="n">
        <x:v>0</x:v>
      </x:c>
      <x:c r="F300" s="12" t="str">
        <x:v>0/1</x:v>
      </x:c>
      <x:c r="G300" s="12" t="str">
        <x:v>シナリオ固有手入力</x:v>
      </x:c>
      <x:c r="H300" s="12" t="str">
        <x:v>10_シナリオ入力</x:v>
      </x:c>
      <x:c r="I300" s="12" t="str">
        <x:v>参照元を編集</x:v>
      </x:c>
      <x:c r="J300" s="12" t="str">
        <x:v>技術選択</x:v>
      </x:c>
      <x:c r="K300" s="12" t="str">
        <x:v>対象</x:v>
      </x:c>
      <x:c r="L300" s="12" t="str">
        <x:v>技術選択</x:v>
      </x:c>
    </x:row>
    <x:row r="301">
      <x:c r="A301" s="12" t="n">
        <x:v>295</x:v>
      </x:c>
      <x:c r="B301" s="12" t="str">
        <x:v>ゲート駆動</x:v>
      </x:c>
      <x:c r="C301" s="12" t="str">
        <x:v>Miller clamp有効</x:v>
      </x:c>
      <x:c r="D301" s="12" t="str">
        <x:v>Enable_Miller_clamp</x:v>
      </x:c>
      <x:c r="E301" s="12" t="n">
        <x:v>0</x:v>
      </x:c>
      <x:c r="F301" s="12" t="str">
        <x:v>0/1</x:v>
      </x:c>
      <x:c r="G301" s="12" t="str">
        <x:v>シナリオ固有手入力</x:v>
      </x:c>
      <x:c r="H301" s="12" t="str">
        <x:v>10_シナリオ入力</x:v>
      </x:c>
      <x:c r="I301" s="12" t="str">
        <x:v>参照元を編集</x:v>
      </x:c>
      <x:c r="J301" s="12" t="str">
        <x:v>技術選択</x:v>
      </x:c>
      <x:c r="K301" s="12" t="str">
        <x:v>対象</x:v>
      </x:c>
      <x:c r="L301" s="12" t="str">
        <x:v>技術選択</x:v>
      </x:c>
    </x:row>
  </x:sheetData>
  <x:mergeCells>
    <x:mergeCell ref="A1:L2"/>
  </x:mergeCells>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30" hidden="0" customWidth="1"/>
    <x:col min="3" max="3" width="38" hidden="0" customWidth="1"/>
    <x:col min="4" max="4" width="38" hidden="0" customWidth="1"/>
    <x:col min="5" max="5" width="26" hidden="0" customWidth="1"/>
    <x:col min="6" max="6" width="12" hidden="0" customWidth="1"/>
    <x:col min="7" max="7" width="12" hidden="0" customWidth="1"/>
    <x:col min="8" max="8" width="18" hidden="0" customWidth="1"/>
    <x:col min="9" max="9" width="18" hidden="0" customWidth="1"/>
    <x:col min="10" max="10" width="18" hidden="0" customWidth="1"/>
  </x:cols>
  <x:sheetData>
    <x:row r="1">
      <x:c r="A1" s="223" t="str">
        <x:v>v1.2 第4バッチ：未反映トレードオフ X031–X036 実装結果</x:v>
      </x:c>
      <x:c r="B1" s="223"/>
      <x:c r="C1" s="223"/>
      <x:c r="D1" s="223"/>
      <x:c r="E1" s="223"/>
      <x:c r="F1" s="223"/>
      <x:c r="G1" s="223"/>
      <x:c r="H1" s="223"/>
      <x:c r="I1" s="223"/>
      <x:c r="J1" s="223"/>
    </x:row>
    <x:row r="2">
      <x:c r="A2" s="223"/>
      <x:c r="B2" s="223"/>
      <x:c r="C2" s="223"/>
      <x:c r="D2" s="223"/>
      <x:c r="E2" s="223"/>
      <x:c r="F2" s="223"/>
      <x:c r="G2" s="223"/>
      <x:c r="H2" s="223"/>
      <x:c r="I2" s="223"/>
      <x:c r="J2" s="223"/>
    </x:row>
    <x:row r="4">
      <x:c r="A4" s="219" t="str">
        <x:v>候補ID</x:v>
      </x:c>
      <x:c r="B4" s="219" t="str">
        <x:v>技術/要求</x:v>
      </x:c>
      <x:c r="C4" s="219" t="str">
        <x:v>便益経路</x:v>
      </x:c>
      <x:c r="D4" s="219" t="str">
        <x:v>ペナルティ経路</x:v>
      </x:c>
      <x:c r="E4" s="219" t="str">
        <x:v>代表変数</x:v>
      </x:c>
      <x:c r="F4" s="219" t="str">
        <x:v>状態</x:v>
      </x:c>
      <x:c r="G4" s="219" t="str">
        <x:v>代表Node</x:v>
      </x:c>
      <x:c r="H4" s="219" t="str">
        <x:v>増加側[kg]</x:v>
      </x:c>
      <x:c r="I4" s="219" t="str">
        <x:v>低減側[kg]</x:v>
      </x:c>
      <x:c r="J4" s="219" t="str">
        <x:v>ネット[kg]</x:v>
      </x:c>
    </x:row>
    <x:row r="5">
      <x:c r="A5" s="12" t="str">
        <x:v>X031</x:v>
      </x:c>
      <x:c r="B5" s="12" t="str">
        <x:v>アクティブディスチャージ</x:v>
      </x:c>
      <x:c r="C5" s="12" t="str">
        <x:v>待機損失↓・抵抗短時間定格化</x:v>
      </x:c>
      <x:c r="D5" s="12" t="str">
        <x:v>スイッチ/制御重量↑</x:v>
      </x:c>
      <x:c r="E5" s="12" t="str">
        <x:v>Enable_active_discharge</x:v>
      </x:c>
      <x:c r="F5" s="12" t="str">
        <x:v>反映済</x:v>
      </x:c>
      <x:c r="G5" s="12" t="str">
        <x:v>T520</x:v>
      </x:c>
      <x:c r="H5" s="48" t="n">
        <x:f>SUMIFS('02_ツリー'!$H$5:$H$560,'02_ツリー'!$E$5:$E$560,"Enable_active_discharge",'02_ツリー'!$K$5:$K$560,"&gt;0")</x:f>
        <x:v>0.05</x:v>
      </x:c>
      <x:c r="I5" s="48" t="n">
        <x:f>-SUMIFS('02_ツリー'!$H$5:$H$560,'02_ツリー'!$E$5:$E$560,"Enable_active_discharge",'02_ツリー'!$K$5:$K$560,"&lt;0")</x:f>
        <x:v>-0.16920116055945855</x:v>
      </x:c>
      <x:c r="J5" s="48" t="n">
        <x:f>H5+I5</x:f>
        <x:v>-0.11920116055945855</x:v>
      </x:c>
    </x:row>
    <x:row r="6">
      <x:c r="A6" s="12" t="str">
        <x:v>X032</x:v>
      </x:c>
      <x:c r="B6" s="12" t="str">
        <x:v>上面/両面等の高度冷却パッケージ</x:v>
      </x:c>
      <x:c r="C6" s="12" t="str">
        <x:v>Rth↓→冷却重量↓・Jchip↑</x:v>
      </x:c>
      <x:c r="D6" s="12" t="str">
        <x:v>パッケージ/クランプ重量↑</x:v>
      </x:c>
      <x:c r="E6" s="12" t="str">
        <x:v>Package_cooling_mode</x:v>
      </x:c>
      <x:c r="F6" s="12" t="str">
        <x:v>反映済</x:v>
      </x:c>
      <x:c r="G6" s="12" t="str">
        <x:v>T536</x:v>
      </x:c>
      <x:c r="H6" s="48" t="n">
        <x:f>SUMIFS('02_ツリー'!$H$5:$H$560,'02_ツリー'!$E$5:$E$560,"Package_cooling_mode",'02_ツリー'!$K$5:$K$560,"&gt;0")</x:f>
        <x:v>0.08012296563728863</x:v>
      </x:c>
      <x:c r="I6" s="48" t="n">
        <x:f>-SUMIFS('02_ツリー'!$H$5:$H$560,'02_ツリー'!$E$5:$E$560,"Package_cooling_mode",'02_ツリー'!$K$5:$K$560,"&lt;0")</x:f>
        <x:v>-0.059785986776775164</x:v>
      </x:c>
      <x:c r="J6" s="48" t="n">
        <x:f>H6+I6</x:f>
        <x:v>0.020336978860513465</x:v>
      </x:c>
    </x:row>
    <x:row r="7">
      <x:c r="A7" s="12" t="str">
        <x:v>X033</x:v>
      </x:c>
      <x:c r="B7" s="12" t="str">
        <x:v>TjによるRon増加</x:v>
      </x:c>
      <x:c r="C7" s="12" t="str">
        <x:v>Tj↓→Ron↓→Pcond↓</x:v>
      </x:c>
      <x:c r="D7" s="12" t="str">
        <x:v>Tj↓要求→冷却重量↑</x:v>
      </x:c>
      <x:c r="E7" s="12" t="str">
        <x:v>Tj_target</x:v>
      </x:c>
      <x:c r="F7" s="12" t="str">
        <x:v>反映済</x:v>
      </x:c>
      <x:c r="G7" s="12" t="str">
        <x:v>T457</x:v>
      </x:c>
      <x:c r="H7" s="48" t="n">
        <x:f>SUMIFS('02_ツリー'!$H$5:$H$560,'02_ツリー'!$E$5:$E$560,"Tj_target",'02_ツリー'!$K$5:$K$560,"&gt;0")</x:f>
        <x:v>0.0002780571152877606</x:v>
      </x:c>
      <x:c r="I7" s="48" t="n">
        <x:f>-SUMIFS('02_ツリー'!$H$5:$H$560,'02_ツリー'!$E$5:$E$560,"Tj_target",'02_ツリー'!$K$5:$K$560,"&lt;0")</x:f>
        <x:v>-0.351682275157501</x:v>
      </x:c>
      <x:c r="J7" s="48" t="n">
        <x:f>H7+I7</x:f>
        <x:v>-0.3514042180422132</x:v>
      </x:c>
    </x:row>
    <x:row r="8">
      <x:c r="A8" s="12" t="str">
        <x:v>X034</x:v>
      </x:c>
      <x:c r="B8" s="12" t="str">
        <x:v>ケーブル長</x:v>
      </x:c>
      <x:c r="C8" s="12" t="str">
        <x:v>短ケーブル→CM/dvdt対策軽量化</x:v>
      </x:c>
      <x:c r="D8" s="12" t="str">
        <x:v>長ケーブル→CM/dvdt対策重量↑</x:v>
      </x:c>
      <x:c r="E8" s="12" t="str">
        <x:v>L_cable</x:v>
      </x:c>
      <x:c r="F8" s="12" t="str">
        <x:v>反映済</x:v>
      </x:c>
      <x:c r="G8" s="12" t="str">
        <x:v>T540</x:v>
      </x:c>
      <x:c r="H8" s="48" t="n">
        <x:f>SUMIFS('02_ツリー'!$H$5:$H$560,'02_ツリー'!$E$5:$E$560,"L_cable",'02_ツリー'!$K$5:$K$560,"&gt;0")</x:f>
        <x:v>0.18000000000000002</x:v>
      </x:c>
      <x:c r="I8" s="48" t="n">
        <x:f>-SUMIFS('02_ツリー'!$H$5:$H$560,'02_ツリー'!$E$5:$E$560,"L_cable",'02_ツリー'!$K$5:$K$560,"&lt;0")</x:f>
        <x:v>0</x:v>
      </x:c>
      <x:c r="J8" s="48" t="n">
        <x:f>H8+I8</x:f>
        <x:v>0.18000000000000002</x:v>
      </x:c>
    </x:row>
    <x:row r="9">
      <x:c r="A9" s="12" t="str">
        <x:v>X035</x:v>
      </x:c>
      <x:c r="B9" s="12" t="str">
        <x:v>電流リップル/制御帯域</x:v>
      </x:c>
      <x:c r="C9" s="12" t="str">
        <x:v>要求緩和→fsw↓→Psw↓</x:v>
      </x:c>
      <x:c r="D9" s="12" t="str">
        <x:v>厳要求→fsw↑→Psw/EMI↑</x:v>
      </x:c>
      <x:c r="E9" s="12" t="str">
        <x:v>ripple_i_req</x:v>
      </x:c>
      <x:c r="F9" s="12" t="str">
        <x:v>反映済</x:v>
      </x:c>
      <x:c r="G9" s="12" t="str">
        <x:v>T546</x:v>
      </x:c>
      <x:c r="H9" s="48" t="n">
        <x:f>SUMIFS('02_ツリー'!$H$5:$H$560,'02_ツリー'!$E$5:$E$560,"ripple_i_req",'02_ツリー'!$K$5:$K$560,"&gt;0")</x:f>
        <x:v>0</x:v>
      </x:c>
      <x:c r="I9" s="48" t="n">
        <x:f>-SUMIFS('02_ツリー'!$H$5:$H$560,'02_ツリー'!$E$5:$E$560,"ripple_i_req",'02_ツリー'!$K$5:$K$560,"&lt;0")</x:f>
        <x:v>0</x:v>
      </x:c>
      <x:c r="J9" s="48" t="n">
        <x:f>H9+I9</x:f>
        <x:v>0</x:v>
      </x:c>
    </x:row>
    <x:row r="10">
      <x:c r="A10" s="12" t="str">
        <x:v>X036</x:v>
      </x:c>
      <x:c r="B10" s="12" t="str">
        <x:v>Miller clamp</x:v>
      </x:c>
      <x:c r="C10" s="12" t="str">
        <x:v>誤点弧抑制余裕→高速SW/Psw↓</x:v>
      </x:c>
      <x:c r="D10" s="12" t="str">
        <x:v>専用ドライバ/クランプ重量↑</x:v>
      </x:c>
      <x:c r="E10" s="12" t="str">
        <x:v>Enable_Miller_clamp</x:v>
      </x:c>
      <x:c r="F10" s="12" t="str">
        <x:v>反映済</x:v>
      </x:c>
      <x:c r="G10" s="12" t="str">
        <x:v>T555</x:v>
      </x:c>
      <x:c r="H10" s="48" t="n">
        <x:f>SUMIFS('02_ツリー'!$H$5:$H$560,'02_ツリー'!$E$5:$E$560,"Enable_Miller_clamp",'02_ツリー'!$K$5:$K$560,"&gt;0")</x:f>
        <x:v>0.02</x:v>
      </x:c>
      <x:c r="I10" s="48" t="n">
        <x:f>-SUMIFS('02_ツリー'!$H$5:$H$560,'02_ツリー'!$E$5:$E$560,"Enable_Miller_clamp",'02_ツリー'!$K$5:$K$560,"&lt;0")</x:f>
        <x:v>-0.006724822027023015</x:v>
      </x:c>
      <x:c r="J10" s="48" t="n">
        <x:f>H10+I10</x:f>
        <x:v>0.013275177972976986</x:v>
      </x:c>
    </x:row>
  </x:sheetData>
  <x:mergeCells>
    <x:mergeCell ref="A1:J2"/>
  </x:mergeCells>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5" hidden="0" customWidth="1"/>
    <x:col min="3" max="3" width="15" hidden="0" customWidth="1"/>
    <x:col min="4" max="4" width="16" hidden="0" customWidth="1"/>
    <x:col min="5" max="5" width="16" hidden="0" customWidth="1"/>
    <x:col min="6" max="6" width="16" hidden="0" customWidth="1"/>
    <x:col min="7" max="7" width="16" hidden="0" customWidth="1"/>
    <x:col min="8" max="8" width="17" hidden="0" customWidth="1"/>
    <x:col min="9" max="9" width="18" hidden="0" customWidth="1"/>
    <x:col min="10" max="10" width="13" hidden="0" customWidth="1"/>
    <x:col min="11" max="11" width="16" hidden="0" customWidth="1"/>
    <x:col min="12" max="12" width="10" hidden="0" customWidth="1"/>
    <x:col min="13" max="13" width="10" hidden="0" customWidth="1"/>
    <x:col min="15" max="15" width="24" hidden="0" customWidth="1"/>
    <x:col min="16" max="16" width="42" hidden="0" customWidth="1"/>
    <x:col min="17" max="17" width="15" hidden="0" customWidth="1"/>
    <x:col min="18" max="18" width="15" hidden="0" customWidth="1"/>
    <x:col min="19" max="19" width="15" hidden="0" customWidth="1"/>
    <x:col min="20" max="20" width="14" hidden="0" customWidth="1"/>
    <x:col min="21" max="21" width="16" hidden="0" customWidth="1"/>
    <x:col min="22" max="22" width="16" hidden="0" customWidth="1"/>
    <x:col min="23" max="23" width="16" hidden="0" customWidth="1"/>
    <x:col min="24" max="24" width="19" hidden="0" customWidth="1"/>
    <x:col min="25" max="25" width="12" hidden="0" customWidth="1"/>
  </x:cols>
  <x:sheetData>
    <x:row r="1">
      <x:c r="A1" s="233" t="str">
        <x:v>パワエレ・モータドライブ　感度解析ダッシュボード v1.3</x:v>
      </x:c>
      <x:c r="B1" s="233"/>
      <x:c r="C1" s="233"/>
      <x:c r="D1" s="233"/>
      <x:c r="E1" s="233"/>
      <x:c r="F1" s="233"/>
      <x:c r="G1" s="233"/>
      <x:c r="H1" s="233"/>
      <x:c r="I1" s="233"/>
      <x:c r="J1" s="233"/>
      <x:c r="K1" s="233"/>
      <x:c r="L1" s="233"/>
      <x:c r="M1" s="233"/>
      <x:c r="N1" s="233"/>
      <x:c r="O1" s="233"/>
      <x:c r="P1" s="233"/>
      <x:c r="Q1" s="233"/>
      <x:c r="R1" s="233"/>
      <x:c r="S1" s="233"/>
      <x:c r="T1" s="233"/>
      <x:c r="U1" s="233"/>
      <x:c r="V1" s="233"/>
      <x:c r="W1" s="233"/>
      <x:c r="X1" s="233"/>
      <x:c r="Y1" s="233"/>
    </x:row>
    <x:row r="2">
      <x:c r="A2" s="233"/>
      <x:c r="B2" s="233"/>
      <x:c r="C2" s="233"/>
      <x:c r="D2" s="233"/>
      <x:c r="E2" s="233"/>
      <x:c r="F2" s="233"/>
      <x:c r="G2" s="233"/>
      <x:c r="H2" s="233"/>
      <x:c r="I2" s="233"/>
      <x:c r="J2" s="233"/>
      <x:c r="K2" s="233"/>
      <x:c r="L2" s="233"/>
      <x:c r="M2" s="233"/>
      <x:c r="N2" s="233"/>
      <x:c r="O2" s="233"/>
      <x:c r="P2" s="233"/>
      <x:c r="Q2" s="233"/>
      <x:c r="R2" s="233"/>
      <x:c r="S2" s="233"/>
      <x:c r="T2" s="233"/>
      <x:c r="U2" s="233"/>
      <x:c r="V2" s="233"/>
      <x:c r="W2" s="233"/>
      <x:c r="X2" s="233"/>
      <x:c r="Y2" s="233"/>
    </x:row>
    <x:row r="3">
      <x:c r="A3" s="235" t="str">
        <x:v>ネット感度 = 正感度＋負感度（符号付き）。トレードオフ = 同一変数に正側と負側の両方が存在する状態。B/C/F/G列はツリーから生成時に自動集計した値、ネット・判定列は数式。Enable系はOFF/ON全体再計算差を別表で表示。</x:v>
      </x:c>
      <x:c r="B3" s="235"/>
      <x:c r="C3" s="235"/>
      <x:c r="D3" s="235"/>
      <x:c r="E3" s="235"/>
      <x:c r="F3" s="235"/>
      <x:c r="G3" s="235"/>
      <x:c r="H3" s="235"/>
      <x:c r="I3" s="235"/>
      <x:c r="J3" s="235"/>
      <x:c r="K3" s="235"/>
      <x:c r="L3" s="235"/>
      <x:c r="M3" s="235"/>
      <x:c r="N3" s="235"/>
      <x:c r="O3" s="235"/>
      <x:c r="P3" s="235"/>
      <x:c r="Q3" s="235"/>
      <x:c r="R3" s="235"/>
      <x:c r="S3" s="235"/>
      <x:c r="T3" s="235"/>
      <x:c r="U3" s="235"/>
      <x:c r="V3" s="235"/>
      <x:c r="W3" s="235"/>
      <x:c r="X3" s="235"/>
      <x:c r="Y3" s="235"/>
    </x:row>
    <x:row r="4">
      <x:c r="A4" s="235" t="str">
        <x:v>総重量
8.948 kg</x:v>
      </x:c>
      <x:c r="B4" s="235"/>
      <x:c r="C4" s="235"/>
      <x:c r="D4" s="235" t="str">
        <x:v>半導体総損失
1798.918 W</x:v>
      </x:c>
      <x:c r="E4" s="235"/>
      <x:c r="F4" s="235"/>
      <x:c r="G4" s="235"/>
      <x:c r="H4" s="235"/>
      <x:c r="I4" s="235"/>
      <x:c r="J4" s="235"/>
      <x:c r="K4" s="235"/>
      <x:c r="L4" s="235"/>
      <x:c r="M4" s="235"/>
      <x:c r="N4" s="235"/>
      <x:c r="O4" s="235"/>
      <x:c r="P4" s="235"/>
      <x:c r="Q4" s="235"/>
      <x:c r="R4" s="235"/>
      <x:c r="S4" s="235"/>
      <x:c r="T4" s="235"/>
      <x:c r="U4" s="235"/>
      <x:c r="V4" s="235"/>
      <x:c r="W4" s="235"/>
      <x:c r="X4" s="235"/>
      <x:c r="Y4" s="235"/>
    </x:row>
    <x:row r="10">
      <x:c r="A10" s="238" t="str">
        <x:v>変数</x:v>
      </x:c>
      <x:c r="B10" s="238" t="str">
        <x:v>正感度合計 S+</x:v>
      </x:c>
      <x:c r="C10" s="238" t="str">
        <x:v>負感度合計 S-</x:v>
      </x:c>
      <x:c r="D10" s="238" t="str">
        <x:v>ネット感度 S_net</x:v>
      </x:c>
      <x:c r="E10" s="238" t="str">
        <x:v>絶対感度合計 Σ|S|</x:v>
      </x:c>
      <x:c r="F10" s="238" t="str">
        <x:v>正等価重量 [kg]</x:v>
      </x:c>
      <x:c r="G10" s="238" t="str">
        <x:v>負等価重量 [kg]</x:v>
      </x:c>
      <x:c r="H10" s="238" t="str">
        <x:v>ネット等価重量 [kg]</x:v>
      </x:c>
      <x:c r="I10" s="238" t="str">
        <x:v>最終変数判定</x:v>
      </x:c>
      <x:c r="J10" s="238" t="str">
        <x:v>符号構成</x:v>
      </x:c>
      <x:c r="K10" s="238" t="str">
        <x:v>トレードオフ有無</x:v>
      </x:c>
      <x:c r="L10" s="238" t="str">
        <x:v>ノード数</x:v>
      </x:c>
      <x:c r="M10" s="238" t="str">
        <x:v>Enable系</x:v>
      </x:c>
      <x:c r="N10" s="12"/>
      <x:c r="O10" s="241" t="str">
        <x:v>Enable変数</x:v>
      </x:c>
      <x:c r="P10" s="241" t="str">
        <x:v>現在値</x:v>
      </x:c>
      <x:c r="Q10" s="241" t="str">
        <x:v>M_inv OFF [kg]</x:v>
      </x:c>
      <x:c r="R10" s="241" t="str">
        <x:v>M_inv ON [kg]</x:v>
      </x:c>
      <x:c r="S10" s="241" t="str">
        <x:v>厳密ΔM [kg]</x:v>
      </x:c>
      <x:c r="T10" s="241" t="str">
        <x:v>効果</x:v>
      </x:c>
      <x:c r="U10" s="241" t="str">
        <x:v>ツリー正等価 [kg]</x:v>
      </x:c>
      <x:c r="V10" s="241" t="str">
        <x:v>ツリー負等価 [kg]</x:v>
      </x:c>
      <x:c r="W10" s="241" t="str">
        <x:v>ツリーネット [kg]</x:v>
      </x:c>
      <x:c r="X10" s="241" t="str">
        <x:v>厳密ΔM－ツリーネット [kg]</x:v>
      </x:c>
      <x:c r="Y10" s="241" t="str">
        <x:v>一致性</x:v>
      </x:c>
    </x:row>
    <x:row r="11">
      <x:c r="A11" s="12" t="str">
        <x:f>IFERROR(INDEX('02_ツリー'!$E$5:$E$560,MATCH(ROWS($A$11:A11),'02_ツリー'!$R$5:$R$560,0)),"")</x:f>
        <x:v>M_inv</x:v>
      </x:c>
      <x:c r="B11" s="48" t="n">
        <x:f>IF($A11="","",SUMIFS('02_ツリー'!$K$5:$K$560,'02_ツリー'!$E$5:$E$560,$A11,'02_ツリー'!$K$5:$K$560,"&gt;0"))</x:f>
        <x:v>1</x:v>
      </x:c>
      <x:c r="C11" s="48" t="n">
        <x:f>IF($A11="","",SUMIFS('02_ツリー'!$K$5:$K$560,'02_ツリー'!$E$5:$E$560,$A11,'02_ツリー'!$K$5:$K$560,"&lt;0"))</x:f>
        <x:v>0</x:v>
      </x:c>
      <x:c r="D11" s="48" t="n">
        <x:f>IF($A11="","",B11+C11)</x:f>
        <x:v>1</x:v>
      </x:c>
      <x:c r="E11" s="48" t="n">
        <x:f>IF($A11="","",B11-C11)</x:f>
        <x:v>1</x:v>
      </x:c>
      <x:c r="F11" s="48" t="n">
        <x:f>IF($A11="","",SUMIFS('02_ツリー'!$H$5:$H$560,'02_ツリー'!$E$5:$E$560,$A11,'02_ツリー'!$K$5:$K$560,"&gt;0"))</x:f>
        <x:v>8.94783901471096</x:v>
      </x:c>
      <x:c r="G11" s="48" t="n">
        <x:f>IF($A11="","",-SUMIFS('02_ツリー'!$H$5:$H$560,'02_ツリー'!$E$5:$E$560,$A11,'02_ツリー'!$K$5:$K$560,"&lt;0"))</x:f>
        <x:v>0</x:v>
      </x:c>
      <x:c r="H11" s="48" t="n">
        <x:f>IF($A11="","",F11+G11)</x:f>
        <x:v>8.94783901471096</x:v>
      </x:c>
      <x:c r="I11" s="244" t="n">
        <x:f>IF($A11="","",--(COUNTIFS('02_ツリー'!$E$5:$E$560,$A11,'02_ツリー'!$O$5:$O$560,0)=0))</x:f>
        <x:v>0</x:v>
      </x:c>
      <x:c r="J11" s="12" t="str">
        <x:f>IF($A11="","",IF(AND(B11&gt;0,C11&lt;0),"正負あり",IF(B11&gt;0,"正のみ",IF(C11&lt;0,"負のみ","ゼロ"))))</x:f>
        <x:v>正のみ</x:v>
      </x:c>
      <x:c r="K11" s="244" t="n">
        <x:f>IF($A11="","",--AND(B11&gt;0,C11&lt;0))</x:f>
        <x:v>0</x:v>
      </x:c>
      <x:c r="L11" s="244" t="n">
        <x:f>IF($A11="","",COUNTIF('02_ツリー'!$E$5:$E$560,$A11))</x:f>
        <x:v>1</x:v>
      </x:c>
      <x:c r="M11" s="244" t="n">
        <x:f>IF($A11="","",--(LEFT(A11,7)="Enable_"))</x:f>
        <x:v>0</x:v>
      </x:c>
      <x:c r="N11" s="12"/>
      <x:c r="O11" s="12" t="str">
        <x:v>Enable_Al_bus</x:v>
      </x:c>
      <x:c r="P11" s="12" t="n">
        <x:v>0</x:v>
      </x:c>
      <x:c r="Q11" s="48" t="n">
        <x:v>8.94783901471096</x:v>
      </x:c>
      <x:c r="R11" s="48" t="n">
        <x:v>8.948149266094017</x:v>
      </x:c>
      <x:c r="S11" s="48" t="n">
        <x:f>R11-Q11</x:f>
        <x:v>0.0003102513830572917</x:v>
      </x:c>
      <x:c r="T11" s="12" t="str">
        <x:f>IF(S11&gt;0,"ONで重量増",IF(S11&lt;0,"ONで重量減","中立"))</x:f>
        <x:v>ONで重量増</x:v>
      </x:c>
      <x:c r="U11" s="48" t="n">
        <x:v>0.00035385069869137684</x:v>
      </x:c>
      <x:c r="V11" s="48" t="n">
        <x:v>-0.0007734660948321348</x:v>
      </x:c>
      <x:c r="W11" s="48" t="n">
        <x:f>U11+V11</x:f>
        <x:v>-0.0004196153961407579</x:v>
      </x:c>
      <x:c r="X11" s="48" t="n">
        <x:f>S11-W11</x:f>
        <x:v>0.0007298667791980496</x:v>
      </x:c>
      <x:c r="Y11" s="12" t="str">
        <x:f>IF(ABS(X11)&lt;1E-6,"一致",IF(ABS(X11)&lt;0.001,"概ね一致","差あり"))</x:f>
        <x:v>概ね一致</x:v>
      </x:c>
    </x:row>
    <x:row r="12">
      <x:c r="A12" s="12" t="str">
        <x:f>IFERROR(INDEX('02_ツリー'!$E$5:$E$560,MATCH(ROWS($A$11:A12),'02_ツリー'!$R$5:$R$560,0)),"")</x:f>
        <x:v>M_semi</x:v>
      </x:c>
      <x:c r="B12" s="48" t="n">
        <x:f>IF($A12="","",SUMIFS('02_ツリー'!$K$5:$K$560,'02_ツリー'!$E$5:$E$560,$A12,'02_ツリー'!$K$5:$K$560,"&gt;0"))</x:f>
        <x:v>0.15831261252983286</x:v>
      </x:c>
      <x:c r="C12" s="48" t="n">
        <x:f>IF($A12="","",SUMIFS('02_ツリー'!$K$5:$K$560,'02_ツリー'!$E$5:$E$560,$A12,'02_ツリー'!$K$5:$K$560,"&lt;0"))</x:f>
        <x:v>0</x:v>
      </x:c>
      <x:c r="D12" s="48" t="n">
        <x:f>IF($A12="","",B12+C12)</x:f>
        <x:v>0.15831261252983286</x:v>
      </x:c>
      <x:c r="E12" s="48" t="n">
        <x:f>IF($A12="","",B12-C12)</x:f>
        <x:v>0.15831261252983286</x:v>
      </x:c>
      <x:c r="F12" s="48" t="n">
        <x:f>IF($A12="","",SUMIFS('02_ツリー'!$H$5:$H$560,'02_ツリー'!$E$5:$E$560,$A12,'02_ツリー'!$K$5:$K$560,"&gt;0"))</x:f>
        <x:v>1.4165557709152576</x:v>
      </x:c>
      <x:c r="G12" s="48" t="n">
        <x:f>IF($A12="","",-SUMIFS('02_ツリー'!$H$5:$H$560,'02_ツリー'!$E$5:$E$560,$A12,'02_ツリー'!$K$5:$K$560,"&lt;0"))</x:f>
        <x:v>0</x:v>
      </x:c>
      <x:c r="H12" s="48" t="n">
        <x:f>IF($A12="","",F12+G12)</x:f>
        <x:v>1.4165557709152576</x:v>
      </x:c>
      <x:c r="I12" s="244" t="n">
        <x:f>IF($A12="","",--(COUNTIFS('02_ツリー'!$E$5:$E$560,$A12,'02_ツリー'!$O$5:$O$560,0)=0))</x:f>
        <x:v>0</x:v>
      </x:c>
      <x:c r="J12" s="12" t="str">
        <x:f>IF($A12="","",IF(AND(B12&gt;0,C12&lt;0),"正負あり",IF(B12&gt;0,"正のみ",IF(C12&lt;0,"負のみ","ゼロ"))))</x:f>
        <x:v>正のみ</x:v>
      </x:c>
      <x:c r="K12" s="244" t="n">
        <x:f>IF($A12="","",--AND(B12&gt;0,C12&lt;0))</x:f>
        <x:v>0</x:v>
      </x:c>
      <x:c r="L12" s="244" t="n">
        <x:f>IF($A12="","",COUNTIF('02_ツリー'!$E$5:$E$560,$A12))</x:f>
        <x:v>1</x:v>
      </x:c>
      <x:c r="M12" s="244" t="n">
        <x:f>IF($A12="","",--(LEFT(A12,7)="Enable_"))</x:f>
        <x:v>0</x:v>
      </x:c>
      <x:c r="N12" s="12"/>
      <x:c r="O12" s="12" t="str">
        <x:v>Enable_CM_PWM</x:v>
      </x:c>
      <x:c r="P12" s="12" t="n">
        <x:v>0</x:v>
      </x:c>
      <x:c r="Q12" s="48" t="n">
        <x:v>8.94783901471096</x:v>
      </x:c>
      <x:c r="R12" s="48" t="n">
        <x:v>8.844613916150582</x:v>
      </x:c>
      <x:c r="S12" s="48" t="n">
        <x:f>R12-Q12</x:f>
        <x:v>-0.10322509856037776</x:v>
      </x:c>
      <x:c r="T12" s="12" t="str">
        <x:f>IF(S12&gt;0,"ONで重量増",IF(S12&lt;0,"ONで重量減","中立"))</x:f>
        <x:v>ONで重量減</x:v>
      </x:c>
      <x:c r="U12" s="48" t="n">
        <x:v>0.010379857621618417</x:v>
      </x:c>
      <x:c r="V12" s="48" t="n">
        <x:v>-0.12</x:v>
      </x:c>
      <x:c r="W12" s="48" t="n">
        <x:f>U12+V12</x:f>
        <x:v>-0.10962014237838158</x:v>
      </x:c>
      <x:c r="X12" s="48" t="n">
        <x:f>S12-W12</x:f>
        <x:v>0.0063950438180038205</x:v>
      </x:c>
      <x:c r="Y12" s="12" t="str">
        <x:f>IF(ABS(X12)&lt;1E-6,"一致",IF(ABS(X12)&lt;0.001,"概ね一致","差あり"))</x:f>
        <x:v>差あり</x:v>
      </x:c>
    </x:row>
    <x:row r="13">
      <x:c r="A13" s="12" t="str">
        <x:f>IFERROR(INDEX('02_ツリー'!$E$5:$E$560,MATCH(ROWS($A$11:A13),'02_ツリー'!$R$5:$R$560,0)),"")</x:f>
        <x:v>N_mod</x:v>
      </x:c>
      <x:c r="B13" s="48" t="n">
        <x:f>IF($A13="","",SUMIFS('02_ツリー'!$K$5:$K$560,'02_ツリー'!$E$5:$E$560,$A13,'02_ツリー'!$K$5:$K$560,"&gt;0"))</x:f>
        <x:v>0.15831261252983286</x:v>
      </x:c>
      <x:c r="C13" s="48" t="n">
        <x:f>IF($A13="","",SUMIFS('02_ツリー'!$K$5:$K$560,'02_ツリー'!$E$5:$E$560,$A13,'02_ツリー'!$K$5:$K$560,"&lt;0"))</x:f>
        <x:v>0</x:v>
      </x:c>
      <x:c r="D13" s="48" t="n">
        <x:f>IF($A13="","",B13+C13)</x:f>
        <x:v>0.15831261252983286</x:v>
      </x:c>
      <x:c r="E13" s="48" t="n">
        <x:f>IF($A13="","",B13-C13)</x:f>
        <x:v>0.15831261252983286</x:v>
      </x:c>
      <x:c r="F13" s="48" t="n">
        <x:f>IF($A13="","",SUMIFS('02_ツリー'!$H$5:$H$560,'02_ツリー'!$E$5:$E$560,$A13,'02_ツリー'!$K$5:$K$560,"&gt;0"))</x:f>
        <x:v>1.4165557709152576</x:v>
      </x:c>
      <x:c r="G13" s="48" t="n">
        <x:f>IF($A13="","",-SUMIFS('02_ツリー'!$H$5:$H$560,'02_ツリー'!$E$5:$E$560,$A13,'02_ツリー'!$K$5:$K$560,"&lt;0"))</x:f>
        <x:v>0</x:v>
      </x:c>
      <x:c r="H13" s="48" t="n">
        <x:f>IF($A13="","",F13+G13)</x:f>
        <x:v>1.4165557709152576</x:v>
      </x:c>
      <x:c r="I13" s="244" t="n">
        <x:f>IF($A13="","",--(COUNTIFS('02_ツリー'!$E$5:$E$560,$A13,'02_ツリー'!$O$5:$O$560,0)=0))</x:f>
        <x:v>1</x:v>
      </x:c>
      <x:c r="J13" s="12" t="str">
        <x:f>IF($A13="","",IF(AND(B13&gt;0,C13&lt;0),"正負あり",IF(B13&gt;0,"正のみ",IF(C13&lt;0,"負のみ","ゼロ"))))</x:f>
        <x:v>正のみ</x:v>
      </x:c>
      <x:c r="K13" s="244" t="n">
        <x:f>IF($A13="","",--AND(B13&gt;0,C13&lt;0))</x:f>
        <x:v>0</x:v>
      </x:c>
      <x:c r="L13" s="244" t="n">
        <x:f>IF($A13="","",COUNTIF('02_ツリー'!$E$5:$E$560,$A13))</x:f>
        <x:v>2</x:v>
      </x:c>
      <x:c r="M13" s="244" t="n">
        <x:f>IF($A13="","",--(LEFT(A13,7)="Enable_"))</x:f>
        <x:v>0</x:v>
      </x:c>
      <x:c r="N13" s="12"/>
      <x:c r="O13" s="12" t="str">
        <x:v>Enable_CM_filter</x:v>
      </x:c>
      <x:c r="P13" s="12" t="n">
        <x:v>0</x:v>
      </x:c>
      <x:c r="Q13" s="48" t="n">
        <x:v>8.94783901471096</x:v>
      </x:c>
      <x:c r="R13" s="48" t="n">
        <x:v>8.95283901471096</x:v>
      </x:c>
      <x:c r="S13" s="48" t="n">
        <x:f>R13-Q13</x:f>
        <x:v>0.005000000000000782</x:v>
      </x:c>
      <x:c r="T13" s="12" t="str">
        <x:f>IF(S13&gt;0,"ONで重量増",IF(S13&lt;0,"ONで重量減","中立"))</x:f>
        <x:v>ONで重量増</x:v>
      </x:c>
      <x:c r="U13" s="48" t="n">
        <x:v>0.135</x:v>
      </x:c>
      <x:c r="V13" s="48" t="n">
        <x:v>-0.13000000000000003</x:v>
      </x:c>
      <x:c r="W13" s="48" t="n">
        <x:f>U13+V13</x:f>
        <x:v>0.004999999999999977</x:v>
      </x:c>
      <x:c r="X13" s="48" t="n">
        <x:f>S13-W13</x:f>
        <x:v>8.049116928532385e-16</x:v>
      </x:c>
      <x:c r="Y13" s="12" t="str">
        <x:f>IF(ABS(X13)&lt;1E-6,"一致",IF(ABS(X13)&lt;0.001,"概ね一致","差あり"))</x:f>
        <x:v>一致</x:v>
      </x:c>
    </x:row>
    <x:row r="14">
      <x:c r="A14" s="12" t="str">
        <x:f>IFERROR(INDEX('02_ツリー'!$E$5:$E$560,MATCH(ROWS($A$11:A14),'02_ツリー'!$R$5:$R$560,0)),"")</x:f>
        <x:v>m_mod</x:v>
      </x:c>
      <x:c r="B14" s="48" t="n">
        <x:f>IF($A14="","",SUMIFS('02_ツリー'!$K$5:$K$560,'02_ツリー'!$E$5:$E$560,$A14,'02_ツリー'!$K$5:$K$560,"&gt;0"))</x:f>
        <x:v>0.087904550989585</x:v>
      </x:c>
      <x:c r="C14" s="48" t="n">
        <x:f>IF($A14="","",SUMIFS('02_ツリー'!$K$5:$K$560,'02_ツリー'!$E$5:$E$560,$A14,'02_ツリー'!$K$5:$K$560,"&lt;0"))</x:f>
        <x:v>0</x:v>
      </x:c>
      <x:c r="D14" s="48" t="n">
        <x:f>IF($A14="","",B14+C14)</x:f>
        <x:v>0.087904550989585</x:v>
      </x:c>
      <x:c r="E14" s="48" t="n">
        <x:f>IF($A14="","",B14-C14)</x:f>
        <x:v>0.087904550989585</x:v>
      </x:c>
      <x:c r="F14" s="48" t="n">
        <x:f>IF($A14="","",SUMIFS('02_ツリー'!$H$5:$H$560,'02_ツリー'!$E$5:$E$560,$A14,'02_ツリー'!$K$5:$K$560,"&gt;0"))</x:f>
        <x:v>0.7865557709152575</x:v>
      </x:c>
      <x:c r="G14" s="48" t="n">
        <x:f>IF($A14="","",-SUMIFS('02_ツリー'!$H$5:$H$560,'02_ツリー'!$E$5:$E$560,$A14,'02_ツリー'!$K$5:$K$560,"&lt;0"))</x:f>
        <x:v>0</x:v>
      </x:c>
      <x:c r="H14" s="48" t="n">
        <x:f>IF($A14="","",F14+G14)</x:f>
        <x:v>0.7865557709152575</x:v>
      </x:c>
      <x:c r="I14" s="244" t="n">
        <x:f>IF($A14="","",--(COUNTIFS('02_ツリー'!$E$5:$E$560,$A14,'02_ツリー'!$O$5:$O$560,0)=0))</x:f>
        <x:v>0</x:v>
      </x:c>
      <x:c r="J14" s="12" t="str">
        <x:f>IF($A14="","",IF(AND(B14&gt;0,C14&lt;0),"正負あり",IF(B14&gt;0,"正のみ",IF(C14&lt;0,"負のみ","ゼロ"))))</x:f>
        <x:v>正のみ</x:v>
      </x:c>
      <x:c r="K14" s="244" t="n">
        <x:f>IF($A14="","",--AND(B14&gt;0,C14&lt;0))</x:f>
        <x:v>0</x:v>
      </x:c>
      <x:c r="L14" s="244" t="n">
        <x:f>IF($A14="","",COUNTIF('02_ツリー'!$E$5:$E$560,$A14))</x:f>
        <x:v>1</x:v>
      </x:c>
      <x:c r="M14" s="244" t="n">
        <x:f>IF($A14="","",--(LEFT(A14,7)="Enable_"))</x:f>
        <x:v>0</x:v>
      </x:c>
      <x:c r="N14" s="12"/>
      <x:c r="O14" s="12" t="str">
        <x:v>Enable_DESAT</x:v>
      </x:c>
      <x:c r="P14" s="12" t="n">
        <x:v>1</x:v>
      </x:c>
      <x:c r="Q14" s="48" t="n">
        <x:v>8.92283901471096</x:v>
      </x:c>
      <x:c r="R14" s="48" t="n">
        <x:v>8.94783901471096</x:v>
      </x:c>
      <x:c r="S14" s="48" t="n">
        <x:f>R14-Q14</x:f>
        <x:v>0.025000000000000355</x:v>
      </x:c>
      <x:c r="T14" s="12" t="str">
        <x:f>IF(S14&gt;0,"ONで重量増",IF(S14&lt;0,"ONで重量減","中立"))</x:f>
        <x:v>ONで重量増</x:v>
      </x:c>
      <x:c r="U14" s="48" t="n">
        <x:v>0.025</x:v>
      </x:c>
      <x:c r="V14" s="48" t="n">
        <x:v>-0.00006558167322060084</x:v>
      </x:c>
      <x:c r="W14" s="48" t="n">
        <x:f>U14+V14</x:f>
        <x:v>0.024934418326779402</x:v>
      </x:c>
      <x:c r="X14" s="48" t="n">
        <x:f>S14-W14</x:f>
        <x:v>0.00006558167322095326</x:v>
      </x:c>
      <x:c r="Y14" s="12" t="str">
        <x:f>IF(ABS(X14)&lt;1E-6,"一致",IF(ABS(X14)&lt;0.001,"概ね一致","差あり"))</x:f>
        <x:v>概ね一致</x:v>
      </x:c>
    </x:row>
    <x:row r="15">
      <x:c r="A15" s="12" t="str">
        <x:f>IFERROR(INDEX('02_ツリー'!$E$5:$E$560,MATCH(ROWS($A$11:A15),'02_ツリー'!$R$5:$R$560,0)),"")</x:f>
        <x:v>m_chip_mod</x:v>
      </x:c>
      <x:c r="B15" s="48" t="n">
        <x:f>IF($A15="","",SUMIFS('02_ツリー'!$K$5:$K$560,'02_ツリー'!$E$5:$E$560,$A15,'02_ツリー'!$K$5:$K$560,"&gt;0"))</x:f>
        <x:v>0.00009161663658786684</x:v>
      </x:c>
      <x:c r="C15" s="48" t="n">
        <x:f>IF($A15="","",SUMIFS('02_ツリー'!$K$5:$K$560,'02_ツリー'!$E$5:$E$560,$A15,'02_ツリー'!$K$5:$K$560,"&lt;0"))</x:f>
        <x:v>0</x:v>
      </x:c>
      <x:c r="D15" s="48" t="n">
        <x:f>IF($A15="","",B15+C15)</x:f>
        <x:v>0.00009161663658786684</x:v>
      </x:c>
      <x:c r="E15" s="48" t="n">
        <x:f>IF($A15="","",B15-C15)</x:f>
        <x:v>0.00009161663658786684</x:v>
      </x:c>
      <x:c r="F15" s="48" t="n">
        <x:f>IF($A15="","",SUMIFS('02_ツリー'!$H$5:$H$560,'02_ツリー'!$E$5:$E$560,$A15,'02_ツリー'!$K$5:$K$560,"&gt;0"))</x:f>
        <x:v>0.0008197709152575105</x:v>
      </x:c>
      <x:c r="G15" s="48" t="n">
        <x:f>IF($A15="","",-SUMIFS('02_ツリー'!$H$5:$H$560,'02_ツリー'!$E$5:$E$560,$A15,'02_ツリー'!$K$5:$K$560,"&lt;0"))</x:f>
        <x:v>0</x:v>
      </x:c>
      <x:c r="H15" s="48" t="n">
        <x:f>IF($A15="","",F15+G15)</x:f>
        <x:v>0.0008197709152575105</x:v>
      </x:c>
      <x:c r="I15" s="244" t="n">
        <x:f>IF($A15="","",--(COUNTIFS('02_ツリー'!$E$5:$E$560,$A15,'02_ツリー'!$O$5:$O$560,0)=0))</x:f>
        <x:v>0</x:v>
      </x:c>
      <x:c r="J15" s="12" t="str">
        <x:f>IF($A15="","",IF(AND(B15&gt;0,C15&lt;0),"正負あり",IF(B15&gt;0,"正のみ",IF(C15&lt;0,"負のみ","ゼロ"))))</x:f>
        <x:v>正のみ</x:v>
      </x:c>
      <x:c r="K15" s="244" t="n">
        <x:f>IF($A15="","",--AND(B15&gt;0,C15&lt;0))</x:f>
        <x:v>0</x:v>
      </x:c>
      <x:c r="L15" s="244" t="n">
        <x:f>IF($A15="","",COUNTIF('02_ツリー'!$E$5:$E$560,$A15))</x:f>
        <x:v>1</x:v>
      </x:c>
      <x:c r="M15" s="244" t="n">
        <x:f>IF($A15="","",--(LEFT(A15,7)="Enable_"))</x:f>
        <x:v>0</x:v>
      </x:c>
      <x:c r="N15" s="12"/>
      <x:c r="O15" s="12" t="str">
        <x:v>Enable_DPWM</x:v>
      </x:c>
      <x:c r="P15" s="12" t="n">
        <x:v>0</x:v>
      </x:c>
      <x:c r="Q15" s="48" t="n">
        <x:v>8.94783901471096</x:v>
      </x:c>
      <x:c r="R15" s="48" t="n">
        <x:v>8.924267546272523</x:v>
      </x:c>
      <x:c r="S15" s="48" t="n">
        <x:f>R15-Q15</x:f>
        <x:v>-0.023571468438436938</x:v>
      </x:c>
      <x:c r="T15" s="12" t="str">
        <x:f>IF(S15&gt;0,"ONで重量増",IF(S15&lt;0,"ONで重量減","中立"))</x:f>
        <x:v>ONで重量減</x:v>
      </x:c>
      <x:c r="U15" s="48" t="n">
        <x:v>0.025</x:v>
      </x:c>
      <x:c r="V15" s="48" t="n">
        <x:v>-0.022191912689175947</x:v>
      </x:c>
      <x:c r="W15" s="48" t="n">
        <x:f>U15+V15</x:f>
        <x:v>0.0028080873108240548</x:v>
      </x:c>
      <x:c r="X15" s="48" t="n">
        <x:f>S15-W15</x:f>
        <x:v>-0.026379555749260993</x:v>
      </x:c>
      <x:c r="Y15" s="12" t="str">
        <x:f>IF(ABS(X15)&lt;1E-6,"一致",IF(ABS(X15)&lt;0.001,"概ね一致","差あり"))</x:f>
        <x:v>差あり</x:v>
      </x:c>
    </x:row>
    <x:row r="16">
      <x:c r="A16" s="12" t="str">
        <x:f>IFERROR(INDEX('02_ツリー'!$E$5:$E$560,MATCH(ROWS($A$11:A16),'02_ツリー'!$R$5:$R$560,0)),"")</x:f>
        <x:v>N_chip_mod</x:v>
      </x:c>
      <x:c r="B16" s="48" t="n">
        <x:f>IF($A16="","",SUMIFS('02_ツリー'!$K$5:$K$560,'02_ツリー'!$E$5:$E$560,$A16,'02_ツリー'!$K$5:$K$560,"&gt;0"))</x:f>
        <x:v>0.00009161663658786684</x:v>
      </x:c>
      <x:c r="C16" s="48" t="n">
        <x:f>IF($A16="","",SUMIFS('02_ツリー'!$K$5:$K$560,'02_ツリー'!$E$5:$E$560,$A16,'02_ツリー'!$K$5:$K$560,"&lt;0"))</x:f>
        <x:v>0</x:v>
      </x:c>
      <x:c r="D16" s="48" t="n">
        <x:f>IF($A16="","",B16+C16)</x:f>
        <x:v>0.00009161663658786684</x:v>
      </x:c>
      <x:c r="E16" s="48" t="n">
        <x:f>IF($A16="","",B16-C16)</x:f>
        <x:v>0.00009161663658786684</x:v>
      </x:c>
      <x:c r="F16" s="48" t="n">
        <x:f>IF($A16="","",SUMIFS('02_ツリー'!$H$5:$H$560,'02_ツリー'!$E$5:$E$560,$A16,'02_ツリー'!$K$5:$K$560,"&gt;0"))</x:f>
        <x:v>0.0008197709152575105</x:v>
      </x:c>
      <x:c r="G16" s="48" t="n">
        <x:f>IF($A16="","",-SUMIFS('02_ツリー'!$H$5:$H$560,'02_ツリー'!$E$5:$E$560,$A16,'02_ツリー'!$K$5:$K$560,"&lt;0"))</x:f>
        <x:v>0</x:v>
      </x:c>
      <x:c r="H16" s="48" t="n">
        <x:f>IF($A16="","",F16+G16)</x:f>
        <x:v>0.0008197709152575105</x:v>
      </x:c>
      <x:c r="I16" s="244" t="n">
        <x:f>IF($A16="","",--(COUNTIFS('02_ツリー'!$E$5:$E$560,$A16,'02_ツリー'!$O$5:$O$560,0)=0))</x:f>
        <x:v>0</x:v>
      </x:c>
      <x:c r="J16" s="12" t="str">
        <x:f>IF($A16="","",IF(AND(B16&gt;0,C16&lt;0),"正負あり",IF(B16&gt;0,"正のみ",IF(C16&lt;0,"負のみ","ゼロ"))))</x:f>
        <x:v>正のみ</x:v>
      </x:c>
      <x:c r="K16" s="244" t="n">
        <x:f>IF($A16="","",--AND(B16&gt;0,C16&lt;0))</x:f>
        <x:v>0</x:v>
      </x:c>
      <x:c r="L16" s="244" t="n">
        <x:f>IF($A16="","",COUNTIF('02_ツリー'!$E$5:$E$560,$A16))</x:f>
        <x:v>1</x:v>
      </x:c>
      <x:c r="M16" s="244" t="n">
        <x:f>IF($A16="","",--(LEFT(A16,7)="Enable_"))</x:f>
        <x:v>0</x:v>
      </x:c>
      <x:c r="N16" s="12"/>
      <x:c r="O16" s="12" t="str">
        <x:v>Enable_Miller_clamp</x:v>
      </x:c>
      <x:c r="P16" s="12" t="n">
        <x:v>0</x:v>
      </x:c>
      <x:c r="Q16" s="48" t="n">
        <x:v>8.94783901471096</x:v>
      </x:c>
      <x:c r="R16" s="48" t="n">
        <x:v>8.953120387911433</x:v>
      </x:c>
      <x:c r="S16" s="48" t="n">
        <x:f>R16-Q16</x:f>
        <x:v>0.005281373200473283</x:v>
      </x:c>
      <x:c r="T16" s="12" t="str">
        <x:f>IF(S16&gt;0,"ONで重量増",IF(S16&lt;0,"ONで重量減","中立"))</x:f>
        <x:v>ONで重量増</x:v>
      </x:c>
      <x:c r="U16" s="48" t="n">
        <x:v>0.02</x:v>
      </x:c>
      <x:c r="V16" s="48" t="n">
        <x:v>-0.006724822027023015</x:v>
      </x:c>
      <x:c r="W16" s="48" t="n">
        <x:f>U16+V16</x:f>
        <x:v>0.013275177972976986</x:v>
      </x:c>
      <x:c r="X16" s="48" t="n">
        <x:f>S16-W16</x:f>
        <x:v>-0.007993804772503704</x:v>
      </x:c>
      <x:c r="Y16" s="12" t="str">
        <x:f>IF(ABS(X16)&lt;1E-6,"一致",IF(ABS(X16)&lt;0.001,"概ね一致","差あり"))</x:f>
        <x:v>差あり</x:v>
      </x:c>
    </x:row>
    <x:row r="17">
      <x:c r="A17" s="12" t="str">
        <x:f>IFERROR(INDEX('02_ツリー'!$E$5:$E$560,MATCH(ROWS($A$11:A17),'02_ツリー'!$R$5:$R$560,0)),"")</x:f>
        <x:v>k_chip</x:v>
      </x:c>
      <x:c r="B17" s="48" t="n">
        <x:f>IF($A17="","",SUMIFS('02_ツリー'!$K$5:$K$560,'02_ツリー'!$E$5:$E$560,$A17,'02_ツリー'!$K$5:$K$560,"&gt;0"))</x:f>
        <x:v>0.00009161663658786684</x:v>
      </x:c>
      <x:c r="C17" s="48" t="n">
        <x:f>IF($A17="","",SUMIFS('02_ツリー'!$K$5:$K$560,'02_ツリー'!$E$5:$E$560,$A17,'02_ツリー'!$K$5:$K$560,"&lt;0"))</x:f>
        <x:v>0</x:v>
      </x:c>
      <x:c r="D17" s="48" t="n">
        <x:f>IF($A17="","",B17+C17)</x:f>
        <x:v>0.00009161663658786684</x:v>
      </x:c>
      <x:c r="E17" s="48" t="n">
        <x:f>IF($A17="","",B17-C17)</x:f>
        <x:v>0.00009161663658786684</x:v>
      </x:c>
      <x:c r="F17" s="48" t="n">
        <x:f>IF($A17="","",SUMIFS('02_ツリー'!$H$5:$H$560,'02_ツリー'!$E$5:$E$560,$A17,'02_ツリー'!$K$5:$K$560,"&gt;0"))</x:f>
        <x:v>0.0008197709152575105</x:v>
      </x:c>
      <x:c r="G17" s="48" t="n">
        <x:f>IF($A17="","",-SUMIFS('02_ツリー'!$H$5:$H$560,'02_ツリー'!$E$5:$E$560,$A17,'02_ツリー'!$K$5:$K$560,"&lt;0"))</x:f>
        <x:v>0</x:v>
      </x:c>
      <x:c r="H17" s="48" t="n">
        <x:f>IF($A17="","",F17+G17)</x:f>
        <x:v>0.0008197709152575105</x:v>
      </x:c>
      <x:c r="I17" s="244" t="n">
        <x:f>IF($A17="","",--(COUNTIFS('02_ツリー'!$E$5:$E$560,$A17,'02_ツリー'!$O$5:$O$560,0)=0))</x:f>
        <x:v>0</x:v>
      </x:c>
      <x:c r="J17" s="12" t="str">
        <x:f>IF($A17="","",IF(AND(B17&gt;0,C17&lt;0),"正負あり",IF(B17&gt;0,"正のみ",IF(C17&lt;0,"負のみ","ゼロ"))))</x:f>
        <x:v>正のみ</x:v>
      </x:c>
      <x:c r="K17" s="244" t="n">
        <x:f>IF($A17="","",--AND(B17&gt;0,C17&lt;0))</x:f>
        <x:v>0</x:v>
      </x:c>
      <x:c r="L17" s="244" t="n">
        <x:f>IF($A17="","",COUNTIF('02_ツリー'!$E$5:$E$560,$A17))</x:f>
        <x:v>1</x:v>
      </x:c>
      <x:c r="M17" s="244" t="n">
        <x:f>IF($A17="","",--(LEFT(A17,7)="Enable_"))</x:f>
        <x:v>0</x:v>
      </x:c>
      <x:c r="N17" s="12"/>
      <x:c r="O17" s="12" t="str">
        <x:v>Enable_SS</x:v>
      </x:c>
      <x:c r="P17" s="12" t="n">
        <x:v>0</x:v>
      </x:c>
      <x:c r="Q17" s="48" t="n">
        <x:v>8.94783901471096</x:v>
      </x:c>
      <x:c r="R17" s="48" t="n">
        <x:v>9.007453401565495</x:v>
      </x:c>
      <x:c r="S17" s="48" t="n">
        <x:f>R17-Q17</x:f>
        <x:v>0.059614386854535795</x:v>
      </x:c>
      <x:c r="T17" s="12" t="str">
        <x:f>IF(S17&gt;0,"ONで重量増",IF(S17&lt;0,"ONで重量減","中立"))</x:f>
        <x:v>ONで重量増</x:v>
      </x:c>
      <x:c r="U17" s="48" t="n">
        <x:v>0</x:v>
      </x:c>
      <x:c r="V17" s="48" t="n">
        <x:v>0</x:v>
      </x:c>
      <x:c r="W17" s="48" t="n">
        <x:f>U17+V17</x:f>
        <x:v>0</x:v>
      </x:c>
      <x:c r="X17" s="48" t="n">
        <x:f>S17-W17</x:f>
        <x:v>0.059614386854535795</x:v>
      </x:c>
      <x:c r="Y17" s="12" t="str">
        <x:f>IF(ABS(X17)&lt;1E-6,"一致",IF(ABS(X17)&lt;0.001,"概ね一致","差あり"))</x:f>
        <x:v>差あり</x:v>
      </x:c>
    </x:row>
    <x:row r="18">
      <x:c r="A18" s="12" t="str">
        <x:f>IFERROR(INDEX('02_ツリー'!$E$5:$E$560,MATCH(ROWS($A$11:A18),'02_ツリー'!$R$5:$R$560,0)),"")</x:f>
        <x:v>I_phase</x:v>
      </x:c>
      <x:c r="B18" s="48" t="n">
        <x:f>IF($A18="","",SUMIFS('02_ツリー'!$K$5:$K$560,'02_ツリー'!$E$5:$E$560,$A18,'02_ツリー'!$K$5:$K$560,"&gt;0"))</x:f>
        <x:v>0.164234492966853</x:v>
      </x:c>
      <x:c r="C18" s="48" t="n">
        <x:f>IF($A18="","",SUMIFS('02_ツリー'!$K$5:$K$560,'02_ツリー'!$E$5:$E$560,$A18,'02_ツリー'!$K$5:$K$560,"&lt;0"))</x:f>
        <x:v>-0.0001598479347061898</x:v>
      </x:c>
      <x:c r="D18" s="48" t="n">
        <x:f>IF($A18="","",B18+C18)</x:f>
        <x:v>0.1640746450321468</x:v>
      </x:c>
      <x:c r="E18" s="48" t="n">
        <x:f>IF($A18="","",B18-C18)</x:f>
        <x:v>0.1643943409015592</x:v>
      </x:c>
      <x:c r="F18" s="48" t="n">
        <x:f>IF($A18="","",SUMIFS('02_ツリー'!$H$5:$H$560,'02_ツリー'!$E$5:$E$560,$A18,'02_ツリー'!$K$5:$K$560,"&gt;0"))</x:f>
        <x:v>1.46954380373008</x:v>
      </x:c>
      <x:c r="G18" s="48" t="n">
        <x:f>IF($A18="","",-SUMIFS('02_ツリー'!$H$5:$H$560,'02_ツリー'!$E$5:$E$560,$A18,'02_ツリー'!$K$5:$K$560,"&lt;0"))</x:f>
        <x:v>-0.0014302935865850152</x:v>
      </x:c>
      <x:c r="H18" s="48" t="n">
        <x:f>IF($A18="","",F18+G18)</x:f>
        <x:v>1.468113510143495</x:v>
      </x:c>
      <x:c r="I18" s="244" t="n">
        <x:f>IF($A18="","",--(COUNTIFS('02_ツリー'!$E$5:$E$560,$A18,'02_ツリー'!$O$5:$O$560,0)=0))</x:f>
        <x:v>0</x:v>
      </x:c>
      <x:c r="J18" s="12" t="str">
        <x:f>IF($A18="","",IF(AND(B18&gt;0,C18&lt;0),"正負あり",IF(B18&gt;0,"正のみ",IF(C18&lt;0,"負のみ","ゼロ"))))</x:f>
        <x:v>正負あり</x:v>
      </x:c>
      <x:c r="K18" s="244" t="n">
        <x:f>IF($A18="","",--AND(B18&gt;0,C18&lt;0))</x:f>
        <x:v>1</x:v>
      </x:c>
      <x:c r="L18" s="244" t="n">
        <x:f>IF($A18="","",COUNTIF('02_ツリー'!$E$5:$E$560,$A18))</x:f>
        <x:v>13</x:v>
      </x:c>
      <x:c r="M18" s="244" t="n">
        <x:f>IF($A18="","",--(LEFT(A18,7)="Enable_"))</x:f>
        <x:v>0</x:v>
      </x:c>
      <x:c r="N18" s="12"/>
      <x:c r="O18" s="12" t="str">
        <x:v>Enable_active_clamp</x:v>
      </x:c>
      <x:c r="P18" s="12" t="n">
        <x:v>0</x:v>
      </x:c>
      <x:c r="Q18" s="48" t="n">
        <x:v>8.94783901471096</x:v>
      </x:c>
      <x:c r="R18" s="48" t="n">
        <x:v>8.984915313495701</x:v>
      </x:c>
      <x:c r="S18" s="48" t="n">
        <x:f>R18-Q18</x:f>
        <x:v>0.037076298784741724</x:v>
      </x:c>
      <x:c r="T18" s="12" t="str">
        <x:f>IF(S18&gt;0,"ONで重量増",IF(S18&lt;0,"ONで重量減","中立"))</x:f>
        <x:v>ONで重量増</x:v>
      </x:c>
      <x:c r="U18" s="48" t="n">
        <x:v>0.036417404734516975</x:v>
      </x:c>
      <x:c r="V18" s="48" t="n">
        <x:v>-0.000024917104267939876</x:v>
      </x:c>
      <x:c r="W18" s="48" t="n">
        <x:f>U18+V18</x:f>
        <x:v>0.036392487630249035</x:v>
      </x:c>
      <x:c r="X18" s="48" t="n">
        <x:f>S18-W18</x:f>
        <x:v>0.0006838111544926889</x:v>
      </x:c>
      <x:c r="Y18" s="12" t="str">
        <x:f>IF(ABS(X18)&lt;1E-6,"一致",IF(ABS(X18)&lt;0.001,"概ね一致","差あり"))</x:f>
        <x:v>概ね一致</x:v>
      </x:c>
    </x:row>
    <x:row r="19">
      <x:c r="A19" s="12" t="str">
        <x:f>IFERROR(INDEX('02_ツリー'!$E$5:$E$560,MATCH(ROWS($A$11:A19),'02_ツリー'!$R$5:$R$560,0)),"")</x:f>
        <x:v>V_ll</x:v>
      </x:c>
      <x:c r="B19" s="48" t="n">
        <x:f>IF($A19="","",SUMIFS('02_ツリー'!$K$5:$K$560,'02_ツリー'!$E$5:$E$560,$A19,'02_ツリー'!$K$5:$K$560,"&gt;0"))</x:f>
        <x:v>0.000041790471451151947</x:v>
      </x:c>
      <x:c r="C19" s="48" t="n">
        <x:f>IF($A19="","",SUMIFS('02_ツリー'!$K$5:$K$560,'02_ツリー'!$E$5:$E$560,$A19,'02_ツリー'!$K$5:$K$560,"&lt;0"))</x:f>
        <x:v>-0.000304941233812175</x:v>
      </x:c>
      <x:c r="D19" s="48" t="n">
        <x:f>IF($A19="","",B19+C19)</x:f>
        <x:v>-0.0002631507623610231</x:v>
      </x:c>
      <x:c r="E19" s="48" t="n">
        <x:f>IF($A19="","",B19-C19)</x:f>
        <x:v>0.00034673170526332693</x:v>
      </x:c>
      <x:c r="F19" s="48" t="n">
        <x:f>IF($A19="","",SUMIFS('02_ツリー'!$H$5:$H$560,'02_ツリー'!$E$5:$E$560,$A19,'02_ツリー'!$K$5:$K$560,"&gt;0"))</x:f>
        <x:v>0.0003739344108937819</x:v>
      </x:c>
      <x:c r="G19" s="48" t="n">
        <x:f>IF($A19="","",-SUMIFS('02_ツリー'!$H$5:$H$560,'02_ツリー'!$E$5:$E$560,$A19,'02_ツリー'!$K$5:$K$560,"&lt;0"))</x:f>
        <x:v>-0.002728565069098676</x:v>
      </x:c>
      <x:c r="H19" s="48" t="n">
        <x:f>IF($A19="","",F19+G19)</x:f>
        <x:v>-0.002354630658204894</x:v>
      </x:c>
      <x:c r="I19" s="244" t="n">
        <x:f>IF($A19="","",--(COUNTIFS('02_ツリー'!$E$5:$E$560,$A19,'02_ツリー'!$O$5:$O$560,0)=0))</x:f>
        <x:v>1</x:v>
      </x:c>
      <x:c r="J19" s="12" t="str">
        <x:f>IF($A19="","",IF(AND(B19&gt;0,C19&lt;0),"正負あり",IF(B19&gt;0,"正のみ",IF(C19&lt;0,"負のみ","ゼロ"))))</x:f>
        <x:v>正負あり</x:v>
      </x:c>
      <x:c r="K19" s="244" t="n">
        <x:f>IF($A19="","",--AND(B19&gt;0,C19&lt;0))</x:f>
        <x:v>1</x:v>
      </x:c>
      <x:c r="L19" s="244" t="n">
        <x:f>IF($A19="","",COUNTIF('02_ツリー'!$E$5:$E$560,$A19))</x:f>
        <x:v>8</x:v>
      </x:c>
      <x:c r="M19" s="244" t="n">
        <x:f>IF($A19="","",--(LEFT(A19,7)="Enable_"))</x:f>
        <x:v>0</x:v>
      </x:c>
      <x:c r="N19" s="12"/>
      <x:c r="O19" s="12" t="str">
        <x:v>Enable_active_discharge</x:v>
      </x:c>
      <x:c r="P19" s="12" t="n">
        <x:v>0</x:v>
      </x:c>
      <x:c r="Q19" s="48" t="n">
        <x:v>8.94783901471096</x:v>
      </x:c>
      <x:c r="R19" s="48" t="n">
        <x:v>8.828637854151502</x:v>
      </x:c>
      <x:c r="S19" s="48" t="n">
        <x:f>R19-Q19</x:f>
        <x:v>-0.11920116055945762</x:v>
      </x:c>
      <x:c r="T19" s="12" t="str">
        <x:f>IF(S19&gt;0,"ONで重量増",IF(S19&lt;0,"ONで重量減","中立"))</x:f>
        <x:v>ONで重量減</x:v>
      </x:c>
      <x:c r="U19" s="48" t="n">
        <x:v>0.05</x:v>
      </x:c>
      <x:c r="V19" s="48" t="n">
        <x:v>-0.16920116055945855</x:v>
      </x:c>
      <x:c r="W19" s="48" t="n">
        <x:f>U19+V19</x:f>
        <x:v>-0.11920116055945855</x:v>
      </x:c>
      <x:c r="X19" s="48" t="n">
        <x:f>S19-W19</x:f>
        <x:v>9.298117831235686e-16</x:v>
      </x:c>
      <x:c r="Y19" s="12" t="str">
        <x:f>IF(ABS(X19)&lt;1E-6,"一致",IF(ABS(X19)&lt;0.001,"概ね一致","差あり"))</x:f>
        <x:v>一致</x:v>
      </x:c>
    </x:row>
    <x:row r="20">
      <x:c r="A20" s="12" t="str">
        <x:f>IFERROR(INDEX('02_ツリー'!$E$5:$E$560,MATCH(ROWS($A$11:A20),'02_ツリー'!$R$5:$R$560,0)),"")</x:f>
        <x:v>PF</x:v>
      </x:c>
      <x:c r="B20" s="48" t="n">
        <x:f>IF($A20="","",SUMIFS('02_ツリー'!$K$5:$K$560,'02_ツリー'!$E$5:$E$560,$A20,'02_ツリー'!$K$5:$K$560,"&gt;0"))</x:f>
        <x:v>0.000041790471451151947</x:v>
      </x:c>
      <x:c r="C20" s="48" t="n">
        <x:f>IF($A20="","",SUMIFS('02_ツリー'!$K$5:$K$560,'02_ツリー'!$E$5:$E$560,$A20,'02_ツリー'!$K$5:$K$560,"&lt;0"))</x:f>
        <x:v>-0.000304941233812175</x:v>
      </x:c>
      <x:c r="D20" s="48" t="n">
        <x:f>IF($A20="","",B20+C20)</x:f>
        <x:v>-0.0002631507623610231</x:v>
      </x:c>
      <x:c r="E20" s="48" t="n">
        <x:f>IF($A20="","",B20-C20)</x:f>
        <x:v>0.00034673170526332693</x:v>
      </x:c>
      <x:c r="F20" s="48" t="n">
        <x:f>IF($A20="","",SUMIFS('02_ツリー'!$H$5:$H$560,'02_ツリー'!$E$5:$E$560,$A20,'02_ツリー'!$K$5:$K$560,"&gt;0"))</x:f>
        <x:v>0.0003739344108937819</x:v>
      </x:c>
      <x:c r="G20" s="48" t="n">
        <x:f>IF($A20="","",-SUMIFS('02_ツリー'!$H$5:$H$560,'02_ツリー'!$E$5:$E$560,$A20,'02_ツリー'!$K$5:$K$560,"&lt;0"))</x:f>
        <x:v>-0.002728565069098676</x:v>
      </x:c>
      <x:c r="H20" s="48" t="n">
        <x:f>IF($A20="","",F20+G20)</x:f>
        <x:v>-0.002354630658204894</x:v>
      </x:c>
      <x:c r="I20" s="244" t="n">
        <x:f>IF($A20="","",--(COUNTIFS('02_ツリー'!$E$5:$E$560,$A20,'02_ツリー'!$O$5:$O$560,0)=0))</x:f>
        <x:v>1</x:v>
      </x:c>
      <x:c r="J20" s="12" t="str">
        <x:f>IF($A20="","",IF(AND(B20&gt;0,C20&lt;0),"正負あり",IF(B20&gt;0,"正のみ",IF(C20&lt;0,"負のみ","ゼロ"))))</x:f>
        <x:v>正負あり</x:v>
      </x:c>
      <x:c r="K20" s="244" t="n">
        <x:f>IF($A20="","",--AND(B20&gt;0,C20&lt;0))</x:f>
        <x:v>1</x:v>
      </x:c>
      <x:c r="L20" s="244" t="n">
        <x:f>IF($A20="","",COUNTIF('02_ツリー'!$E$5:$E$560,$A20))</x:f>
        <x:v>8</x:v>
      </x:c>
      <x:c r="M20" s="244" t="n">
        <x:f>IF($A20="","",--(LEFT(A20,7)="Enable_"))</x:f>
        <x:v>0</x:v>
      </x:c>
      <x:c r="N20" s="12"/>
      <x:c r="O20" s="12" t="str">
        <x:v>Enable_adaptive_DT</x:v>
      </x:c>
      <x:c r="P20" s="12" t="n">
        <x:v>0</x:v>
      </x:c>
      <x:c r="Q20" s="48" t="n">
        <x:v>8.94783901471096</x:v>
      </x:c>
      <x:c r="R20" s="48" t="n">
        <x:v>8.962323870209314</x:v>
      </x:c>
      <x:c r="S20" s="48" t="n">
        <x:f>R20-Q20</x:f>
        <x:v>0.014484855498354321</x:v>
      </x:c>
      <x:c r="T20" s="12" t="str">
        <x:f>IF(S20&gt;0,"ONで重量増",IF(S20&lt;0,"ONで重量減","中立"))</x:f>
        <x:v>ONで重量増</x:v>
      </x:c>
      <x:c r="U20" s="48" t="n">
        <x:v>0.015</x:v>
      </x:c>
      <x:c r="V20" s="48" t="n">
        <x:v>-0.00023536537334288142</x:v>
      </x:c>
      <x:c r="W20" s="48" t="n">
        <x:f>U20+V20</x:f>
        <x:v>0.014764634626657117</x:v>
      </x:c>
      <x:c r="X20" s="48" t="n">
        <x:f>S20-W20</x:f>
        <x:v>-0.0002797791283027963</x:v>
      </x:c>
      <x:c r="Y20" s="12" t="str">
        <x:f>IF(ABS(X20)&lt;1E-6,"一致",IF(ABS(X20)&lt;0.001,"概ね一致","差あり"))</x:f>
        <x:v>概ね一致</x:v>
      </x:c>
    </x:row>
    <x:row r="21">
      <x:c r="A21" s="12" t="str">
        <x:f>IFERROR(INDEX('02_ツリー'!$E$5:$E$560,MATCH(ROWS($A$11:A21),'02_ツリー'!$R$5:$R$560,0)),"")</x:f>
        <x:v>eta</x:v>
      </x:c>
      <x:c r="B21" s="48" t="n">
        <x:f>IF($A21="","",SUMIFS('02_ツリー'!$K$5:$K$560,'02_ツリー'!$E$5:$E$560,$A21,'02_ツリー'!$K$5:$K$560,"&gt;0"))</x:f>
        <x:v>0.000041790471451151947</x:v>
      </x:c>
      <x:c r="C21" s="48" t="n">
        <x:f>IF($A21="","",SUMIFS('02_ツリー'!$K$5:$K$560,'02_ツリー'!$E$5:$E$560,$A21,'02_ツリー'!$K$5:$K$560,"&lt;0"))</x:f>
        <x:v>-0.00042860598936826676</x:v>
      </x:c>
      <x:c r="D21" s="48" t="n">
        <x:f>IF($A21="","",B21+C21)</x:f>
        <x:v>-0.00038681551791711484</x:v>
      </x:c>
      <x:c r="E21" s="48" t="n">
        <x:f>IF($A21="","",B21-C21)</x:f>
        <x:v>0.0004703964608194187</x:v>
      </x:c>
      <x:c r="F21" s="48" t="n">
        <x:f>IF($A21="","",SUMIFS('02_ツリー'!$H$5:$H$560,'02_ツリー'!$E$5:$E$560,$A21,'02_ツリー'!$K$5:$K$560,"&gt;0"))</x:f>
        <x:v>0.0003739344108937819</x:v>
      </x:c>
      <x:c r="G21" s="48" t="n">
        <x:f>IF($A21="","",-SUMIFS('02_ツリー'!$H$5:$H$560,'02_ツリー'!$E$5:$E$560,$A21,'02_ツリー'!$K$5:$K$560,"&lt;0"))</x:f>
        <x:v>-0.0038350973936081677</x:v>
      </x:c>
      <x:c r="H21" s="48" t="n">
        <x:f>IF($A21="","",F21+G21)</x:f>
        <x:v>-0.003461162982714386</x:v>
      </x:c>
      <x:c r="I21" s="244" t="n">
        <x:f>IF($A21="","",--(COUNTIFS('02_ツリー'!$E$5:$E$560,$A21,'02_ツリー'!$O$5:$O$560,0)=0))</x:f>
        <x:v>1</x:v>
      </x:c>
      <x:c r="J21" s="12" t="str">
        <x:f>IF($A21="","",IF(AND(B21&gt;0,C21&lt;0),"正負あり",IF(B21&gt;0,"正のみ",IF(C21&lt;0,"負のみ","ゼロ"))))</x:f>
        <x:v>正負あり</x:v>
      </x:c>
      <x:c r="K21" s="244" t="n">
        <x:f>IF($A21="","",--AND(B21&gt;0,C21&lt;0))</x:f>
        <x:v>1</x:v>
      </x:c>
      <x:c r="L21" s="244" t="n">
        <x:f>IF($A21="","",COUNTIF('02_ツリー'!$E$5:$E$560,$A21))</x:f>
        <x:v>9</x:v>
      </x:c>
      <x:c r="M21" s="244" t="n">
        <x:f>IF($A21="","",--(LEFT(A21,7)="Enable_"))</x:f>
        <x:v>0</x:v>
      </x:c>
      <x:c r="N21" s="12"/>
      <x:c r="O21" s="12" t="str">
        <x:v>Enable_dvdt_filter</x:v>
      </x:c>
      <x:c r="P21" s="12" t="n">
        <x:v>0</x:v>
      </x:c>
      <x:c r="Q21" s="48" t="n">
        <x:v>8.94783901471096</x:v>
      </x:c>
      <x:c r="R21" s="48" t="n">
        <x:v>9.077805248877716</x:v>
      </x:c>
      <x:c r="S21" s="48" t="n">
        <x:f>R21-Q21</x:f>
        <x:v>0.12996623416675668</x:v>
      </x:c>
      <x:c r="T21" s="12" t="str">
        <x:f>IF(S21&gt;0,"ONで重量増",IF(S21&lt;0,"ONで重量減","中立"))</x:f>
        <x:v>ONで重量増</x:v>
      </x:c>
      <x:c r="U21" s="48" t="n">
        <x:v>0.1845534921133571</x:v>
      </x:c>
      <x:c r="V21" s="48" t="n">
        <x:v>-0.060000000000000005</x:v>
      </x:c>
      <x:c r="W21" s="48" t="n">
        <x:f>U21+V21</x:f>
        <x:v>0.12455349211335709</x:v>
      </x:c>
      <x:c r="X21" s="48" t="n">
        <x:f>S21-W21</x:f>
        <x:v>0.0054127420533995885</x:v>
      </x:c>
      <x:c r="Y21" s="12" t="str">
        <x:f>IF(ABS(X21)&lt;1E-6,"一致",IF(ABS(X21)&lt;0.001,"概ね一致","差あり"))</x:f>
        <x:v>差あり</x:v>
      </x:c>
    </x:row>
    <x:row r="22">
      <x:c r="A22" s="12" t="str">
        <x:f>IFERROR(INDEX('02_ツリー'!$E$5:$E$560,MATCH(ROWS($A$11:A22),'02_ツリー'!$R$5:$R$560,0)),"")</x:f>
        <x:v>I_chip</x:v>
      </x:c>
      <x:c r="B22" s="48" t="n">
        <x:f>IF($A22="","",SUMIFS('02_ツリー'!$K$5:$K$560,'02_ツリー'!$E$5:$E$560,$A22,'02_ツリー'!$K$5:$K$560,"&gt;0"))</x:f>
        <x:v>0</x:v>
      </x:c>
      <x:c r="C22" s="48" t="n">
        <x:f>IF($A22="","",SUMIFS('02_ツリー'!$K$5:$K$560,'02_ツリー'!$E$5:$E$560,$A22,'02_ツリー'!$K$5:$K$560,"&lt;0"))</x:f>
        <x:v>-0.00009161663658786684</x:v>
      </x:c>
      <x:c r="D22" s="48" t="n">
        <x:f>IF($A22="","",B22+C22)</x:f>
        <x:v>-0.00009161663658786684</x:v>
      </x:c>
      <x:c r="E22" s="48" t="n">
        <x:f>IF($A22="","",B22-C22)</x:f>
        <x:v>0.00009161663658786684</x:v>
      </x:c>
      <x:c r="F22" s="48" t="n">
        <x:f>IF($A22="","",SUMIFS('02_ツリー'!$H$5:$H$560,'02_ツリー'!$E$5:$E$560,$A22,'02_ツリー'!$K$5:$K$560,"&gt;0"))</x:f>
        <x:v>0</x:v>
      </x:c>
      <x:c r="G22" s="48" t="n">
        <x:f>IF($A22="","",-SUMIFS('02_ツリー'!$H$5:$H$560,'02_ツリー'!$E$5:$E$560,$A22,'02_ツリー'!$K$5:$K$560,"&lt;0"))</x:f>
        <x:v>-0.0008197709152575105</x:v>
      </x:c>
      <x:c r="H22" s="48" t="n">
        <x:f>IF($A22="","",F22+G22)</x:f>
        <x:v>-0.0008197709152575105</x:v>
      </x:c>
      <x:c r="I22" s="244" t="n">
        <x:f>IF($A22="","",--(COUNTIFS('02_ツリー'!$E$5:$E$560,$A22,'02_ツリー'!$O$5:$O$560,0)=0))</x:f>
        <x:v>0</x:v>
      </x:c>
      <x:c r="J22" s="12" t="str">
        <x:f>IF($A22="","",IF(AND(B22&gt;0,C22&lt;0),"正負あり",IF(B22&gt;0,"正のみ",IF(C22&lt;0,"負のみ","ゼロ"))))</x:f>
        <x:v>負のみ</x:v>
      </x:c>
      <x:c r="K22" s="244" t="n">
        <x:f>IF($A22="","",--AND(B22&gt;0,C22&lt;0))</x:f>
        <x:v>0</x:v>
      </x:c>
      <x:c r="L22" s="244" t="n">
        <x:f>IF($A22="","",COUNTIF('02_ツリー'!$E$5:$E$560,$A22))</x:f>
        <x:v>1</x:v>
      </x:c>
      <x:c r="M22" s="244" t="n">
        <x:f>IF($A22="","",--(LEFT(A22,7)="Enable_"))</x:f>
        <x:v>0</x:v>
      </x:c>
      <x:c r="N22" s="12"/>
      <x:c r="O22" s="12" t="str">
        <x:v>Enable_hf_decouple</x:v>
      </x:c>
      <x:c r="P22" s="12" t="n">
        <x:v>0</x:v>
      </x:c>
      <x:c r="Q22" s="48" t="n">
        <x:v>8.94783901471096</x:v>
      </x:c>
      <x:c r="R22" s="48" t="n">
        <x:v>8.98283901471096</x:v>
      </x:c>
      <x:c r="S22" s="48" t="n">
        <x:f>R22-Q22</x:f>
        <x:v>0.03500000000000014</x:v>
      </x:c>
      <x:c r="T22" s="12" t="str">
        <x:f>IF(S22&gt;0,"ONで重量増",IF(S22&lt;0,"ONで重量減","中立"))</x:f>
        <x:v>ONで重量増</x:v>
      </x:c>
      <x:c r="U22" s="48" t="n">
        <x:v>0.03547536162906106</x:v>
      </x:c>
      <x:c r="V22" s="48" t="n">
        <x:v>-0.000024917104267939876</x:v>
      </x:c>
      <x:c r="W22" s="48" t="n">
        <x:f>U22+V22</x:f>
        <x:v>0.035450444524793116</x:v>
      </x:c>
      <x:c r="X22" s="48" t="n">
        <x:f>S22-W22</x:f>
        <x:v>-0.0004504445247929742</x:v>
      </x:c>
      <x:c r="Y22" s="12" t="str">
        <x:f>IF(ABS(X22)&lt;1E-6,"一致",IF(ABS(X22)&lt;0.001,"概ね一致","差あり"))</x:f>
        <x:v>概ね一致</x:v>
      </x:c>
    </x:row>
    <x:row r="23">
      <x:c r="A23" s="12" t="str">
        <x:f>IFERROR(INDEX('02_ツリー'!$E$5:$E$560,MATCH(ROWS($A$11:A23),'02_ツリー'!$R$5:$R$560,0)),"")</x:f>
        <x:v>J_chip_eff</x:v>
      </x:c>
      <x:c r="B23" s="48" t="n">
        <x:f>IF($A23="","",SUMIFS('02_ツリー'!$K$5:$K$560,'02_ツリー'!$E$5:$E$560,$A23,'02_ツリー'!$K$5:$K$560,"&gt;0"))</x:f>
        <x:v>0</x:v>
      </x:c>
      <x:c r="C23" s="48" t="n">
        <x:f>IF($A23="","",SUMIFS('02_ツリー'!$K$5:$K$560,'02_ツリー'!$E$5:$E$560,$A23,'02_ツリー'!$K$5:$K$560,"&lt;0"))</x:f>
        <x:v>-0.00009161663658786684</x:v>
      </x:c>
      <x:c r="D23" s="48" t="n">
        <x:f>IF($A23="","",B23+C23)</x:f>
        <x:v>-0.00009161663658786684</x:v>
      </x:c>
      <x:c r="E23" s="48" t="n">
        <x:f>IF($A23="","",B23-C23)</x:f>
        <x:v>0.00009161663658786684</x:v>
      </x:c>
      <x:c r="F23" s="48" t="n">
        <x:f>IF($A23="","",SUMIFS('02_ツリー'!$H$5:$H$560,'02_ツリー'!$E$5:$E$560,$A23,'02_ツリー'!$K$5:$K$560,"&gt;0"))</x:f>
        <x:v>0</x:v>
      </x:c>
      <x:c r="G23" s="48" t="n">
        <x:f>IF($A23="","",-SUMIFS('02_ツリー'!$H$5:$H$560,'02_ツリー'!$E$5:$E$560,$A23,'02_ツリー'!$K$5:$K$560,"&lt;0"))</x:f>
        <x:v>-0.0008197709152575105</x:v>
      </x:c>
      <x:c r="H23" s="48" t="n">
        <x:f>IF($A23="","",F23+G23)</x:f>
        <x:v>-0.0008197709152575105</x:v>
      </x:c>
      <x:c r="I23" s="244" t="n">
        <x:f>IF($A23="","",--(COUNTIFS('02_ツリー'!$E$5:$E$560,$A23,'02_ツリー'!$O$5:$O$560,0)=0))</x:f>
        <x:v>0</x:v>
      </x:c>
      <x:c r="J23" s="12" t="str">
        <x:f>IF($A23="","",IF(AND(B23&gt;0,C23&lt;0),"正負あり",IF(B23&gt;0,"正のみ",IF(C23&lt;0,"負のみ","ゼロ"))))</x:f>
        <x:v>負のみ</x:v>
      </x:c>
      <x:c r="K23" s="244" t="n">
        <x:f>IF($A23="","",--AND(B23&gt;0,C23&lt;0))</x:f>
        <x:v>0</x:v>
      </x:c>
      <x:c r="L23" s="244" t="n">
        <x:f>IF($A23="","",COUNTIF('02_ツリー'!$E$5:$E$560,$A23))</x:f>
        <x:v>1</x:v>
      </x:c>
      <x:c r="M23" s="244" t="n">
        <x:f>IF($A23="","",--(LEFT(A23,7)="Enable_"))</x:f>
        <x:v>0</x:v>
      </x:c>
      <x:c r="N23" s="12"/>
      <x:c r="O23" s="12" t="str">
        <x:v>Enable_hi_ins</x:v>
      </x:c>
      <x:c r="P23" s="12" t="n">
        <x:v>0</x:v>
      </x:c>
      <x:c r="Q23" s="48" t="n">
        <x:v>8.94783901471096</x:v>
      </x:c>
      <x:c r="R23" s="48" t="n">
        <x:v>8.95383901471096</x:v>
      </x:c>
      <x:c r="S23" s="48" t="n">
        <x:f>R23-Q23</x:f>
        <x:v>0.006000000000000227</x:v>
      </x:c>
      <x:c r="T23" s="12" t="str">
        <x:f>IF(S23&gt;0,"ONで重量増",IF(S23&lt;0,"ONで重量減","中立"))</x:f>
        <x:v>ONで重量増</x:v>
      </x:c>
      <x:c r="U23" s="48" t="n">
        <x:v>0.06</x:v>
      </x:c>
      <x:c r="V23" s="48" t="n">
        <x:v>-0.05399999999999999</x:v>
      </x:c>
      <x:c r="W23" s="48" t="n">
        <x:f>U23+V23</x:f>
        <x:v>0.006000000000000005</x:v>
      </x:c>
      <x:c r="X23" s="48" t="n">
        <x:f>S23-W23</x:f>
        <x:v>2.220446049250313e-16</x:v>
      </x:c>
      <x:c r="Y23" s="12" t="str">
        <x:f>IF(ABS(X23)&lt;1E-6,"一致",IF(ABS(X23)&lt;0.001,"概ね一致","差あり"))</x:f>
        <x:v>一致</x:v>
      </x:c>
    </x:row>
    <x:row r="24">
      <x:c r="A24" s="12" t="str">
        <x:f>IFERROR(INDEX('02_ツリー'!$E$5:$E$560,MATCH(ROWS($A$11:A24),'02_ツリー'!$R$5:$R$560,0)),"")</x:f>
        <x:v>A_active</x:v>
      </x:c>
      <x:c r="B24" s="48" t="n">
        <x:f>IF($A24="","",SUMIFS('02_ツリー'!$K$5:$K$560,'02_ツリー'!$E$5:$E$560,$A24,'02_ツリー'!$K$5:$K$560,"&gt;0"))</x:f>
        <x:v>0</x:v>
      </x:c>
      <x:c r="C24" s="48" t="n">
        <x:f>IF($A24="","",SUMIFS('02_ツリー'!$K$5:$K$560,'02_ツリー'!$E$5:$E$560,$A24,'02_ツリー'!$K$5:$K$560,"&lt;0"))</x:f>
        <x:v>-0.00009161663658786684</x:v>
      </x:c>
      <x:c r="D24" s="48" t="n">
        <x:f>IF($A24="","",B24+C24)</x:f>
        <x:v>-0.00009161663658786684</x:v>
      </x:c>
      <x:c r="E24" s="48" t="n">
        <x:f>IF($A24="","",B24-C24)</x:f>
        <x:v>0.00009161663658786684</x:v>
      </x:c>
      <x:c r="F24" s="48" t="n">
        <x:f>IF($A24="","",SUMIFS('02_ツリー'!$H$5:$H$560,'02_ツリー'!$E$5:$E$560,$A24,'02_ツリー'!$K$5:$K$560,"&gt;0"))</x:f>
        <x:v>0</x:v>
      </x:c>
      <x:c r="G24" s="48" t="n">
        <x:f>IF($A24="","",-SUMIFS('02_ツリー'!$H$5:$H$560,'02_ツリー'!$E$5:$E$560,$A24,'02_ツリー'!$K$5:$K$560,"&lt;0"))</x:f>
        <x:v>-0.0008197709152575105</x:v>
      </x:c>
      <x:c r="H24" s="48" t="n">
        <x:f>IF($A24="","",F24+G24)</x:f>
        <x:v>-0.0008197709152575105</x:v>
      </x:c>
      <x:c r="I24" s="244" t="n">
        <x:f>IF($A24="","",--(COUNTIFS('02_ツリー'!$E$5:$E$560,$A24,'02_ツリー'!$O$5:$O$560,0)=0))</x:f>
        <x:v>0</x:v>
      </x:c>
      <x:c r="J24" s="12" t="str">
        <x:f>IF($A24="","",IF(AND(B24&gt;0,C24&lt;0),"正負あり",IF(B24&gt;0,"正のみ",IF(C24&lt;0,"負のみ","ゼロ"))))</x:f>
        <x:v>負のみ</x:v>
      </x:c>
      <x:c r="K24" s="244" t="n">
        <x:f>IF($A24="","",--AND(B24&gt;0,C24&lt;0))</x:f>
        <x:v>0</x:v>
      </x:c>
      <x:c r="L24" s="244" t="n">
        <x:f>IF($A24="","",COUNTIF('02_ツリー'!$E$5:$E$560,$A24))</x:f>
        <x:v>1</x:v>
      </x:c>
      <x:c r="M24" s="244" t="n">
        <x:f>IF($A24="","",--(LEFT(A24,7)="Enable_"))</x:f>
        <x:v>0</x:v>
      </x:c>
      <x:c r="N24" s="12"/>
      <x:c r="O24" s="12" t="str">
        <x:v>Enable_isolated_bias</x:v>
      </x:c>
      <x:c r="P24" s="12" t="n">
        <x:v>1</x:v>
      </x:c>
      <x:c r="Q24" s="48" t="n">
        <x:v>8.897839014710959</x:v>
      </x:c>
      <x:c r="R24" s="48" t="n">
        <x:v>8.94783901471096</x:v>
      </x:c>
      <x:c r="S24" s="48" t="n">
        <x:f>R24-Q24</x:f>
        <x:v>0.05000000000000071</x:v>
      </x:c>
      <x:c r="T24" s="12" t="str">
        <x:f>IF(S24&gt;0,"ONで重量増",IF(S24&lt;0,"ONで重量減","中立"))</x:f>
        <x:v>ONで重量増</x:v>
      </x:c>
      <x:c r="U24" s="48" t="n">
        <x:v>0.049999999999999996</x:v>
      </x:c>
      <x:c r="V24" s="48" t="n">
        <x:v>0</x:v>
      </x:c>
      <x:c r="W24" s="48" t="n">
        <x:f>U24+V24</x:f>
        <x:v>0.049999999999999996</x:v>
      </x:c>
      <x:c r="X24" s="48" t="n">
        <x:f>S24-W24</x:f>
        <x:v>7.147060721024445e-16</x:v>
      </x:c>
      <x:c r="Y24" s="12" t="str">
        <x:f>IF(ABS(X24)&lt;1E-6,"一致",IF(ABS(X24)&lt;0.001,"概ね一致","差あり"))</x:f>
        <x:v>一致</x:v>
      </x:c>
    </x:row>
    <x:row r="25">
      <x:c r="A25" s="12" t="str">
        <x:f>IFERROR(INDEX('02_ツリー'!$E$5:$E$560,MATCH(ROWS($A$11:A25),'02_ツリー'!$R$5:$R$560,0)),"")</x:f>
        <x:v>k_active</x:v>
      </x:c>
      <x:c r="B25" s="48" t="n">
        <x:f>IF($A25="","",SUMIFS('02_ツリー'!$K$5:$K$560,'02_ツリー'!$E$5:$E$560,$A25,'02_ツリー'!$K$5:$K$560,"&gt;0"))</x:f>
        <x:v>0</x:v>
      </x:c>
      <x:c r="C25" s="48" t="n">
        <x:f>IF($A25="","",SUMIFS('02_ツリー'!$K$5:$K$560,'02_ツリー'!$E$5:$E$560,$A25,'02_ツリー'!$K$5:$K$560,"&lt;0"))</x:f>
        <x:v>-0.00009161663658786684</x:v>
      </x:c>
      <x:c r="D25" s="48" t="n">
        <x:f>IF($A25="","",B25+C25)</x:f>
        <x:v>-0.00009161663658786684</x:v>
      </x:c>
      <x:c r="E25" s="48" t="n">
        <x:f>IF($A25="","",B25-C25)</x:f>
        <x:v>0.00009161663658786684</x:v>
      </x:c>
      <x:c r="F25" s="48" t="n">
        <x:f>IF($A25="","",SUMIFS('02_ツリー'!$H$5:$H$560,'02_ツリー'!$E$5:$E$560,$A25,'02_ツリー'!$K$5:$K$560,"&gt;0"))</x:f>
        <x:v>0</x:v>
      </x:c>
      <x:c r="G25" s="48" t="n">
        <x:f>IF($A25="","",-SUMIFS('02_ツリー'!$H$5:$H$560,'02_ツリー'!$E$5:$E$560,$A25,'02_ツリー'!$K$5:$K$560,"&lt;0"))</x:f>
        <x:v>-0.0008197709152575105</x:v>
      </x:c>
      <x:c r="H25" s="48" t="n">
        <x:f>IF($A25="","",F25+G25)</x:f>
        <x:v>-0.0008197709152575105</x:v>
      </x:c>
      <x:c r="I25" s="244" t="n">
        <x:f>IF($A25="","",--(COUNTIFS('02_ツリー'!$E$5:$E$560,$A25,'02_ツリー'!$O$5:$O$560,0)=0))</x:f>
        <x:v>1</x:v>
      </x:c>
      <x:c r="J25" s="12" t="str">
        <x:f>IF($A25="","",IF(AND(B25&gt;0,C25&lt;0),"正負あり",IF(B25&gt;0,"正のみ",IF(C25&lt;0,"負のみ","ゼロ"))))</x:f>
        <x:v>負のみ</x:v>
      </x:c>
      <x:c r="K25" s="244" t="n">
        <x:f>IF($A25="","",--AND(B25&gt;0,C25&lt;0))</x:f>
        <x:v>0</x:v>
      </x:c>
      <x:c r="L25" s="244" t="n">
        <x:f>IF($A25="","",COUNTIF('02_ツリー'!$E$5:$E$560,$A25))</x:f>
        <x:v>1</x:v>
      </x:c>
      <x:c r="M25" s="244" t="n">
        <x:f>IF($A25="","",--(LEFT(A25,7)="Enable_"))</x:f>
        <x:v>0</x:v>
      </x:c>
      <x:c r="N25" s="12"/>
      <x:c r="O25" s="12" t="str">
        <x:v>Enable_potting</x:v>
      </x:c>
      <x:c r="P25" s="12" t="n">
        <x:v>0</x:v>
      </x:c>
      <x:c r="Q25" s="48" t="n">
        <x:v>8.94783901471096</x:v>
      </x:c>
      <x:c r="R25" s="48" t="n">
        <x:v>9.102781944518101</x:v>
      </x:c>
      <x:c r="S25" s="48" t="n">
        <x:f>R25-Q25</x:f>
        <x:v>0.15494292980714164</x:v>
      </x:c>
      <x:c r="T25" s="12" t="str">
        <x:f>IF(S25&gt;0,"ONで重量増",IF(S25&lt;0,"ONで重量減","中立"))</x:f>
        <x:v>ONで重量増</x:v>
      </x:c>
      <x:c r="U25" s="48" t="n">
        <x:v>0.23594292980714004</x:v>
      </x:c>
      <x:c r="V25" s="48" t="n">
        <x:v>-0.08099999999999999</x:v>
      </x:c>
      <x:c r="W25" s="48" t="n">
        <x:f>U25+V25</x:f>
        <x:v>0.15494292980714006</x:v>
      </x:c>
      <x:c r="X25" s="48" t="n">
        <x:f>S25-W25</x:f>
        <x:v>1.582067810090848e-15</x:v>
      </x:c>
      <x:c r="Y25" s="12" t="str">
        <x:f>IF(ABS(X25)&lt;1E-6,"一致",IF(ABS(X25)&lt;0.001,"概ね一致","差あり"))</x:f>
        <x:v>一致</x:v>
      </x:c>
    </x:row>
    <x:row r="26">
      <x:c r="A26" s="12" t="str">
        <x:f>IFERROR(INDEX('02_ツリー'!$E$5:$E$560,MATCH(ROWS($A$11:A26),'02_ツリー'!$R$5:$R$560,0)),"")</x:f>
        <x:v>A_chip</x:v>
      </x:c>
      <x:c r="B26" s="48" t="n">
        <x:f>IF($A26="","",SUMIFS('02_ツリー'!$K$5:$K$560,'02_ツリー'!$E$5:$E$560,$A26,'02_ツリー'!$K$5:$K$560,"&gt;0"))</x:f>
        <x:v>0.007607198908426768</x:v>
      </x:c>
      <x:c r="C26" s="48" t="n">
        <x:f>IF($A26="","",SUMIFS('02_ツリー'!$K$5:$K$560,'02_ツリー'!$E$5:$E$560,$A26,'02_ツリー'!$K$5:$K$560,"&lt;0"))</x:f>
        <x:v>-0.00015598697809145513</x:v>
      </x:c>
      <x:c r="D26" s="48" t="n">
        <x:f>IF($A26="","",B26+C26)</x:f>
        <x:v>0.007451211930335312</x:v>
      </x:c>
      <x:c r="E26" s="48" t="n">
        <x:f>IF($A26="","",B26-C26)</x:f>
        <x:v>0.007763185886518223</x:v>
      </x:c>
      <x:c r="F26" s="48" t="n">
        <x:f>IF($A26="","",SUMIFS('02_ツリー'!$H$5:$H$560,'02_ツリー'!$E$5:$E$560,$A26,'02_ツリー'!$K$5:$K$560,"&gt;0"))</x:f>
        <x:v>0.06806799118548765</x:v>
      </x:c>
      <x:c r="G26" s="48" t="n">
        <x:f>IF($A26="","",-SUMIFS('02_ツリー'!$H$5:$H$560,'02_ツリー'!$E$5:$E$560,$A26,'02_ツリー'!$K$5:$K$560,"&lt;0"))</x:f>
        <x:v>-0.001395746368353586</x:v>
      </x:c>
      <x:c r="H26" s="48" t="n">
        <x:f>IF($A26="","",F26+G26)</x:f>
        <x:v>0.06667224481713406</x:v>
      </x:c>
      <x:c r="I26" s="244" t="n">
        <x:f>IF($A26="","",--(COUNTIFS('02_ツリー'!$E$5:$E$560,$A26,'02_ツリー'!$O$5:$O$560,0)=0))</x:f>
        <x:v>1</x:v>
      </x:c>
      <x:c r="J26" s="12" t="str">
        <x:f>IF($A26="","",IF(AND(B26&gt;0,C26&lt;0),"正負あり",IF(B26&gt;0,"正のみ",IF(C26&lt;0,"負のみ","ゼロ"))))</x:f>
        <x:v>正負あり</x:v>
      </x:c>
      <x:c r="K26" s="244" t="n">
        <x:f>IF($A26="","",--AND(B26&gt;0,C26&lt;0))</x:f>
        <x:v>1</x:v>
      </x:c>
      <x:c r="L26" s="244" t="n">
        <x:f>IF($A26="","",COUNTIF('02_ツリー'!$E$5:$E$560,$A26))</x:f>
        <x:v>4</x:v>
      </x:c>
      <x:c r="M26" s="244" t="n">
        <x:f>IF($A26="","",--(LEFT(A26,7)="Enable_"))</x:f>
        <x:v>0</x:v>
      </x:c>
      <x:c r="N26" s="12"/>
      <x:c r="O26" s="12" t="str">
        <x:v>Enable_precharge</x:v>
      </x:c>
      <x:c r="P26" s="12" t="n">
        <x:v>1</x:v>
      </x:c>
      <x:c r="Q26" s="48" t="n">
        <x:v>8.91783901471096</x:v>
      </x:c>
      <x:c r="R26" s="48" t="n">
        <x:v>8.94783901471096</x:v>
      </x:c>
      <x:c r="S26" s="48" t="n">
        <x:f>R26-Q26</x:f>
        <x:v>0.02999999999999936</x:v>
      </x:c>
      <x:c r="T26" s="12" t="str">
        <x:f>IF(S26&gt;0,"ONで重量増",IF(S26&lt;0,"ONで重量減","中立"))</x:f>
        <x:v>ONで重量増</x:v>
      </x:c>
      <x:c r="U26" s="48" t="n">
        <x:v>0.1</x:v>
      </x:c>
      <x:c r="V26" s="48" t="n">
        <x:v>-0.06999999999999999</x:v>
      </x:c>
      <x:c r="W26" s="48" t="n">
        <x:f>U26+V26</x:f>
        <x:v>0.030000000000000013</x:v>
      </x:c>
      <x:c r="X26" s="48" t="n">
        <x:f>S26-W26</x:f>
        <x:v>-6.522560269672795e-16</x:v>
      </x:c>
      <x:c r="Y26" s="12" t="str">
        <x:f>IF(ABS(X26)&lt;1E-6,"一致",IF(ABS(X26)&lt;0.001,"概ね一致","差あり"))</x:f>
        <x:v>一致</x:v>
      </x:c>
    </x:row>
    <x:row r="27">
      <x:c r="A27" s="12" t="str">
        <x:f>IFERROR(INDEX('02_ツリー'!$E$5:$E$560,MATCH(ROWS($A$11:A27),'02_ツリー'!$R$5:$R$560,0)),"")</x:f>
        <x:v>m_chip</x:v>
      </x:c>
      <x:c r="B27" s="48" t="n">
        <x:f>IF($A27="","",SUMIFS('02_ツリー'!$K$5:$K$560,'02_ツリー'!$E$5:$E$560,$A27,'02_ツリー'!$K$5:$K$560,"&gt;0"))</x:f>
        <x:v>0.00009161663658786684</x:v>
      </x:c>
      <x:c r="C27" s="48" t="n">
        <x:f>IF($A27="","",SUMIFS('02_ツリー'!$K$5:$K$560,'02_ツリー'!$E$5:$E$560,$A27,'02_ツリー'!$K$5:$K$560,"&lt;0"))</x:f>
        <x:v>0</x:v>
      </x:c>
      <x:c r="D27" s="48" t="n">
        <x:f>IF($A27="","",B27+C27)</x:f>
        <x:v>0.00009161663658786684</x:v>
      </x:c>
      <x:c r="E27" s="48" t="n">
        <x:f>IF($A27="","",B27-C27)</x:f>
        <x:v>0.00009161663658786684</x:v>
      </x:c>
      <x:c r="F27" s="48" t="n">
        <x:f>IF($A27="","",SUMIFS('02_ツリー'!$H$5:$H$560,'02_ツリー'!$E$5:$E$560,$A27,'02_ツリー'!$K$5:$K$560,"&gt;0"))</x:f>
        <x:v>0.0008197709152575105</x:v>
      </x:c>
      <x:c r="G27" s="48" t="n">
        <x:f>IF($A27="","",-SUMIFS('02_ツリー'!$H$5:$H$560,'02_ツリー'!$E$5:$E$560,$A27,'02_ツリー'!$K$5:$K$560,"&lt;0"))</x:f>
        <x:v>0</x:v>
      </x:c>
      <x:c r="H27" s="48" t="n">
        <x:f>IF($A27="","",F27+G27)</x:f>
        <x:v>0.0008197709152575105</x:v>
      </x:c>
      <x:c r="I27" s="244" t="n">
        <x:f>IF($A27="","",--(COUNTIFS('02_ツリー'!$E$5:$E$560,$A27,'02_ツリー'!$O$5:$O$560,0)=0))</x:f>
        <x:v>0</x:v>
      </x:c>
      <x:c r="J27" s="12" t="str">
        <x:f>IF($A27="","",IF(AND(B27&gt;0,C27&lt;0),"正負あり",IF(B27&gt;0,"正のみ",IF(C27&lt;0,"負のみ","ゼロ"))))</x:f>
        <x:v>正のみ</x:v>
      </x:c>
      <x:c r="K27" s="244" t="n">
        <x:f>IF($A27="","",--AND(B27&gt;0,C27&lt;0))</x:f>
        <x:v>0</x:v>
      </x:c>
      <x:c r="L27" s="244" t="n">
        <x:f>IF($A27="","",COUNTIF('02_ツリー'!$E$5:$E$560,$A27))</x:f>
        <x:v>1</x:v>
      </x:c>
      <x:c r="M27" s="244" t="n">
        <x:f>IF($A27="","",--(LEFT(A27,7)="Enable_"))</x:f>
        <x:v>0</x:v>
      </x:c>
      <x:c r="N27" s="12"/>
      <x:c r="O27" s="12" t="str">
        <x:v>Enable_shield</x:v>
      </x:c>
      <x:c r="P27" s="12" t="n">
        <x:v>0</x:v>
      </x:c>
      <x:c r="Q27" s="48" t="n">
        <x:v>8.94783901471096</x:v>
      </x:c>
      <x:c r="R27" s="48" t="n">
        <x:v>9.067839014710959</x:v>
      </x:c>
      <x:c r="S27" s="48" t="n">
        <x:f>R27-Q27</x:f>
        <x:v>0.11999999999999922</x:v>
      </x:c>
      <x:c r="T27" s="12" t="str">
        <x:f>IF(S27&gt;0,"ONで重量増",IF(S27&lt;0,"ONで重量減","中立"))</x:f>
        <x:v>ONで重量増</x:v>
      </x:c>
      <x:c r="U27" s="48" t="n">
        <x:v>0.12</x:v>
      </x:c>
      <x:c r="V27" s="48" t="n">
        <x:v>-0.11563401809286435</x:v>
      </x:c>
      <x:c r="W27" s="48" t="n">
        <x:f>U27+V27</x:f>
        <x:v>0.004365981907135649</x:v>
      </x:c>
      <x:c r="X27" s="48" t="n">
        <x:f>S27-W27</x:f>
        <x:v>0.11563401809286357</x:v>
      </x:c>
      <x:c r="Y27" s="12" t="str">
        <x:f>IF(ABS(X27)&lt;1E-6,"一致",IF(ABS(X27)&lt;0.001,"概ね一致","差あり"))</x:f>
        <x:v>差あり</x:v>
      </x:c>
    </x:row>
    <x:row r="28">
      <x:c r="A28" s="12" t="str">
        <x:f>IFERROR(INDEX('02_ツリー'!$E$5:$E$560,MATCH(ROWS($A$11:A28),'02_ツリー'!$R$5:$R$560,0)),"")</x:f>
        <x:v>t_chip</x:v>
      </x:c>
      <x:c r="B28" s="48" t="n">
        <x:f>IF($A28="","",SUMIFS('02_ツリー'!$K$5:$K$560,'02_ツリー'!$E$5:$E$560,$A28,'02_ツリー'!$K$5:$K$560,"&gt;0"))</x:f>
        <x:v>0.00009161663658786684</x:v>
      </x:c>
      <x:c r="C28" s="48" t="n">
        <x:f>IF($A28="","",SUMIFS('02_ツリー'!$K$5:$K$560,'02_ツリー'!$E$5:$E$560,$A28,'02_ツリー'!$K$5:$K$560,"&lt;0"))</x:f>
        <x:v>0</x:v>
      </x:c>
      <x:c r="D28" s="48" t="n">
        <x:f>IF($A28="","",B28+C28)</x:f>
        <x:v>0.00009161663658786684</x:v>
      </x:c>
      <x:c r="E28" s="48" t="n">
        <x:f>IF($A28="","",B28-C28)</x:f>
        <x:v>0.00009161663658786684</x:v>
      </x:c>
      <x:c r="F28" s="48" t="n">
        <x:f>IF($A28="","",SUMIFS('02_ツリー'!$H$5:$H$560,'02_ツリー'!$E$5:$E$560,$A28,'02_ツリー'!$K$5:$K$560,"&gt;0"))</x:f>
        <x:v>0.0008197709152575105</x:v>
      </x:c>
      <x:c r="G28" s="48" t="n">
        <x:f>IF($A28="","",-SUMIFS('02_ツリー'!$H$5:$H$560,'02_ツリー'!$E$5:$E$560,$A28,'02_ツリー'!$K$5:$K$560,"&lt;0"))</x:f>
        <x:v>0</x:v>
      </x:c>
      <x:c r="H28" s="48" t="n">
        <x:f>IF($A28="","",F28+G28)</x:f>
        <x:v>0.0008197709152575105</x:v>
      </x:c>
      <x:c r="I28" s="244" t="n">
        <x:f>IF($A28="","",--(COUNTIFS('02_ツリー'!$E$5:$E$560,$A28,'02_ツリー'!$O$5:$O$560,0)=0))</x:f>
        <x:v>1</x:v>
      </x:c>
      <x:c r="J28" s="12" t="str">
        <x:f>IF($A28="","",IF(AND(B28&gt;0,C28&lt;0),"正負あり",IF(B28&gt;0,"正のみ",IF(C28&lt;0,"負のみ","ゼロ"))))</x:f>
        <x:v>正のみ</x:v>
      </x:c>
      <x:c r="K28" s="244" t="n">
        <x:f>IF($A28="","",--AND(B28&gt;0,C28&lt;0))</x:f>
        <x:v>0</x:v>
      </x:c>
      <x:c r="L28" s="244" t="n">
        <x:f>IF($A28="","",COUNTIF('02_ツリー'!$E$5:$E$560,$A28))</x:f>
        <x:v>1</x:v>
      </x:c>
      <x:c r="M28" s="244" t="n">
        <x:f>IF($A28="","",--(LEFT(A28,7)="Enable_"))</x:f>
        <x:v>0</x:v>
      </x:c>
      <x:c r="N28" s="12"/>
      <x:c r="O28" s="12" t="str">
        <x:v>Enable_snubber</x:v>
      </x:c>
      <x:c r="P28" s="12" t="n">
        <x:v>0</x:v>
      </x:c>
      <x:c r="Q28" s="48" t="n">
        <x:v>8.94783901471096</x:v>
      </x:c>
      <x:c r="R28" s="48" t="n">
        <x:v>8.9920515181566</x:v>
      </x:c>
      <x:c r="S28" s="48" t="n">
        <x:f>R28-Q28</x:f>
        <x:v>0.04421250344564065</x:v>
      </x:c>
      <x:c r="T28" s="12" t="str">
        <x:f>IF(S28&gt;0,"ONで重量増",IF(S28&lt;0,"ONで重量減","中立"))</x:f>
        <x:v>ONで重量増</x:v>
      </x:c>
      <x:c r="U28" s="48" t="n">
        <x:v>0.036515103369296434</x:v>
      </x:c>
      <x:c r="V28" s="48" t="n">
        <x:v>-0.0000359913728314687</x:v>
      </x:c>
      <x:c r="W28" s="48" t="n">
        <x:f>U28+V28</x:f>
        <x:v>0.03647911199646497</x:v>
      </x:c>
      <x:c r="X28" s="48" t="n">
        <x:f>S28-W28</x:f>
        <x:v>0.007733391449175682</x:v>
      </x:c>
      <x:c r="Y28" s="12" t="str">
        <x:f>IF(ABS(X28)&lt;1E-6,"一致",IF(ABS(X28)&lt;0.001,"概ね一致","差あり"))</x:f>
        <x:v>差あり</x:v>
      </x:c>
    </x:row>
    <x:row r="29">
      <x:c r="A29" s="12" t="str">
        <x:f>IFERROR(INDEX('02_ツリー'!$E$5:$E$560,MATCH(ROWS($A$11:A29),'02_ツリー'!$R$5:$R$560,0)),"")</x:f>
        <x:v>rho_chip</x:v>
      </x:c>
      <x:c r="B29" s="48" t="n">
        <x:f>IF($A29="","",SUMIFS('02_ツリー'!$K$5:$K$560,'02_ツリー'!$E$5:$E$560,$A29,'02_ツリー'!$K$5:$K$560,"&gt;0"))</x:f>
        <x:v>0.00009161663658786684</x:v>
      </x:c>
      <x:c r="C29" s="48" t="n">
        <x:f>IF($A29="","",SUMIFS('02_ツリー'!$K$5:$K$560,'02_ツリー'!$E$5:$E$560,$A29,'02_ツリー'!$K$5:$K$560,"&lt;0"))</x:f>
        <x:v>0</x:v>
      </x:c>
      <x:c r="D29" s="48" t="n">
        <x:f>IF($A29="","",B29+C29)</x:f>
        <x:v>0.00009161663658786684</x:v>
      </x:c>
      <x:c r="E29" s="48" t="n">
        <x:f>IF($A29="","",B29-C29)</x:f>
        <x:v>0.00009161663658786684</x:v>
      </x:c>
      <x:c r="F29" s="48" t="n">
        <x:f>IF($A29="","",SUMIFS('02_ツリー'!$H$5:$H$560,'02_ツリー'!$E$5:$E$560,$A29,'02_ツリー'!$K$5:$K$560,"&gt;0"))</x:f>
        <x:v>0.0008197709152575105</x:v>
      </x:c>
      <x:c r="G29" s="48" t="n">
        <x:f>IF($A29="","",-SUMIFS('02_ツリー'!$H$5:$H$560,'02_ツリー'!$E$5:$E$560,$A29,'02_ツリー'!$K$5:$K$560,"&lt;0"))</x:f>
        <x:v>0</x:v>
      </x:c>
      <x:c r="H29" s="48" t="n">
        <x:f>IF($A29="","",F29+G29)</x:f>
        <x:v>0.0008197709152575105</x:v>
      </x:c>
      <x:c r="I29" s="244" t="n">
        <x:f>IF($A29="","",--(COUNTIFS('02_ツリー'!$E$5:$E$560,$A29,'02_ツリー'!$O$5:$O$560,0)=0))</x:f>
        <x:v>1</x:v>
      </x:c>
      <x:c r="J29" s="12" t="str">
        <x:f>IF($A29="","",IF(AND(B29&gt;0,C29&lt;0),"正負あり",IF(B29&gt;0,"正のみ",IF(C29&lt;0,"負のみ","ゼロ"))))</x:f>
        <x:v>正のみ</x:v>
      </x:c>
      <x:c r="K29" s="244" t="n">
        <x:f>IF($A29="","",--AND(B29&gt;0,C29&lt;0))</x:f>
        <x:v>0</x:v>
      </x:c>
      <x:c r="L29" s="244" t="n">
        <x:f>IF($A29="","",COUNTIF('02_ツリー'!$E$5:$E$560,$A29))</x:f>
        <x:v>1</x:v>
      </x:c>
      <x:c r="M29" s="244" t="n">
        <x:f>IF($A29="","",--(LEFT(A29,7)="Enable_"))</x:f>
        <x:v>0</x:v>
      </x:c>
      <x:c r="N29" s="12"/>
      <x:c r="O29" s="12" t="str">
        <x:v>Enable_split_Rg</x:v>
      </x:c>
      <x:c r="P29" s="12" t="n">
        <x:v>0</x:v>
      </x:c>
      <x:c r="Q29" s="48" t="n">
        <x:v>8.94783901471096</x:v>
      </x:c>
      <x:c r="R29" s="48" t="n">
        <x:v>8.936120387911433</x:v>
      </x:c>
      <x:c r="S29" s="48" t="n">
        <x:f>R29-Q29</x:f>
        <x:v>-0.011718626799526177</x:v>
      </x:c>
      <x:c r="T29" s="12" t="str">
        <x:f>IF(S29&gt;0,"ONで重量増",IF(S29&lt;0,"ONで重量減","中立"))</x:f>
        <x:v>ONで重量減</x:v>
      </x:c>
      <x:c r="U29" s="48" t="n">
        <x:v>0.003</x:v>
      </x:c>
      <x:c r="V29" s="48" t="n">
        <x:v>-0.006724822027023013</x:v>
      </x:c>
      <x:c r="W29" s="48" t="n">
        <x:f>U29+V29</x:f>
        <x:v>-0.003724822027023013</x:v>
      </x:c>
      <x:c r="X29" s="48" t="n">
        <x:f>S29-W29</x:f>
        <x:v>-0.007993804772503164</x:v>
      </x:c>
      <x:c r="Y29" s="12" t="str">
        <x:f>IF(ABS(X29)&lt;1E-6,"一致",IF(ABS(X29)&lt;0.001,"概ね一致","差あり"))</x:f>
        <x:v>差あり</x:v>
      </x:c>
    </x:row>
    <x:row r="30">
      <x:c r="A30" s="12" t="str">
        <x:f>IFERROR(INDEX('02_ツリー'!$E$5:$E$560,MATCH(ROWS($A$11:A30),'02_ツリー'!$R$5:$R$560,0)),"")</x:f>
        <x:v>m_dbc</x:v>
      </x:c>
      <x:c r="B30" s="48" t="n">
        <x:f>IF($A30="","",SUMIFS('02_ツリー'!$K$5:$K$560,'02_ツリー'!$E$5:$E$560,$A30,'02_ツリー'!$K$5:$K$560,"&gt;0"))</x:f>
        <x:v>0.010364066658724485</x:v>
      </x:c>
      <x:c r="C30" s="48" t="n">
        <x:f>IF($A30="","",SUMIFS('02_ツリー'!$K$5:$K$560,'02_ツリー'!$E$5:$E$560,$A30,'02_ツリー'!$K$5:$K$560,"&lt;0"))</x:f>
        <x:v>0</x:v>
      </x:c>
      <x:c r="D30" s="48" t="n">
        <x:f>IF($A30="","",B30+C30)</x:f>
        <x:v>0.010364066658724485</x:v>
      </x:c>
      <x:c r="E30" s="48" t="n">
        <x:f>IF($A30="","",B30-C30)</x:f>
        <x:v>0.010364066658724485</x:v>
      </x:c>
      <x:c r="F30" s="48" t="n">
        <x:f>IF($A30="","",SUMIFS('02_ツリー'!$H$5:$H$560,'02_ツリー'!$E$5:$E$560,$A30,'02_ツリー'!$K$5:$K$560,"&gt;0"))</x:f>
        <x:v>0.092736</x:v>
      </x:c>
      <x:c r="G30" s="48" t="n">
        <x:f>IF($A30="","",-SUMIFS('02_ツリー'!$H$5:$H$560,'02_ツリー'!$E$5:$E$560,$A30,'02_ツリー'!$K$5:$K$560,"&lt;0"))</x:f>
        <x:v>0</x:v>
      </x:c>
      <x:c r="H30" s="48" t="n">
        <x:f>IF($A30="","",F30+G30)</x:f>
        <x:v>0.092736</x:v>
      </x:c>
      <x:c r="I30" s="244" t="n">
        <x:f>IF($A30="","",--(COUNTIFS('02_ツリー'!$E$5:$E$560,$A30,'02_ツリー'!$O$5:$O$560,0)=0))</x:f>
        <x:v>0</x:v>
      </x:c>
      <x:c r="J30" s="12" t="str">
        <x:f>IF($A30="","",IF(AND(B30&gt;0,C30&lt;0),"正負あり",IF(B30&gt;0,"正のみ",IF(C30&lt;0,"負のみ","ゼロ"))))</x:f>
        <x:v>正のみ</x:v>
      </x:c>
      <x:c r="K30" s="244" t="n">
        <x:f>IF($A30="","",--AND(B30&gt;0,C30&lt;0))</x:f>
        <x:v>0</x:v>
      </x:c>
      <x:c r="L30" s="244" t="n">
        <x:f>IF($A30="","",COUNTIF('02_ツリー'!$E$5:$E$560,$A30))</x:f>
        <x:v>1</x:v>
      </x:c>
      <x:c r="M30" s="244" t="n">
        <x:f>IF($A30="","",--(LEFT(A30,7)="Enable_"))</x:f>
        <x:v>0</x:v>
      </x:c>
      <x:c r="N30" s="12"/>
      <x:c r="O30" s="12"/>
      <x:c r="P30" s="12"/>
      <x:c r="Q30" s="12"/>
      <x:c r="R30" s="12"/>
      <x:c r="S30" s="12"/>
      <x:c r="T30" s="12"/>
      <x:c r="U30" s="12"/>
      <x:c r="V30" s="12"/>
      <x:c r="W30" s="12"/>
      <x:c r="X30" s="12"/>
      <x:c r="Y30" s="12"/>
    </x:row>
    <x:row r="31">
      <x:c r="A31" s="12" t="str">
        <x:f>IFERROR(INDEX('02_ツリー'!$E$5:$E$560,MATCH(ROWS($A$11:A31),'02_ツリー'!$R$5:$R$560,0)),"")</x:f>
        <x:v>A_dbc</x:v>
      </x:c>
      <x:c r="B31" s="48" t="n">
        <x:f>IF($A31="","",SUMIFS('02_ツリー'!$K$5:$K$560,'02_ツリー'!$E$5:$E$560,$A31,'02_ツリー'!$K$5:$K$560,"&gt;0"))</x:f>
        <x:v>0.010364066658724485</x:v>
      </x:c>
      <x:c r="C31" s="48" t="n">
        <x:f>IF($A31="","",SUMIFS('02_ツリー'!$K$5:$K$560,'02_ツリー'!$E$5:$E$560,$A31,'02_ツリー'!$K$5:$K$560,"&lt;0"))</x:f>
        <x:v>0</x:v>
      </x:c>
      <x:c r="D31" s="48" t="n">
        <x:f>IF($A31="","",B31+C31)</x:f>
        <x:v>0.010364066658724485</x:v>
      </x:c>
      <x:c r="E31" s="48" t="n">
        <x:f>IF($A31="","",B31-C31)</x:f>
        <x:v>0.010364066658724485</x:v>
      </x:c>
      <x:c r="F31" s="48" t="n">
        <x:f>IF($A31="","",SUMIFS('02_ツリー'!$H$5:$H$560,'02_ツリー'!$E$5:$E$560,$A31,'02_ツリー'!$K$5:$K$560,"&gt;0"))</x:f>
        <x:v>0.092736</x:v>
      </x:c>
      <x:c r="G31" s="48" t="n">
        <x:f>IF($A31="","",-SUMIFS('02_ツリー'!$H$5:$H$560,'02_ツリー'!$E$5:$E$560,$A31,'02_ツリー'!$K$5:$K$560,"&lt;0"))</x:f>
        <x:v>0</x:v>
      </x:c>
      <x:c r="H31" s="48" t="n">
        <x:f>IF($A31="","",F31+G31)</x:f>
        <x:v>0.092736</x:v>
      </x:c>
      <x:c r="I31" s="244" t="n">
        <x:f>IF($A31="","",--(COUNTIFS('02_ツリー'!$E$5:$E$560,$A31,'02_ツリー'!$O$5:$O$560,0)=0))</x:f>
        <x:v>0</x:v>
      </x:c>
      <x:c r="J31" s="12" t="str">
        <x:f>IF($A31="","",IF(AND(B31&gt;0,C31&lt;0),"正負あり",IF(B31&gt;0,"正のみ",IF(C31&lt;0,"負のみ","ゼロ"))))</x:f>
        <x:v>正のみ</x:v>
      </x:c>
      <x:c r="K31" s="244" t="n">
        <x:f>IF($A31="","",--AND(B31&gt;0,C31&lt;0))</x:f>
        <x:v>0</x:v>
      </x:c>
      <x:c r="L31" s="244" t="n">
        <x:f>IF($A31="","",COUNTIF('02_ツリー'!$E$5:$E$560,$A31))</x:f>
        <x:v>1</x:v>
      </x:c>
      <x:c r="M31" s="244" t="n">
        <x:f>IF($A31="","",--(LEFT(A31,7)="Enable_"))</x:f>
        <x:v>0</x:v>
      </x:c>
      <x:c r="N31" s="12"/>
      <x:c r="O31" s="12"/>
      <x:c r="P31" s="12"/>
      <x:c r="Q31" s="12"/>
      <x:c r="R31" s="12"/>
      <x:c r="S31" s="12"/>
      <x:c r="T31" s="12"/>
      <x:c r="U31" s="12"/>
      <x:c r="V31" s="12"/>
      <x:c r="W31" s="12"/>
      <x:c r="X31" s="12"/>
      <x:c r="Y31" s="12"/>
    </x:row>
    <x:row r="32">
      <x:c r="A32" s="12" t="str">
        <x:f>IFERROR(INDEX('02_ツリー'!$E$5:$E$560,MATCH(ROWS($A$11:A32),'02_ツリー'!$R$5:$R$560,0)),"")</x:f>
        <x:v>t_dbc</x:v>
      </x:c>
      <x:c r="B32" s="48" t="n">
        <x:f>IF($A32="","",SUMIFS('02_ツリー'!$K$5:$K$560,'02_ツリー'!$E$5:$E$560,$A32,'02_ツリー'!$K$5:$K$560,"&gt;0"))</x:f>
        <x:v>0.010364066658724485</x:v>
      </x:c>
      <x:c r="C32" s="48" t="n">
        <x:f>IF($A32="","",SUMIFS('02_ツリー'!$K$5:$K$560,'02_ツリー'!$E$5:$E$560,$A32,'02_ツリー'!$K$5:$K$560,"&lt;0"))</x:f>
        <x:v>-0.010364066658724485</x:v>
      </x:c>
      <x:c r="D32" s="48" t="n">
        <x:f>IF($A32="","",B32+C32)</x:f>
        <x:v>0</x:v>
      </x:c>
      <x:c r="E32" s="48" t="n">
        <x:f>IF($A32="","",B32-C32)</x:f>
        <x:v>0.02072813331744897</x:v>
      </x:c>
      <x:c r="F32" s="48" t="n">
        <x:f>IF($A32="","",SUMIFS('02_ツリー'!$H$5:$H$560,'02_ツリー'!$E$5:$E$560,$A32,'02_ツリー'!$K$5:$K$560,"&gt;0"))</x:f>
        <x:v>0.092736</x:v>
      </x:c>
      <x:c r="G32" s="48" t="n">
        <x:f>IF($A32="","",-SUMIFS('02_ツリー'!$H$5:$H$560,'02_ツリー'!$E$5:$E$560,$A32,'02_ツリー'!$K$5:$K$560,"&lt;0"))</x:f>
        <x:v>-0.092736</x:v>
      </x:c>
      <x:c r="H32" s="48" t="n">
        <x:f>IF($A32="","",F32+G32)</x:f>
        <x:v>0</x:v>
      </x:c>
      <x:c r="I32" s="244" t="n">
        <x:f>IF($A32="","",--(COUNTIFS('02_ツリー'!$E$5:$E$560,$A32,'02_ツリー'!$O$5:$O$560,0)=0))</x:f>
        <x:v>0</x:v>
      </x:c>
      <x:c r="J32" s="12" t="str">
        <x:f>IF($A32="","",IF(AND(B32&gt;0,C32&lt;0),"正負あり",IF(B32&gt;0,"正のみ",IF(C32&lt;0,"負のみ","ゼロ"))))</x:f>
        <x:v>正負あり</x:v>
      </x:c>
      <x:c r="K32" s="244" t="n">
        <x:f>IF($A32="","",--AND(B32&gt;0,C32&lt;0))</x:f>
        <x:v>1</x:v>
      </x:c>
      <x:c r="L32" s="244" t="n">
        <x:f>IF($A32="","",COUNTIF('02_ツリー'!$E$5:$E$560,$A32))</x:f>
        <x:v>2</x:v>
      </x:c>
      <x:c r="M32" s="244" t="n">
        <x:f>IF($A32="","",--(LEFT(A32,7)="Enable_"))</x:f>
        <x:v>0</x:v>
      </x:c>
      <x:c r="N32" s="12"/>
      <x:c r="O32" s="12"/>
      <x:c r="P32" s="12"/>
      <x:c r="Q32" s="12"/>
      <x:c r="R32" s="12"/>
      <x:c r="S32" s="12"/>
      <x:c r="T32" s="12"/>
      <x:c r="U32" s="12"/>
      <x:c r="V32" s="12"/>
      <x:c r="W32" s="12"/>
      <x:c r="X32" s="12"/>
      <x:c r="Y32" s="12"/>
    </x:row>
    <x:row r="33">
      <x:c r="A33" s="12" t="str">
        <x:f>IFERROR(INDEX('02_ツリー'!$E$5:$E$560,MATCH(ROWS($A$11:A33),'02_ツリー'!$R$5:$R$560,0)),"")</x:f>
        <x:v>rho_dbc</x:v>
      </x:c>
      <x:c r="B33" s="48" t="n">
        <x:f>IF($A33="","",SUMIFS('02_ツリー'!$K$5:$K$560,'02_ツリー'!$E$5:$E$560,$A33,'02_ツリー'!$K$5:$K$560,"&gt;0"))</x:f>
        <x:v>0.010364066658724485</x:v>
      </x:c>
      <x:c r="C33" s="48" t="n">
        <x:f>IF($A33="","",SUMIFS('02_ツリー'!$K$5:$K$560,'02_ツリー'!$E$5:$E$560,$A33,'02_ツリー'!$K$5:$K$560,"&lt;0"))</x:f>
        <x:v>0</x:v>
      </x:c>
      <x:c r="D33" s="48" t="n">
        <x:f>IF($A33="","",B33+C33)</x:f>
        <x:v>0.010364066658724485</x:v>
      </x:c>
      <x:c r="E33" s="48" t="n">
        <x:f>IF($A33="","",B33-C33)</x:f>
        <x:v>0.010364066658724485</x:v>
      </x:c>
      <x:c r="F33" s="48" t="n">
        <x:f>IF($A33="","",SUMIFS('02_ツリー'!$H$5:$H$560,'02_ツリー'!$E$5:$E$560,$A33,'02_ツリー'!$K$5:$K$560,"&gt;0"))</x:f>
        <x:v>0.092736</x:v>
      </x:c>
      <x:c r="G33" s="48" t="n">
        <x:f>IF($A33="","",-SUMIFS('02_ツリー'!$H$5:$H$560,'02_ツリー'!$E$5:$E$560,$A33,'02_ツリー'!$K$5:$K$560,"&lt;0"))</x:f>
        <x:v>0</x:v>
      </x:c>
      <x:c r="H33" s="48" t="n">
        <x:f>IF($A33="","",F33+G33)</x:f>
        <x:v>0.092736</x:v>
      </x:c>
      <x:c r="I33" s="244" t="n">
        <x:f>IF($A33="","",--(COUNTIFS('02_ツリー'!$E$5:$E$560,$A33,'02_ツリー'!$O$5:$O$560,0)=0))</x:f>
        <x:v>0</x:v>
      </x:c>
      <x:c r="J33" s="12" t="str">
        <x:f>IF($A33="","",IF(AND(B33&gt;0,C33&lt;0),"正負あり",IF(B33&gt;0,"正のみ",IF(C33&lt;0,"負のみ","ゼロ"))))</x:f>
        <x:v>正のみ</x:v>
      </x:c>
      <x:c r="K33" s="244" t="n">
        <x:f>IF($A33="","",--AND(B33&gt;0,C33&lt;0))</x:f>
        <x:v>0</x:v>
      </x:c>
      <x:c r="L33" s="244" t="n">
        <x:f>IF($A33="","",COUNTIF('02_ツリー'!$E$5:$E$560,$A33))</x:f>
        <x:v>1</x:v>
      </x:c>
      <x:c r="M33" s="244" t="n">
        <x:f>IF($A33="","",--(LEFT(A33,7)="Enable_"))</x:f>
        <x:v>0</x:v>
      </x:c>
      <x:c r="N33" s="12"/>
      <x:c r="O33" s="12"/>
      <x:c r="P33" s="12"/>
      <x:c r="Q33" s="12"/>
      <x:c r="R33" s="12"/>
      <x:c r="S33" s="12"/>
      <x:c r="T33" s="12"/>
      <x:c r="U33" s="12"/>
      <x:c r="V33" s="12"/>
      <x:c r="W33" s="12"/>
      <x:c r="X33" s="12"/>
      <x:c r="Y33" s="12"/>
    </x:row>
    <x:row r="34">
      <x:c r="A34" s="12" t="str">
        <x:f>IFERROR(INDEX('02_ツリー'!$E$5:$E$560,MATCH(ROWS($A$11:A34),'02_ツリー'!$R$5:$R$560,0)),"")</x:f>
        <x:v>m_base</x:v>
      </x:c>
      <x:c r="B34" s="48" t="n">
        <x:f>IF($A34="","",SUMIFS('02_ツリー'!$K$5:$K$560,'02_ツリー'!$E$5:$E$560,$A34,'02_ツリー'!$K$5:$K$560,"&gt;0"))</x:f>
        <x:v>0.027157395165524175</x:v>
      </x:c>
      <x:c r="C34" s="48" t="n">
        <x:f>IF($A34="","",SUMIFS('02_ツリー'!$K$5:$K$560,'02_ツリー'!$E$5:$E$560,$A34,'02_ツリー'!$K$5:$K$560,"&lt;0"))</x:f>
        <x:v>0</x:v>
      </x:c>
      <x:c r="D34" s="48" t="n">
        <x:f>IF($A34="","",B34+C34)</x:f>
        <x:v>0.027157395165524175</x:v>
      </x:c>
      <x:c r="E34" s="48" t="n">
        <x:f>IF($A34="","",B34-C34)</x:f>
        <x:v>0.027157395165524175</x:v>
      </x:c>
      <x:c r="F34" s="48" t="n">
        <x:f>IF($A34="","",SUMIFS('02_ツリー'!$H$5:$H$560,'02_ツリー'!$E$5:$E$560,$A34,'02_ツリー'!$K$5:$K$560,"&gt;0"))</x:f>
        <x:v>0.24300000000000002</x:v>
      </x:c>
      <x:c r="G34" s="48" t="n">
        <x:f>IF($A34="","",-SUMIFS('02_ツリー'!$H$5:$H$560,'02_ツリー'!$E$5:$E$560,$A34,'02_ツリー'!$K$5:$K$560,"&lt;0"))</x:f>
        <x:v>0</x:v>
      </x:c>
      <x:c r="H34" s="48" t="n">
        <x:f>IF($A34="","",F34+G34)</x:f>
        <x:v>0.24300000000000002</x:v>
      </x:c>
      <x:c r="I34" s="244" t="n">
        <x:f>IF($A34="","",--(COUNTIFS('02_ツリー'!$E$5:$E$560,$A34,'02_ツリー'!$O$5:$O$560,0)=0))</x:f>
        <x:v>0</x:v>
      </x:c>
      <x:c r="J34" s="12" t="str">
        <x:f>IF($A34="","",IF(AND(B34&gt;0,C34&lt;0),"正負あり",IF(B34&gt;0,"正のみ",IF(C34&lt;0,"負のみ","ゼロ"))))</x:f>
        <x:v>正のみ</x:v>
      </x:c>
      <x:c r="K34" s="244" t="n">
        <x:f>IF($A34="","",--AND(B34&gt;0,C34&lt;0))</x:f>
        <x:v>0</x:v>
      </x:c>
      <x:c r="L34" s="244" t="n">
        <x:f>IF($A34="","",COUNTIF('02_ツリー'!$E$5:$E$560,$A34))</x:f>
        <x:v>1</x:v>
      </x:c>
      <x:c r="M34" s="244" t="n">
        <x:f>IF($A34="","",--(LEFT(A34,7)="Enable_"))</x:f>
        <x:v>0</x:v>
      </x:c>
      <x:c r="N34" s="12"/>
      <x:c r="O34" s="243" t="str">
        <x:v>数式テンプレート（新規行へコピー用）</x:v>
      </x:c>
      <x:c r="P34" s="243"/>
      <x:c r="Q34" s="12"/>
      <x:c r="R34" s="12"/>
      <x:c r="S34" s="12"/>
      <x:c r="T34" s="12"/>
      <x:c r="U34" s="12"/>
      <x:c r="V34" s="12"/>
      <x:c r="W34" s="12"/>
      <x:c r="X34" s="12"/>
      <x:c r="Y34" s="12"/>
    </x:row>
    <x:row r="35">
      <x:c r="A35" s="12" t="str">
        <x:f>IFERROR(INDEX('02_ツリー'!$E$5:$E$560,MATCH(ROWS($A$11:A35),'02_ツリー'!$R$5:$R$560,0)),"")</x:f>
        <x:v>A_base</x:v>
      </x:c>
      <x:c r="B35" s="48" t="n">
        <x:f>IF($A35="","",SUMIFS('02_ツリー'!$K$5:$K$560,'02_ツリー'!$E$5:$E$560,$A35,'02_ツリー'!$K$5:$K$560,"&gt;0"))</x:f>
        <x:v>0.027157395165524175</x:v>
      </x:c>
      <x:c r="C35" s="48" t="n">
        <x:f>IF($A35="","",SUMIFS('02_ツリー'!$K$5:$K$560,'02_ツリー'!$E$5:$E$560,$A35,'02_ツリー'!$K$5:$K$560,"&lt;0"))</x:f>
        <x:v>0</x:v>
      </x:c>
      <x:c r="D35" s="48" t="n">
        <x:f>IF($A35="","",B35+C35)</x:f>
        <x:v>0.027157395165524175</x:v>
      </x:c>
      <x:c r="E35" s="48" t="n">
        <x:f>IF($A35="","",B35-C35)</x:f>
        <x:v>0.027157395165524175</x:v>
      </x:c>
      <x:c r="F35" s="48" t="n">
        <x:f>IF($A35="","",SUMIFS('02_ツリー'!$H$5:$H$560,'02_ツリー'!$E$5:$E$560,$A35,'02_ツリー'!$K$5:$K$560,"&gt;0"))</x:f>
        <x:v>0.24300000000000002</x:v>
      </x:c>
      <x:c r="G35" s="48" t="n">
        <x:f>IF($A35="","",-SUMIFS('02_ツリー'!$H$5:$H$560,'02_ツリー'!$E$5:$E$560,$A35,'02_ツリー'!$K$5:$K$560,"&lt;0"))</x:f>
        <x:v>0</x:v>
      </x:c>
      <x:c r="H35" s="48" t="n">
        <x:f>IF($A35="","",F35+G35)</x:f>
        <x:v>0.24300000000000002</x:v>
      </x:c>
      <x:c r="I35" s="244" t="n">
        <x:f>IF($A35="","",--(COUNTIFS('02_ツリー'!$E$5:$E$560,$A35,'02_ツリー'!$O$5:$O$560,0)=0))</x:f>
        <x:v>0</x:v>
      </x:c>
      <x:c r="J35" s="12" t="str">
        <x:f>IF($A35="","",IF(AND(B35&gt;0,C35&lt;0),"正負あり",IF(B35&gt;0,"正のみ",IF(C35&lt;0,"負のみ","ゼロ"))))</x:f>
        <x:v>正のみ</x:v>
      </x:c>
      <x:c r="K35" s="244" t="n">
        <x:f>IF($A35="","",--AND(B35&gt;0,C35&lt;0))</x:f>
        <x:v>0</x:v>
      </x:c>
      <x:c r="L35" s="244" t="n">
        <x:f>IF($A35="","",COUNTIF('02_ツリー'!$E$5:$E$560,$A35))</x:f>
        <x:v>1</x:v>
      </x:c>
      <x:c r="M35" s="244" t="n">
        <x:f>IF($A35="","",--(LEFT(A35,7)="Enable_"))</x:f>
        <x:v>0</x:v>
      </x:c>
      <x:c r="N35" s="12"/>
      <x:c r="O35" s="243" t="str">
        <x:v>正感度 S+</x:v>
      </x:c>
      <x:c r="P35" s="243" t="n">
        <x:f>SUMIFS('02_ツリー'!$K$5:$K$560,'02_ツリー'!$E$5:$E$560,$A11,'02_ツリー'!$K$5:$K$560,"&gt;0")</x:f>
        <x:v>1</x:v>
      </x:c>
      <x:c r="Q35" s="12"/>
      <x:c r="R35" s="12"/>
      <x:c r="S35" s="12"/>
      <x:c r="T35" s="12"/>
      <x:c r="U35" s="12"/>
      <x:c r="V35" s="12"/>
      <x:c r="W35" s="12"/>
      <x:c r="X35" s="12"/>
      <x:c r="Y35" s="12"/>
    </x:row>
    <x:row r="36">
      <x:c r="A36" s="12" t="str">
        <x:f>IFERROR(INDEX('02_ツリー'!$E$5:$E$560,MATCH(ROWS($A$11:A36),'02_ツリー'!$R$5:$R$560,0)),"")</x:f>
        <x:v>t_base</x:v>
      </x:c>
      <x:c r="B36" s="48" t="n">
        <x:f>IF($A36="","",SUMIFS('02_ツリー'!$K$5:$K$560,'02_ツリー'!$E$5:$E$560,$A36,'02_ツリー'!$K$5:$K$560,"&gt;0"))</x:f>
        <x:v>0.027157395165524175</x:v>
      </x:c>
      <x:c r="C36" s="48" t="n">
        <x:f>IF($A36="","",SUMIFS('02_ツリー'!$K$5:$K$560,'02_ツリー'!$E$5:$E$560,$A36,'02_ツリー'!$K$5:$K$560,"&lt;0"))</x:f>
        <x:v>0</x:v>
      </x:c>
      <x:c r="D36" s="48" t="n">
        <x:f>IF($A36="","",B36+C36)</x:f>
        <x:v>0.027157395165524175</x:v>
      </x:c>
      <x:c r="E36" s="48" t="n">
        <x:f>IF($A36="","",B36-C36)</x:f>
        <x:v>0.027157395165524175</x:v>
      </x:c>
      <x:c r="F36" s="48" t="n">
        <x:f>IF($A36="","",SUMIFS('02_ツリー'!$H$5:$H$560,'02_ツリー'!$E$5:$E$560,$A36,'02_ツリー'!$K$5:$K$560,"&gt;0"))</x:f>
        <x:v>0.24300000000000002</x:v>
      </x:c>
      <x:c r="G36" s="48" t="n">
        <x:f>IF($A36="","",-SUMIFS('02_ツリー'!$H$5:$H$560,'02_ツリー'!$E$5:$E$560,$A36,'02_ツリー'!$K$5:$K$560,"&lt;0"))</x:f>
        <x:v>0</x:v>
      </x:c>
      <x:c r="H36" s="48" t="n">
        <x:f>IF($A36="","",F36+G36)</x:f>
        <x:v>0.24300000000000002</x:v>
      </x:c>
      <x:c r="I36" s="244" t="n">
        <x:f>IF($A36="","",--(COUNTIFS('02_ツリー'!$E$5:$E$560,$A36,'02_ツリー'!$O$5:$O$560,0)=0))</x:f>
        <x:v>0</x:v>
      </x:c>
      <x:c r="J36" s="12" t="str">
        <x:f>IF($A36="","",IF(AND(B36&gt;0,C36&lt;0),"正負あり",IF(B36&gt;0,"正のみ",IF(C36&lt;0,"負のみ","ゼロ"))))</x:f>
        <x:v>正のみ</x:v>
      </x:c>
      <x:c r="K36" s="244" t="n">
        <x:f>IF($A36="","",--AND(B36&gt;0,C36&lt;0))</x:f>
        <x:v>0</x:v>
      </x:c>
      <x:c r="L36" s="244" t="n">
        <x:f>IF($A36="","",COUNTIF('02_ツリー'!$E$5:$E$560,$A36))</x:f>
        <x:v>1</x:v>
      </x:c>
      <x:c r="M36" s="244" t="n">
        <x:f>IF($A36="","",--(LEFT(A36,7)="Enable_"))</x:f>
        <x:v>0</x:v>
      </x:c>
      <x:c r="N36" s="12"/>
      <x:c r="O36" s="243" t="str">
        <x:v>負感度 S-</x:v>
      </x:c>
      <x:c r="P36" s="243" t="n">
        <x:f>SUMIFS('02_ツリー'!$K$5:$K$560,'02_ツリー'!$E$5:$E$560,$A11,'02_ツリー'!$K$5:$K$560,"&lt;0")</x:f>
        <x:v>0</x:v>
      </x:c>
      <x:c r="Q36" s="12"/>
      <x:c r="R36" s="12"/>
      <x:c r="S36" s="12"/>
      <x:c r="T36" s="12"/>
      <x:c r="U36" s="12"/>
      <x:c r="V36" s="12"/>
      <x:c r="W36" s="12"/>
      <x:c r="X36" s="12"/>
      <x:c r="Y36" s="12"/>
    </x:row>
    <x:row r="37">
      <x:c r="A37" s="12" t="str">
        <x:f>IFERROR(INDEX('02_ツリー'!$E$5:$E$560,MATCH(ROWS($A$11:A37),'02_ツリー'!$R$5:$R$560,0)),"")</x:f>
        <x:v>rho_base</x:v>
      </x:c>
      <x:c r="B37" s="48" t="n">
        <x:f>IF($A37="","",SUMIFS('02_ツリー'!$K$5:$K$560,'02_ツリー'!$E$5:$E$560,$A37,'02_ツリー'!$K$5:$K$560,"&gt;0"))</x:f>
        <x:v>0.027157395165524175</x:v>
      </x:c>
      <x:c r="C37" s="48" t="n">
        <x:f>IF($A37="","",SUMIFS('02_ツリー'!$K$5:$K$560,'02_ツリー'!$E$5:$E$560,$A37,'02_ツリー'!$K$5:$K$560,"&lt;0"))</x:f>
        <x:v>0</x:v>
      </x:c>
      <x:c r="D37" s="48" t="n">
        <x:f>IF($A37="","",B37+C37)</x:f>
        <x:v>0.027157395165524175</x:v>
      </x:c>
      <x:c r="E37" s="48" t="n">
        <x:f>IF($A37="","",B37-C37)</x:f>
        <x:v>0.027157395165524175</x:v>
      </x:c>
      <x:c r="F37" s="48" t="n">
        <x:f>IF($A37="","",SUMIFS('02_ツリー'!$H$5:$H$560,'02_ツリー'!$E$5:$E$560,$A37,'02_ツリー'!$K$5:$K$560,"&gt;0"))</x:f>
        <x:v>0.24300000000000002</x:v>
      </x:c>
      <x:c r="G37" s="48" t="n">
        <x:f>IF($A37="","",-SUMIFS('02_ツリー'!$H$5:$H$560,'02_ツリー'!$E$5:$E$560,$A37,'02_ツリー'!$K$5:$K$560,"&lt;0"))</x:f>
        <x:v>0</x:v>
      </x:c>
      <x:c r="H37" s="48" t="n">
        <x:f>IF($A37="","",F37+G37)</x:f>
        <x:v>0.24300000000000002</x:v>
      </x:c>
      <x:c r="I37" s="244" t="n">
        <x:f>IF($A37="","",--(COUNTIFS('02_ツリー'!$E$5:$E$560,$A37,'02_ツリー'!$O$5:$O$560,0)=0))</x:f>
        <x:v>1</x:v>
      </x:c>
      <x:c r="J37" s="12" t="str">
        <x:f>IF($A37="","",IF(AND(B37&gt;0,C37&lt;0),"正負あり",IF(B37&gt;0,"正のみ",IF(C37&lt;0,"負のみ","ゼロ"))))</x:f>
        <x:v>正のみ</x:v>
      </x:c>
      <x:c r="K37" s="244" t="n">
        <x:f>IF($A37="","",--AND(B37&gt;0,C37&lt;0))</x:f>
        <x:v>0</x:v>
      </x:c>
      <x:c r="L37" s="244" t="n">
        <x:f>IF($A37="","",COUNTIF('02_ツリー'!$E$5:$E$560,$A37))</x:f>
        <x:v>1</x:v>
      </x:c>
      <x:c r="M37" s="244" t="n">
        <x:f>IF($A37="","",--(LEFT(A37,7)="Enable_"))</x:f>
        <x:v>0</x:v>
      </x:c>
      <x:c r="N37" s="12"/>
      <x:c r="O37" s="243" t="str">
        <x:v>正等価重量</x:v>
      </x:c>
      <x:c r="P37" s="243" t="n">
        <x:f>SUMIFS('02_ツリー'!$H$5:$H$560,'02_ツリー'!$E$5:$E$560,$A11,'02_ツリー'!$K$5:$K$560,"&gt;0")</x:f>
        <x:v>8.94783901471096</x:v>
      </x:c>
      <x:c r="Q37" s="12"/>
      <x:c r="R37" s="12"/>
      <x:c r="S37" s="12"/>
      <x:c r="T37" s="12"/>
      <x:c r="U37" s="12"/>
      <x:c r="V37" s="12"/>
      <x:c r="W37" s="12"/>
      <x:c r="X37" s="12"/>
      <x:c r="Y37" s="12"/>
    </x:row>
    <x:row r="38">
      <x:c r="A38" s="12" t="str">
        <x:f>IFERROR(INDEX('02_ツリー'!$E$5:$E$560,MATCH(ROWS($A$11:A38),'02_ツリー'!$R$5:$R$560,0)),"")</x:f>
        <x:v>m_pkg</x:v>
      </x:c>
      <x:c r="B38" s="48" t="n">
        <x:f>IF($A38="","",SUMIFS('02_ツリー'!$K$5:$K$560,'02_ツリー'!$E$5:$E$560,$A38,'02_ツリー'!$K$5:$K$560,"&gt;0"))</x:f>
        <x:v>0.05029147252874847</x:v>
      </x:c>
      <x:c r="C38" s="48" t="n">
        <x:f>IF($A38="","",SUMIFS('02_ツリー'!$K$5:$K$560,'02_ツリー'!$E$5:$E$560,$A38,'02_ツリー'!$K$5:$K$560,"&lt;0"))</x:f>
        <x:v>0</x:v>
      </x:c>
      <x:c r="D38" s="48" t="n">
        <x:f>IF($A38="","",B38+C38)</x:f>
        <x:v>0.05029147252874847</x:v>
      </x:c>
      <x:c r="E38" s="48" t="n">
        <x:f>IF($A38="","",B38-C38)</x:f>
        <x:v>0.05029147252874847</x:v>
      </x:c>
      <x:c r="F38" s="48" t="n">
        <x:f>IF($A38="","",SUMIFS('02_ツリー'!$H$5:$H$560,'02_ツリー'!$E$5:$E$560,$A38,'02_ツリー'!$K$5:$K$560,"&gt;0"))</x:f>
        <x:v>0.45</x:v>
      </x:c>
      <x:c r="G38" s="48" t="n">
        <x:f>IF($A38="","",-SUMIFS('02_ツリー'!$H$5:$H$560,'02_ツリー'!$E$5:$E$560,$A38,'02_ツリー'!$K$5:$K$560,"&lt;0"))</x:f>
        <x:v>0</x:v>
      </x:c>
      <x:c r="H38" s="48" t="n">
        <x:f>IF($A38="","",F38+G38)</x:f>
        <x:v>0.45</x:v>
      </x:c>
      <x:c r="I38" s="244" t="n">
        <x:f>IF($A38="","",--(COUNTIFS('02_ツリー'!$E$5:$E$560,$A38,'02_ツリー'!$O$5:$O$560,0)=0))</x:f>
        <x:v>1</x:v>
      </x:c>
      <x:c r="J38" s="12" t="str">
        <x:f>IF($A38="","",IF(AND(B38&gt;0,C38&lt;0),"正負あり",IF(B38&gt;0,"正のみ",IF(C38&lt;0,"負のみ","ゼロ"))))</x:f>
        <x:v>正のみ</x:v>
      </x:c>
      <x:c r="K38" s="244" t="n">
        <x:f>IF($A38="","",--AND(B38&gt;0,C38&lt;0))</x:f>
        <x:v>0</x:v>
      </x:c>
      <x:c r="L38" s="244" t="n">
        <x:f>IF($A38="","",COUNTIF('02_ツリー'!$E$5:$E$560,$A38))</x:f>
        <x:v>1</x:v>
      </x:c>
      <x:c r="M38" s="244" t="n">
        <x:f>IF($A38="","",--(LEFT(A38,7)="Enable_"))</x:f>
        <x:v>0</x:v>
      </x:c>
      <x:c r="N38" s="12"/>
      <x:c r="O38" s="243" t="str">
        <x:v>負等価重量</x:v>
      </x:c>
      <x:c r="P38" s="243" t="n">
        <x:f>-SUMIFS('02_ツリー'!$H$5:$H$560,'02_ツリー'!$E$5:$E$560,$A11,'02_ツリー'!$K$5:$K$560,"&lt;0")</x:f>
        <x:v>0</x:v>
      </x:c>
      <x:c r="Q38" s="12"/>
      <x:c r="R38" s="12"/>
      <x:c r="S38" s="12"/>
      <x:c r="T38" s="12"/>
      <x:c r="U38" s="12"/>
      <x:c r="V38" s="12"/>
      <x:c r="W38" s="12"/>
      <x:c r="X38" s="12"/>
      <x:c r="Y38" s="12"/>
    </x:row>
    <x:row r="39">
      <x:c r="A39" s="12" t="str">
        <x:f>IFERROR(INDEX('02_ツリー'!$E$5:$E$560,MATCH(ROWS($A$11:A39),'02_ツリー'!$R$5:$R$560,0)),"")</x:f>
        <x:v>M_cool</x:v>
      </x:c>
      <x:c r="B39" s="48" t="n">
        <x:f>IF($A39="","",SUMIFS('02_ツリー'!$K$5:$K$560,'02_ツリー'!$E$5:$E$560,$A39,'02_ツリー'!$K$5:$K$560,"&gt;0"))</x:f>
        <x:v>0.08373939465801336</x:v>
      </x:c>
      <x:c r="C39" s="48" t="n">
        <x:f>IF($A39="","",SUMIFS('02_ツリー'!$K$5:$K$560,'02_ツリー'!$E$5:$E$560,$A39,'02_ツリー'!$K$5:$K$560,"&lt;0"))</x:f>
        <x:v>0</x:v>
      </x:c>
      <x:c r="D39" s="48" t="n">
        <x:f>IF($A39="","",B39+C39)</x:f>
        <x:v>0.08373939465801336</x:v>
      </x:c>
      <x:c r="E39" s="48" t="n">
        <x:f>IF($A39="","",B39-C39)</x:f>
        <x:v>0.08373939465801336</x:v>
      </x:c>
      <x:c r="F39" s="48" t="n">
        <x:f>IF($A39="","",SUMIFS('02_ツリー'!$H$5:$H$560,'02_ツリー'!$E$5:$E$560,$A39,'02_ツリー'!$K$5:$K$560,"&gt;0"))</x:f>
        <x:v>0.7492866225892505</x:v>
      </x:c>
      <x:c r="G39" s="48" t="n">
        <x:f>IF($A39="","",-SUMIFS('02_ツリー'!$H$5:$H$560,'02_ツリー'!$E$5:$E$560,$A39,'02_ツリー'!$K$5:$K$560,"&lt;0"))</x:f>
        <x:v>0</x:v>
      </x:c>
      <x:c r="H39" s="48" t="n">
        <x:f>IF($A39="","",F39+G39)</x:f>
        <x:v>0.7492866225892505</x:v>
      </x:c>
      <x:c r="I39" s="244" t="n">
        <x:f>IF($A39="","",--(COUNTIFS('02_ツリー'!$E$5:$E$560,$A39,'02_ツリー'!$O$5:$O$560,0)=0))</x:f>
        <x:v>0</x:v>
      </x:c>
      <x:c r="J39" s="12" t="str">
        <x:f>IF($A39="","",IF(AND(B39&gt;0,C39&lt;0),"正負あり",IF(B39&gt;0,"正のみ",IF(C39&lt;0,"負のみ","ゼロ"))))</x:f>
        <x:v>正のみ</x:v>
      </x:c>
      <x:c r="K39" s="244" t="n">
        <x:f>IF($A39="","",--AND(B39&gt;0,C39&lt;0))</x:f>
        <x:v>0</x:v>
      </x:c>
      <x:c r="L39" s="244" t="n">
        <x:f>IF($A39="","",COUNTIF('02_ツリー'!$E$5:$E$560,$A39))</x:f>
        <x:v>1</x:v>
      </x:c>
      <x:c r="M39" s="244" t="n">
        <x:f>IF($A39="","",--(LEFT(A39,7)="Enable_"))</x:f>
        <x:v>0</x:v>
      </x:c>
      <x:c r="N39" s="12"/>
      <x:c r="O39" s="243" t="str">
        <x:v>最終変数</x:v>
      </x:c>
      <x:c r="P39" s="243" t="n">
        <x:f>--(COUNTIFS('02_ツリー'!$E$5:$E$560,$A11,'02_ツリー'!$O$5:$O$560,0)=0)</x:f>
        <x:v>0</x:v>
      </x:c>
      <x:c r="Q39" s="12"/>
      <x:c r="R39" s="12"/>
      <x:c r="S39" s="12"/>
      <x:c r="T39" s="12"/>
      <x:c r="U39" s="12"/>
      <x:c r="V39" s="12"/>
      <x:c r="W39" s="12"/>
      <x:c r="X39" s="12"/>
      <x:c r="Y39" s="12"/>
    </x:row>
    <x:row r="40">
      <x:c r="A40" s="12" t="str">
        <x:f>IFERROR(INDEX('02_ツリー'!$E$5:$E$560,MATCH(ROWS($A$11:A40),'02_ツリー'!$R$5:$R$560,0)),"")</x:f>
        <x:v>m_hx</x:v>
      </x:c>
      <x:c r="B40" s="48" t="n">
        <x:f>IF($A40="","",SUMIFS('02_ツリー'!$K$5:$K$560,'02_ツリー'!$E$5:$E$560,$A40,'02_ツリー'!$K$5:$K$560,"&gt;0"))</x:f>
        <x:v>0.022272039345098575</x:v>
      </x:c>
      <x:c r="C40" s="48" t="n">
        <x:f>IF($A40="","",SUMIFS('02_ツリー'!$K$5:$K$560,'02_ツリー'!$E$5:$E$560,$A40,'02_ツリー'!$K$5:$K$560,"&lt;0"))</x:f>
        <x:v>0</x:v>
      </x:c>
      <x:c r="D40" s="48" t="n">
        <x:f>IF($A40="","",B40+C40)</x:f>
        <x:v>0.022272039345098575</x:v>
      </x:c>
      <x:c r="E40" s="48" t="n">
        <x:f>IF($A40="","",B40-C40)</x:f>
        <x:v>0.022272039345098575</x:v>
      </x:c>
      <x:c r="F40" s="48" t="n">
        <x:f>IF($A40="","",SUMIFS('02_ツリー'!$H$5:$H$560,'02_ツリー'!$E$5:$E$560,$A40,'02_ツリー'!$K$5:$K$560,"&gt;0"))</x:f>
        <x:v>0.19928662258925056</x:v>
      </x:c>
      <x:c r="G40" s="48" t="n">
        <x:f>IF($A40="","",-SUMIFS('02_ツリー'!$H$5:$H$560,'02_ツリー'!$E$5:$E$560,$A40,'02_ツリー'!$K$5:$K$560,"&lt;0"))</x:f>
        <x:v>0</x:v>
      </x:c>
      <x:c r="H40" s="48" t="n">
        <x:f>IF($A40="","",F40+G40)</x:f>
        <x:v>0.19928662258925056</x:v>
      </x:c>
      <x:c r="I40" s="244" t="n">
        <x:f>IF($A40="","",--(COUNTIFS('02_ツリー'!$E$5:$E$560,$A40,'02_ツリー'!$O$5:$O$560,0)=0))</x:f>
        <x:v>0</x:v>
      </x:c>
      <x:c r="J40" s="12" t="str">
        <x:f>IF($A40="","",IF(AND(B40&gt;0,C40&lt;0),"正負あり",IF(B40&gt;0,"正のみ",IF(C40&lt;0,"負のみ","ゼロ"))))</x:f>
        <x:v>正のみ</x:v>
      </x:c>
      <x:c r="K40" s="244" t="n">
        <x:f>IF($A40="","",--AND(B40&gt;0,C40&lt;0))</x:f>
        <x:v>0</x:v>
      </x:c>
      <x:c r="L40" s="244" t="n">
        <x:f>IF($A40="","",COUNTIF('02_ツリー'!$E$5:$E$560,$A40))</x:f>
        <x:v>1</x:v>
      </x:c>
      <x:c r="M40" s="244" t="n">
        <x:f>IF($A40="","",--(LEFT(A40,7)="Enable_"))</x:f>
        <x:v>0</x:v>
      </x:c>
      <x:c r="N40" s="12"/>
      <x:c r="O40" s="12"/>
      <x:c r="P40" s="12"/>
      <x:c r="Q40" s="12"/>
      <x:c r="R40" s="12"/>
      <x:c r="S40" s="12"/>
      <x:c r="T40" s="12"/>
      <x:c r="U40" s="12"/>
      <x:c r="V40" s="12"/>
      <x:c r="W40" s="12"/>
      <x:c r="X40" s="12"/>
      <x:c r="Y40" s="12"/>
    </x:row>
    <x:row r="41">
      <x:c r="A41" s="12" t="str">
        <x:f>IFERROR(INDEX('02_ツリー'!$E$5:$E$560,MATCH(ROWS($A$11:A41),'02_ツリー'!$R$5:$R$560,0)),"")</x:f>
        <x:v>Q_req</x:v>
      </x:c>
      <x:c r="B41" s="48" t="n">
        <x:f>IF($A41="","",SUMIFS('02_ツリー'!$K$5:$K$560,'02_ツリー'!$E$5:$E$560,$A41,'02_ツリー'!$K$5:$K$560,"&gt;0"))</x:f>
        <x:v>0.022272039345098575</x:v>
      </x:c>
      <x:c r="C41" s="48" t="n">
        <x:f>IF($A41="","",SUMIFS('02_ツリー'!$K$5:$K$560,'02_ツリー'!$E$5:$E$560,$A41,'02_ツリー'!$K$5:$K$560,"&lt;0"))</x:f>
        <x:v>0</x:v>
      </x:c>
      <x:c r="D41" s="48" t="n">
        <x:f>IF($A41="","",B41+C41)</x:f>
        <x:v>0.022272039345098575</x:v>
      </x:c>
      <x:c r="E41" s="48" t="n">
        <x:f>IF($A41="","",B41-C41)</x:f>
        <x:v>0.022272039345098575</x:v>
      </x:c>
      <x:c r="F41" s="48" t="n">
        <x:f>IF($A41="","",SUMIFS('02_ツリー'!$H$5:$H$560,'02_ツリー'!$E$5:$E$560,$A41,'02_ツリー'!$K$5:$K$560,"&gt;0"))</x:f>
        <x:v>0.19928662258925056</x:v>
      </x:c>
      <x:c r="G41" s="48" t="n">
        <x:f>IF($A41="","",-SUMIFS('02_ツリー'!$H$5:$H$560,'02_ツリー'!$E$5:$E$560,$A41,'02_ツリー'!$K$5:$K$560,"&lt;0"))</x:f>
        <x:v>0</x:v>
      </x:c>
      <x:c r="H41" s="48" t="n">
        <x:f>IF($A41="","",F41+G41)</x:f>
        <x:v>0.19928662258925056</x:v>
      </x:c>
      <x:c r="I41" s="244" t="n">
        <x:f>IF($A41="","",--(COUNTIFS('02_ツリー'!$E$5:$E$560,$A41,'02_ツリー'!$O$5:$O$560,0)=0))</x:f>
        <x:v>0</x:v>
      </x:c>
      <x:c r="J41" s="12" t="str">
        <x:f>IF($A41="","",IF(AND(B41&gt;0,C41&lt;0),"正負あり",IF(B41&gt;0,"正のみ",IF(C41&lt;0,"負のみ","ゼロ"))))</x:f>
        <x:v>正のみ</x:v>
      </x:c>
      <x:c r="K41" s="244" t="n">
        <x:f>IF($A41="","",--AND(B41&gt;0,C41&lt;0))</x:f>
        <x:v>0</x:v>
      </x:c>
      <x:c r="L41" s="244" t="n">
        <x:f>IF($A41="","",COUNTIF('02_ツリー'!$E$5:$E$560,$A41))</x:f>
        <x:v>1</x:v>
      </x:c>
      <x:c r="M41" s="244" t="n">
        <x:f>IF($A41="","",--(LEFT(A41,7)="Enable_"))</x:f>
        <x:v>0</x:v>
      </x:c>
      <x:c r="N41" s="12"/>
      <x:c r="O41" s="12"/>
      <x:c r="P41" s="12"/>
      <x:c r="Q41" s="12"/>
      <x:c r="R41" s="12"/>
      <x:c r="S41" s="12"/>
      <x:c r="T41" s="12"/>
      <x:c r="U41" s="12"/>
      <x:c r="V41" s="12"/>
      <x:c r="W41" s="12"/>
      <x:c r="X41" s="12"/>
      <x:c r="Y41" s="12"/>
    </x:row>
    <x:row r="42">
      <x:c r="A42" s="12" t="str">
        <x:f>IFERROR(INDEX('02_ツリー'!$E$5:$E$560,MATCH(ROWS($A$11:A42),'02_ツリー'!$R$5:$R$560,0)),"")</x:f>
        <x:v>K_th</x:v>
      </x:c>
      <x:c r="B42" s="48" t="n">
        <x:f>IF($A42="","",SUMIFS('02_ツリー'!$K$5:$K$560,'02_ツリー'!$E$5:$E$560,$A42,'02_ツリー'!$K$5:$K$560,"&gt;0"))</x:f>
        <x:v>0.022272039345098575</x:v>
      </x:c>
      <x:c r="C42" s="48" t="n">
        <x:f>IF($A42="","",SUMIFS('02_ツリー'!$K$5:$K$560,'02_ツリー'!$E$5:$E$560,$A42,'02_ツリー'!$K$5:$K$560,"&lt;0"))</x:f>
        <x:v>0</x:v>
      </x:c>
      <x:c r="D42" s="48" t="n">
        <x:f>IF($A42="","",B42+C42)</x:f>
        <x:v>0.022272039345098575</x:v>
      </x:c>
      <x:c r="E42" s="48" t="n">
        <x:f>IF($A42="","",B42-C42)</x:f>
        <x:v>0.022272039345098575</x:v>
      </x:c>
      <x:c r="F42" s="48" t="n">
        <x:f>IF($A42="","",SUMIFS('02_ツリー'!$H$5:$H$560,'02_ツリー'!$E$5:$E$560,$A42,'02_ツリー'!$K$5:$K$560,"&gt;0"))</x:f>
        <x:v>0.19928662258925056</x:v>
      </x:c>
      <x:c r="G42" s="48" t="n">
        <x:f>IF($A42="","",-SUMIFS('02_ツリー'!$H$5:$H$560,'02_ツリー'!$E$5:$E$560,$A42,'02_ツリー'!$K$5:$K$560,"&lt;0"))</x:f>
        <x:v>0</x:v>
      </x:c>
      <x:c r="H42" s="48" t="n">
        <x:f>IF($A42="","",F42+G42)</x:f>
        <x:v>0.19928662258925056</x:v>
      </x:c>
      <x:c r="I42" s="244" t="n">
        <x:f>IF($A42="","",--(COUNTIFS('02_ツリー'!$E$5:$E$560,$A42,'02_ツリー'!$O$5:$O$560,0)=0))</x:f>
        <x:v>1</x:v>
      </x:c>
      <x:c r="J42" s="12" t="str">
        <x:f>IF($A42="","",IF(AND(B42&gt;0,C42&lt;0),"正負あり",IF(B42&gt;0,"正のみ",IF(C42&lt;0,"負のみ","ゼロ"))))</x:f>
        <x:v>正のみ</x:v>
      </x:c>
      <x:c r="K42" s="244" t="n">
        <x:f>IF($A42="","",--AND(B42&gt;0,C42&lt;0))</x:f>
        <x:v>0</x:v>
      </x:c>
      <x:c r="L42" s="244" t="n">
        <x:f>IF($A42="","",COUNTIF('02_ツリー'!$E$5:$E$560,$A42))</x:f>
        <x:v>1</x:v>
      </x:c>
      <x:c r="M42" s="244" t="n">
        <x:f>IF($A42="","",--(LEFT(A42,7)="Enable_"))</x:f>
        <x:v>0</x:v>
      </x:c>
      <x:c r="N42" s="12"/>
      <x:c r="O42" s="12"/>
      <x:c r="P42" s="12"/>
      <x:c r="Q42" s="12"/>
      <x:c r="R42" s="12"/>
      <x:c r="S42" s="12"/>
      <x:c r="T42" s="12"/>
      <x:c r="U42" s="12"/>
      <x:c r="V42" s="12"/>
      <x:c r="W42" s="12"/>
      <x:c r="X42" s="12"/>
      <x:c r="Y42" s="12"/>
    </x:row>
    <x:row r="43">
      <x:c r="A43" s="12" t="str">
        <x:f>IFERROR(INDEX('02_ツリー'!$E$5:$E$560,MATCH(ROWS($A$11:A43),'02_ツリー'!$R$5:$R$560,0)),"")</x:f>
        <x:v>P_loss</x:v>
      </x:c>
      <x:c r="B43" s="48" t="n">
        <x:f>IF($A43="","",SUMIFS('02_ツリー'!$K$5:$K$560,'02_ツリー'!$E$5:$E$560,$A43,'02_ツリー'!$K$5:$K$560,"&gt;0"))</x:f>
        <x:v>0.0076288042837652</x:v>
      </x:c>
      <x:c r="C43" s="48" t="n">
        <x:f>IF($A43="","",SUMIFS('02_ツリー'!$K$5:$K$560,'02_ツリー'!$E$5:$E$560,$A43,'02_ツリー'!$K$5:$K$560,"&lt;0"))</x:f>
        <x:v>0</x:v>
      </x:c>
      <x:c r="D43" s="48" t="n">
        <x:f>IF($A43="","",B43+C43)</x:f>
        <x:v>0.0076288042837652</x:v>
      </x:c>
      <x:c r="E43" s="48" t="n">
        <x:f>IF($A43="","",B43-C43)</x:f>
        <x:v>0.0076288042837652</x:v>
      </x:c>
      <x:c r="F43" s="48" t="n">
        <x:f>IF($A43="","",SUMIFS('02_ツリー'!$H$5:$H$560,'02_ツリー'!$E$5:$E$560,$A43,'02_ツリー'!$K$5:$K$560,"&gt;0"))</x:f>
        <x:v>0.06826131260586836</x:v>
      </x:c>
      <x:c r="G43" s="48" t="n">
        <x:f>IF($A43="","",-SUMIFS('02_ツリー'!$H$5:$H$560,'02_ツリー'!$E$5:$E$560,$A43,'02_ツリー'!$K$5:$K$560,"&lt;0"))</x:f>
        <x:v>0</x:v>
      </x:c>
      <x:c r="H43" s="48" t="n">
        <x:f>IF($A43="","",F43+G43)</x:f>
        <x:v>0.06826131260586836</x:v>
      </x:c>
      <x:c r="I43" s="244" t="n">
        <x:f>IF($A43="","",--(COUNTIFS('02_ツリー'!$E$5:$E$560,$A43,'02_ツリー'!$O$5:$O$560,0)=0))</x:f>
        <x:v>0</x:v>
      </x:c>
      <x:c r="J43" s="12" t="str">
        <x:f>IF($A43="","",IF(AND(B43&gt;0,C43&lt;0),"正負あり",IF(B43&gt;0,"正のみ",IF(C43&lt;0,"負のみ","ゼロ"))))</x:f>
        <x:v>正のみ</x:v>
      </x:c>
      <x:c r="K43" s="244" t="n">
        <x:f>IF($A43="","",--AND(B43&gt;0,C43&lt;0))</x:f>
        <x:v>0</x:v>
      </x:c>
      <x:c r="L43" s="244" t="n">
        <x:f>IF($A43="","",COUNTIF('02_ツリー'!$E$5:$E$560,$A43))</x:f>
        <x:v>1</x:v>
      </x:c>
      <x:c r="M43" s="244" t="n">
        <x:f>IF($A43="","",--(LEFT(A43,7)="Enable_"))</x:f>
        <x:v>0</x:v>
      </x:c>
      <x:c r="N43" s="12"/>
      <x:c r="O43" s="12"/>
      <x:c r="P43" s="12"/>
      <x:c r="Q43" s="12"/>
      <x:c r="R43" s="12"/>
      <x:c r="S43" s="12"/>
      <x:c r="T43" s="12"/>
      <x:c r="U43" s="12"/>
      <x:c r="V43" s="12"/>
      <x:c r="W43" s="12"/>
      <x:c r="X43" s="12"/>
      <x:c r="Y43" s="12"/>
    </x:row>
    <x:row r="44">
      <x:c r="A44" s="12" t="str">
        <x:f>IFERROR(INDEX('02_ツリー'!$E$5:$E$560,MATCH(ROWS($A$11:A44),'02_ツリー'!$R$5:$R$560,0)),"")</x:f>
        <x:v>P_cond</x:v>
      </x:c>
      <x:c r="B44" s="48" t="n">
        <x:f>IF($A44="","",SUMIFS('02_ツリー'!$K$5:$K$560,'02_ツリー'!$E$5:$E$560,$A44,'02_ツリー'!$K$5:$K$560,"&gt;0"))</x:f>
        <x:v>0.00006437034150358829</x:v>
      </x:c>
      <x:c r="C44" s="48" t="n">
        <x:f>IF($A44="","",SUMIFS('02_ツリー'!$K$5:$K$560,'02_ツリー'!$E$5:$E$560,$A44,'02_ツリー'!$K$5:$K$560,"&lt;0"))</x:f>
        <x:v>0</x:v>
      </x:c>
      <x:c r="D44" s="48" t="n">
        <x:f>IF($A44="","",B44+C44)</x:f>
        <x:v>0.00006437034150358829</x:v>
      </x:c>
      <x:c r="E44" s="48" t="n">
        <x:f>IF($A44="","",B44-C44)</x:f>
        <x:v>0.00006437034150358829</x:v>
      </x:c>
      <x:c r="F44" s="48" t="n">
        <x:f>IF($A44="","",SUMIFS('02_ツリー'!$H$5:$H$560,'02_ツリー'!$E$5:$E$560,$A44,'02_ツリー'!$K$5:$K$560,"&gt;0"))</x:f>
        <x:v>0.0005759754530960755</x:v>
      </x:c>
      <x:c r="G44" s="48" t="n">
        <x:f>IF($A44="","",-SUMIFS('02_ツリー'!$H$5:$H$560,'02_ツリー'!$E$5:$E$560,$A44,'02_ツリー'!$K$5:$K$560,"&lt;0"))</x:f>
        <x:v>0</x:v>
      </x:c>
      <x:c r="H44" s="48" t="n">
        <x:f>IF($A44="","",F44+G44)</x:f>
        <x:v>0.0005759754530960755</x:v>
      </x:c>
      <x:c r="I44" s="244" t="n">
        <x:f>IF($A44="","",--(COUNTIFS('02_ツリー'!$E$5:$E$560,$A44,'02_ツリー'!$O$5:$O$560,0)=0))</x:f>
        <x:v>0</x:v>
      </x:c>
      <x:c r="J44" s="12" t="str">
        <x:f>IF($A44="","",IF(AND(B44&gt;0,C44&lt;0),"正負あり",IF(B44&gt;0,"正のみ",IF(C44&lt;0,"負のみ","ゼロ"))))</x:f>
        <x:v>正のみ</x:v>
      </x:c>
      <x:c r="K44" s="244" t="n">
        <x:f>IF($A44="","",--AND(B44&gt;0,C44&lt;0))</x:f>
        <x:v>0</x:v>
      </x:c>
      <x:c r="L44" s="244" t="n">
        <x:f>IF($A44="","",COUNTIF('02_ツリー'!$E$5:$E$560,$A44))</x:f>
        <x:v>1</x:v>
      </x:c>
      <x:c r="M44" s="244" t="n">
        <x:f>IF($A44="","",--(LEFT(A44,7)="Enable_"))</x:f>
        <x:v>0</x:v>
      </x:c>
      <x:c r="N44" s="12"/>
      <x:c r="O44" s="12"/>
      <x:c r="P44" s="12"/>
      <x:c r="Q44" s="12"/>
      <x:c r="R44" s="12"/>
      <x:c r="S44" s="12"/>
      <x:c r="T44" s="12"/>
      <x:c r="U44" s="12"/>
      <x:c r="V44" s="12"/>
      <x:c r="W44" s="12"/>
      <x:c r="X44" s="12"/>
      <x:c r="Y44" s="12"/>
    </x:row>
    <x:row r="45">
      <x:c r="A45" s="12" t="str">
        <x:f>IFERROR(INDEX('02_ツリー'!$E$5:$E$560,MATCH(ROWS($A$11:A45),'02_ツリー'!$R$5:$R$560,0)),"")</x:f>
        <x:v>R_on_eq</x:v>
      </x:c>
      <x:c r="B45" s="48" t="n">
        <x:f>IF($A45="","",SUMIFS('02_ツリー'!$K$5:$K$560,'02_ツリー'!$E$5:$E$560,$A45,'02_ツリー'!$K$5:$K$560,"&gt;0"))</x:f>
        <x:v>0.00006437034150358829</x:v>
      </x:c>
      <x:c r="C45" s="48" t="n">
        <x:f>IF($A45="","",SUMIFS('02_ツリー'!$K$5:$K$560,'02_ツリー'!$E$5:$E$560,$A45,'02_ツリー'!$K$5:$K$560,"&lt;0"))</x:f>
        <x:v>0</x:v>
      </x:c>
      <x:c r="D45" s="48" t="n">
        <x:f>IF($A45="","",B45+C45)</x:f>
        <x:v>0.00006437034150358829</x:v>
      </x:c>
      <x:c r="E45" s="48" t="n">
        <x:f>IF($A45="","",B45-C45)</x:f>
        <x:v>0.00006437034150358829</x:v>
      </x:c>
      <x:c r="F45" s="48" t="n">
        <x:f>IF($A45="","",SUMIFS('02_ツリー'!$H$5:$H$560,'02_ツリー'!$E$5:$E$560,$A45,'02_ツリー'!$K$5:$K$560,"&gt;0"))</x:f>
        <x:v>0.0005759754530960755</x:v>
      </x:c>
      <x:c r="G45" s="48" t="n">
        <x:f>IF($A45="","",-SUMIFS('02_ツリー'!$H$5:$H$560,'02_ツリー'!$E$5:$E$560,$A45,'02_ツリー'!$K$5:$K$560,"&lt;0"))</x:f>
        <x:v>0</x:v>
      </x:c>
      <x:c r="H45" s="48" t="n">
        <x:f>IF($A45="","",F45+G45)</x:f>
        <x:v>0.0005759754530960755</x:v>
      </x:c>
      <x:c r="I45" s="244" t="n">
        <x:f>IF($A45="","",--(COUNTIFS('02_ツリー'!$E$5:$E$560,$A45,'02_ツリー'!$O$5:$O$560,0)=0))</x:f>
        <x:v>0</x:v>
      </x:c>
      <x:c r="J45" s="12" t="str">
        <x:f>IF($A45="","",IF(AND(B45&gt;0,C45&lt;0),"正負あり",IF(B45&gt;0,"正のみ",IF(C45&lt;0,"負のみ","ゼロ"))))</x:f>
        <x:v>正のみ</x:v>
      </x:c>
      <x:c r="K45" s="244" t="n">
        <x:f>IF($A45="","",--AND(B45&gt;0,C45&lt;0))</x:f>
        <x:v>0</x:v>
      </x:c>
      <x:c r="L45" s="244" t="n">
        <x:f>IF($A45="","",COUNTIF('02_ツリー'!$E$5:$E$560,$A45))</x:f>
        <x:v>1</x:v>
      </x:c>
      <x:c r="M45" s="244" t="n">
        <x:f>IF($A45="","",--(LEFT(A45,7)="Enable_"))</x:f>
        <x:v>0</x:v>
      </x:c>
      <x:c r="N45" s="12"/>
      <x:c r="O45" s="12"/>
      <x:c r="P45" s="12"/>
      <x:c r="Q45" s="12"/>
      <x:c r="R45" s="12"/>
      <x:c r="S45" s="12"/>
      <x:c r="T45" s="12"/>
      <x:c r="U45" s="12"/>
      <x:c r="V45" s="12"/>
      <x:c r="W45" s="12"/>
      <x:c r="X45" s="12"/>
      <x:c r="Y45" s="12"/>
    </x:row>
    <x:row r="46">
      <x:c r="A46" s="12" t="str">
        <x:f>IFERROR(INDEX('02_ツリー'!$E$5:$E$560,MATCH(ROWS($A$11:A46),'02_ツリー'!$R$5:$R$560,0)),"")</x:f>
        <x:v>Rsp_total</x:v>
      </x:c>
      <x:c r="B46" s="48" t="n">
        <x:f>IF($A46="","",SUMIFS('02_ツリー'!$K$5:$K$560,'02_ツリー'!$E$5:$E$560,$A46,'02_ツリー'!$K$5:$K$560,"&gt;0"))</x:f>
        <x:v>0.00006437034150358829</x:v>
      </x:c>
      <x:c r="C46" s="48" t="n">
        <x:f>IF($A46="","",SUMIFS('02_ツリー'!$K$5:$K$560,'02_ツリー'!$E$5:$E$560,$A46,'02_ツリー'!$K$5:$K$560,"&lt;0"))</x:f>
        <x:v>0</x:v>
      </x:c>
      <x:c r="D46" s="48" t="n">
        <x:f>IF($A46="","",B46+C46)</x:f>
        <x:v>0.00006437034150358829</x:v>
      </x:c>
      <x:c r="E46" s="48" t="n">
        <x:f>IF($A46="","",B46-C46)</x:f>
        <x:v>0.00006437034150358829</x:v>
      </x:c>
      <x:c r="F46" s="48" t="n">
        <x:f>IF($A46="","",SUMIFS('02_ツリー'!$H$5:$H$560,'02_ツリー'!$E$5:$E$560,$A46,'02_ツリー'!$K$5:$K$560,"&gt;0"))</x:f>
        <x:v>0.0005759754530960755</x:v>
      </x:c>
      <x:c r="G46" s="48" t="n">
        <x:f>IF($A46="","",-SUMIFS('02_ツリー'!$H$5:$H$560,'02_ツリー'!$E$5:$E$560,$A46,'02_ツリー'!$K$5:$K$560,"&lt;0"))</x:f>
        <x:v>0</x:v>
      </x:c>
      <x:c r="H46" s="48" t="n">
        <x:f>IF($A46="","",F46+G46)</x:f>
        <x:v>0.0005759754530960755</x:v>
      </x:c>
      <x:c r="I46" s="244" t="n">
        <x:f>IF($A46="","",--(COUNTIFS('02_ツリー'!$E$5:$E$560,$A46,'02_ツリー'!$O$5:$O$560,0)=0))</x:f>
        <x:v>0</x:v>
      </x:c>
      <x:c r="J46" s="12" t="str">
        <x:f>IF($A46="","",IF(AND(B46&gt;0,C46&lt;0),"正負あり",IF(B46&gt;0,"正のみ",IF(C46&lt;0,"負のみ","ゼロ"))))</x:f>
        <x:v>正のみ</x:v>
      </x:c>
      <x:c r="K46" s="244" t="n">
        <x:f>IF($A46="","",--AND(B46&gt;0,C46&lt;0))</x:f>
        <x:v>0</x:v>
      </x:c>
      <x:c r="L46" s="244" t="n">
        <x:f>IF($A46="","",COUNTIF('02_ツリー'!$E$5:$E$560,$A46))</x:f>
        <x:v>1</x:v>
      </x:c>
      <x:c r="M46" s="244" t="n">
        <x:f>IF($A46="","",--(LEFT(A46,7)="Enable_"))</x:f>
        <x:v>0</x:v>
      </x:c>
      <x:c r="N46" s="12"/>
      <x:c r="O46" s="12"/>
      <x:c r="P46" s="12"/>
      <x:c r="Q46" s="12"/>
      <x:c r="R46" s="12"/>
      <x:c r="S46" s="12"/>
      <x:c r="T46" s="12"/>
      <x:c r="U46" s="12"/>
      <x:c r="V46" s="12"/>
      <x:c r="W46" s="12"/>
      <x:c r="X46" s="12"/>
      <x:c r="Y46" s="12"/>
    </x:row>
    <x:row r="47">
      <x:c r="A47" s="12" t="str">
        <x:f>IFERROR(INDEX('02_ツリー'!$E$5:$E$560,MATCH(ROWS($A$11:A47),'02_ツリー'!$R$5:$R$560,0)),"")</x:f>
        <x:v>Rsp_drift</x:v>
      </x:c>
      <x:c r="B47" s="48" t="n">
        <x:f>IF($A47="","",SUMIFS('02_ツリー'!$K$5:$K$560,'02_ツリー'!$E$5:$E$560,$A47,'02_ツリー'!$K$5:$K$560,"&gt;0"))</x:f>
        <x:v>0.0000626731385105064</x:v>
      </x:c>
      <x:c r="C47" s="48" t="n">
        <x:f>IF($A47="","",SUMIFS('02_ツリー'!$K$5:$K$560,'02_ツリー'!$E$5:$E$560,$A47,'02_ツリー'!$K$5:$K$560,"&lt;0"))</x:f>
        <x:v>0</x:v>
      </x:c>
      <x:c r="D47" s="48" t="n">
        <x:f>IF($A47="","",B47+C47)</x:f>
        <x:v>0.0000626731385105064</x:v>
      </x:c>
      <x:c r="E47" s="48" t="n">
        <x:f>IF($A47="","",B47-C47)</x:f>
        <x:v>0.0000626731385105064</x:v>
      </x:c>
      <x:c r="F47" s="48" t="n">
        <x:f>IF($A47="","",SUMIFS('02_ツリー'!$H$5:$H$560,'02_ツリー'!$E$5:$E$560,$A47,'02_ツリー'!$K$5:$K$560,"&gt;0"))</x:f>
        <x:v>0.0005607891539386931</x:v>
      </x:c>
      <x:c r="G47" s="48" t="n">
        <x:f>IF($A47="","",-SUMIFS('02_ツリー'!$H$5:$H$560,'02_ツリー'!$E$5:$E$560,$A47,'02_ツリー'!$K$5:$K$560,"&lt;0"))</x:f>
        <x:v>0</x:v>
      </x:c>
      <x:c r="H47" s="48" t="n">
        <x:f>IF($A47="","",F47+G47)</x:f>
        <x:v>0.0005607891539386931</x:v>
      </x:c>
      <x:c r="I47" s="244" t="n">
        <x:f>IF($A47="","",--(COUNTIFS('02_ツリー'!$E$5:$E$560,$A47,'02_ツリー'!$O$5:$O$560,0)=0))</x:f>
        <x:v>0</x:v>
      </x:c>
      <x:c r="J47" s="12" t="str">
        <x:f>IF($A47="","",IF(AND(B47&gt;0,C47&lt;0),"正負あり",IF(B47&gt;0,"正のみ",IF(C47&lt;0,"負のみ","ゼロ"))))</x:f>
        <x:v>正のみ</x:v>
      </x:c>
      <x:c r="K47" s="244" t="n">
        <x:f>IF($A47="","",--AND(B47&gt;0,C47&lt;0))</x:f>
        <x:v>0</x:v>
      </x:c>
      <x:c r="L47" s="244" t="n">
        <x:f>IF($A47="","",COUNTIF('02_ツリー'!$E$5:$E$560,$A47))</x:f>
        <x:v>1</x:v>
      </x:c>
      <x:c r="M47" s="244" t="n">
        <x:f>IF($A47="","",--(LEFT(A47,7)="Enable_"))</x:f>
        <x:v>0</x:v>
      </x:c>
      <x:c r="N47" s="12"/>
      <x:c r="O47" s="12"/>
      <x:c r="P47" s="12"/>
      <x:c r="Q47" s="12"/>
      <x:c r="R47" s="12"/>
      <x:c r="S47" s="12"/>
      <x:c r="T47" s="12"/>
      <x:c r="U47" s="12"/>
      <x:c r="V47" s="12"/>
      <x:c r="W47" s="12"/>
      <x:c r="X47" s="12"/>
      <x:c r="Y47" s="12"/>
    </x:row>
    <x:row r="48">
      <x:c r="A48" s="12" t="str">
        <x:f>IFERROR(INDEX('02_ツリー'!$E$5:$E$560,MATCH(ROWS($A$11:A48),'02_ツリー'!$R$5:$R$560,0)),"")</x:f>
        <x:v>K_rsp</x:v>
      </x:c>
      <x:c r="B48" s="48" t="n">
        <x:f>IF($A48="","",SUMIFS('02_ツリー'!$K$5:$K$560,'02_ツリー'!$E$5:$E$560,$A48,'02_ツリー'!$K$5:$K$560,"&gt;0"))</x:f>
        <x:v>0.0000626731385105064</x:v>
      </x:c>
      <x:c r="C48" s="48" t="n">
        <x:f>IF($A48="","",SUMIFS('02_ツリー'!$K$5:$K$560,'02_ツリー'!$E$5:$E$560,$A48,'02_ツリー'!$K$5:$K$560,"&lt;0"))</x:f>
        <x:v>0</x:v>
      </x:c>
      <x:c r="D48" s="48" t="n">
        <x:f>IF($A48="","",B48+C48)</x:f>
        <x:v>0.0000626731385105064</x:v>
      </x:c>
      <x:c r="E48" s="48" t="n">
        <x:f>IF($A48="","",B48-C48)</x:f>
        <x:v>0.0000626731385105064</x:v>
      </x:c>
      <x:c r="F48" s="48" t="n">
        <x:f>IF($A48="","",SUMIFS('02_ツリー'!$H$5:$H$560,'02_ツリー'!$E$5:$E$560,$A48,'02_ツリー'!$K$5:$K$560,"&gt;0"))</x:f>
        <x:v>0.0005607891539386931</x:v>
      </x:c>
      <x:c r="G48" s="48" t="n">
        <x:f>IF($A48="","",-SUMIFS('02_ツリー'!$H$5:$H$560,'02_ツリー'!$E$5:$E$560,$A48,'02_ツリー'!$K$5:$K$560,"&lt;0"))</x:f>
        <x:v>0</x:v>
      </x:c>
      <x:c r="H48" s="48" t="n">
        <x:f>IF($A48="","",F48+G48)</x:f>
        <x:v>0.0005607891539386931</x:v>
      </x:c>
      <x:c r="I48" s="244" t="n">
        <x:f>IF($A48="","",--(COUNTIFS('02_ツリー'!$E$5:$E$560,$A48,'02_ツリー'!$O$5:$O$560,0)=0))</x:f>
        <x:v>1</x:v>
      </x:c>
      <x:c r="J48" s="12" t="str">
        <x:f>IF($A48="","",IF(AND(B48&gt;0,C48&lt;0),"正負あり",IF(B48&gt;0,"正のみ",IF(C48&lt;0,"負のみ","ゼロ"))))</x:f>
        <x:v>正のみ</x:v>
      </x:c>
      <x:c r="K48" s="244" t="n">
        <x:f>IF($A48="","",--AND(B48&gt;0,C48&lt;0))</x:f>
        <x:v>0</x:v>
      </x:c>
      <x:c r="L48" s="244" t="n">
        <x:f>IF($A48="","",COUNTIF('02_ツリー'!$E$5:$E$560,$A48))</x:f>
        <x:v>1</x:v>
      </x:c>
      <x:c r="M48" s="244" t="n">
        <x:f>IF($A48="","",--(LEFT(A48,7)="Enable_"))</x:f>
        <x:v>0</x:v>
      </x:c>
      <x:c r="N48" s="12"/>
      <x:c r="O48" s="12"/>
      <x:c r="P48" s="12"/>
      <x:c r="Q48" s="12"/>
      <x:c r="R48" s="12"/>
      <x:c r="S48" s="12"/>
      <x:c r="T48" s="12"/>
      <x:c r="U48" s="12"/>
      <x:c r="V48" s="12"/>
      <x:c r="W48" s="12"/>
      <x:c r="X48" s="12"/>
      <x:c r="Y48" s="12"/>
    </x:row>
    <x:row r="49">
      <x:c r="A49" s="12" t="str">
        <x:f>IFERROR(INDEX('02_ツリー'!$E$5:$E$560,MATCH(ROWS($A$11:A49),'02_ツリー'!$R$5:$R$560,0)),"")</x:f>
        <x:v>rho_drift</x:v>
      </x:c>
      <x:c r="B49" s="48" t="n">
        <x:f>IF($A49="","",SUMIFS('02_ツリー'!$K$5:$K$560,'02_ツリー'!$E$5:$E$560,$A49,'02_ツリー'!$K$5:$K$560,"&gt;0"))</x:f>
        <x:v>0.0000626731385105064</x:v>
      </x:c>
      <x:c r="C49" s="48" t="n">
        <x:f>IF($A49="","",SUMIFS('02_ツリー'!$K$5:$K$560,'02_ツリー'!$E$5:$E$560,$A49,'02_ツリー'!$K$5:$K$560,"&lt;0"))</x:f>
        <x:v>0</x:v>
      </x:c>
      <x:c r="D49" s="48" t="n">
        <x:f>IF($A49="","",B49+C49)</x:f>
        <x:v>0.0000626731385105064</x:v>
      </x:c>
      <x:c r="E49" s="48" t="n">
        <x:f>IF($A49="","",B49-C49)</x:f>
        <x:v>0.0000626731385105064</x:v>
      </x:c>
      <x:c r="F49" s="48" t="n">
        <x:f>IF($A49="","",SUMIFS('02_ツリー'!$H$5:$H$560,'02_ツリー'!$E$5:$E$560,$A49,'02_ツリー'!$K$5:$K$560,"&gt;0"))</x:f>
        <x:v>0.0005607891539386931</x:v>
      </x:c>
      <x:c r="G49" s="48" t="n">
        <x:f>IF($A49="","",-SUMIFS('02_ツリー'!$H$5:$H$560,'02_ツリー'!$E$5:$E$560,$A49,'02_ツリー'!$K$5:$K$560,"&lt;0"))</x:f>
        <x:v>0</x:v>
      </x:c>
      <x:c r="H49" s="48" t="n">
        <x:f>IF($A49="","",F49+G49)</x:f>
        <x:v>0.0005607891539386931</x:v>
      </x:c>
      <x:c r="I49" s="244" t="n">
        <x:f>IF($A49="","",--(COUNTIFS('02_ツリー'!$E$5:$E$560,$A49,'02_ツリー'!$O$5:$O$560,0)=0))</x:f>
        <x:v>0</x:v>
      </x:c>
      <x:c r="J49" s="12" t="str">
        <x:f>IF($A49="","",IF(AND(B49&gt;0,C49&lt;0),"正負あり",IF(B49&gt;0,"正のみ",IF(C49&lt;0,"負のみ","ゼロ"))))</x:f>
        <x:v>正のみ</x:v>
      </x:c>
      <x:c r="K49" s="244" t="n">
        <x:f>IF($A49="","",--AND(B49&gt;0,C49&lt;0))</x:f>
        <x:v>0</x:v>
      </x:c>
      <x:c r="L49" s="244" t="n">
        <x:f>IF($A49="","",COUNTIF('02_ツリー'!$E$5:$E$560,$A49))</x:f>
        <x:v>1</x:v>
      </x:c>
      <x:c r="M49" s="244" t="n">
        <x:f>IF($A49="","",--(LEFT(A49,7)="Enable_"))</x:f>
        <x:v>0</x:v>
      </x:c>
      <x:c r="N49" s="12"/>
      <x:c r="O49" s="12"/>
      <x:c r="P49" s="12"/>
      <x:c r="Q49" s="12"/>
      <x:c r="R49" s="12"/>
      <x:c r="S49" s="12"/>
      <x:c r="T49" s="12"/>
      <x:c r="U49" s="12"/>
      <x:c r="V49" s="12"/>
      <x:c r="W49" s="12"/>
      <x:c r="X49" s="12"/>
      <x:c r="Y49" s="12"/>
    </x:row>
    <x:row r="50">
      <x:c r="A50" s="12" t="str">
        <x:f>IFERROR(INDEX('02_ツリー'!$E$5:$E$560,MATCH(ROWS($A$11:A50),'02_ツリー'!$R$5:$R$560,0)),"")</x:f>
        <x:v>q_e</x:v>
      </x:c>
      <x:c r="B50" s="48" t="n">
        <x:f>IF($A50="","",SUMIFS('02_ツリー'!$K$5:$K$560,'02_ツリー'!$E$5:$E$560,$A50,'02_ツリー'!$K$5:$K$560,"&gt;0"))</x:f>
        <x:v>0</x:v>
      </x:c>
      <x:c r="C50" s="48" t="n">
        <x:f>IF($A50="","",SUMIFS('02_ツリー'!$K$5:$K$560,'02_ツリー'!$E$5:$E$560,$A50,'02_ツリー'!$K$5:$K$560,"&lt;0"))</x:f>
        <x:v>0</x:v>
      </x:c>
      <x:c r="D50" s="48" t="n">
        <x:f>IF($A50="","",B50+C50)</x:f>
        <x:v>0</x:v>
      </x:c>
      <x:c r="E50" s="48" t="n">
        <x:f>IF($A50="","",B50-C50)</x:f>
        <x:v>0</x:v>
      </x:c>
      <x:c r="F50" s="48" t="n">
        <x:f>IF($A50="","",SUMIFS('02_ツリー'!$H$5:$H$560,'02_ツリー'!$E$5:$E$560,$A50,'02_ツリー'!$K$5:$K$560,"&gt;0"))</x:f>
        <x:v>0</x:v>
      </x:c>
      <x:c r="G50" s="48" t="n">
        <x:f>IF($A50="","",-SUMIFS('02_ツリー'!$H$5:$H$560,'02_ツリー'!$E$5:$E$560,$A50,'02_ツリー'!$K$5:$K$560,"&lt;0"))</x:f>
        <x:v>0</x:v>
      </x:c>
      <x:c r="H50" s="48" t="n">
        <x:f>IF($A50="","",F50+G50)</x:f>
        <x:v>0</x:v>
      </x:c>
      <x:c r="I50" s="244" t="n">
        <x:f>IF($A50="","",--(COUNTIFS('02_ツリー'!$E$5:$E$560,$A50,'02_ツリー'!$O$5:$O$560,0)=0))</x:f>
        <x:v>1</x:v>
      </x:c>
      <x:c r="J50" s="12" t="str">
        <x:f>IF($A50="","",IF(AND(B50&gt;0,C50&lt;0),"正負あり",IF(B50&gt;0,"正のみ",IF(C50&lt;0,"負のみ","ゼロ"))))</x:f>
        <x:v>ゼロ</x:v>
      </x:c>
      <x:c r="K50" s="244" t="n">
        <x:f>IF($A50="","",--AND(B50&gt;0,C50&lt;0))</x:f>
        <x:v>0</x:v>
      </x:c>
      <x:c r="L50" s="244" t="n">
        <x:f>IF($A50="","",COUNTIF('02_ツリー'!$E$5:$E$560,$A50))</x:f>
        <x:v>1</x:v>
      </x:c>
      <x:c r="M50" s="244" t="n">
        <x:f>IF($A50="","",--(LEFT(A50,7)="Enable_"))</x:f>
        <x:v>0</x:v>
      </x:c>
      <x:c r="N50" s="12"/>
      <x:c r="O50" s="12"/>
      <x:c r="P50" s="12"/>
      <x:c r="Q50" s="12"/>
      <x:c r="R50" s="12"/>
      <x:c r="S50" s="12"/>
      <x:c r="T50" s="12"/>
      <x:c r="U50" s="12"/>
      <x:c r="V50" s="12"/>
      <x:c r="W50" s="12"/>
      <x:c r="X50" s="12"/>
      <x:c r="Y50" s="12"/>
    </x:row>
    <x:row r="51">
      <x:c r="A51" s="12" t="str">
        <x:f>IFERROR(INDEX('02_ツリー'!$E$5:$E$560,MATCH(ROWS($A$11:A51),'02_ツリー'!$R$5:$R$560,0)),"")</x:f>
        <x:v>mu_n</x:v>
      </x:c>
      <x:c r="B51" s="48" t="n">
        <x:f>IF($A51="","",SUMIFS('02_ツリー'!$K$5:$K$560,'02_ツリー'!$E$5:$E$560,$A51,'02_ツリー'!$K$5:$K$560,"&gt;0"))</x:f>
        <x:v>0</x:v>
      </x:c>
      <x:c r="C51" s="48" t="n">
        <x:f>IF($A51="","",SUMIFS('02_ツリー'!$K$5:$K$560,'02_ツリー'!$E$5:$E$560,$A51,'02_ツリー'!$K$5:$K$560,"&lt;0"))</x:f>
        <x:v>-0.0000626731385105064</x:v>
      </x:c>
      <x:c r="D51" s="48" t="n">
        <x:f>IF($A51="","",B51+C51)</x:f>
        <x:v>-0.0000626731385105064</x:v>
      </x:c>
      <x:c r="E51" s="48" t="n">
        <x:f>IF($A51="","",B51-C51)</x:f>
        <x:v>0.0000626731385105064</x:v>
      </x:c>
      <x:c r="F51" s="48" t="n">
        <x:f>IF($A51="","",SUMIFS('02_ツリー'!$H$5:$H$560,'02_ツリー'!$E$5:$E$560,$A51,'02_ツリー'!$K$5:$K$560,"&gt;0"))</x:f>
        <x:v>0</x:v>
      </x:c>
      <x:c r="G51" s="48" t="n">
        <x:f>IF($A51="","",-SUMIFS('02_ツリー'!$H$5:$H$560,'02_ツリー'!$E$5:$E$560,$A51,'02_ツリー'!$K$5:$K$560,"&lt;0"))</x:f>
        <x:v>-0.0005607891539386931</x:v>
      </x:c>
      <x:c r="H51" s="48" t="n">
        <x:f>IF($A51="","",F51+G51)</x:f>
        <x:v>-0.0005607891539386931</x:v>
      </x:c>
      <x:c r="I51" s="244" t="n">
        <x:f>IF($A51="","",--(COUNTIFS('02_ツリー'!$E$5:$E$560,$A51,'02_ツリー'!$O$5:$O$560,0)=0))</x:f>
        <x:v>1</x:v>
      </x:c>
      <x:c r="J51" s="12" t="str">
        <x:f>IF($A51="","",IF(AND(B51&gt;0,C51&lt;0),"正負あり",IF(B51&gt;0,"正のみ",IF(C51&lt;0,"負のみ","ゼロ"))))</x:f>
        <x:v>負のみ</x:v>
      </x:c>
      <x:c r="K51" s="244" t="n">
        <x:f>IF($A51="","",--AND(B51&gt;0,C51&lt;0))</x:f>
        <x:v>0</x:v>
      </x:c>
      <x:c r="L51" s="244" t="n">
        <x:f>IF($A51="","",COUNTIF('02_ツリー'!$E$5:$E$560,$A51))</x:f>
        <x:v>1</x:v>
      </x:c>
      <x:c r="M51" s="244" t="n">
        <x:f>IF($A51="","",--(LEFT(A51,7)="Enable_"))</x:f>
        <x:v>0</x:v>
      </x:c>
      <x:c r="N51" s="12"/>
      <x:c r="O51" s="12"/>
      <x:c r="P51" s="12"/>
      <x:c r="Q51" s="12"/>
      <x:c r="R51" s="12"/>
      <x:c r="S51" s="12"/>
      <x:c r="T51" s="12"/>
      <x:c r="U51" s="12"/>
      <x:c r="V51" s="12"/>
      <x:c r="W51" s="12"/>
      <x:c r="X51" s="12"/>
      <x:c r="Y51" s="12"/>
    </x:row>
    <x:row r="52">
      <x:c r="A52" s="12" t="str">
        <x:f>IFERROR(INDEX('02_ツリー'!$E$5:$E$560,MATCH(ROWS($A$11:A52),'02_ツリー'!$R$5:$R$560,0)),"")</x:f>
        <x:v>N_drift</x:v>
      </x:c>
      <x:c r="B52" s="48" t="n">
        <x:f>IF($A52="","",SUMIFS('02_ツリー'!$K$5:$K$560,'02_ツリー'!$E$5:$E$560,$A52,'02_ツリー'!$K$5:$K$560,"&gt;0"))</x:f>
        <x:v>0</x:v>
      </x:c>
      <x:c r="C52" s="48" t="n">
        <x:f>IF($A52="","",SUMIFS('02_ツリー'!$K$5:$K$560,'02_ツリー'!$E$5:$E$560,$A52,'02_ツリー'!$K$5:$K$560,"&lt;0"))</x:f>
        <x:v>-0.0000626731385105064</x:v>
      </x:c>
      <x:c r="D52" s="48" t="n">
        <x:f>IF($A52="","",B52+C52)</x:f>
        <x:v>-0.0000626731385105064</x:v>
      </x:c>
      <x:c r="E52" s="48" t="n">
        <x:f>IF($A52="","",B52-C52)</x:f>
        <x:v>0.0000626731385105064</x:v>
      </x:c>
      <x:c r="F52" s="48" t="n">
        <x:f>IF($A52="","",SUMIFS('02_ツリー'!$H$5:$H$560,'02_ツリー'!$E$5:$E$560,$A52,'02_ツリー'!$K$5:$K$560,"&gt;0"))</x:f>
        <x:v>0</x:v>
      </x:c>
      <x:c r="G52" s="48" t="n">
        <x:f>IF($A52="","",-SUMIFS('02_ツリー'!$H$5:$H$560,'02_ツリー'!$E$5:$E$560,$A52,'02_ツリー'!$K$5:$K$560,"&lt;0"))</x:f>
        <x:v>-0.0005607891539386931</x:v>
      </x:c>
      <x:c r="H52" s="48" t="n">
        <x:f>IF($A52="","",F52+G52)</x:f>
        <x:v>-0.0005607891539386931</x:v>
      </x:c>
      <x:c r="I52" s="244" t="n">
        <x:f>IF($A52="","",--(COUNTIFS('02_ツリー'!$E$5:$E$560,$A52,'02_ツリー'!$O$5:$O$560,0)=0))</x:f>
        <x:v>0</x:v>
      </x:c>
      <x:c r="J52" s="12" t="str">
        <x:f>IF($A52="","",IF(AND(B52&gt;0,C52&lt;0),"正負あり",IF(B52&gt;0,"正のみ",IF(C52&lt;0,"負のみ","ゼロ"))))</x:f>
        <x:v>負のみ</x:v>
      </x:c>
      <x:c r="K52" s="244" t="n">
        <x:f>IF($A52="","",--AND(B52&gt;0,C52&lt;0))</x:f>
        <x:v>0</x:v>
      </x:c>
      <x:c r="L52" s="244" t="n">
        <x:f>IF($A52="","",COUNTIF('02_ツリー'!$E$5:$E$560,$A52))</x:f>
        <x:v>1</x:v>
      </x:c>
      <x:c r="M52" s="244" t="n">
        <x:f>IF($A52="","",--(LEFT(A52,7)="Enable_"))</x:f>
        <x:v>0</x:v>
      </x:c>
      <x:c r="N52" s="12"/>
      <x:c r="O52" s="12"/>
      <x:c r="P52" s="12"/>
      <x:c r="Q52" s="12"/>
      <x:c r="R52" s="12"/>
      <x:c r="S52" s="12"/>
      <x:c r="T52" s="12"/>
      <x:c r="U52" s="12"/>
      <x:c r="V52" s="12"/>
      <x:c r="W52" s="12"/>
      <x:c r="X52" s="12"/>
      <x:c r="Y52" s="12"/>
    </x:row>
    <x:row r="53">
      <x:c r="A53" s="12" t="str">
        <x:f>IFERROR(INDEX('02_ツリー'!$E$5:$E$560,MATCH(ROWS($A$11:A53),'02_ツリー'!$R$5:$R$560,0)),"")</x:f>
        <x:v>N_d_ref</x:v>
      </x:c>
      <x:c r="B53" s="48" t="n">
        <x:f>IF($A53="","",SUMIFS('02_ツリー'!$K$5:$K$560,'02_ツリー'!$E$5:$E$560,$A53,'02_ツリー'!$K$5:$K$560,"&gt;0"))</x:f>
        <x:v>0</x:v>
      </x:c>
      <x:c r="C53" s="48" t="n">
        <x:f>IF($A53="","",SUMIFS('02_ツリー'!$K$5:$K$560,'02_ツリー'!$E$5:$E$560,$A53,'02_ツリー'!$K$5:$K$560,"&lt;0"))</x:f>
        <x:v>-0.0000626731385105064</x:v>
      </x:c>
      <x:c r="D53" s="48" t="n">
        <x:f>IF($A53="","",B53+C53)</x:f>
        <x:v>-0.0000626731385105064</x:v>
      </x:c>
      <x:c r="E53" s="48" t="n">
        <x:f>IF($A53="","",B53-C53)</x:f>
        <x:v>0.0000626731385105064</x:v>
      </x:c>
      <x:c r="F53" s="48" t="n">
        <x:f>IF($A53="","",SUMIFS('02_ツリー'!$H$5:$H$560,'02_ツリー'!$E$5:$E$560,$A53,'02_ツリー'!$K$5:$K$560,"&gt;0"))</x:f>
        <x:v>0</x:v>
      </x:c>
      <x:c r="G53" s="48" t="n">
        <x:f>IF($A53="","",-SUMIFS('02_ツリー'!$H$5:$H$560,'02_ツリー'!$E$5:$E$560,$A53,'02_ツリー'!$K$5:$K$560,"&lt;0"))</x:f>
        <x:v>-0.0005607891539386931</x:v>
      </x:c>
      <x:c r="H53" s="48" t="n">
        <x:f>IF($A53="","",F53+G53)</x:f>
        <x:v>-0.0005607891539386931</x:v>
      </x:c>
      <x:c r="I53" s="244" t="n">
        <x:f>IF($A53="","",--(COUNTIFS('02_ツリー'!$E$5:$E$560,$A53,'02_ツリー'!$O$5:$O$560,0)=0))</x:f>
        <x:v>1</x:v>
      </x:c>
      <x:c r="J53" s="12" t="str">
        <x:f>IF($A53="","",IF(AND(B53&gt;0,C53&lt;0),"正負あり",IF(B53&gt;0,"正のみ",IF(C53&lt;0,"負のみ","ゼロ"))))</x:f>
        <x:v>負のみ</x:v>
      </x:c>
      <x:c r="K53" s="244" t="n">
        <x:f>IF($A53="","",--AND(B53&gt;0,C53&lt;0))</x:f>
        <x:v>0</x:v>
      </x:c>
      <x:c r="L53" s="244" t="n">
        <x:f>IF($A53="","",COUNTIF('02_ツリー'!$E$5:$E$560,$A53))</x:f>
        <x:v>1</x:v>
      </x:c>
      <x:c r="M53" s="244" t="n">
        <x:f>IF($A53="","",--(LEFT(A53,7)="Enable_"))</x:f>
        <x:v>0</x:v>
      </x:c>
      <x:c r="N53" s="12"/>
      <x:c r="O53" s="12"/>
      <x:c r="P53" s="12"/>
      <x:c r="Q53" s="12"/>
      <x:c r="R53" s="12"/>
      <x:c r="S53" s="12"/>
      <x:c r="T53" s="12"/>
      <x:c r="U53" s="12"/>
      <x:c r="V53" s="12"/>
      <x:c r="W53" s="12"/>
      <x:c r="X53" s="12"/>
      <x:c r="Y53" s="12"/>
    </x:row>
    <x:row r="54">
      <x:c r="A54" s="12" t="str">
        <x:f>IFERROR(INDEX('02_ツリー'!$E$5:$E$560,MATCH(ROWS($A$11:A54),'02_ツリー'!$R$5:$R$560,0)),"")</x:f>
        <x:v>V_ref_nd</x:v>
      </x:c>
      <x:c r="B54" s="48" t="n">
        <x:f>IF($A54="","",SUMIFS('02_ツリー'!$K$5:$K$560,'02_ツリー'!$E$5:$E$560,$A54,'02_ツリー'!$K$5:$K$560,"&gt;0"))</x:f>
        <x:v>0</x:v>
      </x:c>
      <x:c r="C54" s="48" t="n">
        <x:f>IF($A54="","",SUMIFS('02_ツリー'!$K$5:$K$560,'02_ツリー'!$E$5:$E$560,$A54,'02_ツリー'!$K$5:$K$560,"&lt;0"))</x:f>
        <x:v>-0.00007520776621260767</x:v>
      </x:c>
      <x:c r="D54" s="48" t="n">
        <x:f>IF($A54="","",B54+C54)</x:f>
        <x:v>-0.00007520776621260767</x:v>
      </x:c>
      <x:c r="E54" s="48" t="n">
        <x:f>IF($A54="","",B54-C54)</x:f>
        <x:v>0.00007520776621260767</x:v>
      </x:c>
      <x:c r="F54" s="48" t="n">
        <x:f>IF($A54="","",SUMIFS('02_ツリー'!$H$5:$H$560,'02_ツリー'!$E$5:$E$560,$A54,'02_ツリー'!$K$5:$K$560,"&gt;0"))</x:f>
        <x:v>0</x:v>
      </x:c>
      <x:c r="G54" s="48" t="n">
        <x:f>IF($A54="","",-SUMIFS('02_ツリー'!$H$5:$H$560,'02_ツリー'!$E$5:$E$560,$A54,'02_ツリー'!$K$5:$K$560,"&lt;0"))</x:f>
        <x:v>-0.0006729469847264316</x:v>
      </x:c>
      <x:c r="H54" s="48" t="n">
        <x:f>IF($A54="","",F54+G54)</x:f>
        <x:v>-0.0006729469847264316</x:v>
      </x:c>
      <x:c r="I54" s="244" t="n">
        <x:f>IF($A54="","",--(COUNTIFS('02_ツリー'!$E$5:$E$560,$A54,'02_ツリー'!$O$5:$O$560,0)=0))</x:f>
        <x:v>1</x:v>
      </x:c>
      <x:c r="J54" s="12" t="str">
        <x:f>IF($A54="","",IF(AND(B54&gt;0,C54&lt;0),"正負あり",IF(B54&gt;0,"正のみ",IF(C54&lt;0,"負のみ","ゼロ"))))</x:f>
        <x:v>負のみ</x:v>
      </x:c>
      <x:c r="K54" s="244" t="n">
        <x:f>IF($A54="","",--AND(B54&gt;0,C54&lt;0))</x:f>
        <x:v>0</x:v>
      </x:c>
      <x:c r="L54" s="244" t="n">
        <x:f>IF($A54="","",COUNTIF('02_ツリー'!$E$5:$E$560,$A54))</x:f>
        <x:v>1</x:v>
      </x:c>
      <x:c r="M54" s="244" t="n">
        <x:f>IF($A54="","",--(LEFT(A54,7)="Enable_"))</x:f>
        <x:v>0</x:v>
      </x:c>
      <x:c r="N54" s="12"/>
      <x:c r="O54" s="12"/>
      <x:c r="P54" s="12"/>
      <x:c r="Q54" s="12"/>
      <x:c r="R54" s="12"/>
      <x:c r="S54" s="12"/>
      <x:c r="T54" s="12"/>
      <x:c r="U54" s="12"/>
      <x:c r="V54" s="12"/>
      <x:c r="W54" s="12"/>
      <x:c r="X54" s="12"/>
      <x:c r="Y54" s="12"/>
    </x:row>
    <x:row r="55">
      <x:c r="A55" s="12" t="str">
        <x:f>IFERROR(INDEX('02_ツリー'!$E$5:$E$560,MATCH(ROWS($A$11:A55),'02_ツリー'!$R$5:$R$560,0)),"")</x:f>
        <x:v>a_nd</x:v>
      </x:c>
      <x:c r="B55" s="48" t="n">
        <x:f>IF($A55="","",SUMIFS('02_ツリー'!$K$5:$K$560,'02_ツリー'!$E$5:$E$560,$A55,'02_ツリー'!$K$5:$K$560,"&gt;0"))</x:f>
        <x:v>0</x:v>
      </x:c>
      <x:c r="C55" s="48" t="n">
        <x:f>IF($A55="","",SUMIFS('02_ツリー'!$K$5:$K$560,'02_ツリー'!$E$5:$E$560,$A55,'02_ツリー'!$K$5:$K$560,"&lt;0"))</x:f>
        <x:v>-0.000010258504121748273</x:v>
      </x:c>
      <x:c r="D55" s="48" t="n">
        <x:f>IF($A55="","",B55+C55)</x:f>
        <x:v>-0.000010258504121748273</x:v>
      </x:c>
      <x:c r="E55" s="48" t="n">
        <x:f>IF($A55="","",B55-C55)</x:f>
        <x:v>0.000010258504121748273</x:v>
      </x:c>
      <x:c r="F55" s="48" t="n">
        <x:f>IF($A55="","",SUMIFS('02_ツリー'!$H$5:$H$560,'02_ツリー'!$E$5:$E$560,$A55,'02_ツリー'!$K$5:$K$560,"&gt;0"))</x:f>
        <x:v>0</x:v>
      </x:c>
      <x:c r="G55" s="48" t="n">
        <x:f>IF($A55="","",-SUMIFS('02_ツリー'!$H$5:$H$560,'02_ツリー'!$E$5:$E$560,$A55,'02_ツリー'!$K$5:$K$560,"&lt;0"))</x:f>
        <x:v>-0.00009179144341315239</x:v>
      </x:c>
      <x:c r="H55" s="48" t="n">
        <x:f>IF($A55="","",F55+G55)</x:f>
        <x:v>-0.00009179144341315239</x:v>
      </x:c>
      <x:c r="I55" s="244" t="n">
        <x:f>IF($A55="","",--(COUNTIFS('02_ツリー'!$E$5:$E$560,$A55,'02_ツリー'!$O$5:$O$560,0)=0))</x:f>
        <x:v>1</x:v>
      </x:c>
      <x:c r="J55" s="12" t="str">
        <x:f>IF($A55="","",IF(AND(B55&gt;0,C55&lt;0),"正負あり",IF(B55&gt;0,"正のみ",IF(C55&lt;0,"負のみ","ゼロ"))))</x:f>
        <x:v>負のみ</x:v>
      </x:c>
      <x:c r="K55" s="244" t="n">
        <x:f>IF($A55="","",--AND(B55&gt;0,C55&lt;0))</x:f>
        <x:v>0</x:v>
      </x:c>
      <x:c r="L55" s="244" t="n">
        <x:f>IF($A55="","",COUNTIF('02_ツリー'!$E$5:$E$560,$A55))</x:f>
        <x:v>1</x:v>
      </x:c>
      <x:c r="M55" s="244" t="n">
        <x:f>IF($A55="","",--(LEFT(A55,7)="Enable_"))</x:f>
        <x:v>0</x:v>
      </x:c>
      <x:c r="N55" s="12"/>
      <x:c r="O55" s="12"/>
      <x:c r="P55" s="12"/>
      <x:c r="Q55" s="12"/>
      <x:c r="R55" s="12"/>
      <x:c r="S55" s="12"/>
      <x:c r="T55" s="12"/>
      <x:c r="U55" s="12"/>
      <x:c r="V55" s="12"/>
      <x:c r="W55" s="12"/>
      <x:c r="X55" s="12"/>
      <x:c r="Y55" s="12"/>
    </x:row>
    <x:row r="56">
      <x:c r="A56" s="12" t="str">
        <x:f>IFERROR(INDEX('02_ツリー'!$E$5:$E$560,MATCH(ROWS($A$11:A56),'02_ツリー'!$R$5:$R$560,0)),"")</x:f>
        <x:v>V_block_req</x:v>
      </x:c>
      <x:c r="B56" s="48" t="n">
        <x:f>IF($A56="","",SUMIFS('02_ツリー'!$K$5:$K$560,'02_ツリー'!$E$5:$E$560,$A56,'02_ツリー'!$K$5:$K$560,"&gt;0"))</x:f>
        <x:v>0.00013788090472311408</x:v>
      </x:c>
      <x:c r="C56" s="48" t="n">
        <x:f>IF($A56="","",SUMIFS('02_ツリー'!$K$5:$K$560,'02_ツリー'!$E$5:$E$560,$A56,'02_ツリー'!$K$5:$K$560,"&lt;0"))</x:f>
        <x:v>-0.002630453795143615</x:v>
      </x:c>
      <x:c r="D56" s="48" t="n">
        <x:f>IF($A56="","",B56+C56)</x:f>
        <x:v>-0.002492572890420501</x:v>
      </x:c>
      <x:c r="E56" s="48" t="n">
        <x:f>IF($A56="","",B56-C56)</x:f>
        <x:v>0.002768334699866729</x:v>
      </x:c>
      <x:c r="F56" s="48" t="n">
        <x:f>IF($A56="","",SUMIFS('02_ツリー'!$H$5:$H$560,'02_ツリー'!$E$5:$E$560,$A56,'02_ツリー'!$K$5:$K$560,"&gt;0"))</x:f>
        <x:v>0.0012337361386651246</x:v>
      </x:c>
      <x:c r="G56" s="48" t="n">
        <x:f>IF($A56="","",-SUMIFS('02_ツリー'!$H$5:$H$560,'02_ツリー'!$E$5:$E$560,$A56,'02_ツリー'!$K$5:$K$560,"&lt;0"))</x:f>
        <x:v>-0.02353687709458055</x:v>
      </x:c>
      <x:c r="H56" s="48" t="n">
        <x:f>IF($A56="","",F56+G56)</x:f>
        <x:v>-0.022303140955915426</x:v>
      </x:c>
      <x:c r="I56" s="244" t="n">
        <x:f>IF($A56="","",--(COUNTIFS('02_ツリー'!$E$5:$E$560,$A56,'02_ツリー'!$O$5:$O$560,0)=0))</x:f>
        <x:v>0</x:v>
      </x:c>
      <x:c r="J56" s="12" t="str">
        <x:f>IF($A56="","",IF(AND(B56&gt;0,C56&lt;0),"正負あり",IF(B56&gt;0,"正のみ",IF(C56&lt;0,"負のみ","ゼロ"))))</x:f>
        <x:v>正負あり</x:v>
      </x:c>
      <x:c r="K56" s="244" t="n">
        <x:f>IF($A56="","",--AND(B56&gt;0,C56&lt;0))</x:f>
        <x:v>1</x:v>
      </x:c>
      <x:c r="L56" s="244" t="n">
        <x:f>IF($A56="","",COUNTIF('02_ツリー'!$E$5:$E$560,$A56))</x:f>
        <x:v>3</x:v>
      </x:c>
      <x:c r="M56" s="244" t="n">
        <x:f>IF($A56="","",--(LEFT(A56,7)="Enable_"))</x:f>
        <x:v>0</x:v>
      </x:c>
      <x:c r="N56" s="12"/>
      <x:c r="O56" s="12"/>
      <x:c r="P56" s="12"/>
      <x:c r="Q56" s="12"/>
      <x:c r="R56" s="12"/>
      <x:c r="S56" s="12"/>
      <x:c r="T56" s="12"/>
      <x:c r="U56" s="12"/>
      <x:c r="V56" s="12"/>
      <x:c r="W56" s="12"/>
      <x:c r="X56" s="12"/>
      <x:c r="Y56" s="12"/>
    </x:row>
    <x:row r="57">
      <x:c r="A57" s="12" t="str">
        <x:f>IFERROR(INDEX('02_ツリー'!$E$5:$E$560,MATCH(ROWS($A$11:A57),'02_ツリー'!$R$5:$R$560,0)),"")</x:f>
        <x:v>K_vblk</x:v>
      </x:c>
      <x:c r="B57" s="48" t="n">
        <x:f>IF($A57="","",SUMIFS('02_ツリー'!$K$5:$K$560,'02_ツリー'!$E$5:$E$560,$A57,'02_ツリー'!$K$5:$K$560,"&gt;0"))</x:f>
        <x:v>0.00013169266835379525</x:v>
      </x:c>
      <x:c r="C57" s="48" t="n">
        <x:f>IF($A57="","",SUMIFS('02_ツリー'!$K$5:$K$560,'02_ツリー'!$E$5:$E$560,$A57,'02_ツリー'!$K$5:$K$560,"&lt;0"))</x:f>
        <x:v>-0.002512396331888577</x:v>
      </x:c>
      <x:c r="D57" s="48" t="n">
        <x:f>IF($A57="","",B57+C57)</x:f>
        <x:v>-0.002380703663534782</x:v>
      </x:c>
      <x:c r="E57" s="48" t="n">
        <x:f>IF($A57="","",B57-C57)</x:f>
        <x:v>0.002644089000242372</x:v>
      </x:c>
      <x:c r="F57" s="48" t="n">
        <x:f>IF($A57="","",SUMIFS('02_ツリー'!$H$5:$H$560,'02_ツリー'!$E$5:$E$560,$A57,'02_ツリー'!$K$5:$K$560,"&gt;0"))</x:f>
        <x:v>0.0011783647958474807</x:v>
      </x:c>
      <x:c r="G57" s="48" t="n">
        <x:f>IF($A57="","",-SUMIFS('02_ツリー'!$H$5:$H$560,'02_ツリー'!$E$5:$E$560,$A57,'02_ツリー'!$K$5:$K$560,"&lt;0"))</x:f>
        <x:v>-0.022480517918889314</x:v>
      </x:c>
      <x:c r="H57" s="48" t="n">
        <x:f>IF($A57="","",F57+G57)</x:f>
        <x:v>-0.021302153123041834</x:v>
      </x:c>
      <x:c r="I57" s="244" t="n">
        <x:f>IF($A57="","",--(COUNTIFS('02_ツリー'!$E$5:$E$560,$A57,'02_ツリー'!$O$5:$O$560,0)=0))</x:f>
        <x:v>1</x:v>
      </x:c>
      <x:c r="J57" s="12" t="str">
        <x:f>IF($A57="","",IF(AND(B57&gt;0,C57&lt;0),"正負あり",IF(B57&gt;0,"正のみ",IF(C57&lt;0,"負のみ","ゼロ"))))</x:f>
        <x:v>正負あり</x:v>
      </x:c>
      <x:c r="K57" s="244" t="n">
        <x:f>IF($A57="","",--AND(B57&gt;0,C57&lt;0))</x:f>
        <x:v>1</x:v>
      </x:c>
      <x:c r="L57" s="244" t="n">
        <x:f>IF($A57="","",COUNTIF('02_ツリー'!$E$5:$E$560,$A57))</x:f>
        <x:v>3</x:v>
      </x:c>
      <x:c r="M57" s="244" t="n">
        <x:f>IF($A57="","",--(LEFT(A57,7)="Enable_"))</x:f>
        <x:v>0</x:v>
      </x:c>
      <x:c r="N57" s="12"/>
      <x:c r="O57" s="12"/>
      <x:c r="P57" s="12"/>
      <x:c r="Q57" s="12"/>
      <x:c r="R57" s="12"/>
      <x:c r="S57" s="12"/>
      <x:c r="T57" s="12"/>
      <x:c r="U57" s="12"/>
      <x:c r="V57" s="12"/>
      <x:c r="W57" s="12"/>
      <x:c r="X57" s="12"/>
      <x:c r="Y57" s="12"/>
    </x:row>
    <x:row r="58">
      <x:c r="A58" s="12" t="str">
        <x:f>IFERROR(INDEX('02_ツリー'!$E$5:$E$560,MATCH(ROWS($A$11:A58),'02_ツリー'!$R$5:$R$560,0)),"")</x:f>
        <x:v>V_dc</x:v>
      </x:c>
      <x:c r="B58" s="48" t="n">
        <x:f>IF($A58="","",SUMIFS('02_ツリー'!$K$5:$K$560,'02_ツリー'!$E$5:$E$560,$A58,'02_ツリー'!$K$5:$K$560,"&gt;0"))</x:f>
        <x:v>0.29365066753154445</x:v>
      </x:c>
      <x:c r="C58" s="48" t="n">
        <x:f>IF($A58="","",SUMIFS('02_ツリー'!$K$5:$K$560,'02_ツリー'!$E$5:$E$560,$A58,'02_ツリー'!$K$5:$K$560,"&lt;0"))</x:f>
        <x:v>-0.2547477850650102</x:v>
      </x:c>
      <x:c r="D58" s="48" t="n">
        <x:f>IF($A58="","",B58+C58)</x:f>
        <x:v>0.03890288246653423</x:v>
      </x:c>
      <x:c r="E58" s="48" t="n">
        <x:f>IF($A58="","",B58-C58)</x:f>
        <x:v>0.5483984525965546</x:v>
      </x:c>
      <x:c r="F58" s="48" t="n">
        <x:f>IF($A58="","",SUMIFS('02_ツリー'!$H$5:$H$560,'02_ツリー'!$E$5:$E$560,$A58,'02_ツリー'!$K$5:$K$560,"&gt;0"))</x:f>
        <x:v>2.6275388996346707</x:v>
      </x:c>
      <x:c r="G58" s="48" t="n">
        <x:f>IF($A58="","",-SUMIFS('02_ツリー'!$H$5:$H$560,'02_ツリー'!$E$5:$E$560,$A58,'02_ツリー'!$K$5:$K$560,"&lt;0"))</x:f>
        <x:v>-2.2794421701159004</x:v>
      </x:c>
      <x:c r="H58" s="48" t="n">
        <x:f>IF($A58="","",F58+G58)</x:f>
        <x:v>0.34809672951877024</x:v>
      </x:c>
      <x:c r="I58" s="244" t="n">
        <x:f>IF($A58="","",--(COUNTIFS('02_ツリー'!$E$5:$E$560,$A58,'02_ツリー'!$O$5:$O$560,0)=0))</x:f>
        <x:v>1</x:v>
      </x:c>
      <x:c r="J58" s="12" t="str">
        <x:f>IF($A58="","",IF(AND(B58&gt;0,C58&lt;0),"正負あり",IF(B58&gt;0,"正のみ",IF(C58&lt;0,"負のみ","ゼロ"))))</x:f>
        <x:v>正負あり</x:v>
      </x:c>
      <x:c r="K58" s="244" t="n">
        <x:f>IF($A58="","",--AND(B58&gt;0,C58&lt;0))</x:f>
        <x:v>1</x:v>
      </x:c>
      <x:c r="L58" s="244" t="n">
        <x:f>IF($A58="","",COUNTIF('02_ツリー'!$E$5:$E$560,$A58))</x:f>
        <x:v>15</x:v>
      </x:c>
      <x:c r="M58" s="244" t="n">
        <x:f>IF($A58="","",--(LEFT(A58,7)="Enable_"))</x:f>
        <x:v>0</x:v>
      </x:c>
      <x:c r="N58" s="12"/>
      <x:c r="O58" s="12"/>
      <x:c r="P58" s="12"/>
      <x:c r="Q58" s="12"/>
      <x:c r="R58" s="12"/>
      <x:c r="S58" s="12"/>
      <x:c r="T58" s="12"/>
      <x:c r="U58" s="12"/>
      <x:c r="V58" s="12"/>
      <x:c r="W58" s="12"/>
      <x:c r="X58" s="12"/>
      <x:c r="Y58" s="12"/>
    </x:row>
    <x:row r="59">
      <x:c r="A59" s="12" t="str">
        <x:f>IFERROR(INDEX('02_ツリー'!$E$5:$E$560,MATCH(ROWS($A$11:A59),'02_ツリー'!$R$5:$R$560,0)),"")</x:f>
        <x:v>t_drift</x:v>
      </x:c>
      <x:c r="B59" s="48" t="n">
        <x:f>IF($A59="","",SUMIFS('02_ツリー'!$K$5:$K$560,'02_ツリー'!$E$5:$E$560,$A59,'02_ツリー'!$K$5:$K$560,"&gt;0"))</x:f>
        <x:v>0.0000626731385105064</x:v>
      </x:c>
      <x:c r="C59" s="48" t="n">
        <x:f>IF($A59="","",SUMIFS('02_ツリー'!$K$5:$K$560,'02_ツリー'!$E$5:$E$560,$A59,'02_ツリー'!$K$5:$K$560,"&lt;0"))</x:f>
        <x:v>0</x:v>
      </x:c>
      <x:c r="D59" s="48" t="n">
        <x:f>IF($A59="","",B59+C59)</x:f>
        <x:v>0.0000626731385105064</x:v>
      </x:c>
      <x:c r="E59" s="48" t="n">
        <x:f>IF($A59="","",B59-C59)</x:f>
        <x:v>0.0000626731385105064</x:v>
      </x:c>
      <x:c r="F59" s="48" t="n">
        <x:f>IF($A59="","",SUMIFS('02_ツリー'!$H$5:$H$560,'02_ツリー'!$E$5:$E$560,$A59,'02_ツリー'!$K$5:$K$560,"&gt;0"))</x:f>
        <x:v>0.0005607891539386931</x:v>
      </x:c>
      <x:c r="G59" s="48" t="n">
        <x:f>IF($A59="","",-SUMIFS('02_ツリー'!$H$5:$H$560,'02_ツリー'!$E$5:$E$560,$A59,'02_ツリー'!$K$5:$K$560,"&lt;0"))</x:f>
        <x:v>0</x:v>
      </x:c>
      <x:c r="H59" s="48" t="n">
        <x:f>IF($A59="","",F59+G59)</x:f>
        <x:v>0.0005607891539386931</x:v>
      </x:c>
      <x:c r="I59" s="244" t="n">
        <x:f>IF($A59="","",--(COUNTIFS('02_ツリー'!$E$5:$E$560,$A59,'02_ツリー'!$O$5:$O$560,0)=0))</x:f>
        <x:v>0</x:v>
      </x:c>
      <x:c r="J59" s="12" t="str">
        <x:f>IF($A59="","",IF(AND(B59&gt;0,C59&lt;0),"正負あり",IF(B59&gt;0,"正のみ",IF(C59&lt;0,"負のみ","ゼロ"))))</x:f>
        <x:v>正のみ</x:v>
      </x:c>
      <x:c r="K59" s="244" t="n">
        <x:f>IF($A59="","",--AND(B59&gt;0,C59&lt;0))</x:f>
        <x:v>0</x:v>
      </x:c>
      <x:c r="L59" s="244" t="n">
        <x:f>IF($A59="","",COUNTIF('02_ツリー'!$E$5:$E$560,$A59))</x:f>
        <x:v>1</x:v>
      </x:c>
      <x:c r="M59" s="244" t="n">
        <x:f>IF($A59="","",--(LEFT(A59,7)="Enable_"))</x:f>
        <x:v>0</x:v>
      </x:c>
      <x:c r="N59" s="12"/>
      <x:c r="O59" s="12"/>
      <x:c r="P59" s="12"/>
      <x:c r="Q59" s="12"/>
      <x:c r="R59" s="12"/>
      <x:c r="S59" s="12"/>
      <x:c r="T59" s="12"/>
      <x:c r="U59" s="12"/>
      <x:c r="V59" s="12"/>
      <x:c r="W59" s="12"/>
      <x:c r="X59" s="12"/>
      <x:c r="Y59" s="12"/>
    </x:row>
    <x:row r="60">
      <x:c r="A60" s="12" t="str">
        <x:f>IFERROR(INDEX('02_ツリー'!$E$5:$E$560,MATCH(ROWS($A$11:A60),'02_ツリー'!$R$5:$R$560,0)),"")</x:f>
        <x:v>K_tdrift</x:v>
      </x:c>
      <x:c r="B60" s="48" t="n">
        <x:f>IF($A60="","",SUMIFS('02_ツリー'!$K$5:$K$560,'02_ツリー'!$E$5:$E$560,$A60,'02_ツリー'!$K$5:$K$560,"&gt;0"))</x:f>
        <x:v>0.0000626731385105064</x:v>
      </x:c>
      <x:c r="C60" s="48" t="n">
        <x:f>IF($A60="","",SUMIFS('02_ツリー'!$K$5:$K$560,'02_ツリー'!$E$5:$E$560,$A60,'02_ツリー'!$K$5:$K$560,"&lt;0"))</x:f>
        <x:v>0</x:v>
      </x:c>
      <x:c r="D60" s="48" t="n">
        <x:f>IF($A60="","",B60+C60)</x:f>
        <x:v>0.0000626731385105064</x:v>
      </x:c>
      <x:c r="E60" s="48" t="n">
        <x:f>IF($A60="","",B60-C60)</x:f>
        <x:v>0.0000626731385105064</x:v>
      </x:c>
      <x:c r="F60" s="48" t="n">
        <x:f>IF($A60="","",SUMIFS('02_ツリー'!$H$5:$H$560,'02_ツリー'!$E$5:$E$560,$A60,'02_ツリー'!$K$5:$K$560,"&gt;0"))</x:f>
        <x:v>0.0005607891539386931</x:v>
      </x:c>
      <x:c r="G60" s="48" t="n">
        <x:f>IF($A60="","",-SUMIFS('02_ツリー'!$H$5:$H$560,'02_ツリー'!$E$5:$E$560,$A60,'02_ツリー'!$K$5:$K$560,"&lt;0"))</x:f>
        <x:v>0</x:v>
      </x:c>
      <x:c r="H60" s="48" t="n">
        <x:f>IF($A60="","",F60+G60)</x:f>
        <x:v>0.0005607891539386931</x:v>
      </x:c>
      <x:c r="I60" s="244" t="n">
        <x:f>IF($A60="","",--(COUNTIFS('02_ツリー'!$E$5:$E$560,$A60,'02_ツリー'!$O$5:$O$560,0)=0))</x:f>
        <x:v>1</x:v>
      </x:c>
      <x:c r="J60" s="12" t="str">
        <x:f>IF($A60="","",IF(AND(B60&gt;0,C60&lt;0),"正負あり",IF(B60&gt;0,"正のみ",IF(C60&lt;0,"負のみ","ゼロ"))))</x:f>
        <x:v>正のみ</x:v>
      </x:c>
      <x:c r="K60" s="244" t="n">
        <x:f>IF($A60="","",--AND(B60&gt;0,C60&lt;0))</x:f>
        <x:v>0</x:v>
      </x:c>
      <x:c r="L60" s="244" t="n">
        <x:f>IF($A60="","",COUNTIF('02_ツリー'!$E$5:$E$560,$A60))</x:f>
        <x:v>1</x:v>
      </x:c>
      <x:c r="M60" s="244" t="n">
        <x:f>IF($A60="","",--(LEFT(A60,7)="Enable_"))</x:f>
        <x:v>0</x:v>
      </x:c>
      <x:c r="N60" s="12"/>
      <x:c r="O60" s="12"/>
      <x:c r="P60" s="12"/>
      <x:c r="Q60" s="12"/>
      <x:c r="R60" s="12"/>
      <x:c r="S60" s="12"/>
      <x:c r="T60" s="12"/>
      <x:c r="U60" s="12"/>
      <x:c r="V60" s="12"/>
      <x:c r="W60" s="12"/>
      <x:c r="X60" s="12"/>
      <x:c r="Y60" s="12"/>
    </x:row>
    <x:row r="61">
      <x:c r="A61" s="12" t="str">
        <x:f>IFERROR(INDEX('02_ツリー'!$E$5:$E$560,MATCH(ROWS($A$11:A61),'02_ツリー'!$R$5:$R$560,0)),"")</x:f>
        <x:v>E_allow</x:v>
      </x:c>
      <x:c r="B61" s="48" t="n">
        <x:f>IF($A61="","",SUMIFS('02_ツリー'!$K$5:$K$560,'02_ツリー'!$E$5:$E$560,$A61,'02_ツリー'!$K$5:$K$560,"&gt;0"))</x:f>
        <x:v>0</x:v>
      </x:c>
      <x:c r="C61" s="48" t="n">
        <x:f>IF($A61="","",SUMIFS('02_ツリー'!$K$5:$K$560,'02_ツリー'!$E$5:$E$560,$A61,'02_ツリー'!$K$5:$K$560,"&lt;0"))</x:f>
        <x:v>-0.0000626731385105064</x:v>
      </x:c>
      <x:c r="D61" s="48" t="n">
        <x:f>IF($A61="","",B61+C61)</x:f>
        <x:v>-0.0000626731385105064</x:v>
      </x:c>
      <x:c r="E61" s="48" t="n">
        <x:f>IF($A61="","",B61-C61)</x:f>
        <x:v>0.0000626731385105064</x:v>
      </x:c>
      <x:c r="F61" s="48" t="n">
        <x:f>IF($A61="","",SUMIFS('02_ツリー'!$H$5:$H$560,'02_ツリー'!$E$5:$E$560,$A61,'02_ツリー'!$K$5:$K$560,"&gt;0"))</x:f>
        <x:v>0</x:v>
      </x:c>
      <x:c r="G61" s="48" t="n">
        <x:f>IF($A61="","",-SUMIFS('02_ツリー'!$H$5:$H$560,'02_ツリー'!$E$5:$E$560,$A61,'02_ツリー'!$K$5:$K$560,"&lt;0"))</x:f>
        <x:v>-0.0005607891539386931</x:v>
      </x:c>
      <x:c r="H61" s="48" t="n">
        <x:f>IF($A61="","",F61+G61)</x:f>
        <x:v>-0.0005607891539386931</x:v>
      </x:c>
      <x:c r="I61" s="244" t="n">
        <x:f>IF($A61="","",--(COUNTIFS('02_ツリー'!$E$5:$E$560,$A61,'02_ツリー'!$O$5:$O$560,0)=0))</x:f>
        <x:v>0</x:v>
      </x:c>
      <x:c r="J61" s="12" t="str">
        <x:f>IF($A61="","",IF(AND(B61&gt;0,C61&lt;0),"正負あり",IF(B61&gt;0,"正のみ",IF(C61&lt;0,"負のみ","ゼロ"))))</x:f>
        <x:v>負のみ</x:v>
      </x:c>
      <x:c r="K61" s="244" t="n">
        <x:f>IF($A61="","",--AND(B61&gt;0,C61&lt;0))</x:f>
        <x:v>0</x:v>
      </x:c>
      <x:c r="L61" s="244" t="n">
        <x:f>IF($A61="","",COUNTIF('02_ツリー'!$E$5:$E$560,$A61))</x:f>
        <x:v>1</x:v>
      </x:c>
      <x:c r="M61" s="244" t="n">
        <x:f>IF($A61="","",--(LEFT(A61,7)="Enable_"))</x:f>
        <x:v>0</x:v>
      </x:c>
      <x:c r="N61" s="12"/>
      <x:c r="O61" s="12"/>
      <x:c r="P61" s="12"/>
      <x:c r="Q61" s="12"/>
      <x:c r="R61" s="12"/>
      <x:c r="S61" s="12"/>
      <x:c r="T61" s="12"/>
      <x:c r="U61" s="12"/>
      <x:c r="V61" s="12"/>
      <x:c r="W61" s="12"/>
      <x:c r="X61" s="12"/>
      <x:c r="Y61" s="12"/>
    </x:row>
    <x:row r="62">
      <x:c r="A62" s="12" t="str">
        <x:f>IFERROR(INDEX('02_ツリー'!$E$5:$E$560,MATCH(ROWS($A$11:A62),'02_ツリー'!$R$5:$R$560,0)),"")</x:f>
        <x:v>k_Euse</x:v>
      </x:c>
      <x:c r="B62" s="48" t="n">
        <x:f>IF($A62="","",SUMIFS('02_ツリー'!$K$5:$K$560,'02_ツリー'!$E$5:$E$560,$A62,'02_ツリー'!$K$5:$K$560,"&gt;0"))</x:f>
        <x:v>0.0000626731385105064</x:v>
      </x:c>
      <x:c r="C62" s="48" t="n">
        <x:f>IF($A62="","",SUMIFS('02_ツリー'!$K$5:$K$560,'02_ツリー'!$E$5:$E$560,$A62,'02_ツリー'!$K$5:$K$560,"&lt;0"))</x:f>
        <x:v>0</x:v>
      </x:c>
      <x:c r="D62" s="48" t="n">
        <x:f>IF($A62="","",B62+C62)</x:f>
        <x:v>0.0000626731385105064</x:v>
      </x:c>
      <x:c r="E62" s="48" t="n">
        <x:f>IF($A62="","",B62-C62)</x:f>
        <x:v>0.0000626731385105064</x:v>
      </x:c>
      <x:c r="F62" s="48" t="n">
        <x:f>IF($A62="","",SUMIFS('02_ツリー'!$H$5:$H$560,'02_ツリー'!$E$5:$E$560,$A62,'02_ツリー'!$K$5:$K$560,"&gt;0"))</x:f>
        <x:v>0.0005607891539386931</x:v>
      </x:c>
      <x:c r="G62" s="48" t="n">
        <x:f>IF($A62="","",-SUMIFS('02_ツリー'!$H$5:$H$560,'02_ツリー'!$E$5:$E$560,$A62,'02_ツリー'!$K$5:$K$560,"&lt;0"))</x:f>
        <x:v>0</x:v>
      </x:c>
      <x:c r="H62" s="48" t="n">
        <x:f>IF($A62="","",F62+G62)</x:f>
        <x:v>0.0005607891539386931</x:v>
      </x:c>
      <x:c r="I62" s="244" t="n">
        <x:f>IF($A62="","",--(COUNTIFS('02_ツリー'!$E$5:$E$560,$A62,'02_ツリー'!$O$5:$O$560,0)=0))</x:f>
        <x:v>1</x:v>
      </x:c>
      <x:c r="J62" s="12" t="str">
        <x:f>IF($A62="","",IF(AND(B62&gt;0,C62&lt;0),"正負あり",IF(B62&gt;0,"正のみ",IF(C62&lt;0,"負のみ","ゼロ"))))</x:f>
        <x:v>正のみ</x:v>
      </x:c>
      <x:c r="K62" s="244" t="n">
        <x:f>IF($A62="","",--AND(B62&gt;0,C62&lt;0))</x:f>
        <x:v>0</x:v>
      </x:c>
      <x:c r="L62" s="244" t="n">
        <x:f>IF($A62="","",COUNTIF('02_ツリー'!$E$5:$E$560,$A62))</x:f>
        <x:v>1</x:v>
      </x:c>
      <x:c r="M62" s="244" t="n">
        <x:f>IF($A62="","",--(LEFT(A62,7)="Enable_"))</x:f>
        <x:v>0</x:v>
      </x:c>
      <x:c r="N62" s="12"/>
      <x:c r="O62" s="12"/>
      <x:c r="P62" s="12"/>
      <x:c r="Q62" s="12"/>
      <x:c r="R62" s="12"/>
      <x:c r="S62" s="12"/>
      <x:c r="T62" s="12"/>
      <x:c r="U62" s="12"/>
      <x:c r="V62" s="12"/>
      <x:c r="W62" s="12"/>
      <x:c r="X62" s="12"/>
      <x:c r="Y62" s="12"/>
    </x:row>
    <x:row r="63">
      <x:c r="A63" s="12" t="str">
        <x:f>IFERROR(INDEX('02_ツリー'!$E$5:$E$560,MATCH(ROWS($A$11:A63),'02_ツリー'!$R$5:$R$560,0)),"")</x:f>
        <x:v>E_crit</x:v>
      </x:c>
      <x:c r="B63" s="48" t="n">
        <x:f>IF($A63="","",SUMIFS('02_ツリー'!$K$5:$K$560,'02_ツリー'!$E$5:$E$560,$A63,'02_ツリー'!$K$5:$K$560,"&gt;0"))</x:f>
        <x:v>0.0000626731385105064</x:v>
      </x:c>
      <x:c r="C63" s="48" t="n">
        <x:f>IF($A63="","",SUMIFS('02_ツリー'!$K$5:$K$560,'02_ツリー'!$E$5:$E$560,$A63,'02_ツリー'!$K$5:$K$560,"&lt;0"))</x:f>
        <x:v>0</x:v>
      </x:c>
      <x:c r="D63" s="48" t="n">
        <x:f>IF($A63="","",B63+C63)</x:f>
        <x:v>0.0000626731385105064</x:v>
      </x:c>
      <x:c r="E63" s="48" t="n">
        <x:f>IF($A63="","",B63-C63)</x:f>
        <x:v>0.0000626731385105064</x:v>
      </x:c>
      <x:c r="F63" s="48" t="n">
        <x:f>IF($A63="","",SUMIFS('02_ツリー'!$H$5:$H$560,'02_ツリー'!$E$5:$E$560,$A63,'02_ツリー'!$K$5:$K$560,"&gt;0"))</x:f>
        <x:v>0.0005607891539386931</x:v>
      </x:c>
      <x:c r="G63" s="48" t="n">
        <x:f>IF($A63="","",-SUMIFS('02_ツリー'!$H$5:$H$560,'02_ツリー'!$E$5:$E$560,$A63,'02_ツリー'!$K$5:$K$560,"&lt;0"))</x:f>
        <x:v>0</x:v>
      </x:c>
      <x:c r="H63" s="48" t="n">
        <x:f>IF($A63="","",F63+G63)</x:f>
        <x:v>0.0005607891539386931</x:v>
      </x:c>
      <x:c r="I63" s="244" t="n">
        <x:f>IF($A63="","",--(COUNTIFS('02_ツリー'!$E$5:$E$560,$A63,'02_ツリー'!$O$5:$O$560,0)=0))</x:f>
        <x:v>1</x:v>
      </x:c>
      <x:c r="J63" s="12" t="str">
        <x:f>IF($A63="","",IF(AND(B63&gt;0,C63&lt;0),"正負あり",IF(B63&gt;0,"正のみ",IF(C63&lt;0,"負のみ","ゼロ"))))</x:f>
        <x:v>正のみ</x:v>
      </x:c>
      <x:c r="K63" s="244" t="n">
        <x:f>IF($A63="","",--AND(B63&gt;0,C63&lt;0))</x:f>
        <x:v>0</x:v>
      </x:c>
      <x:c r="L63" s="244" t="n">
        <x:f>IF($A63="","",COUNTIF('02_ツリー'!$E$5:$E$560,$A63))</x:f>
        <x:v>1</x:v>
      </x:c>
      <x:c r="M63" s="244" t="n">
        <x:f>IF($A63="","",--(LEFT(A63,7)="Enable_"))</x:f>
        <x:v>0</x:v>
      </x:c>
      <x:c r="N63" s="12"/>
      <x:c r="O63" s="12"/>
      <x:c r="P63" s="12"/>
      <x:c r="Q63" s="12"/>
      <x:c r="R63" s="12"/>
      <x:c r="S63" s="12"/>
      <x:c r="T63" s="12"/>
      <x:c r="U63" s="12"/>
      <x:c r="V63" s="12"/>
      <x:c r="W63" s="12"/>
      <x:c r="X63" s="12"/>
      <x:c r="Y63" s="12"/>
    </x:row>
    <x:row r="64">
      <x:c r="A64" s="12" t="str">
        <x:f>IFERROR(INDEX('02_ツリー'!$E$5:$E$560,MATCH(ROWS($A$11:A64),'02_ツリー'!$R$5:$R$560,0)),"")</x:f>
        <x:v>Rsp_cell</x:v>
      </x:c>
      <x:c r="B64" s="48" t="n">
        <x:f>IF($A64="","",SUMIFS('02_ツリー'!$K$5:$K$560,'02_ツリー'!$E$5:$E$560,$A64,'02_ツリー'!$K$5:$K$560,"&gt;0"))</x:f>
        <x:v>0.0000016972029930818954</x:v>
      </x:c>
      <x:c r="C64" s="48" t="n">
        <x:f>IF($A64="","",SUMIFS('02_ツリー'!$K$5:$K$560,'02_ツリー'!$E$5:$E$560,$A64,'02_ツリー'!$K$5:$K$560,"&lt;0"))</x:f>
        <x:v>0</x:v>
      </x:c>
      <x:c r="D64" s="48" t="n">
        <x:f>IF($A64="","",B64+C64)</x:f>
        <x:v>0.0000016972029930818954</x:v>
      </x:c>
      <x:c r="E64" s="48" t="n">
        <x:f>IF($A64="","",B64-C64)</x:f>
        <x:v>0.0000016972029930818954</x:v>
      </x:c>
      <x:c r="F64" s="48" t="n">
        <x:f>IF($A64="","",SUMIFS('02_ツリー'!$H$5:$H$560,'02_ツリー'!$E$5:$E$560,$A64,'02_ツリー'!$K$5:$K$560,"&gt;0"))</x:f>
        <x:v>0.000015186299157382399</x:v>
      </x:c>
      <x:c r="G64" s="48" t="n">
        <x:f>IF($A64="","",-SUMIFS('02_ツリー'!$H$5:$H$560,'02_ツリー'!$E$5:$E$560,$A64,'02_ツリー'!$K$5:$K$560,"&lt;0"))</x:f>
        <x:v>0</x:v>
      </x:c>
      <x:c r="H64" s="48" t="n">
        <x:f>IF($A64="","",F64+G64)</x:f>
        <x:v>0.000015186299157382399</x:v>
      </x:c>
      <x:c r="I64" s="244" t="n">
        <x:f>IF($A64="","",--(COUNTIFS('02_ツリー'!$E$5:$E$560,$A64,'02_ツリー'!$O$5:$O$560,0)=0))</x:f>
        <x:v>1</x:v>
      </x:c>
      <x:c r="J64" s="12" t="str">
        <x:f>IF($A64="","",IF(AND(B64&gt;0,C64&lt;0),"正負あり",IF(B64&gt;0,"正のみ",IF(C64&lt;0,"負のみ","ゼロ"))))</x:f>
        <x:v>正のみ</x:v>
      </x:c>
      <x:c r="K64" s="244" t="n">
        <x:f>IF($A64="","",--AND(B64&gt;0,C64&lt;0))</x:f>
        <x:v>0</x:v>
      </x:c>
      <x:c r="L64" s="244" t="n">
        <x:f>IF($A64="","",COUNTIF('02_ツリー'!$E$5:$E$560,$A64))</x:f>
        <x:v>1</x:v>
      </x:c>
      <x:c r="M64" s="244" t="n">
        <x:f>IF($A64="","",--(LEFT(A64,7)="Enable_"))</x:f>
        <x:v>0</x:v>
      </x:c>
      <x:c r="N64" s="12"/>
      <x:c r="O64" s="12"/>
      <x:c r="P64" s="12"/>
      <x:c r="Q64" s="12"/>
      <x:c r="R64" s="12"/>
      <x:c r="S64" s="12"/>
      <x:c r="T64" s="12"/>
      <x:c r="U64" s="12"/>
      <x:c r="V64" s="12"/>
      <x:c r="W64" s="12"/>
      <x:c r="X64" s="12"/>
      <x:c r="Y64" s="12"/>
    </x:row>
    <x:row r="65">
      <x:c r="A65" s="12" t="str">
        <x:f>IFERROR(INDEX('02_ツリー'!$E$5:$E$560,MATCH(ROWS($A$11:A65),'02_ツリー'!$R$5:$R$560,0)),"")</x:f>
        <x:v>P_sw</x:v>
      </x:c>
      <x:c r="B65" s="48" t="n">
        <x:f>IF($A65="","",SUMIFS('02_ツリー'!$K$5:$K$560,'02_ツリー'!$E$5:$E$560,$A65,'02_ツリー'!$K$5:$K$560,"&gt;0"))</x:f>
        <x:v>0.007515582271838901</x:v>
      </x:c>
      <x:c r="C65" s="48" t="n">
        <x:f>IF($A65="","",SUMIFS('02_ツリー'!$K$5:$K$560,'02_ツリー'!$E$5:$E$560,$A65,'02_ツリー'!$K$5:$K$560,"&lt;0"))</x:f>
        <x:v>0</x:v>
      </x:c>
      <x:c r="D65" s="48" t="n">
        <x:f>IF($A65="","",B65+C65)</x:f>
        <x:v>0.007515582271838901</x:v>
      </x:c>
      <x:c r="E65" s="48" t="n">
        <x:f>IF($A65="","",B65-C65)</x:f>
        <x:v>0.007515582271838901</x:v>
      </x:c>
      <x:c r="F65" s="48" t="n">
        <x:f>IF($A65="","",SUMIFS('02_ツリー'!$H$5:$H$560,'02_ツリー'!$E$5:$E$560,$A65,'02_ツリー'!$K$5:$K$560,"&gt;0"))</x:f>
        <x:v>0.06724822027023014</x:v>
      </x:c>
      <x:c r="G65" s="48" t="n">
        <x:f>IF($A65="","",-SUMIFS('02_ツリー'!$H$5:$H$560,'02_ツリー'!$E$5:$E$560,$A65,'02_ツリー'!$K$5:$K$560,"&lt;0"))</x:f>
        <x:v>0</x:v>
      </x:c>
      <x:c r="H65" s="48" t="n">
        <x:f>IF($A65="","",F65+G65)</x:f>
        <x:v>0.06724822027023014</x:v>
      </x:c>
      <x:c r="I65" s="244" t="n">
        <x:f>IF($A65="","",--(COUNTIFS('02_ツリー'!$E$5:$E$560,$A65,'02_ツリー'!$O$5:$O$560,0)=0))</x:f>
        <x:v>0</x:v>
      </x:c>
      <x:c r="J65" s="12" t="str">
        <x:f>IF($A65="","",IF(AND(B65&gt;0,C65&lt;0),"正負あり",IF(B65&gt;0,"正のみ",IF(C65&lt;0,"負のみ","ゼロ"))))</x:f>
        <x:v>正のみ</x:v>
      </x:c>
      <x:c r="K65" s="244" t="n">
        <x:f>IF($A65="","",--AND(B65&gt;0,C65&lt;0))</x:f>
        <x:v>0</x:v>
      </x:c>
      <x:c r="L65" s="244" t="n">
        <x:f>IF($A65="","",COUNTIF('02_ツリー'!$E$5:$E$560,$A65))</x:f>
        <x:v>1</x:v>
      </x:c>
      <x:c r="M65" s="244" t="n">
        <x:f>IF($A65="","",--(LEFT(A65,7)="Enable_"))</x:f>
        <x:v>0</x:v>
      </x:c>
      <x:c r="N65" s="12"/>
      <x:c r="O65" s="12"/>
      <x:c r="P65" s="12"/>
      <x:c r="Q65" s="12"/>
      <x:c r="R65" s="12"/>
      <x:c r="S65" s="12"/>
      <x:c r="T65" s="12"/>
      <x:c r="U65" s="12"/>
      <x:c r="V65" s="12"/>
      <x:c r="W65" s="12"/>
      <x:c r="X65" s="12"/>
      <x:c r="Y65" s="12"/>
    </x:row>
    <x:row r="66">
      <x:c r="A66" s="12" t="str">
        <x:f>IFERROR(INDEX('02_ツリー'!$E$5:$E$560,MATCH(ROWS($A$11:A66),'02_ツリー'!$R$5:$R$560,0)),"")</x:f>
        <x:v>N_sw</x:v>
      </x:c>
      <x:c r="B66" s="48" t="n">
        <x:f>IF($A66="","",SUMIFS('02_ツリー'!$K$5:$K$560,'02_ツリー'!$E$5:$E$560,$A66,'02_ツリー'!$K$5:$K$560,"&gt;0"))</x:f>
        <x:v>0</x:v>
      </x:c>
      <x:c r="C66" s="48" t="n">
        <x:f>IF($A66="","",SUMIFS('02_ツリー'!$K$5:$K$560,'02_ツリー'!$E$5:$E$560,$A66,'02_ツリー'!$K$5:$K$560,"&lt;0"))</x:f>
        <x:v>0</x:v>
      </x:c>
      <x:c r="D66" s="48" t="n">
        <x:f>IF($A66="","",B66+C66)</x:f>
        <x:v>0</x:v>
      </x:c>
      <x:c r="E66" s="48" t="n">
        <x:f>IF($A66="","",B66-C66)</x:f>
        <x:v>0</x:v>
      </x:c>
      <x:c r="F66" s="48" t="n">
        <x:f>IF($A66="","",SUMIFS('02_ツリー'!$H$5:$H$560,'02_ツリー'!$E$5:$E$560,$A66,'02_ツリー'!$K$5:$K$560,"&gt;0"))</x:f>
        <x:v>0</x:v>
      </x:c>
      <x:c r="G66" s="48" t="n">
        <x:f>IF($A66="","",-SUMIFS('02_ツリー'!$H$5:$H$560,'02_ツリー'!$E$5:$E$560,$A66,'02_ツリー'!$K$5:$K$560,"&lt;0"))</x:f>
        <x:v>0</x:v>
      </x:c>
      <x:c r="H66" s="48" t="n">
        <x:f>IF($A66="","",F66+G66)</x:f>
        <x:v>0</x:v>
      </x:c>
      <x:c r="I66" s="244" t="n">
        <x:f>IF($A66="","",--(COUNTIFS('02_ツリー'!$E$5:$E$560,$A66,'02_ツリー'!$O$5:$O$560,0)=0))</x:f>
        <x:v>1</x:v>
      </x:c>
      <x:c r="J66" s="12" t="str">
        <x:f>IF($A66="","",IF(AND(B66&gt;0,C66&lt;0),"正負あり",IF(B66&gt;0,"正のみ",IF(C66&lt;0,"負のみ","ゼロ"))))</x:f>
        <x:v>ゼロ</x:v>
      </x:c>
      <x:c r="K66" s="244" t="n">
        <x:f>IF($A66="","",--AND(B66&gt;0,C66&lt;0))</x:f>
        <x:v>0</x:v>
      </x:c>
      <x:c r="L66" s="244" t="n">
        <x:f>IF($A66="","",COUNTIF('02_ツリー'!$E$5:$E$560,$A66))</x:f>
        <x:v>1</x:v>
      </x:c>
      <x:c r="M66" s="244" t="n">
        <x:f>IF($A66="","",--(LEFT(A66,7)="Enable_"))</x:f>
        <x:v>0</x:v>
      </x:c>
      <x:c r="N66" s="12"/>
      <x:c r="O66" s="12"/>
      <x:c r="P66" s="12"/>
      <x:c r="Q66" s="12"/>
      <x:c r="R66" s="12"/>
      <x:c r="S66" s="12"/>
      <x:c r="T66" s="12"/>
      <x:c r="U66" s="12"/>
      <x:c r="V66" s="12"/>
      <x:c r="W66" s="12"/>
      <x:c r="X66" s="12"/>
      <x:c r="Y66" s="12"/>
    </x:row>
    <x:row r="67">
      <x:c r="A67" s="12" t="str">
        <x:f>IFERROR(INDEX('02_ツリー'!$E$5:$E$560,MATCH(ROWS($A$11:A67),'02_ツリー'!$R$5:$R$560,0)),"")</x:f>
        <x:v>E_sw</x:v>
      </x:c>
      <x:c r="B67" s="48" t="n">
        <x:f>IF($A67="","",SUMIFS('02_ツリー'!$K$5:$K$560,'02_ツリー'!$E$5:$E$560,$A67,'02_ツリー'!$K$5:$K$560,"&gt;0"))</x:f>
        <x:v>0.007515582271838901</x:v>
      </x:c>
      <x:c r="C67" s="48" t="n">
        <x:f>IF($A67="","",SUMIFS('02_ツリー'!$K$5:$K$560,'02_ツリー'!$E$5:$E$560,$A67,'02_ツリー'!$K$5:$K$560,"&lt;0"))</x:f>
        <x:v>0</x:v>
      </x:c>
      <x:c r="D67" s="48" t="n">
        <x:f>IF($A67="","",B67+C67)</x:f>
        <x:v>0.007515582271838901</x:v>
      </x:c>
      <x:c r="E67" s="48" t="n">
        <x:f>IF($A67="","",B67-C67)</x:f>
        <x:v>0.007515582271838901</x:v>
      </x:c>
      <x:c r="F67" s="48" t="n">
        <x:f>IF($A67="","",SUMIFS('02_ツリー'!$H$5:$H$560,'02_ツリー'!$E$5:$E$560,$A67,'02_ツリー'!$K$5:$K$560,"&gt;0"))</x:f>
        <x:v>0.06724822027023014</x:v>
      </x:c>
      <x:c r="G67" s="48" t="n">
        <x:f>IF($A67="","",-SUMIFS('02_ツリー'!$H$5:$H$560,'02_ツリー'!$E$5:$E$560,$A67,'02_ツリー'!$K$5:$K$560,"&lt;0"))</x:f>
        <x:v>0</x:v>
      </x:c>
      <x:c r="H67" s="48" t="n">
        <x:f>IF($A67="","",F67+G67)</x:f>
        <x:v>0.06724822027023014</x:v>
      </x:c>
      <x:c r="I67" s="244" t="n">
        <x:f>IF($A67="","",--(COUNTIFS('02_ツリー'!$E$5:$E$560,$A67,'02_ツリー'!$O$5:$O$560,0)=0))</x:f>
        <x:v>0</x:v>
      </x:c>
      <x:c r="J67" s="12" t="str">
        <x:f>IF($A67="","",IF(AND(B67&gt;0,C67&lt;0),"正負あり",IF(B67&gt;0,"正のみ",IF(C67&lt;0,"負のみ","ゼロ"))))</x:f>
        <x:v>正のみ</x:v>
      </x:c>
      <x:c r="K67" s="244" t="n">
        <x:f>IF($A67="","",--AND(B67&gt;0,C67&lt;0))</x:f>
        <x:v>0</x:v>
      </x:c>
      <x:c r="L67" s="244" t="n">
        <x:f>IF($A67="","",COUNTIF('02_ツリー'!$E$5:$E$560,$A67))</x:f>
        <x:v>1</x:v>
      </x:c>
      <x:c r="M67" s="244" t="n">
        <x:f>IF($A67="","",--(LEFT(A67,7)="Enable_"))</x:f>
        <x:v>0</x:v>
      </x:c>
      <x:c r="N67" s="12"/>
      <x:c r="O67" s="12"/>
      <x:c r="P67" s="12"/>
      <x:c r="Q67" s="12"/>
      <x:c r="R67" s="12"/>
      <x:c r="S67" s="12"/>
      <x:c r="T67" s="12"/>
      <x:c r="U67" s="12"/>
      <x:c r="V67" s="12"/>
      <x:c r="W67" s="12"/>
      <x:c r="X67" s="12"/>
      <x:c r="Y67" s="12"/>
    </x:row>
    <x:row r="68">
      <x:c r="A68" s="12" t="str">
        <x:f>IFERROR(INDEX('02_ツリー'!$E$5:$E$560,MATCH(ROWS($A$11:A68),'02_ツリー'!$R$5:$R$560,0)),"")</x:f>
        <x:v>K_esw</x:v>
      </x:c>
      <x:c r="B68" s="48" t="n">
        <x:f>IF($A68="","",SUMIFS('02_ツリー'!$K$5:$K$560,'02_ツリー'!$E$5:$E$560,$A68,'02_ツリー'!$K$5:$K$560,"&gt;0"))</x:f>
        <x:v>0.007515582271838901</x:v>
      </x:c>
      <x:c r="C68" s="48" t="n">
        <x:f>IF($A68="","",SUMIFS('02_ツリー'!$K$5:$K$560,'02_ツリー'!$E$5:$E$560,$A68,'02_ツリー'!$K$5:$K$560,"&lt;0"))</x:f>
        <x:v>0</x:v>
      </x:c>
      <x:c r="D68" s="48" t="n">
        <x:f>IF($A68="","",B68+C68)</x:f>
        <x:v>0.007515582271838901</x:v>
      </x:c>
      <x:c r="E68" s="48" t="n">
        <x:f>IF($A68="","",B68-C68)</x:f>
        <x:v>0.007515582271838901</x:v>
      </x:c>
      <x:c r="F68" s="48" t="n">
        <x:f>IF($A68="","",SUMIFS('02_ツリー'!$H$5:$H$560,'02_ツリー'!$E$5:$E$560,$A68,'02_ツリー'!$K$5:$K$560,"&gt;0"))</x:f>
        <x:v>0.06724822027023014</x:v>
      </x:c>
      <x:c r="G68" s="48" t="n">
        <x:f>IF($A68="","",-SUMIFS('02_ツリー'!$H$5:$H$560,'02_ツリー'!$E$5:$E$560,$A68,'02_ツリー'!$K$5:$K$560,"&lt;0"))</x:f>
        <x:v>0</x:v>
      </x:c>
      <x:c r="H68" s="48" t="n">
        <x:f>IF($A68="","",F68+G68)</x:f>
        <x:v>0.06724822027023014</x:v>
      </x:c>
      <x:c r="I68" s="244" t="n">
        <x:f>IF($A68="","",--(COUNTIFS('02_ツリー'!$E$5:$E$560,$A68,'02_ツリー'!$O$5:$O$560,0)=0))</x:f>
        <x:v>1</x:v>
      </x:c>
      <x:c r="J68" s="12" t="str">
        <x:f>IF($A68="","",IF(AND(B68&gt;0,C68&lt;0),"正負あり",IF(B68&gt;0,"正のみ",IF(C68&lt;0,"負のみ","ゼロ"))))</x:f>
        <x:v>正のみ</x:v>
      </x:c>
      <x:c r="K68" s="244" t="n">
        <x:f>IF($A68="","",--AND(B68&gt;0,C68&lt;0))</x:f>
        <x:v>0</x:v>
      </x:c>
      <x:c r="L68" s="244" t="n">
        <x:f>IF($A68="","",COUNTIF('02_ツリー'!$E$5:$E$560,$A68))</x:f>
        <x:v>1</x:v>
      </x:c>
      <x:c r="M68" s="244" t="n">
        <x:f>IF($A68="","",--(LEFT(A68,7)="Enable_"))</x:f>
        <x:v>0</x:v>
      </x:c>
      <x:c r="N68" s="12"/>
      <x:c r="O68" s="12"/>
      <x:c r="P68" s="12"/>
      <x:c r="Q68" s="12"/>
      <x:c r="R68" s="12"/>
      <x:c r="S68" s="12"/>
      <x:c r="T68" s="12"/>
      <x:c r="U68" s="12"/>
      <x:c r="V68" s="12"/>
      <x:c r="W68" s="12"/>
      <x:c r="X68" s="12"/>
      <x:c r="Y68" s="12"/>
    </x:row>
    <x:row r="69">
      <x:c r="A69" s="12" t="str">
        <x:f>IFERROR(INDEX('02_ツリー'!$E$5:$E$560,MATCH(ROWS($A$11:A69),'02_ツリー'!$R$5:$R$560,0)),"")</x:f>
        <x:v>C_oss</x:v>
      </x:c>
      <x:c r="B69" s="48" t="n">
        <x:f>IF($A69="","",SUMIFS('02_ツリー'!$K$5:$K$560,'02_ツリー'!$E$5:$E$560,$A69,'02_ツリー'!$K$5:$K$560,"&gt;0"))</x:f>
        <x:v>0.007515582271838901</x:v>
      </x:c>
      <x:c r="C69" s="48" t="n">
        <x:f>IF($A69="","",SUMIFS('02_ツリー'!$K$5:$K$560,'02_ツリー'!$E$5:$E$560,$A69,'02_ツリー'!$K$5:$K$560,"&lt;0"))</x:f>
        <x:v>0</x:v>
      </x:c>
      <x:c r="D69" s="48" t="n">
        <x:f>IF($A69="","",B69+C69)</x:f>
        <x:v>0.007515582271838901</x:v>
      </x:c>
      <x:c r="E69" s="48" t="n">
        <x:f>IF($A69="","",B69-C69)</x:f>
        <x:v>0.007515582271838901</x:v>
      </x:c>
      <x:c r="F69" s="48" t="n">
        <x:f>IF($A69="","",SUMIFS('02_ツリー'!$H$5:$H$560,'02_ツリー'!$E$5:$E$560,$A69,'02_ツリー'!$K$5:$K$560,"&gt;0"))</x:f>
        <x:v>0.06724822027023014</x:v>
      </x:c>
      <x:c r="G69" s="48" t="n">
        <x:f>IF($A69="","",-SUMIFS('02_ツリー'!$H$5:$H$560,'02_ツリー'!$E$5:$E$560,$A69,'02_ツリー'!$K$5:$K$560,"&lt;0"))</x:f>
        <x:v>0</x:v>
      </x:c>
      <x:c r="H69" s="48" t="n">
        <x:f>IF($A69="","",F69+G69)</x:f>
        <x:v>0.06724822027023014</x:v>
      </x:c>
      <x:c r="I69" s="244" t="n">
        <x:f>IF($A69="","",--(COUNTIFS('02_ツリー'!$E$5:$E$560,$A69,'02_ツリー'!$O$5:$O$560,0)=0))</x:f>
        <x:v>0</x:v>
      </x:c>
      <x:c r="J69" s="12" t="str">
        <x:f>IF($A69="","",IF(AND(B69&gt;0,C69&lt;0),"正負あり",IF(B69&gt;0,"正のみ",IF(C69&lt;0,"負のみ","ゼロ"))))</x:f>
        <x:v>正のみ</x:v>
      </x:c>
      <x:c r="K69" s="244" t="n">
        <x:f>IF($A69="","",--AND(B69&gt;0,C69&lt;0))</x:f>
        <x:v>0</x:v>
      </x:c>
      <x:c r="L69" s="244" t="n">
        <x:f>IF($A69="","",COUNTIF('02_ツリー'!$E$5:$E$560,$A69))</x:f>
        <x:v>1</x:v>
      </x:c>
      <x:c r="M69" s="244" t="n">
        <x:f>IF($A69="","",--(LEFT(A69,7)="Enable_"))</x:f>
        <x:v>0</x:v>
      </x:c>
      <x:c r="N69" s="12"/>
      <x:c r="O69" s="12"/>
      <x:c r="P69" s="12"/>
      <x:c r="Q69" s="12"/>
      <x:c r="R69" s="12"/>
      <x:c r="S69" s="12"/>
      <x:c r="T69" s="12"/>
      <x:c r="U69" s="12"/>
      <x:c r="V69" s="12"/>
      <x:c r="W69" s="12"/>
      <x:c r="X69" s="12"/>
      <x:c r="Y69" s="12"/>
    </x:row>
    <x:row r="70">
      <x:c r="A70" s="12" t="str">
        <x:f>IFERROR(INDEX('02_ツリー'!$E$5:$E$560,MATCH(ROWS($A$11:A70),'02_ツリー'!$R$5:$R$560,0)),"")</x:f>
        <x:v>Coss_area_ref</x:v>
      </x:c>
      <x:c r="B70" s="48" t="n">
        <x:f>IF($A70="","",SUMIFS('02_ツリー'!$K$5:$K$560,'02_ツリー'!$E$5:$E$560,$A70,'02_ツリー'!$K$5:$K$560,"&gt;0"))</x:f>
        <x:v>0.007515582271838901</x:v>
      </x:c>
      <x:c r="C70" s="48" t="n">
        <x:f>IF($A70="","",SUMIFS('02_ツリー'!$K$5:$K$560,'02_ツリー'!$E$5:$E$560,$A70,'02_ツリー'!$K$5:$K$560,"&lt;0"))</x:f>
        <x:v>0</x:v>
      </x:c>
      <x:c r="D70" s="48" t="n">
        <x:f>IF($A70="","",B70+C70)</x:f>
        <x:v>0.007515582271838901</x:v>
      </x:c>
      <x:c r="E70" s="48" t="n">
        <x:f>IF($A70="","",B70-C70)</x:f>
        <x:v>0.007515582271838901</x:v>
      </x:c>
      <x:c r="F70" s="48" t="n">
        <x:f>IF($A70="","",SUMIFS('02_ツリー'!$H$5:$H$560,'02_ツリー'!$E$5:$E$560,$A70,'02_ツリー'!$K$5:$K$560,"&gt;0"))</x:f>
        <x:v>0.06724822027023014</x:v>
      </x:c>
      <x:c r="G70" s="48" t="n">
        <x:f>IF($A70="","",-SUMIFS('02_ツリー'!$H$5:$H$560,'02_ツリー'!$E$5:$E$560,$A70,'02_ツリー'!$K$5:$K$560,"&lt;0"))</x:f>
        <x:v>0</x:v>
      </x:c>
      <x:c r="H70" s="48" t="n">
        <x:f>IF($A70="","",F70+G70)</x:f>
        <x:v>0.06724822027023014</x:v>
      </x:c>
      <x:c r="I70" s="244" t="n">
        <x:f>IF($A70="","",--(COUNTIFS('02_ツリー'!$E$5:$E$560,$A70,'02_ツリー'!$O$5:$O$560,0)=0))</x:f>
        <x:v>1</x:v>
      </x:c>
      <x:c r="J70" s="12" t="str">
        <x:f>IF($A70="","",IF(AND(B70&gt;0,C70&lt;0),"正負あり",IF(B70&gt;0,"正のみ",IF(C70&lt;0,"負のみ","ゼロ"))))</x:f>
        <x:v>正のみ</x:v>
      </x:c>
      <x:c r="K70" s="244" t="n">
        <x:f>IF($A70="","",--AND(B70&gt;0,C70&lt;0))</x:f>
        <x:v>0</x:v>
      </x:c>
      <x:c r="L70" s="244" t="n">
        <x:f>IF($A70="","",COUNTIF('02_ツリー'!$E$5:$E$560,$A70))</x:f>
        <x:v>1</x:v>
      </x:c>
      <x:c r="M70" s="244" t="n">
        <x:f>IF($A70="","",--(LEFT(A70,7)="Enable_"))</x:f>
        <x:v>0</x:v>
      </x:c>
      <x:c r="N70" s="12"/>
      <x:c r="O70" s="12"/>
      <x:c r="P70" s="12"/>
      <x:c r="Q70" s="12"/>
      <x:c r="R70" s="12"/>
      <x:c r="S70" s="12"/>
      <x:c r="T70" s="12"/>
      <x:c r="U70" s="12"/>
      <x:c r="V70" s="12"/>
      <x:c r="W70" s="12"/>
      <x:c r="X70" s="12"/>
      <x:c r="Y70" s="12"/>
    </x:row>
    <x:row r="71">
      <x:c r="A71" s="12" t="str">
        <x:f>IFERROR(INDEX('02_ツリー'!$E$5:$E$560,MATCH(ROWS($A$11:A71),'02_ツリー'!$R$5:$R$560,0)),"")</x:f>
        <x:v>b_coss</x:v>
      </x:c>
      <x:c r="B71" s="48" t="n">
        <x:f>IF($A71="","",SUMIFS('02_ツリー'!$K$5:$K$560,'02_ツリー'!$E$5:$E$560,$A71,'02_ツリー'!$K$5:$K$560,"&gt;0"))</x:f>
        <x:v>0.0003587996620357744</x:v>
      </x:c>
      <x:c r="C71" s="48" t="n">
        <x:f>IF($A71="","",SUMIFS('02_ツリー'!$K$5:$K$560,'02_ツリー'!$E$5:$E$560,$A71,'02_ツリー'!$K$5:$K$560,"&lt;0"))</x:f>
        <x:v>0</x:v>
      </x:c>
      <x:c r="D71" s="48" t="n">
        <x:f>IF($A71="","",B71+C71)</x:f>
        <x:v>0.0003587996620357744</x:v>
      </x:c>
      <x:c r="E71" s="48" t="n">
        <x:f>IF($A71="","",B71-C71)</x:f>
        <x:v>0.0003587996620357744</x:v>
      </x:c>
      <x:c r="F71" s="48" t="n">
        <x:f>IF($A71="","",SUMIFS('02_ツリー'!$H$5:$H$560,'02_ツリー'!$E$5:$E$560,$A71,'02_ツリー'!$K$5:$K$560,"&gt;0"))</x:f>
        <x:v>0.003210481614428809</x:v>
      </x:c>
      <x:c r="G71" s="48" t="n">
        <x:f>IF($A71="","",-SUMIFS('02_ツリー'!$H$5:$H$560,'02_ツリー'!$E$5:$E$560,$A71,'02_ツリー'!$K$5:$K$560,"&lt;0"))</x:f>
        <x:v>0</x:v>
      </x:c>
      <x:c r="H71" s="48" t="n">
        <x:f>IF($A71="","",F71+G71)</x:f>
        <x:v>0.003210481614428809</x:v>
      </x:c>
      <x:c r="I71" s="244" t="n">
        <x:f>IF($A71="","",--(COUNTIFS('02_ツリー'!$E$5:$E$560,$A71,'02_ツリー'!$O$5:$O$560,0)=0))</x:f>
        <x:v>1</x:v>
      </x:c>
      <x:c r="J71" s="12" t="str">
        <x:f>IF($A71="","",IF(AND(B71&gt;0,C71&lt;0),"正負あり",IF(B71&gt;0,"正のみ",IF(C71&lt;0,"負のみ","ゼロ"))))</x:f>
        <x:v>正のみ</x:v>
      </x:c>
      <x:c r="K71" s="244" t="n">
        <x:f>IF($A71="","",--AND(B71&gt;0,C71&lt;0))</x:f>
        <x:v>0</x:v>
      </x:c>
      <x:c r="L71" s="244" t="n">
        <x:f>IF($A71="","",COUNTIF('02_ツリー'!$E$5:$E$560,$A71))</x:f>
        <x:v>1</x:v>
      </x:c>
      <x:c r="M71" s="244" t="n">
        <x:f>IF($A71="","",--(LEFT(A71,7)="Enable_"))</x:f>
        <x:v>0</x:v>
      </x:c>
      <x:c r="N71" s="12"/>
      <x:c r="O71" s="12"/>
      <x:c r="P71" s="12"/>
      <x:c r="Q71" s="12"/>
      <x:c r="R71" s="12"/>
      <x:c r="S71" s="12"/>
      <x:c r="T71" s="12"/>
      <x:c r="U71" s="12"/>
      <x:c r="V71" s="12"/>
      <x:c r="W71" s="12"/>
      <x:c r="X71" s="12"/>
      <x:c r="Y71" s="12"/>
    </x:row>
    <x:row r="72">
      <x:c r="A72" s="12" t="str">
        <x:f>IFERROR(INDEX('02_ツリー'!$E$5:$E$560,MATCH(ROWS($A$11:A72),'02_ツリー'!$R$5:$R$560,0)),"")</x:f>
        <x:v>V_ref_coss</x:v>
      </x:c>
      <x:c r="B72" s="48" t="n">
        <x:f>IF($A72="","",SUMIFS('02_ツリー'!$K$5:$K$560,'02_ツリー'!$E$5:$E$560,$A72,'02_ツリー'!$K$5:$K$560,"&gt;0"))</x:f>
        <x:v>0.002630453795143615</x:v>
      </x:c>
      <x:c r="C72" s="48" t="n">
        <x:f>IF($A72="","",SUMIFS('02_ツリー'!$K$5:$K$560,'02_ツリー'!$E$5:$E$560,$A72,'02_ツリー'!$K$5:$K$560,"&lt;0"))</x:f>
        <x:v>0</x:v>
      </x:c>
      <x:c r="D72" s="48" t="n">
        <x:f>IF($A72="","",B72+C72)</x:f>
        <x:v>0.002630453795143615</x:v>
      </x:c>
      <x:c r="E72" s="48" t="n">
        <x:f>IF($A72="","",B72-C72)</x:f>
        <x:v>0.002630453795143615</x:v>
      </x:c>
      <x:c r="F72" s="48" t="n">
        <x:f>IF($A72="","",SUMIFS('02_ツリー'!$H$5:$H$560,'02_ツリー'!$E$5:$E$560,$A72,'02_ツリー'!$K$5:$K$560,"&gt;0"))</x:f>
        <x:v>0.02353687709458055</x:v>
      </x:c>
      <x:c r="G72" s="48" t="n">
        <x:f>IF($A72="","",-SUMIFS('02_ツリー'!$H$5:$H$560,'02_ツリー'!$E$5:$E$560,$A72,'02_ツリー'!$K$5:$K$560,"&lt;0"))</x:f>
        <x:v>0</x:v>
      </x:c>
      <x:c r="H72" s="48" t="n">
        <x:f>IF($A72="","",F72+G72)</x:f>
        <x:v>0.02353687709458055</x:v>
      </x:c>
      <x:c r="I72" s="244" t="n">
        <x:f>IF($A72="","",--(COUNTIFS('02_ツリー'!$E$5:$E$560,$A72,'02_ツリー'!$O$5:$O$560,0)=0))</x:f>
        <x:v>1</x:v>
      </x:c>
      <x:c r="J72" s="12" t="str">
        <x:f>IF($A72="","",IF(AND(B72&gt;0,C72&lt;0),"正負あり",IF(B72&gt;0,"正のみ",IF(C72&lt;0,"負のみ","ゼロ"))))</x:f>
        <x:v>正のみ</x:v>
      </x:c>
      <x:c r="K72" s="244" t="n">
        <x:f>IF($A72="","",--AND(B72&gt;0,C72&lt;0))</x:f>
        <x:v>0</x:v>
      </x:c>
      <x:c r="L72" s="244" t="n">
        <x:f>IF($A72="","",COUNTIF('02_ツリー'!$E$5:$E$560,$A72))</x:f>
        <x:v>1</x:v>
      </x:c>
      <x:c r="M72" s="244" t="n">
        <x:f>IF($A72="","",--(LEFT(A72,7)="Enable_"))</x:f>
        <x:v>0</x:v>
      </x:c>
      <x:c r="N72" s="12"/>
      <x:c r="O72" s="12"/>
      <x:c r="P72" s="12"/>
      <x:c r="Q72" s="12"/>
      <x:c r="R72" s="12"/>
      <x:c r="S72" s="12"/>
      <x:c r="T72" s="12"/>
      <x:c r="U72" s="12"/>
      <x:c r="V72" s="12"/>
      <x:c r="W72" s="12"/>
      <x:c r="X72" s="12"/>
      <x:c r="Y72" s="12"/>
    </x:row>
    <x:row r="73">
      <x:c r="A73" s="12" t="str">
        <x:f>IFERROR(INDEX('02_ツリー'!$E$5:$E$560,MATCH(ROWS($A$11:A73),'02_ツリー'!$R$5:$R$560,0)),"")</x:f>
        <x:v>f_sw</x:v>
      </x:c>
      <x:c r="B73" s="48" t="n">
        <x:f>IF($A73="","",SUMIFS('02_ツリー'!$K$5:$K$560,'02_ツリー'!$E$5:$E$560,$A73,'02_ツリー'!$K$5:$K$560,"&gt;0"))</x:f>
        <x:v>0.007564433942261611</x:v>
      </x:c>
      <x:c r="C73" s="48" t="n">
        <x:f>IF($A73="","",SUMIFS('02_ツリー'!$K$5:$K$560,'02_ツリー'!$E$5:$E$560,$A73,'02_ツリー'!$K$5:$K$560,"&lt;0"))</x:f>
        <x:v>-0.000042793442765979596</x:v>
      </x:c>
      <x:c r="D73" s="48" t="n">
        <x:f>IF($A73="","",B73+C73)</x:f>
        <x:v>0.007521640499495632</x:v>
      </x:c>
      <x:c r="E73" s="48" t="n">
        <x:f>IF($A73="","",B73-C73)</x:f>
        <x:v>0.007607227385027591</x:v>
      </x:c>
      <x:c r="F73" s="48" t="n">
        <x:f>IF($A73="","",SUMIFS('02_ツリー'!$H$5:$H$560,'02_ツリー'!$E$5:$E$560,$A73,'02_ツリー'!$K$5:$K$560,"&gt;0"))</x:f>
        <x:v>0.06768533715277228</x:v>
      </x:c>
      <x:c r="G73" s="48" t="n">
        <x:f>IF($A73="","",-SUMIFS('02_ツリー'!$H$5:$H$560,'02_ツリー'!$E$5:$E$560,$A73,'02_ツリー'!$K$5:$K$560,"&lt;0"))</x:f>
        <x:v>-0.0003829088367552327</x:v>
      </x:c>
      <x:c r="H73" s="48" t="n">
        <x:f>IF($A73="","",F73+G73)</x:f>
        <x:v>0.06730242831601704</x:v>
      </x:c>
      <x:c r="I73" s="244" t="n">
        <x:f>IF($A73="","",--(COUNTIFS('02_ツリー'!$E$5:$E$560,$A73,'02_ツリー'!$O$5:$O$560,0)=0))</x:f>
        <x:v>0</x:v>
      </x:c>
      <x:c r="J73" s="12" t="str">
        <x:f>IF($A73="","",IF(AND(B73&gt;0,C73&lt;0),"正負あり",IF(B73&gt;0,"正のみ",IF(C73&lt;0,"負のみ","ゼロ"))))</x:f>
        <x:v>正負あり</x:v>
      </x:c>
      <x:c r="K73" s="244" t="n">
        <x:f>IF($A73="","",--AND(B73&gt;0,C73&lt;0))</x:f>
        <x:v>1</x:v>
      </x:c>
      <x:c r="L73" s="244" t="n">
        <x:f>IF($A73="","",COUNTIF('02_ツリー'!$E$5:$E$560,$A73))</x:f>
        <x:v>9</x:v>
      </x:c>
      <x:c r="M73" s="244" t="n">
        <x:f>IF($A73="","",--(LEFT(A73,7)="Enable_"))</x:f>
        <x:v>0</x:v>
      </x:c>
      <x:c r="N73" s="12"/>
      <x:c r="O73" s="12"/>
      <x:c r="P73" s="12"/>
      <x:c r="Q73" s="12"/>
      <x:c r="R73" s="12"/>
      <x:c r="S73" s="12"/>
      <x:c r="T73" s="12"/>
      <x:c r="U73" s="12"/>
      <x:c r="V73" s="12"/>
      <x:c r="W73" s="12"/>
      <x:c r="X73" s="12"/>
      <x:c r="Y73" s="12"/>
    </x:row>
    <x:row r="74">
      <x:c r="A74" s="12" t="str">
        <x:f>IFERROR(INDEX('02_ツリー'!$E$5:$E$560,MATCH(ROWS($A$11:A74),'02_ツリー'!$R$5:$R$560,0)),"")</x:f>
        <x:v>q_cool</x:v>
      </x:c>
      <x:c r="B74" s="48" t="n">
        <x:f>IF($A74="","",SUMIFS('02_ツリー'!$K$5:$K$560,'02_ツリー'!$E$5:$E$560,$A74,'02_ツリー'!$K$5:$K$560,"&gt;0"))</x:f>
        <x:v>0</x:v>
      </x:c>
      <x:c r="C74" s="48" t="n">
        <x:f>IF($A74="","",SUMIFS('02_ツリー'!$K$5:$K$560,'02_ツリー'!$E$5:$E$560,$A74,'02_ツリー'!$K$5:$K$560,"&lt;0"))</x:f>
        <x:v>-0.022272039345098575</x:v>
      </x:c>
      <x:c r="D74" s="48" t="n">
        <x:f>IF($A74="","",B74+C74)</x:f>
        <x:v>-0.022272039345098575</x:v>
      </x:c>
      <x:c r="E74" s="48" t="n">
        <x:f>IF($A74="","",B74-C74)</x:f>
        <x:v>0.022272039345098575</x:v>
      </x:c>
      <x:c r="F74" s="48" t="n">
        <x:f>IF($A74="","",SUMIFS('02_ツリー'!$H$5:$H$560,'02_ツリー'!$E$5:$E$560,$A74,'02_ツリー'!$K$5:$K$560,"&gt;0"))</x:f>
        <x:v>0</x:v>
      </x:c>
      <x:c r="G74" s="48" t="n">
        <x:f>IF($A74="","",-SUMIFS('02_ツリー'!$H$5:$H$560,'02_ツリー'!$E$5:$E$560,$A74,'02_ツリー'!$K$5:$K$560,"&lt;0"))</x:f>
        <x:v>-0.19928662258925056</x:v>
      </x:c>
      <x:c r="H74" s="48" t="n">
        <x:f>IF($A74="","",F74+G74)</x:f>
        <x:v>-0.19928662258925056</x:v>
      </x:c>
      <x:c r="I74" s="244" t="n">
        <x:f>IF($A74="","",--(COUNTIFS('02_ツリー'!$E$5:$E$560,$A74,'02_ツリー'!$O$5:$O$560,0)=0))</x:f>
        <x:v>0</x:v>
      </x:c>
      <x:c r="J74" s="12" t="str">
        <x:f>IF($A74="","",IF(AND(B74&gt;0,C74&lt;0),"正負あり",IF(B74&gt;0,"正のみ",IF(C74&lt;0,"負のみ","ゼロ"))))</x:f>
        <x:v>負のみ</x:v>
      </x:c>
      <x:c r="K74" s="244" t="n">
        <x:f>IF($A74="","",--AND(B74&gt;0,C74&lt;0))</x:f>
        <x:v>0</x:v>
      </x:c>
      <x:c r="L74" s="244" t="n">
        <x:f>IF($A74="","",COUNTIF('02_ツリー'!$E$5:$E$560,$A74))</x:f>
        <x:v>1</x:v>
      </x:c>
      <x:c r="M74" s="244" t="n">
        <x:f>IF($A74="","",--(LEFT(A74,7)="Enable_"))</x:f>
        <x:v>0</x:v>
      </x:c>
      <x:c r="N74" s="12"/>
      <x:c r="O74" s="12"/>
      <x:c r="P74" s="12"/>
      <x:c r="Q74" s="12"/>
      <x:c r="R74" s="12"/>
      <x:c r="S74" s="12"/>
      <x:c r="T74" s="12"/>
      <x:c r="U74" s="12"/>
      <x:c r="V74" s="12"/>
      <x:c r="W74" s="12"/>
      <x:c r="X74" s="12"/>
      <x:c r="Y74" s="12"/>
    </x:row>
    <x:row r="75">
      <x:c r="A75" s="12" t="str">
        <x:f>IFERROR(INDEX('02_ツリー'!$E$5:$E$560,MATCH(ROWS($A$11:A75),'02_ツリー'!$R$5:$R$560,0)),"")</x:f>
        <x:v>h_eff</x:v>
      </x:c>
      <x:c r="B75" s="48" t="n">
        <x:f>IF($A75="","",SUMIFS('02_ツリー'!$K$5:$K$560,'02_ツリー'!$E$5:$E$560,$A75,'02_ツリー'!$K$5:$K$560,"&gt;0"))</x:f>
        <x:v>0</x:v>
      </x:c>
      <x:c r="C75" s="48" t="n">
        <x:f>IF($A75="","",SUMIFS('02_ツリー'!$K$5:$K$560,'02_ツリー'!$E$5:$E$560,$A75,'02_ツリー'!$K$5:$K$560,"&lt;0"))</x:f>
        <x:v>-0.022272039345098575</x:v>
      </x:c>
      <x:c r="D75" s="48" t="n">
        <x:f>IF($A75="","",B75+C75)</x:f>
        <x:v>-0.022272039345098575</x:v>
      </x:c>
      <x:c r="E75" s="48" t="n">
        <x:f>IF($A75="","",B75-C75)</x:f>
        <x:v>0.022272039345098575</x:v>
      </x:c>
      <x:c r="F75" s="48" t="n">
        <x:f>IF($A75="","",SUMIFS('02_ツリー'!$H$5:$H$560,'02_ツリー'!$E$5:$E$560,$A75,'02_ツリー'!$K$5:$K$560,"&gt;0"))</x:f>
        <x:v>0</x:v>
      </x:c>
      <x:c r="G75" s="48" t="n">
        <x:f>IF($A75="","",-SUMIFS('02_ツリー'!$H$5:$H$560,'02_ツリー'!$E$5:$E$560,$A75,'02_ツリー'!$K$5:$K$560,"&lt;0"))</x:f>
        <x:v>-0.19928662258925056</x:v>
      </x:c>
      <x:c r="H75" s="48" t="n">
        <x:f>IF($A75="","",F75+G75)</x:f>
        <x:v>-0.19928662258925056</x:v>
      </x:c>
      <x:c r="I75" s="244" t="n">
        <x:f>IF($A75="","",--(COUNTIFS('02_ツリー'!$E$5:$E$560,$A75,'02_ツリー'!$O$5:$O$560,0)=0))</x:f>
        <x:v>0</x:v>
      </x:c>
      <x:c r="J75" s="12" t="str">
        <x:f>IF($A75="","",IF(AND(B75&gt;0,C75&lt;0),"正負あり",IF(B75&gt;0,"正のみ",IF(C75&lt;0,"負のみ","ゼロ"))))</x:f>
        <x:v>負のみ</x:v>
      </x:c>
      <x:c r="K75" s="244" t="n">
        <x:f>IF($A75="","",--AND(B75&gt;0,C75&lt;0))</x:f>
        <x:v>0</x:v>
      </x:c>
      <x:c r="L75" s="244" t="n">
        <x:f>IF($A75="","",COUNTIF('02_ツリー'!$E$5:$E$560,$A75))</x:f>
        <x:v>1</x:v>
      </x:c>
      <x:c r="M75" s="244" t="n">
        <x:f>IF($A75="","",--(LEFT(A75,7)="Enable_"))</x:f>
        <x:v>0</x:v>
      </x:c>
      <x:c r="N75" s="12"/>
      <x:c r="O75" s="12"/>
      <x:c r="P75" s="12"/>
      <x:c r="Q75" s="12"/>
      <x:c r="R75" s="12"/>
      <x:c r="S75" s="12"/>
      <x:c r="T75" s="12"/>
      <x:c r="U75" s="12"/>
      <x:c r="V75" s="12"/>
      <x:c r="W75" s="12"/>
      <x:c r="X75" s="12"/>
      <x:c r="Y75" s="12"/>
    </x:row>
    <x:row r="76">
      <x:c r="A76" s="12" t="str">
        <x:f>IFERROR(INDEX('02_ツリー'!$E$5:$E$560,MATCH(ROWS($A$11:A76),'02_ツリー'!$R$5:$R$560,0)),"")</x:f>
        <x:v>h_nom</x:v>
      </x:c>
      <x:c r="B76" s="48" t="n">
        <x:f>IF($A76="","",SUMIFS('02_ツリー'!$K$5:$K$560,'02_ツリー'!$E$5:$E$560,$A76,'02_ツリー'!$K$5:$K$560,"&gt;0"))</x:f>
        <x:v>0</x:v>
      </x:c>
      <x:c r="C76" s="48" t="n">
        <x:f>IF($A76="","",SUMIFS('02_ツリー'!$K$5:$K$560,'02_ツリー'!$E$5:$E$560,$A76,'02_ツリー'!$K$5:$K$560,"&lt;0"))</x:f>
        <x:v>-0.022272039345098575</x:v>
      </x:c>
      <x:c r="D76" s="48" t="n">
        <x:f>IF($A76="","",B76+C76)</x:f>
        <x:v>-0.022272039345098575</x:v>
      </x:c>
      <x:c r="E76" s="48" t="n">
        <x:f>IF($A76="","",B76-C76)</x:f>
        <x:v>0.022272039345098575</x:v>
      </x:c>
      <x:c r="F76" s="48" t="n">
        <x:f>IF($A76="","",SUMIFS('02_ツリー'!$H$5:$H$560,'02_ツリー'!$E$5:$E$560,$A76,'02_ツリー'!$K$5:$K$560,"&gt;0"))</x:f>
        <x:v>0</x:v>
      </x:c>
      <x:c r="G76" s="48" t="n">
        <x:f>IF($A76="","",-SUMIFS('02_ツリー'!$H$5:$H$560,'02_ツリー'!$E$5:$E$560,$A76,'02_ツリー'!$K$5:$K$560,"&lt;0"))</x:f>
        <x:v>-0.19928662258925056</x:v>
      </x:c>
      <x:c r="H76" s="48" t="n">
        <x:f>IF($A76="","",F76+G76)</x:f>
        <x:v>-0.19928662258925056</x:v>
      </x:c>
      <x:c r="I76" s="244" t="n">
        <x:f>IF($A76="","",--(COUNTIFS('02_ツリー'!$E$5:$E$560,$A76,'02_ツリー'!$O$5:$O$560,0)=0))</x:f>
        <x:v>1</x:v>
      </x:c>
      <x:c r="J76" s="12" t="str">
        <x:f>IF($A76="","",IF(AND(B76&gt;0,C76&lt;0),"正負あり",IF(B76&gt;0,"正のみ",IF(C76&lt;0,"負のみ","ゼロ"))))</x:f>
        <x:v>負のみ</x:v>
      </x:c>
      <x:c r="K76" s="244" t="n">
        <x:f>IF($A76="","",--AND(B76&gt;0,C76&lt;0))</x:f>
        <x:v>0</x:v>
      </x:c>
      <x:c r="L76" s="244" t="n">
        <x:f>IF($A76="","",COUNTIF('02_ツリー'!$E$5:$E$560,$A76))</x:f>
        <x:v>1</x:v>
      </x:c>
      <x:c r="M76" s="244" t="n">
        <x:f>IF($A76="","",--(LEFT(A76,7)="Enable_"))</x:f>
        <x:v>0</x:v>
      </x:c>
      <x:c r="N76" s="12"/>
      <x:c r="O76" s="12"/>
      <x:c r="P76" s="12"/>
      <x:c r="Q76" s="12"/>
      <x:c r="R76" s="12"/>
      <x:c r="S76" s="12"/>
      <x:c r="T76" s="12"/>
      <x:c r="U76" s="12"/>
      <x:c r="V76" s="12"/>
      <x:c r="W76" s="12"/>
      <x:c r="X76" s="12"/>
      <x:c r="Y76" s="12"/>
    </x:row>
    <x:row r="77">
      <x:c r="A77" s="12" t="str">
        <x:f>IFERROR(INDEX('02_ツリー'!$E$5:$E$560,MATCH(ROWS($A$11:A77),'02_ツリー'!$R$5:$R$560,0)),"")</x:f>
        <x:v>k_geom</x:v>
      </x:c>
      <x:c r="B77" s="48" t="n">
        <x:f>IF($A77="","",SUMIFS('02_ツリー'!$K$5:$K$560,'02_ツリー'!$E$5:$E$560,$A77,'02_ツリー'!$K$5:$K$560,"&gt;0"))</x:f>
        <x:v>0</x:v>
      </x:c>
      <x:c r="C77" s="48" t="n">
        <x:f>IF($A77="","",SUMIFS('02_ツリー'!$K$5:$K$560,'02_ツリー'!$E$5:$E$560,$A77,'02_ツリー'!$K$5:$K$560,"&lt;0"))</x:f>
        <x:v>-0.022272039345098575</x:v>
      </x:c>
      <x:c r="D77" s="48" t="n">
        <x:f>IF($A77="","",B77+C77)</x:f>
        <x:v>-0.022272039345098575</x:v>
      </x:c>
      <x:c r="E77" s="48" t="n">
        <x:f>IF($A77="","",B77-C77)</x:f>
        <x:v>0.022272039345098575</x:v>
      </x:c>
      <x:c r="F77" s="48" t="n">
        <x:f>IF($A77="","",SUMIFS('02_ツリー'!$H$5:$H$560,'02_ツリー'!$E$5:$E$560,$A77,'02_ツリー'!$K$5:$K$560,"&gt;0"))</x:f>
        <x:v>0</x:v>
      </x:c>
      <x:c r="G77" s="48" t="n">
        <x:f>IF($A77="","",-SUMIFS('02_ツリー'!$H$5:$H$560,'02_ツリー'!$E$5:$E$560,$A77,'02_ツリー'!$K$5:$K$560,"&lt;0"))</x:f>
        <x:v>-0.19928662258925056</x:v>
      </x:c>
      <x:c r="H77" s="48" t="n">
        <x:f>IF($A77="","",F77+G77)</x:f>
        <x:v>-0.19928662258925056</x:v>
      </x:c>
      <x:c r="I77" s="244" t="n">
        <x:f>IF($A77="","",--(COUNTIFS('02_ツリー'!$E$5:$E$560,$A77,'02_ツリー'!$O$5:$O$560,0)=0))</x:f>
        <x:v>1</x:v>
      </x:c>
      <x:c r="J77" s="12" t="str">
        <x:f>IF($A77="","",IF(AND(B77&gt;0,C77&lt;0),"正負あり",IF(B77&gt;0,"正のみ",IF(C77&lt;0,"負のみ","ゼロ"))))</x:f>
        <x:v>負のみ</x:v>
      </x:c>
      <x:c r="K77" s="244" t="n">
        <x:f>IF($A77="","",--AND(B77&gt;0,C77&lt;0))</x:f>
        <x:v>0</x:v>
      </x:c>
      <x:c r="L77" s="244" t="n">
        <x:f>IF($A77="","",COUNTIF('02_ツリー'!$E$5:$E$560,$A77))</x:f>
        <x:v>1</x:v>
      </x:c>
      <x:c r="M77" s="244" t="n">
        <x:f>IF($A77="","",--(LEFT(A77,7)="Enable_"))</x:f>
        <x:v>0</x:v>
      </x:c>
      <x:c r="N77" s="12"/>
      <x:c r="O77" s="12"/>
      <x:c r="P77" s="12"/>
      <x:c r="Q77" s="12"/>
      <x:c r="R77" s="12"/>
      <x:c r="S77" s="12"/>
      <x:c r="T77" s="12"/>
      <x:c r="U77" s="12"/>
      <x:c r="V77" s="12"/>
      <x:c r="W77" s="12"/>
      <x:c r="X77" s="12"/>
      <x:c r="Y77" s="12"/>
    </x:row>
    <x:row r="78">
      <x:c r="A78" s="12" t="str">
        <x:f>IFERROR(INDEX('02_ツリー'!$E$5:$E$560,MATCH(ROWS($A$11:A78),'02_ツリー'!$R$5:$R$560,0)),"")</x:f>
        <x:v>k_surface</x:v>
      </x:c>
      <x:c r="B78" s="48" t="n">
        <x:f>IF($A78="","",SUMIFS('02_ツリー'!$K$5:$K$560,'02_ツリー'!$E$5:$E$560,$A78,'02_ツリー'!$K$5:$K$560,"&gt;0"))</x:f>
        <x:v>0</x:v>
      </x:c>
      <x:c r="C78" s="48" t="n">
        <x:f>IF($A78="","",SUMIFS('02_ツリー'!$K$5:$K$560,'02_ツリー'!$E$5:$E$560,$A78,'02_ツリー'!$K$5:$K$560,"&lt;0"))</x:f>
        <x:v>-0.022272039345098575</x:v>
      </x:c>
      <x:c r="D78" s="48" t="n">
        <x:f>IF($A78="","",B78+C78)</x:f>
        <x:v>-0.022272039345098575</x:v>
      </x:c>
      <x:c r="E78" s="48" t="n">
        <x:f>IF($A78="","",B78-C78)</x:f>
        <x:v>0.022272039345098575</x:v>
      </x:c>
      <x:c r="F78" s="48" t="n">
        <x:f>IF($A78="","",SUMIFS('02_ツリー'!$H$5:$H$560,'02_ツリー'!$E$5:$E$560,$A78,'02_ツリー'!$K$5:$K$560,"&gt;0"))</x:f>
        <x:v>0</x:v>
      </x:c>
      <x:c r="G78" s="48" t="n">
        <x:f>IF($A78="","",-SUMIFS('02_ツリー'!$H$5:$H$560,'02_ツリー'!$E$5:$E$560,$A78,'02_ツリー'!$K$5:$K$560,"&lt;0"))</x:f>
        <x:v>-0.19928662258925056</x:v>
      </x:c>
      <x:c r="H78" s="48" t="n">
        <x:f>IF($A78="","",F78+G78)</x:f>
        <x:v>-0.19928662258925056</x:v>
      </x:c>
      <x:c r="I78" s="244" t="n">
        <x:f>IF($A78="","",--(COUNTIFS('02_ツリー'!$E$5:$E$560,$A78,'02_ツリー'!$O$5:$O$560,0)=0))</x:f>
        <x:v>1</x:v>
      </x:c>
      <x:c r="J78" s="12" t="str">
        <x:f>IF($A78="","",IF(AND(B78&gt;0,C78&lt;0),"正負あり",IF(B78&gt;0,"正のみ",IF(C78&lt;0,"負のみ","ゼロ"))))</x:f>
        <x:v>負のみ</x:v>
      </x:c>
      <x:c r="K78" s="244" t="n">
        <x:f>IF($A78="","",--AND(B78&gt;0,C78&lt;0))</x:f>
        <x:v>0</x:v>
      </x:c>
      <x:c r="L78" s="244" t="n">
        <x:f>IF($A78="","",COUNTIF('02_ツリー'!$E$5:$E$560,$A78))</x:f>
        <x:v>1</x:v>
      </x:c>
      <x:c r="M78" s="244" t="n">
        <x:f>IF($A78="","",--(LEFT(A78,7)="Enable_"))</x:f>
        <x:v>0</x:v>
      </x:c>
      <x:c r="N78" s="12"/>
      <x:c r="O78" s="12"/>
      <x:c r="P78" s="12"/>
      <x:c r="Q78" s="12"/>
      <x:c r="R78" s="12"/>
      <x:c r="S78" s="12"/>
      <x:c r="T78" s="12"/>
      <x:c r="U78" s="12"/>
      <x:c r="V78" s="12"/>
      <x:c r="W78" s="12"/>
      <x:c r="X78" s="12"/>
      <x:c r="Y78" s="12"/>
    </x:row>
    <x:row r="79">
      <x:c r="A79" s="12" t="str">
        <x:f>IFERROR(INDEX('02_ツリー'!$E$5:$E$560,MATCH(ROWS($A$11:A79),'02_ツリー'!$R$5:$R$560,0)),"")</x:f>
        <x:v>k_fin</x:v>
      </x:c>
      <x:c r="B79" s="48" t="n">
        <x:f>IF($A79="","",SUMIFS('02_ツリー'!$K$5:$K$560,'02_ツリー'!$E$5:$E$560,$A79,'02_ツリー'!$K$5:$K$560,"&gt;0"))</x:f>
        <x:v>0</x:v>
      </x:c>
      <x:c r="C79" s="48" t="n">
        <x:f>IF($A79="","",SUMIFS('02_ツリー'!$K$5:$K$560,'02_ツリー'!$E$5:$E$560,$A79,'02_ツリー'!$K$5:$K$560,"&lt;0"))</x:f>
        <x:v>-0.022272039345098575</x:v>
      </x:c>
      <x:c r="D79" s="48" t="n">
        <x:f>IF($A79="","",B79+C79)</x:f>
        <x:v>-0.022272039345098575</x:v>
      </x:c>
      <x:c r="E79" s="48" t="n">
        <x:f>IF($A79="","",B79-C79)</x:f>
        <x:v>0.022272039345098575</x:v>
      </x:c>
      <x:c r="F79" s="48" t="n">
        <x:f>IF($A79="","",SUMIFS('02_ツリー'!$H$5:$H$560,'02_ツリー'!$E$5:$E$560,$A79,'02_ツリー'!$K$5:$K$560,"&gt;0"))</x:f>
        <x:v>0</x:v>
      </x:c>
      <x:c r="G79" s="48" t="n">
        <x:f>IF($A79="","",-SUMIFS('02_ツリー'!$H$5:$H$560,'02_ツリー'!$E$5:$E$560,$A79,'02_ツリー'!$K$5:$K$560,"&lt;0"))</x:f>
        <x:v>-0.19928662258925056</x:v>
      </x:c>
      <x:c r="H79" s="48" t="n">
        <x:f>IF($A79="","",F79+G79)</x:f>
        <x:v>-0.19928662258925056</x:v>
      </x:c>
      <x:c r="I79" s="244" t="n">
        <x:f>IF($A79="","",--(COUNTIFS('02_ツリー'!$E$5:$E$560,$A79,'02_ツリー'!$O$5:$O$560,0)=0))</x:f>
        <x:v>1</x:v>
      </x:c>
      <x:c r="J79" s="12" t="str">
        <x:f>IF($A79="","",IF(AND(B79&gt;0,C79&lt;0),"正負あり",IF(B79&gt;0,"正のみ",IF(C79&lt;0,"負のみ","ゼロ"))))</x:f>
        <x:v>負のみ</x:v>
      </x:c>
      <x:c r="K79" s="244" t="n">
        <x:f>IF($A79="","",--AND(B79&gt;0,C79&lt;0))</x:f>
        <x:v>0</x:v>
      </x:c>
      <x:c r="L79" s="244" t="n">
        <x:f>IF($A79="","",COUNTIF('02_ツリー'!$E$5:$E$560,$A79))</x:f>
        <x:v>1</x:v>
      </x:c>
      <x:c r="M79" s="244" t="n">
        <x:f>IF($A79="","",--(LEFT(A79,7)="Enable_"))</x:f>
        <x:v>0</x:v>
      </x:c>
      <x:c r="N79" s="12"/>
      <x:c r="O79" s="12"/>
      <x:c r="P79" s="12"/>
      <x:c r="Q79" s="12"/>
      <x:c r="R79" s="12"/>
      <x:c r="S79" s="12"/>
      <x:c r="T79" s="12"/>
      <x:c r="U79" s="12"/>
      <x:c r="V79" s="12"/>
      <x:c r="W79" s="12"/>
      <x:c r="X79" s="12"/>
      <x:c r="Y79" s="12"/>
    </x:row>
    <x:row r="80">
      <x:c r="A80" s="12" t="str">
        <x:f>IFERROR(INDEX('02_ツリー'!$E$5:$E$560,MATCH(ROWS($A$11:A80),'02_ツリー'!$R$5:$R$560,0)),"")</x:f>
        <x:v>k_flow</x:v>
      </x:c>
      <x:c r="B80" s="48" t="n">
        <x:f>IF($A80="","",SUMIFS('02_ツリー'!$K$5:$K$560,'02_ツリー'!$E$5:$E$560,$A80,'02_ツリー'!$K$5:$K$560,"&gt;0"))</x:f>
        <x:v>0</x:v>
      </x:c>
      <x:c r="C80" s="48" t="n">
        <x:f>IF($A80="","",SUMIFS('02_ツリー'!$K$5:$K$560,'02_ツリー'!$E$5:$E$560,$A80,'02_ツリー'!$K$5:$K$560,"&lt;0"))</x:f>
        <x:v>-0.022272039345098575</x:v>
      </x:c>
      <x:c r="D80" s="48" t="n">
        <x:f>IF($A80="","",B80+C80)</x:f>
        <x:v>-0.022272039345098575</x:v>
      </x:c>
      <x:c r="E80" s="48" t="n">
        <x:f>IF($A80="","",B80-C80)</x:f>
        <x:v>0.022272039345098575</x:v>
      </x:c>
      <x:c r="F80" s="48" t="n">
        <x:f>IF($A80="","",SUMIFS('02_ツリー'!$H$5:$H$560,'02_ツリー'!$E$5:$E$560,$A80,'02_ツリー'!$K$5:$K$560,"&gt;0"))</x:f>
        <x:v>0</x:v>
      </x:c>
      <x:c r="G80" s="48" t="n">
        <x:f>IF($A80="","",-SUMIFS('02_ツリー'!$H$5:$H$560,'02_ツリー'!$E$5:$E$560,$A80,'02_ツリー'!$K$5:$K$560,"&lt;0"))</x:f>
        <x:v>-0.19928662258925056</x:v>
      </x:c>
      <x:c r="H80" s="48" t="n">
        <x:f>IF($A80="","",F80+G80)</x:f>
        <x:v>-0.19928662258925056</x:v>
      </x:c>
      <x:c r="I80" s="244" t="n">
        <x:f>IF($A80="","",--(COUNTIFS('02_ツリー'!$E$5:$E$560,$A80,'02_ツリー'!$O$5:$O$560,0)=0))</x:f>
        <x:v>0</x:v>
      </x:c>
      <x:c r="J80" s="12" t="str">
        <x:f>IF($A80="","",IF(AND(B80&gt;0,C80&lt;0),"正負あり",IF(B80&gt;0,"正のみ",IF(C80&lt;0,"負のみ","ゼロ"))))</x:f>
        <x:v>負のみ</x:v>
      </x:c>
      <x:c r="K80" s="244" t="n">
        <x:f>IF($A80="","",--AND(B80&gt;0,C80&lt;0))</x:f>
        <x:v>0</x:v>
      </x:c>
      <x:c r="L80" s="244" t="n">
        <x:f>IF($A80="","",COUNTIF('02_ツリー'!$E$5:$E$560,$A80))</x:f>
        <x:v>1</x:v>
      </x:c>
      <x:c r="M80" s="244" t="n">
        <x:f>IF($A80="","",--(LEFT(A80,7)="Enable_"))</x:f>
        <x:v>0</x:v>
      </x:c>
      <x:c r="N80" s="12"/>
      <x:c r="O80" s="12"/>
      <x:c r="P80" s="12"/>
      <x:c r="Q80" s="12"/>
      <x:c r="R80" s="12"/>
      <x:c r="S80" s="12"/>
      <x:c r="T80" s="12"/>
      <x:c r="U80" s="12"/>
      <x:c r="V80" s="12"/>
      <x:c r="W80" s="12"/>
      <x:c r="X80" s="12"/>
      <x:c r="Y80" s="12"/>
    </x:row>
    <x:row r="81">
      <x:c r="A81" s="12" t="str">
        <x:f>IFERROR(INDEX('02_ツリー'!$E$5:$E$560,MATCH(ROWS($A$11:A81),'02_ツリー'!$R$5:$R$560,0)),"")</x:f>
        <x:v>v_cool</x:v>
      </x:c>
      <x:c r="B81" s="48" t="n">
        <x:f>IF($A81="","",SUMIFS('02_ツリー'!$K$5:$K$560,'02_ツリー'!$E$5:$E$560,$A81,'02_ツリー'!$K$5:$K$560,"&gt;0"))</x:f>
        <x:v>0</x:v>
      </x:c>
      <x:c r="C81" s="48" t="n">
        <x:f>IF($A81="","",SUMIFS('02_ツリー'!$K$5:$K$560,'02_ツリー'!$E$5:$E$560,$A81,'02_ツリー'!$K$5:$K$560,"&lt;0"))</x:f>
        <x:v>-0.011136019672549288</x:v>
      </x:c>
      <x:c r="D81" s="48" t="n">
        <x:f>IF($A81="","",B81+C81)</x:f>
        <x:v>-0.011136019672549288</x:v>
      </x:c>
      <x:c r="E81" s="48" t="n">
        <x:f>IF($A81="","",B81-C81)</x:f>
        <x:v>0.011136019672549288</x:v>
      </x:c>
      <x:c r="F81" s="48" t="n">
        <x:f>IF($A81="","",SUMIFS('02_ツリー'!$H$5:$H$560,'02_ツリー'!$E$5:$E$560,$A81,'02_ツリー'!$K$5:$K$560,"&gt;0"))</x:f>
        <x:v>0</x:v>
      </x:c>
      <x:c r="G81" s="48" t="n">
        <x:f>IF($A81="","",-SUMIFS('02_ツリー'!$H$5:$H$560,'02_ツリー'!$E$5:$E$560,$A81,'02_ツリー'!$K$5:$K$560,"&lt;0"))</x:f>
        <x:v>-0.09964331129462528</x:v>
      </x:c>
      <x:c r="H81" s="48" t="n">
        <x:f>IF($A81="","",F81+G81)</x:f>
        <x:v>-0.09964331129462528</x:v>
      </x:c>
      <x:c r="I81" s="244" t="n">
        <x:f>IF($A81="","",--(COUNTIFS('02_ツリー'!$E$5:$E$560,$A81,'02_ツリー'!$O$5:$O$560,0)=0))</x:f>
        <x:v>1</x:v>
      </x:c>
      <x:c r="J81" s="12" t="str">
        <x:f>IF($A81="","",IF(AND(B81&gt;0,C81&lt;0),"正負あり",IF(B81&gt;0,"正のみ",IF(C81&lt;0,"負のみ","ゼロ"))))</x:f>
        <x:v>負のみ</x:v>
      </x:c>
      <x:c r="K81" s="244" t="n">
        <x:f>IF($A81="","",--AND(B81&gt;0,C81&lt;0))</x:f>
        <x:v>0</x:v>
      </x:c>
      <x:c r="L81" s="244" t="n">
        <x:f>IF($A81="","",COUNTIF('02_ツリー'!$E$5:$E$560,$A81))</x:f>
        <x:v>1</x:v>
      </x:c>
      <x:c r="M81" s="244" t="n">
        <x:f>IF($A81="","",--(LEFT(A81,7)="Enable_"))</x:f>
        <x:v>0</x:v>
      </x:c>
      <x:c r="N81" s="12"/>
      <x:c r="O81" s="12"/>
      <x:c r="P81" s="12"/>
      <x:c r="Q81" s="12"/>
      <x:c r="R81" s="12"/>
      <x:c r="S81" s="12"/>
      <x:c r="T81" s="12"/>
      <x:c r="U81" s="12"/>
      <x:c r="V81" s="12"/>
      <x:c r="W81" s="12"/>
      <x:c r="X81" s="12"/>
      <x:c r="Y81" s="12"/>
    </x:row>
    <x:row r="82">
      <x:c r="A82" s="12" t="str">
        <x:f>IFERROR(INDEX('02_ツリー'!$E$5:$E$560,MATCH(ROWS($A$11:A82),'02_ツリー'!$R$5:$R$560,0)),"")</x:f>
        <x:v>v_ref</x:v>
      </x:c>
      <x:c r="B82" s="48" t="n">
        <x:f>IF($A82="","",SUMIFS('02_ツリー'!$K$5:$K$560,'02_ツリー'!$E$5:$E$560,$A82,'02_ツリー'!$K$5:$K$560,"&gt;0"))</x:f>
        <x:v>0.011136019672549288</x:v>
      </x:c>
      <x:c r="C82" s="48" t="n">
        <x:f>IF($A82="","",SUMIFS('02_ツリー'!$K$5:$K$560,'02_ツリー'!$E$5:$E$560,$A82,'02_ツリー'!$K$5:$K$560,"&lt;0"))</x:f>
        <x:v>0</x:v>
      </x:c>
      <x:c r="D82" s="48" t="n">
        <x:f>IF($A82="","",B82+C82)</x:f>
        <x:v>0.011136019672549288</x:v>
      </x:c>
      <x:c r="E82" s="48" t="n">
        <x:f>IF($A82="","",B82-C82)</x:f>
        <x:v>0.011136019672549288</x:v>
      </x:c>
      <x:c r="F82" s="48" t="n">
        <x:f>IF($A82="","",SUMIFS('02_ツリー'!$H$5:$H$560,'02_ツリー'!$E$5:$E$560,$A82,'02_ツリー'!$K$5:$K$560,"&gt;0"))</x:f>
        <x:v>0.09964331129462528</x:v>
      </x:c>
      <x:c r="G82" s="48" t="n">
        <x:f>IF($A82="","",-SUMIFS('02_ツリー'!$H$5:$H$560,'02_ツリー'!$E$5:$E$560,$A82,'02_ツリー'!$K$5:$K$560,"&lt;0"))</x:f>
        <x:v>0</x:v>
      </x:c>
      <x:c r="H82" s="48" t="n">
        <x:f>IF($A82="","",F82+G82)</x:f>
        <x:v>0.09964331129462528</x:v>
      </x:c>
      <x:c r="I82" s="244" t="n">
        <x:f>IF($A82="","",--(COUNTIFS('02_ツリー'!$E$5:$E$560,$A82,'02_ツリー'!$O$5:$O$560,0)=0))</x:f>
        <x:v>1</x:v>
      </x:c>
      <x:c r="J82" s="12" t="str">
        <x:f>IF($A82="","",IF(AND(B82&gt;0,C82&lt;0),"正負あり",IF(B82&gt;0,"正のみ",IF(C82&lt;0,"負のみ","ゼロ"))))</x:f>
        <x:v>正のみ</x:v>
      </x:c>
      <x:c r="K82" s="244" t="n">
        <x:f>IF($A82="","",--AND(B82&gt;0,C82&lt;0))</x:f>
        <x:v>0</x:v>
      </x:c>
      <x:c r="L82" s="244" t="n">
        <x:f>IF($A82="","",COUNTIF('02_ツリー'!$E$5:$E$560,$A82))</x:f>
        <x:v>1</x:v>
      </x:c>
      <x:c r="M82" s="244" t="n">
        <x:f>IF($A82="","",--(LEFT(A82,7)="Enable_"))</x:f>
        <x:v>0</x:v>
      </x:c>
      <x:c r="N82" s="12"/>
      <x:c r="O82" s="12"/>
      <x:c r="P82" s="12"/>
      <x:c r="Q82" s="12"/>
      <x:c r="R82" s="12"/>
      <x:c r="S82" s="12"/>
      <x:c r="T82" s="12"/>
      <x:c r="U82" s="12"/>
      <x:c r="V82" s="12"/>
      <x:c r="W82" s="12"/>
      <x:c r="X82" s="12"/>
      <x:c r="Y82" s="12"/>
    </x:row>
    <x:row r="83">
      <x:c r="A83" s="12" t="str">
        <x:f>IFERROR(INDEX('02_ツリー'!$E$5:$E$560,MATCH(ROWS($A$11:A83),'02_ツリー'!$R$5:$R$560,0)),"")</x:f>
        <x:v>dT_cool</x:v>
      </x:c>
      <x:c r="B83" s="48" t="n">
        <x:f>IF($A83="","",SUMIFS('02_ツリー'!$K$5:$K$560,'02_ツリー'!$E$5:$E$560,$A83,'02_ツリー'!$K$5:$K$560,"&gt;0"))</x:f>
        <x:v>0</x:v>
      </x:c>
      <x:c r="C83" s="48" t="n">
        <x:f>IF($A83="","",SUMIFS('02_ツリー'!$K$5:$K$560,'02_ツリー'!$E$5:$E$560,$A83,'02_ツリー'!$K$5:$K$560,"&lt;0"))</x:f>
        <x:v>-0.022272039345098575</x:v>
      </x:c>
      <x:c r="D83" s="48" t="n">
        <x:f>IF($A83="","",B83+C83)</x:f>
        <x:v>-0.022272039345098575</x:v>
      </x:c>
      <x:c r="E83" s="48" t="n">
        <x:f>IF($A83="","",B83-C83)</x:f>
        <x:v>0.022272039345098575</x:v>
      </x:c>
      <x:c r="F83" s="48" t="n">
        <x:f>IF($A83="","",SUMIFS('02_ツリー'!$H$5:$H$560,'02_ツリー'!$E$5:$E$560,$A83,'02_ツリー'!$K$5:$K$560,"&gt;0"))</x:f>
        <x:v>0</x:v>
      </x:c>
      <x:c r="G83" s="48" t="n">
        <x:f>IF($A83="","",-SUMIFS('02_ツリー'!$H$5:$H$560,'02_ツリー'!$E$5:$E$560,$A83,'02_ツリー'!$K$5:$K$560,"&lt;0"))</x:f>
        <x:v>-0.19928662258925056</x:v>
      </x:c>
      <x:c r="H83" s="48" t="n">
        <x:f>IF($A83="","",F83+G83)</x:f>
        <x:v>-0.19928662258925056</x:v>
      </x:c>
      <x:c r="I83" s="244" t="n">
        <x:f>IF($A83="","",--(COUNTIFS('02_ツリー'!$E$5:$E$560,$A83,'02_ツリー'!$O$5:$O$560,0)=0))</x:f>
        <x:v>1</x:v>
      </x:c>
      <x:c r="J83" s="12" t="str">
        <x:f>IF($A83="","",IF(AND(B83&gt;0,C83&lt;0),"正負あり",IF(B83&gt;0,"正のみ",IF(C83&lt;0,"負のみ","ゼロ"))))</x:f>
        <x:v>負のみ</x:v>
      </x:c>
      <x:c r="K83" s="244" t="n">
        <x:f>IF($A83="","",--AND(B83&gt;0,C83&lt;0))</x:f>
        <x:v>0</x:v>
      </x:c>
      <x:c r="L83" s="244" t="n">
        <x:f>IF($A83="","",COUNTIF('02_ツリー'!$E$5:$E$560,$A83))</x:f>
        <x:v>1</x:v>
      </x:c>
      <x:c r="M83" s="244" t="n">
        <x:f>IF($A83="","",--(LEFT(A83,7)="Enable_"))</x:f>
        <x:v>0</x:v>
      </x:c>
      <x:c r="N83" s="12"/>
      <x:c r="O83" s="12"/>
      <x:c r="P83" s="12"/>
      <x:c r="Q83" s="12"/>
      <x:c r="R83" s="12"/>
      <x:c r="S83" s="12"/>
      <x:c r="T83" s="12"/>
      <x:c r="U83" s="12"/>
      <x:c r="V83" s="12"/>
      <x:c r="W83" s="12"/>
      <x:c r="X83" s="12"/>
      <x:c r="Y83" s="12"/>
    </x:row>
    <x:row r="84">
      <x:c r="A84" s="12" t="str">
        <x:f>IFERROR(INDEX('02_ツリー'!$E$5:$E$560,MATCH(ROWS($A$11:A84),'02_ツリー'!$R$5:$R$560,0)),"")</x:f>
        <x:v>sigma_hx</x:v>
      </x:c>
      <x:c r="B84" s="48" t="n">
        <x:f>IF($A84="","",SUMIFS('02_ツリー'!$K$5:$K$560,'02_ツリー'!$E$5:$E$560,$A84,'02_ツリー'!$K$5:$K$560,"&gt;0"))</x:f>
        <x:v>0.022272039345098575</x:v>
      </x:c>
      <x:c r="C84" s="48" t="n">
        <x:f>IF($A84="","",SUMIFS('02_ツリー'!$K$5:$K$560,'02_ツリー'!$E$5:$E$560,$A84,'02_ツリー'!$K$5:$K$560,"&lt;0"))</x:f>
        <x:v>0</x:v>
      </x:c>
      <x:c r="D84" s="48" t="n">
        <x:f>IF($A84="","",B84+C84)</x:f>
        <x:v>0.022272039345098575</x:v>
      </x:c>
      <x:c r="E84" s="48" t="n">
        <x:f>IF($A84="","",B84-C84)</x:f>
        <x:v>0.022272039345098575</x:v>
      </x:c>
      <x:c r="F84" s="48" t="n">
        <x:f>IF($A84="","",SUMIFS('02_ツリー'!$H$5:$H$560,'02_ツリー'!$E$5:$E$560,$A84,'02_ツリー'!$K$5:$K$560,"&gt;0"))</x:f>
        <x:v>0.19928662258925056</x:v>
      </x:c>
      <x:c r="G84" s="48" t="n">
        <x:f>IF($A84="","",-SUMIFS('02_ツリー'!$H$5:$H$560,'02_ツリー'!$E$5:$E$560,$A84,'02_ツリー'!$K$5:$K$560,"&lt;0"))</x:f>
        <x:v>0</x:v>
      </x:c>
      <x:c r="H84" s="48" t="n">
        <x:f>IF($A84="","",F84+G84)</x:f>
        <x:v>0.19928662258925056</x:v>
      </x:c>
      <x:c r="I84" s="244" t="n">
        <x:f>IF($A84="","",--(COUNTIFS('02_ツリー'!$E$5:$E$560,$A84,'02_ツリー'!$O$5:$O$560,0)=0))</x:f>
        <x:v>0</x:v>
      </x:c>
      <x:c r="J84" s="12" t="str">
        <x:f>IF($A84="","",IF(AND(B84&gt;0,C84&lt;0),"正負あり",IF(B84&gt;0,"正のみ",IF(C84&lt;0,"負のみ","ゼロ"))))</x:f>
        <x:v>正のみ</x:v>
      </x:c>
      <x:c r="K84" s="244" t="n">
        <x:f>IF($A84="","",--AND(B84&gt;0,C84&lt;0))</x:f>
        <x:v>0</x:v>
      </x:c>
      <x:c r="L84" s="244" t="n">
        <x:f>IF($A84="","",COUNTIF('02_ツリー'!$E$5:$E$560,$A84))</x:f>
        <x:v>1</x:v>
      </x:c>
      <x:c r="M84" s="244" t="n">
        <x:f>IF($A84="","",--(LEFT(A84,7)="Enable_"))</x:f>
        <x:v>0</x:v>
      </x:c>
      <x:c r="N84" s="12"/>
      <x:c r="O84" s="12"/>
      <x:c r="P84" s="12"/>
      <x:c r="Q84" s="12"/>
      <x:c r="R84" s="12"/>
      <x:c r="S84" s="12"/>
      <x:c r="T84" s="12"/>
      <x:c r="U84" s="12"/>
      <x:c r="V84" s="12"/>
      <x:c r="W84" s="12"/>
      <x:c r="X84" s="12"/>
      <x:c r="Y84" s="12"/>
    </x:row>
    <x:row r="85">
      <x:c r="A85" s="12" t="str">
        <x:f>IFERROR(INDEX('02_ツリー'!$E$5:$E$560,MATCH(ROWS($A$11:A85),'02_ツリー'!$R$5:$R$560,0)),"")</x:f>
        <x:v>rho_hx</x:v>
      </x:c>
      <x:c r="B85" s="48" t="n">
        <x:f>IF($A85="","",SUMIFS('02_ツリー'!$K$5:$K$560,'02_ツリー'!$E$5:$E$560,$A85,'02_ツリー'!$K$5:$K$560,"&gt;0"))</x:f>
        <x:v>0</x:v>
      </x:c>
      <x:c r="C85" s="48" t="n">
        <x:f>IF($A85="","",SUMIFS('02_ツリー'!$K$5:$K$560,'02_ツリー'!$E$5:$E$560,$A85,'02_ツリー'!$K$5:$K$560,"&lt;0"))</x:f>
        <x:v>-0.022272039345098575</x:v>
      </x:c>
      <x:c r="D85" s="48" t="n">
        <x:f>IF($A85="","",B85+C85)</x:f>
        <x:v>-0.022272039345098575</x:v>
      </x:c>
      <x:c r="E85" s="48" t="n">
        <x:f>IF($A85="","",B85-C85)</x:f>
        <x:v>0.022272039345098575</x:v>
      </x:c>
      <x:c r="F85" s="48" t="n">
        <x:f>IF($A85="","",SUMIFS('02_ツリー'!$H$5:$H$560,'02_ツリー'!$E$5:$E$560,$A85,'02_ツリー'!$K$5:$K$560,"&gt;0"))</x:f>
        <x:v>0</x:v>
      </x:c>
      <x:c r="G85" s="48" t="n">
        <x:f>IF($A85="","",-SUMIFS('02_ツリー'!$H$5:$H$560,'02_ツリー'!$E$5:$E$560,$A85,'02_ツリー'!$K$5:$K$560,"&lt;0"))</x:f>
        <x:v>-0.19928662258925056</x:v>
      </x:c>
      <x:c r="H85" s="48" t="n">
        <x:f>IF($A85="","",F85+G85)</x:f>
        <x:v>-0.19928662258925056</x:v>
      </x:c>
      <x:c r="I85" s="244" t="n">
        <x:f>IF($A85="","",--(COUNTIFS('02_ツリー'!$E$5:$E$560,$A85,'02_ツリー'!$O$5:$O$560,0)=0))</x:f>
        <x:v>1</x:v>
      </x:c>
      <x:c r="J85" s="12" t="str">
        <x:f>IF($A85="","",IF(AND(B85&gt;0,C85&lt;0),"正負あり",IF(B85&gt;0,"正のみ",IF(C85&lt;0,"負のみ","ゼロ"))))</x:f>
        <x:v>負のみ</x:v>
      </x:c>
      <x:c r="K85" s="244" t="n">
        <x:f>IF($A85="","",--AND(B85&gt;0,C85&lt;0))</x:f>
        <x:v>0</x:v>
      </x:c>
      <x:c r="L85" s="244" t="n">
        <x:f>IF($A85="","",COUNTIF('02_ツリー'!$E$5:$E$560,$A85))</x:f>
        <x:v>1</x:v>
      </x:c>
      <x:c r="M85" s="244" t="n">
        <x:f>IF($A85="","",--(LEFT(A85,7)="Enable_"))</x:f>
        <x:v>0</x:v>
      </x:c>
      <x:c r="N85" s="12"/>
      <x:c r="O85" s="12"/>
      <x:c r="P85" s="12"/>
      <x:c r="Q85" s="12"/>
      <x:c r="R85" s="12"/>
      <x:c r="S85" s="12"/>
      <x:c r="T85" s="12"/>
      <x:c r="U85" s="12"/>
      <x:c r="V85" s="12"/>
      <x:c r="W85" s="12"/>
      <x:c r="X85" s="12"/>
      <x:c r="Y85" s="12"/>
    </x:row>
    <x:row r="86">
      <x:c r="A86" s="12" t="str">
        <x:f>IFERROR(INDEX('02_ツリー'!$E$5:$E$560,MATCH(ROWS($A$11:A86),'02_ツリー'!$R$5:$R$560,0)),"")</x:f>
        <x:v>t_hx_eq</x:v>
      </x:c>
      <x:c r="B86" s="48" t="n">
        <x:f>IF($A86="","",SUMIFS('02_ツリー'!$K$5:$K$560,'02_ツリー'!$E$5:$E$560,$A86,'02_ツリー'!$K$5:$K$560,"&gt;0"))</x:f>
        <x:v>0</x:v>
      </x:c>
      <x:c r="C86" s="48" t="n">
        <x:f>IF($A86="","",SUMIFS('02_ツリー'!$K$5:$K$560,'02_ツリー'!$E$5:$E$560,$A86,'02_ツリー'!$K$5:$K$560,"&lt;0"))</x:f>
        <x:v>-0.022272039345098575</x:v>
      </x:c>
      <x:c r="D86" s="48" t="n">
        <x:f>IF($A86="","",B86+C86)</x:f>
        <x:v>-0.022272039345098575</x:v>
      </x:c>
      <x:c r="E86" s="48" t="n">
        <x:f>IF($A86="","",B86-C86)</x:f>
        <x:v>0.022272039345098575</x:v>
      </x:c>
      <x:c r="F86" s="48" t="n">
        <x:f>IF($A86="","",SUMIFS('02_ツリー'!$H$5:$H$560,'02_ツリー'!$E$5:$E$560,$A86,'02_ツリー'!$K$5:$K$560,"&gt;0"))</x:f>
        <x:v>0</x:v>
      </x:c>
      <x:c r="G86" s="48" t="n">
        <x:f>IF($A86="","",-SUMIFS('02_ツリー'!$H$5:$H$560,'02_ツリー'!$E$5:$E$560,$A86,'02_ツリー'!$K$5:$K$560,"&lt;0"))</x:f>
        <x:v>-0.19928662258925056</x:v>
      </x:c>
      <x:c r="H86" s="48" t="n">
        <x:f>IF($A86="","",F86+G86)</x:f>
        <x:v>-0.19928662258925056</x:v>
      </x:c>
      <x:c r="I86" s="244" t="n">
        <x:f>IF($A86="","",--(COUNTIFS('02_ツリー'!$E$5:$E$560,$A86,'02_ツリー'!$O$5:$O$560,0)=0))</x:f>
        <x:v>1</x:v>
      </x:c>
      <x:c r="J86" s="12" t="str">
        <x:f>IF($A86="","",IF(AND(B86&gt;0,C86&lt;0),"正負あり",IF(B86&gt;0,"正のみ",IF(C86&lt;0,"負のみ","ゼロ"))))</x:f>
        <x:v>負のみ</x:v>
      </x:c>
      <x:c r="K86" s="244" t="n">
        <x:f>IF($A86="","",--AND(B86&gt;0,C86&lt;0))</x:f>
        <x:v>0</x:v>
      </x:c>
      <x:c r="L86" s="244" t="n">
        <x:f>IF($A86="","",COUNTIF('02_ツリー'!$E$5:$E$560,$A86))</x:f>
        <x:v>1</x:v>
      </x:c>
      <x:c r="M86" s="244" t="n">
        <x:f>IF($A86="","",--(LEFT(A86,7)="Enable_"))</x:f>
        <x:v>0</x:v>
      </x:c>
      <x:c r="N86" s="12"/>
      <x:c r="O86" s="12"/>
      <x:c r="P86" s="12"/>
      <x:c r="Q86" s="12"/>
      <x:c r="R86" s="12"/>
      <x:c r="S86" s="12"/>
      <x:c r="T86" s="12"/>
      <x:c r="U86" s="12"/>
      <x:c r="V86" s="12"/>
      <x:c r="W86" s="12"/>
      <x:c r="X86" s="12"/>
      <x:c r="Y86" s="12"/>
    </x:row>
    <x:row r="87">
      <x:c r="A87" s="12" t="str">
        <x:f>IFERROR(INDEX('02_ツリー'!$E$5:$E$560,MATCH(ROWS($A$11:A87),'02_ツリー'!$R$5:$R$560,0)),"")</x:f>
        <x:v>m_cool_fix</x:v>
      </x:c>
      <x:c r="B87" s="48" t="n">
        <x:f>IF($A87="","",SUMIFS('02_ツリー'!$K$5:$K$560,'02_ツリー'!$E$5:$E$560,$A87,'02_ツリー'!$K$5:$K$560,"&gt;0"))</x:f>
        <x:v>0.03911558974458214</x:v>
      </x:c>
      <x:c r="C87" s="48" t="n">
        <x:f>IF($A87="","",SUMIFS('02_ツリー'!$K$5:$K$560,'02_ツリー'!$E$5:$E$560,$A87,'02_ツリー'!$K$5:$K$560,"&lt;0"))</x:f>
        <x:v>0</x:v>
      </x:c>
      <x:c r="D87" s="48" t="n">
        <x:f>IF($A87="","",B87+C87)</x:f>
        <x:v>0.03911558974458214</x:v>
      </x:c>
      <x:c r="E87" s="48" t="n">
        <x:f>IF($A87="","",B87-C87)</x:f>
        <x:v>0.03911558974458214</x:v>
      </x:c>
      <x:c r="F87" s="48" t="n">
        <x:f>IF($A87="","",SUMIFS('02_ツリー'!$H$5:$H$560,'02_ツリー'!$E$5:$E$560,$A87,'02_ツリー'!$K$5:$K$560,"&gt;0"))</x:f>
        <x:v>0.35</x:v>
      </x:c>
      <x:c r="G87" s="48" t="n">
        <x:f>IF($A87="","",-SUMIFS('02_ツリー'!$H$5:$H$560,'02_ツリー'!$E$5:$E$560,$A87,'02_ツリー'!$K$5:$K$560,"&lt;0"))</x:f>
        <x:v>0</x:v>
      </x:c>
      <x:c r="H87" s="48" t="n">
        <x:f>IF($A87="","",F87+G87)</x:f>
        <x:v>0.35</x:v>
      </x:c>
      <x:c r="I87" s="244" t="n">
        <x:f>IF($A87="","",--(COUNTIFS('02_ツリー'!$E$5:$E$560,$A87,'02_ツリー'!$O$5:$O$560,0)=0))</x:f>
        <x:v>1</x:v>
      </x:c>
      <x:c r="J87" s="12" t="str">
        <x:f>IF($A87="","",IF(AND(B87&gt;0,C87&lt;0),"正負あり",IF(B87&gt;0,"正のみ",IF(C87&lt;0,"負のみ","ゼロ"))))</x:f>
        <x:v>正のみ</x:v>
      </x:c>
      <x:c r="K87" s="244" t="n">
        <x:f>IF($A87="","",--AND(B87&gt;0,C87&lt;0))</x:f>
        <x:v>0</x:v>
      </x:c>
      <x:c r="L87" s="244" t="n">
        <x:f>IF($A87="","",COUNTIF('02_ツリー'!$E$5:$E$560,$A87))</x:f>
        <x:v>1</x:v>
      </x:c>
      <x:c r="M87" s="244" t="n">
        <x:f>IF($A87="","",--(LEFT(A87,7)="Enable_"))</x:f>
        <x:v>0</x:v>
      </x:c>
      <x:c r="N87" s="12"/>
      <x:c r="O87" s="12"/>
      <x:c r="P87" s="12"/>
      <x:c r="Q87" s="12"/>
      <x:c r="R87" s="12"/>
      <x:c r="S87" s="12"/>
      <x:c r="T87" s="12"/>
      <x:c r="U87" s="12"/>
      <x:c r="V87" s="12"/>
      <x:c r="W87" s="12"/>
      <x:c r="X87" s="12"/>
      <x:c r="Y87" s="12"/>
    </x:row>
    <x:row r="88">
      <x:c r="A88" s="12" t="str">
        <x:f>IFERROR(INDEX('02_ツリー'!$E$5:$E$560,MATCH(ROWS($A$11:A88),'02_ツリー'!$R$5:$R$560,0)),"")</x:f>
        <x:v>M_cap</x:v>
      </x:c>
      <x:c r="B88" s="48" t="n">
        <x:f>IF($A88="","",SUMIFS('02_ツリー'!$K$5:$K$560,'02_ツリー'!$E$5:$E$560,$A88,'02_ツリー'!$K$5:$K$560,"&gt;0"))</x:f>
        <x:v>0.17505142053858455</x:v>
      </x:c>
      <x:c r="C88" s="48" t="n">
        <x:f>IF($A88="","",SUMIFS('02_ツリー'!$K$5:$K$560,'02_ツリー'!$E$5:$E$560,$A88,'02_ツリー'!$K$5:$K$560,"&lt;0"))</x:f>
        <x:v>0</x:v>
      </x:c>
      <x:c r="D88" s="48" t="n">
        <x:f>IF($A88="","",B88+C88)</x:f>
        <x:v>0.17505142053858455</x:v>
      </x:c>
      <x:c r="E88" s="48" t="n">
        <x:f>IF($A88="","",B88-C88)</x:f>
        <x:v>0.17505142053858455</x:v>
      </x:c>
      <x:c r="F88" s="48" t="n">
        <x:f>IF($A88="","",SUMIFS('02_ツリー'!$H$5:$H$560,'02_ツリー'!$E$5:$E$560,$A88,'02_ツリー'!$K$5:$K$560,"&gt;0"))</x:f>
        <x:v>1.5663319302757222</x:v>
      </x:c>
      <x:c r="G88" s="48" t="n">
        <x:f>IF($A88="","",-SUMIFS('02_ツリー'!$H$5:$H$560,'02_ツリー'!$E$5:$E$560,$A88,'02_ツリー'!$K$5:$K$560,"&lt;0"))</x:f>
        <x:v>0</x:v>
      </x:c>
      <x:c r="H88" s="48" t="n">
        <x:f>IF($A88="","",F88+G88)</x:f>
        <x:v>1.5663319302757222</x:v>
      </x:c>
      <x:c r="I88" s="244" t="n">
        <x:f>IF($A88="","",--(COUNTIFS('02_ツリー'!$E$5:$E$560,$A88,'02_ツリー'!$O$5:$O$560,0)=0))</x:f>
        <x:v>0</x:v>
      </x:c>
      <x:c r="J88" s="12" t="str">
        <x:f>IF($A88="","",IF(AND(B88&gt;0,C88&lt;0),"正負あり",IF(B88&gt;0,"正のみ",IF(C88&lt;0,"負のみ","ゼロ"))))</x:f>
        <x:v>正のみ</x:v>
      </x:c>
      <x:c r="K88" s="244" t="n">
        <x:f>IF($A88="","",--AND(B88&gt;0,C88&lt;0))</x:f>
        <x:v>0</x:v>
      </x:c>
      <x:c r="L88" s="244" t="n">
        <x:f>IF($A88="","",COUNTIF('02_ツリー'!$E$5:$E$560,$A88))</x:f>
        <x:v>1</x:v>
      </x:c>
      <x:c r="M88" s="244" t="n">
        <x:f>IF($A88="","",--(LEFT(A88,7)="Enable_"))</x:f>
        <x:v>0</x:v>
      </x:c>
      <x:c r="N88" s="12"/>
      <x:c r="O88" s="12"/>
      <x:c r="P88" s="12"/>
      <x:c r="Q88" s="12"/>
      <x:c r="R88" s="12"/>
      <x:c r="S88" s="12"/>
      <x:c r="T88" s="12"/>
      <x:c r="U88" s="12"/>
      <x:c r="V88" s="12"/>
      <x:c r="W88" s="12"/>
      <x:c r="X88" s="12"/>
      <x:c r="Y88" s="12"/>
    </x:row>
    <x:row r="89">
      <x:c r="A89" s="12" t="str">
        <x:f>IFERROR(INDEX('02_ツリー'!$E$5:$E$560,MATCH(ROWS($A$11:A89),'02_ツリー'!$R$5:$R$560,0)),"")</x:f>
        <x:v>m_cap_active</x:v>
      </x:c>
      <x:c r="B89" s="48" t="n">
        <x:f>IF($A89="","",SUMIFS('02_ツリー'!$K$5:$K$560,'02_ツリー'!$E$5:$E$560,$A89,'02_ツリー'!$K$5:$K$560,"&gt;0"))</x:f>
        <x:v>0.12605536050312535</x:v>
      </x:c>
      <x:c r="C89" s="48" t="n">
        <x:f>IF($A89="","",SUMIFS('02_ツリー'!$K$5:$K$560,'02_ツリー'!$E$5:$E$560,$A89,'02_ツリー'!$K$5:$K$560,"&lt;0"))</x:f>
        <x:v>-0.12605536050312538</x:v>
      </x:c>
      <x:c r="D89" s="48" t="n">
        <x:f>IF($A89="","",B89+C89)</x:f>
        <x:v>-2.7755575615628914e-17</x:v>
      </x:c>
      <x:c r="E89" s="48" t="n">
        <x:f>IF($A89="","",B89-C89)</x:f>
        <x:v>0.25211072100625076</x:v>
      </x:c>
      <x:c r="F89" s="48" t="n">
        <x:f>IF($A89="","",SUMIFS('02_ツリー'!$H$5:$H$560,'02_ツリー'!$E$5:$E$560,$A89,'02_ツリー'!$K$5:$K$560,"&gt;0"))</x:f>
        <x:v>1.12792307272332</x:v>
      </x:c>
      <x:c r="G89" s="48" t="n">
        <x:f>IF($A89="","",-SUMIFS('02_ツリー'!$H$5:$H$560,'02_ツリー'!$E$5:$E$560,$A89,'02_ツリー'!$K$5:$K$560,"&lt;0"))</x:f>
        <x:v>-1.1279230727233203</x:v>
      </x:c>
      <x:c r="H89" s="48" t="n">
        <x:f>IF($A89="","",F89+G89)</x:f>
        <x:v>-2.220446049250313e-16</x:v>
      </x:c>
      <x:c r="I89" s="244" t="n">
        <x:f>IF($A89="","",--(COUNTIFS('02_ツリー'!$E$5:$E$560,$A89,'02_ツリー'!$O$5:$O$560,0)=0))</x:f>
        <x:v>0</x:v>
      </x:c>
      <x:c r="J89" s="12" t="str">
        <x:f>IF($A89="","",IF(AND(B89&gt;0,C89&lt;0),"正負あり",IF(B89&gt;0,"正のみ",IF(C89&lt;0,"負のみ","ゼロ"))))</x:f>
        <x:v>正負あり</x:v>
      </x:c>
      <x:c r="K89" s="244" t="n">
        <x:f>IF($A89="","",--AND(B89&gt;0,C89&lt;0))</x:f>
        <x:v>1</x:v>
      </x:c>
      <x:c r="L89" s="244" t="n">
        <x:f>IF($A89="","",COUNTIF('02_ツリー'!$E$5:$E$560,$A89))</x:f>
        <x:v>2</x:v>
      </x:c>
      <x:c r="M89" s="244" t="n">
        <x:f>IF($A89="","",--(LEFT(A89,7)="Enable_"))</x:f>
        <x:v>0</x:v>
      </x:c>
      <x:c r="N89" s="12"/>
      <x:c r="O89" s="12"/>
      <x:c r="P89" s="12"/>
      <x:c r="Q89" s="12"/>
      <x:c r="R89" s="12"/>
      <x:c r="S89" s="12"/>
      <x:c r="T89" s="12"/>
      <x:c r="U89" s="12"/>
      <x:c r="V89" s="12"/>
      <x:c r="W89" s="12"/>
      <x:c r="X89" s="12"/>
      <x:c r="Y89" s="12"/>
    </x:row>
    <x:row r="90">
      <x:c r="A90" s="12" t="str">
        <x:f>IFERROR(INDEX('02_ツリー'!$E$5:$E$560,MATCH(ROWS($A$11:A90),'02_ツリー'!$R$5:$R$560,0)),"")</x:f>
        <x:v>C_req</x:v>
      </x:c>
      <x:c r="B90" s="48" t="n">
        <x:f>IF($A90="","",SUMIFS('02_ツリー'!$K$5:$K$560,'02_ツリー'!$E$5:$E$560,$A90,'02_ツリー'!$K$5:$K$560,"&gt;0"))</x:f>
        <x:v>0.12605536050312535</x:v>
      </x:c>
      <x:c r="C90" s="48" t="n">
        <x:f>IF($A90="","",SUMIFS('02_ツリー'!$K$5:$K$560,'02_ツリー'!$E$5:$E$560,$A90,'02_ツリー'!$K$5:$K$560,"&lt;0"))</x:f>
        <x:v>0</x:v>
      </x:c>
      <x:c r="D90" s="48" t="n">
        <x:f>IF($A90="","",B90+C90)</x:f>
        <x:v>0.12605536050312535</x:v>
      </x:c>
      <x:c r="E90" s="48" t="n">
        <x:f>IF($A90="","",B90-C90)</x:f>
        <x:v>0.12605536050312535</x:v>
      </x:c>
      <x:c r="F90" s="48" t="n">
        <x:f>IF($A90="","",SUMIFS('02_ツリー'!$H$5:$H$560,'02_ツリー'!$E$5:$E$560,$A90,'02_ツリー'!$K$5:$K$560,"&gt;0"))</x:f>
        <x:v>1.12792307272332</x:v>
      </x:c>
      <x:c r="G90" s="48" t="n">
        <x:f>IF($A90="","",-SUMIFS('02_ツリー'!$H$5:$H$560,'02_ツリー'!$E$5:$E$560,$A90,'02_ツリー'!$K$5:$K$560,"&lt;0"))</x:f>
        <x:v>0</x:v>
      </x:c>
      <x:c r="H90" s="48" t="n">
        <x:f>IF($A90="","",F90+G90)</x:f>
        <x:v>1.12792307272332</x:v>
      </x:c>
      <x:c r="I90" s="244" t="n">
        <x:f>IF($A90="","",--(COUNTIFS('02_ツリー'!$E$5:$E$560,$A90,'02_ツリー'!$O$5:$O$560,0)=0))</x:f>
        <x:v>0</x:v>
      </x:c>
      <x:c r="J90" s="12" t="str">
        <x:f>IF($A90="","",IF(AND(B90&gt;0,C90&lt;0),"正負あり",IF(B90&gt;0,"正のみ",IF(C90&lt;0,"負のみ","ゼロ"))))</x:f>
        <x:v>正のみ</x:v>
      </x:c>
      <x:c r="K90" s="244" t="n">
        <x:f>IF($A90="","",--AND(B90&gt;0,C90&lt;0))</x:f>
        <x:v>0</x:v>
      </x:c>
      <x:c r="L90" s="244" t="n">
        <x:f>IF($A90="","",COUNTIF('02_ツリー'!$E$5:$E$560,$A90))</x:f>
        <x:v>1</x:v>
      </x:c>
      <x:c r="M90" s="244" t="n">
        <x:f>IF($A90="","",--(LEFT(A90,7)="Enable_"))</x:f>
        <x:v>0</x:v>
      </x:c>
      <x:c r="N90" s="12"/>
      <x:c r="O90" s="12"/>
      <x:c r="P90" s="12"/>
      <x:c r="Q90" s="12"/>
      <x:c r="R90" s="12"/>
      <x:c r="S90" s="12"/>
      <x:c r="T90" s="12"/>
      <x:c r="U90" s="12"/>
      <x:c r="V90" s="12"/>
      <x:c r="W90" s="12"/>
      <x:c r="X90" s="12"/>
      <x:c r="Y90" s="12"/>
    </x:row>
    <x:row r="91">
      <x:c r="A91" s="12" t="str">
        <x:f>IFERROR(INDEX('02_ツリー'!$E$5:$E$560,MATCH(ROWS($A$11:A91),'02_ツリー'!$R$5:$R$560,0)),"")</x:f>
        <x:v>t_buf</x:v>
      </x:c>
      <x:c r="B91" s="48" t="n">
        <x:f>IF($A91="","",SUMIFS('02_ツリー'!$K$5:$K$560,'02_ツリー'!$E$5:$E$560,$A91,'02_ツリー'!$K$5:$K$560,"&gt;0"))</x:f>
        <x:v>0.12605536050312535</x:v>
      </x:c>
      <x:c r="C91" s="48" t="n">
        <x:f>IF($A91="","",SUMIFS('02_ツリー'!$K$5:$K$560,'02_ツリー'!$E$5:$E$560,$A91,'02_ツリー'!$K$5:$K$560,"&lt;0"))</x:f>
        <x:v>0</x:v>
      </x:c>
      <x:c r="D91" s="48" t="n">
        <x:f>IF($A91="","",B91+C91)</x:f>
        <x:v>0.12605536050312535</x:v>
      </x:c>
      <x:c r="E91" s="48" t="n">
        <x:f>IF($A91="","",B91-C91)</x:f>
        <x:v>0.12605536050312535</x:v>
      </x:c>
      <x:c r="F91" s="48" t="n">
        <x:f>IF($A91="","",SUMIFS('02_ツリー'!$H$5:$H$560,'02_ツリー'!$E$5:$E$560,$A91,'02_ツリー'!$K$5:$K$560,"&gt;0"))</x:f>
        <x:v>1.12792307272332</x:v>
      </x:c>
      <x:c r="G91" s="48" t="n">
        <x:f>IF($A91="","",-SUMIFS('02_ツリー'!$H$5:$H$560,'02_ツリー'!$E$5:$E$560,$A91,'02_ツリー'!$K$5:$K$560,"&lt;0"))</x:f>
        <x:v>0</x:v>
      </x:c>
      <x:c r="H91" s="48" t="n">
        <x:f>IF($A91="","",F91+G91)</x:f>
        <x:v>1.12792307272332</x:v>
      </x:c>
      <x:c r="I91" s="244" t="n">
        <x:f>IF($A91="","",--(COUNTIFS('02_ツリー'!$E$5:$E$560,$A91,'02_ツリー'!$O$5:$O$560,0)=0))</x:f>
        <x:v>1</x:v>
      </x:c>
      <x:c r="J91" s="12" t="str">
        <x:f>IF($A91="","",IF(AND(B91&gt;0,C91&lt;0),"正負あり",IF(B91&gt;0,"正のみ",IF(C91&lt;0,"負のみ","ゼロ"))))</x:f>
        <x:v>正のみ</x:v>
      </x:c>
      <x:c r="K91" s="244" t="n">
        <x:f>IF($A91="","",--AND(B91&gt;0,C91&lt;0))</x:f>
        <x:v>0</x:v>
      </x:c>
      <x:c r="L91" s="244" t="n">
        <x:f>IF($A91="","",COUNTIF('02_ツリー'!$E$5:$E$560,$A91))</x:f>
        <x:v>1</x:v>
      </x:c>
      <x:c r="M91" s="244" t="n">
        <x:f>IF($A91="","",--(LEFT(A91,7)="Enable_"))</x:f>
        <x:v>0</x:v>
      </x:c>
      <x:c r="N91" s="12"/>
      <x:c r="O91" s="12"/>
      <x:c r="P91" s="12"/>
      <x:c r="Q91" s="12"/>
      <x:c r="R91" s="12"/>
      <x:c r="S91" s="12"/>
      <x:c r="T91" s="12"/>
      <x:c r="U91" s="12"/>
      <x:c r="V91" s="12"/>
      <x:c r="W91" s="12"/>
      <x:c r="X91" s="12"/>
      <x:c r="Y91" s="12"/>
    </x:row>
    <x:row r="92">
      <x:c r="A92" s="12" t="str">
        <x:f>IFERROR(INDEX('02_ツリー'!$E$5:$E$560,MATCH(ROWS($A$11:A92),'02_ツリー'!$R$5:$R$560,0)),"")</x:f>
        <x:v>r_vdc</x:v>
      </x:c>
      <x:c r="B92" s="48" t="n">
        <x:f>IF($A92="","",SUMIFS('02_ツリー'!$K$5:$K$560,'02_ツリー'!$E$5:$E$560,$A92,'02_ツリー'!$K$5:$K$560,"&gt;0"))</x:f>
        <x:v>0</x:v>
      </x:c>
      <x:c r="C92" s="48" t="n">
        <x:f>IF($A92="","",SUMIFS('02_ツリー'!$K$5:$K$560,'02_ツリー'!$E$5:$E$560,$A92,'02_ツリー'!$K$5:$K$560,"&lt;0"))</x:f>
        <x:v>-0.12282317177227599</x:v>
      </x:c>
      <x:c r="D92" s="48" t="n">
        <x:f>IF($A92="","",B92+C92)</x:f>
        <x:v>-0.12282317177227599</x:v>
      </x:c>
      <x:c r="E92" s="48" t="n">
        <x:f>IF($A92="","",B92-C92)</x:f>
        <x:v>0.12282317177227599</x:v>
      </x:c>
      <x:c r="F92" s="48" t="n">
        <x:f>IF($A92="","",SUMIFS('02_ツリー'!$H$5:$H$560,'02_ツリー'!$E$5:$E$560,$A92,'02_ツリー'!$K$5:$K$560,"&gt;0"))</x:f>
        <x:v>0</x:v>
      </x:c>
      <x:c r="G92" s="48" t="n">
        <x:f>IF($A92="","",-SUMIFS('02_ツリー'!$H$5:$H$560,'02_ツリー'!$E$5:$E$560,$A92,'02_ツリー'!$K$5:$K$560,"&lt;0"))</x:f>
        <x:v>-1.099001968294517</x:v>
      </x:c>
      <x:c r="H92" s="48" t="n">
        <x:f>IF($A92="","",F92+G92)</x:f>
        <x:v>-1.099001968294517</x:v>
      </x:c>
      <x:c r="I92" s="244" t="n">
        <x:f>IF($A92="","",--(COUNTIFS('02_ツリー'!$E$5:$E$560,$A92,'02_ツリー'!$O$5:$O$560,0)=0))</x:f>
        <x:v>1</x:v>
      </x:c>
      <x:c r="J92" s="12" t="str">
        <x:f>IF($A92="","",IF(AND(B92&gt;0,C92&lt;0),"正負あり",IF(B92&gt;0,"正のみ",IF(C92&lt;0,"負のみ","ゼロ"))))</x:f>
        <x:v>負のみ</x:v>
      </x:c>
      <x:c r="K92" s="244" t="n">
        <x:f>IF($A92="","",--AND(B92&gt;0,C92&lt;0))</x:f>
        <x:v>0</x:v>
      </x:c>
      <x:c r="L92" s="244" t="n">
        <x:f>IF($A92="","",COUNTIF('02_ツリー'!$E$5:$E$560,$A92))</x:f>
        <x:v>1</x:v>
      </x:c>
      <x:c r="M92" s="244" t="n">
        <x:f>IF($A92="","",--(LEFT(A92,7)="Enable_"))</x:f>
        <x:v>0</x:v>
      </x:c>
      <x:c r="N92" s="12"/>
      <x:c r="O92" s="12"/>
      <x:c r="P92" s="12"/>
      <x:c r="Q92" s="12"/>
      <x:c r="R92" s="12"/>
      <x:c r="S92" s="12"/>
      <x:c r="T92" s="12"/>
      <x:c r="U92" s="12"/>
      <x:c r="V92" s="12"/>
      <x:c r="W92" s="12"/>
      <x:c r="X92" s="12"/>
      <x:c r="Y92" s="12"/>
    </x:row>
    <x:row r="93">
      <x:c r="A93" s="12" t="str">
        <x:f>IFERROR(INDEX('02_ツリー'!$E$5:$E$560,MATCH(ROWS($A$11:A93),'02_ツリー'!$R$5:$R$560,0)),"")</x:f>
        <x:v>mC_spec</x:v>
      </x:c>
      <x:c r="B93" s="48" t="n">
        <x:f>IF($A93="","",SUMIFS('02_ツリー'!$K$5:$K$560,'02_ツリー'!$E$5:$E$560,$A93,'02_ツリー'!$K$5:$K$560,"&gt;0"))</x:f>
        <x:v>0.12605536050312535</x:v>
      </x:c>
      <x:c r="C93" s="48" t="n">
        <x:f>IF($A93="","",SUMIFS('02_ツリー'!$K$5:$K$560,'02_ツリー'!$E$5:$E$560,$A93,'02_ツリー'!$K$5:$K$560,"&lt;0"))</x:f>
        <x:v>0</x:v>
      </x:c>
      <x:c r="D93" s="48" t="n">
        <x:f>IF($A93="","",B93+C93)</x:f>
        <x:v>0.12605536050312535</x:v>
      </x:c>
      <x:c r="E93" s="48" t="n">
        <x:f>IF($A93="","",B93-C93)</x:f>
        <x:v>0.12605536050312535</x:v>
      </x:c>
      <x:c r="F93" s="48" t="n">
        <x:f>IF($A93="","",SUMIFS('02_ツリー'!$H$5:$H$560,'02_ツリー'!$E$5:$E$560,$A93,'02_ツリー'!$K$5:$K$560,"&gt;0"))</x:f>
        <x:v>1.12792307272332</x:v>
      </x:c>
      <x:c r="G93" s="48" t="n">
        <x:f>IF($A93="","",-SUMIFS('02_ツリー'!$H$5:$H$560,'02_ツリー'!$E$5:$E$560,$A93,'02_ツリー'!$K$5:$K$560,"&lt;0"))</x:f>
        <x:v>0</x:v>
      </x:c>
      <x:c r="H93" s="48" t="n">
        <x:f>IF($A93="","",F93+G93)</x:f>
        <x:v>1.12792307272332</x:v>
      </x:c>
      <x:c r="I93" s="244" t="n">
        <x:f>IF($A93="","",--(COUNTIFS('02_ツリー'!$E$5:$E$560,$A93,'02_ツリー'!$O$5:$O$560,0)=0))</x:f>
        <x:v>0</x:v>
      </x:c>
      <x:c r="J93" s="12" t="str">
        <x:f>IF($A93="","",IF(AND(B93&gt;0,C93&lt;0),"正負あり",IF(B93&gt;0,"正のみ",IF(C93&lt;0,"負のみ","ゼロ"))))</x:f>
        <x:v>正のみ</x:v>
      </x:c>
      <x:c r="K93" s="244" t="n">
        <x:f>IF($A93="","",--AND(B93&gt;0,C93&lt;0))</x:f>
        <x:v>0</x:v>
      </x:c>
      <x:c r="L93" s="244" t="n">
        <x:f>IF($A93="","",COUNTIF('02_ツリー'!$E$5:$E$560,$A93))</x:f>
        <x:v>1</x:v>
      </x:c>
      <x:c r="M93" s="244" t="n">
        <x:f>IF($A93="","",--(LEFT(A93,7)="Enable_"))</x:f>
        <x:v>0</x:v>
      </x:c>
      <x:c r="N93" s="12"/>
      <x:c r="O93" s="12"/>
      <x:c r="P93" s="12"/>
      <x:c r="Q93" s="12"/>
      <x:c r="R93" s="12"/>
      <x:c r="S93" s="12"/>
      <x:c r="T93" s="12"/>
      <x:c r="U93" s="12"/>
      <x:c r="V93" s="12"/>
      <x:c r="W93" s="12"/>
      <x:c r="X93" s="12"/>
      <x:c r="Y93" s="12"/>
    </x:row>
    <x:row r="94">
      <x:c r="A94" s="12" t="str">
        <x:f>IFERROR(INDEX('02_ツリー'!$E$5:$E$560,MATCH(ROWS($A$11:A94),'02_ツリー'!$R$5:$R$560,0)),"")</x:f>
        <x:v>V_cap</x:v>
      </x:c>
      <x:c r="B94" s="48" t="n">
        <x:f>IF($A94="","",SUMIFS('02_ツリー'!$K$5:$K$560,'02_ツリー'!$E$5:$E$560,$A94,'02_ツリー'!$K$5:$K$560,"&gt;0"))</x:f>
        <x:v>0.2521107210062507</x:v>
      </x:c>
      <x:c r="C94" s="48" t="n">
        <x:f>IF($A94="","",SUMIFS('02_ツリー'!$K$5:$K$560,'02_ツリー'!$E$5:$E$560,$A94,'02_ツリー'!$K$5:$K$560,"&lt;0"))</x:f>
        <x:v>0</x:v>
      </x:c>
      <x:c r="D94" s="48" t="n">
        <x:f>IF($A94="","",B94+C94)</x:f>
        <x:v>0.2521107210062507</x:v>
      </x:c>
      <x:c r="E94" s="48" t="n">
        <x:f>IF($A94="","",B94-C94)</x:f>
        <x:v>0.2521107210062507</x:v>
      </x:c>
      <x:c r="F94" s="48" t="n">
        <x:f>IF($A94="","",SUMIFS('02_ツリー'!$H$5:$H$560,'02_ツリー'!$E$5:$E$560,$A94,'02_ツリー'!$K$5:$K$560,"&gt;0"))</x:f>
        <x:v>2.25584614544664</x:v>
      </x:c>
      <x:c r="G94" s="48" t="n">
        <x:f>IF($A94="","",-SUMIFS('02_ツリー'!$H$5:$H$560,'02_ツリー'!$E$5:$E$560,$A94,'02_ツリー'!$K$5:$K$560,"&lt;0"))</x:f>
        <x:v>0</x:v>
      </x:c>
      <x:c r="H94" s="48" t="n">
        <x:f>IF($A94="","",F94+G94)</x:f>
        <x:v>2.25584614544664</x:v>
      </x:c>
      <x:c r="I94" s="244" t="n">
        <x:f>IF($A94="","",--(COUNTIFS('02_ツリー'!$E$5:$E$560,$A94,'02_ツリー'!$O$5:$O$560,0)=0))</x:f>
        <x:v>0</x:v>
      </x:c>
      <x:c r="J94" s="12" t="str">
        <x:f>IF($A94="","",IF(AND(B94&gt;0,C94&lt;0),"正負あり",IF(B94&gt;0,"正のみ",IF(C94&lt;0,"負のみ","ゼロ"))))</x:f>
        <x:v>正のみ</x:v>
      </x:c>
      <x:c r="K94" s="244" t="n">
        <x:f>IF($A94="","",--AND(B94&gt;0,C94&lt;0))</x:f>
        <x:v>0</x:v>
      </x:c>
      <x:c r="L94" s="244" t="n">
        <x:f>IF($A94="","",COUNTIF('02_ツリー'!$E$5:$E$560,$A94))</x:f>
        <x:v>1</x:v>
      </x:c>
      <x:c r="M94" s="244" t="n">
        <x:f>IF($A94="","",--(LEFT(A94,7)="Enable_"))</x:f>
        <x:v>0</x:v>
      </x:c>
      <x:c r="N94" s="12"/>
      <x:c r="O94" s="12"/>
      <x:c r="P94" s="12"/>
      <x:c r="Q94" s="12"/>
      <x:c r="R94" s="12"/>
      <x:c r="S94" s="12"/>
      <x:c r="T94" s="12"/>
      <x:c r="U94" s="12"/>
      <x:c r="V94" s="12"/>
      <x:c r="W94" s="12"/>
      <x:c r="X94" s="12"/>
      <x:c r="Y94" s="12"/>
    </x:row>
    <x:row r="95">
      <x:c r="A95" s="12" t="str">
        <x:f>IFERROR(INDEX('02_ツリー'!$E$5:$E$560,MATCH(ROWS($A$11:A95),'02_ツリー'!$R$5:$R$560,0)),"")</x:f>
        <x:v>K_vcap</x:v>
      </x:c>
      <x:c r="B95" s="48" t="n">
        <x:f>IF($A95="","",SUMIFS('02_ツリー'!$K$5:$K$560,'02_ツリー'!$E$5:$E$560,$A95,'02_ツリー'!$K$5:$K$560,"&gt;0"))</x:f>
        <x:v>0.2521107210062507</x:v>
      </x:c>
      <x:c r="C95" s="48" t="n">
        <x:f>IF($A95="","",SUMIFS('02_ツリー'!$K$5:$K$560,'02_ツリー'!$E$5:$E$560,$A95,'02_ツリー'!$K$5:$K$560,"&lt;0"))</x:f>
        <x:v>0</x:v>
      </x:c>
      <x:c r="D95" s="48" t="n">
        <x:f>IF($A95="","",B95+C95)</x:f>
        <x:v>0.2521107210062507</x:v>
      </x:c>
      <x:c r="E95" s="48" t="n">
        <x:f>IF($A95="","",B95-C95)</x:f>
        <x:v>0.2521107210062507</x:v>
      </x:c>
      <x:c r="F95" s="48" t="n">
        <x:f>IF($A95="","",SUMIFS('02_ツリー'!$H$5:$H$560,'02_ツリー'!$E$5:$E$560,$A95,'02_ツリー'!$K$5:$K$560,"&gt;0"))</x:f>
        <x:v>2.25584614544664</x:v>
      </x:c>
      <x:c r="G95" s="48" t="n">
        <x:f>IF($A95="","",-SUMIFS('02_ツリー'!$H$5:$H$560,'02_ツリー'!$E$5:$E$560,$A95,'02_ツリー'!$K$5:$K$560,"&lt;0"))</x:f>
        <x:v>0</x:v>
      </x:c>
      <x:c r="H95" s="48" t="n">
        <x:f>IF($A95="","",F95+G95)</x:f>
        <x:v>2.25584614544664</x:v>
      </x:c>
      <x:c r="I95" s="244" t="n">
        <x:f>IF($A95="","",--(COUNTIFS('02_ツリー'!$E$5:$E$560,$A95,'02_ツリー'!$O$5:$O$560,0)=0))</x:f>
        <x:v>1</x:v>
      </x:c>
      <x:c r="J95" s="12" t="str">
        <x:f>IF($A95="","",IF(AND(B95&gt;0,C95&lt;0),"正負あり",IF(B95&gt;0,"正のみ",IF(C95&lt;0,"負のみ","ゼロ"))))</x:f>
        <x:v>正のみ</x:v>
      </x:c>
      <x:c r="K95" s="244" t="n">
        <x:f>IF($A95="","",--AND(B95&gt;0,C95&lt;0))</x:f>
        <x:v>0</x:v>
      </x:c>
      <x:c r="L95" s="244" t="n">
        <x:f>IF($A95="","",COUNTIF('02_ツリー'!$E$5:$E$560,$A95))</x:f>
        <x:v>1</x:v>
      </x:c>
      <x:c r="M95" s="244" t="n">
        <x:f>IF($A95="","",--(LEFT(A95,7)="Enable_"))</x:f>
        <x:v>0</x:v>
      </x:c>
      <x:c r="N95" s="12"/>
      <x:c r="O95" s="12"/>
      <x:c r="P95" s="12"/>
      <x:c r="Q95" s="12"/>
      <x:c r="R95" s="12"/>
      <x:c r="S95" s="12"/>
      <x:c r="T95" s="12"/>
      <x:c r="U95" s="12"/>
      <x:c r="V95" s="12"/>
      <x:c r="W95" s="12"/>
      <x:c r="X95" s="12"/>
      <x:c r="Y95" s="12"/>
    </x:row>
    <x:row r="96">
      <x:c r="A96" s="12" t="str">
        <x:f>IFERROR(INDEX('02_ツリー'!$E$5:$E$560,MATCH(ROWS($A$11:A96),'02_ツリー'!$R$5:$R$560,0)),"")</x:f>
        <x:v>e_cap</x:v>
      </x:c>
      <x:c r="B96" s="48" t="n">
        <x:f>IF($A96="","",SUMIFS('02_ツリー'!$K$5:$K$560,'02_ツリー'!$E$5:$E$560,$A96,'02_ツリー'!$K$5:$K$560,"&gt;0"))</x:f>
        <x:v>0</x:v>
      </x:c>
      <x:c r="C96" s="48" t="n">
        <x:f>IF($A96="","",SUMIFS('02_ツリー'!$K$5:$K$560,'02_ツリー'!$E$5:$E$560,$A96,'02_ツリー'!$K$5:$K$560,"&lt;0"))</x:f>
        <x:v>-0.12605536050312535</x:v>
      </x:c>
      <x:c r="D96" s="48" t="n">
        <x:f>IF($A96="","",B96+C96)</x:f>
        <x:v>-0.12605536050312535</x:v>
      </x:c>
      <x:c r="E96" s="48" t="n">
        <x:f>IF($A96="","",B96-C96)</x:f>
        <x:v>0.12605536050312535</x:v>
      </x:c>
      <x:c r="F96" s="48" t="n">
        <x:f>IF($A96="","",SUMIFS('02_ツリー'!$H$5:$H$560,'02_ツリー'!$E$5:$E$560,$A96,'02_ツリー'!$K$5:$K$560,"&gt;0"))</x:f>
        <x:v>0</x:v>
      </x:c>
      <x:c r="G96" s="48" t="n">
        <x:f>IF($A96="","",-SUMIFS('02_ツリー'!$H$5:$H$560,'02_ツリー'!$E$5:$E$560,$A96,'02_ツリー'!$K$5:$K$560,"&lt;0"))</x:f>
        <x:v>-1.12792307272332</x:v>
      </x:c>
      <x:c r="H96" s="48" t="n">
        <x:f>IF($A96="","",F96+G96)</x:f>
        <x:v>-1.12792307272332</x:v>
      </x:c>
      <x:c r="I96" s="244" t="n">
        <x:f>IF($A96="","",--(COUNTIFS('02_ツリー'!$E$5:$E$560,$A96,'02_ツリー'!$O$5:$O$560,0)=0))</x:f>
        <x:v>0</x:v>
      </x:c>
      <x:c r="J96" s="12" t="str">
        <x:f>IF($A96="","",IF(AND(B96&gt;0,C96&lt;0),"正負あり",IF(B96&gt;0,"正のみ",IF(C96&lt;0,"負のみ","ゼロ"))))</x:f>
        <x:v>負のみ</x:v>
      </x:c>
      <x:c r="K96" s="244" t="n">
        <x:f>IF($A96="","",--AND(B96&gt;0,C96&lt;0))</x:f>
        <x:v>0</x:v>
      </x:c>
      <x:c r="L96" s="244" t="n">
        <x:f>IF($A96="","",COUNTIF('02_ツリー'!$E$5:$E$560,$A96))</x:f>
        <x:v>1</x:v>
      </x:c>
      <x:c r="M96" s="244" t="n">
        <x:f>IF($A96="","",--(LEFT(A96,7)="Enable_"))</x:f>
        <x:v>0</x:v>
      </x:c>
      <x:c r="N96" s="12"/>
      <x:c r="O96" s="12"/>
      <x:c r="P96" s="12"/>
      <x:c r="Q96" s="12"/>
      <x:c r="R96" s="12"/>
      <x:c r="S96" s="12"/>
      <x:c r="T96" s="12"/>
      <x:c r="U96" s="12"/>
      <x:c r="V96" s="12"/>
      <x:c r="W96" s="12"/>
      <x:c r="X96" s="12"/>
      <x:c r="Y96" s="12"/>
    </x:row>
    <x:row r="97">
      <x:c r="A97" s="12" t="str">
        <x:f>IFERROR(INDEX('02_ツリー'!$E$5:$E$560,MATCH(ROWS($A$11:A97),'02_ツリー'!$R$5:$R$560,0)),"")</x:f>
        <x:v>e_cap_ref</x:v>
      </x:c>
      <x:c r="B97" s="48" t="n">
        <x:f>IF($A97="","",SUMIFS('02_ツリー'!$K$5:$K$560,'02_ツリー'!$E$5:$E$560,$A97,'02_ツリー'!$K$5:$K$560,"&gt;0"))</x:f>
        <x:v>0</x:v>
      </x:c>
      <x:c r="C97" s="48" t="n">
        <x:f>IF($A97="","",SUMIFS('02_ツリー'!$K$5:$K$560,'02_ツリー'!$E$5:$E$560,$A97,'02_ツリー'!$K$5:$K$560,"&lt;0"))</x:f>
        <x:v>-0.1115326766590755</x:v>
      </x:c>
      <x:c r="D97" s="48" t="n">
        <x:f>IF($A97="","",B97+C97)</x:f>
        <x:v>-0.1115326766590755</x:v>
      </x:c>
      <x:c r="E97" s="48" t="n">
        <x:f>IF($A97="","",B97-C97)</x:f>
        <x:v>0.1115326766590755</x:v>
      </x:c>
      <x:c r="F97" s="48" t="n">
        <x:f>IF($A97="","",SUMIFS('02_ツリー'!$H$5:$H$560,'02_ツリー'!$E$5:$E$560,$A97,'02_ツリー'!$K$5:$K$560,"&gt;0"))</x:f>
        <x:v>0</x:v>
      </x:c>
      <x:c r="G97" s="48" t="n">
        <x:f>IF($A97="","",-SUMIFS('02_ツリー'!$H$5:$H$560,'02_ツリー'!$E$5:$E$560,$A97,'02_ツリー'!$K$5:$K$560,"&lt;0"))</x:f>
        <x:v>-0.9979764356252182</x:v>
      </x:c>
      <x:c r="H97" s="48" t="n">
        <x:f>IF($A97="","",F97+G97)</x:f>
        <x:v>-0.9979764356252182</x:v>
      </x:c>
      <x:c r="I97" s="244" t="n">
        <x:f>IF($A97="","",--(COUNTIFS('02_ツリー'!$E$5:$E$560,$A97,'02_ツリー'!$O$5:$O$560,0)=0))</x:f>
        <x:v>1</x:v>
      </x:c>
      <x:c r="J97" s="12" t="str">
        <x:f>IF($A97="","",IF(AND(B97&gt;0,C97&lt;0),"正負あり",IF(B97&gt;0,"正のみ",IF(C97&lt;0,"負のみ","ゼロ"))))</x:f>
        <x:v>負のみ</x:v>
      </x:c>
      <x:c r="K97" s="244" t="n">
        <x:f>IF($A97="","",--AND(B97&gt;0,C97&lt;0))</x:f>
        <x:v>0</x:v>
      </x:c>
      <x:c r="L97" s="244" t="n">
        <x:f>IF($A97="","",COUNTIF('02_ツリー'!$E$5:$E$560,$A97))</x:f>
        <x:v>1</x:v>
      </x:c>
      <x:c r="M97" s="244" t="n">
        <x:f>IF($A97="","",--(LEFT(A97,7)="Enable_"))</x:f>
        <x:v>0</x:v>
      </x:c>
      <x:c r="N97" s="12"/>
      <x:c r="O97" s="12"/>
      <x:c r="P97" s="12"/>
      <x:c r="Q97" s="12"/>
      <x:c r="R97" s="12"/>
      <x:c r="S97" s="12"/>
      <x:c r="T97" s="12"/>
      <x:c r="U97" s="12"/>
      <x:c r="V97" s="12"/>
      <x:c r="W97" s="12"/>
      <x:c r="X97" s="12"/>
      <x:c r="Y97" s="12"/>
    </x:row>
    <x:row r="98">
      <x:c r="A98" s="12" t="str">
        <x:f>IFERROR(INDEX('02_ツリー'!$E$5:$E$560,MATCH(ROWS($A$11:A98),'02_ツリー'!$R$5:$R$560,0)),"")</x:f>
        <x:v>k_dielectric</x:v>
      </x:c>
      <x:c r="B98" s="48" t="n">
        <x:f>IF($A98="","",SUMIFS('02_ツリー'!$K$5:$K$560,'02_ツリー'!$E$5:$E$560,$A98,'02_ツリー'!$K$5:$K$560,"&gt;0"))</x:f>
        <x:v>0</x:v>
      </x:c>
      <x:c r="C98" s="48" t="n">
        <x:f>IF($A98="","",SUMIFS('02_ツリー'!$K$5:$K$560,'02_ツリー'!$E$5:$E$560,$A98,'02_ツリー'!$K$5:$K$560,"&lt;0"))</x:f>
        <x:v>-0.1115326766590755</x:v>
      </x:c>
      <x:c r="D98" s="48" t="n">
        <x:f>IF($A98="","",B98+C98)</x:f>
        <x:v>-0.1115326766590755</x:v>
      </x:c>
      <x:c r="E98" s="48" t="n">
        <x:f>IF($A98="","",B98-C98)</x:f>
        <x:v>0.1115326766590755</x:v>
      </x:c>
      <x:c r="F98" s="48" t="n">
        <x:f>IF($A98="","",SUMIFS('02_ツリー'!$H$5:$H$560,'02_ツリー'!$E$5:$E$560,$A98,'02_ツリー'!$K$5:$K$560,"&gt;0"))</x:f>
        <x:v>0</x:v>
      </x:c>
      <x:c r="G98" s="48" t="n">
        <x:f>IF($A98="","",-SUMIFS('02_ツリー'!$H$5:$H$560,'02_ツリー'!$E$5:$E$560,$A98,'02_ツリー'!$K$5:$K$560,"&lt;0"))</x:f>
        <x:v>-0.9979764356252182</x:v>
      </x:c>
      <x:c r="H98" s="48" t="n">
        <x:f>IF($A98="","",F98+G98)</x:f>
        <x:v>-0.9979764356252182</x:v>
      </x:c>
      <x:c r="I98" s="244" t="n">
        <x:f>IF($A98="","",--(COUNTIFS('02_ツリー'!$E$5:$E$560,$A98,'02_ツリー'!$O$5:$O$560,0)=0))</x:f>
        <x:v>1</x:v>
      </x:c>
      <x:c r="J98" s="12" t="str">
        <x:f>IF($A98="","",IF(AND(B98&gt;0,C98&lt;0),"正負あり",IF(B98&gt;0,"正のみ",IF(C98&lt;0,"負のみ","ゼロ"))))</x:f>
        <x:v>負のみ</x:v>
      </x:c>
      <x:c r="K98" s="244" t="n">
        <x:f>IF($A98="","",--AND(B98&gt;0,C98&lt;0))</x:f>
        <x:v>0</x:v>
      </x:c>
      <x:c r="L98" s="244" t="n">
        <x:f>IF($A98="","",COUNTIF('02_ツリー'!$E$5:$E$560,$A98))</x:f>
        <x:v>1</x:v>
      </x:c>
      <x:c r="M98" s="244" t="n">
        <x:f>IF($A98="","",--(LEFT(A98,7)="Enable_"))</x:f>
        <x:v>0</x:v>
      </x:c>
      <x:c r="N98" s="12"/>
      <x:c r="O98" s="12"/>
      <x:c r="P98" s="12"/>
      <x:c r="Q98" s="12"/>
      <x:c r="R98" s="12"/>
      <x:c r="S98" s="12"/>
      <x:c r="T98" s="12"/>
      <x:c r="U98" s="12"/>
      <x:c r="V98" s="12"/>
      <x:c r="W98" s="12"/>
      <x:c r="X98" s="12"/>
      <x:c r="Y98" s="12"/>
    </x:row>
    <x:row r="99">
      <x:c r="A99" s="12" t="str">
        <x:f>IFERROR(INDEX('02_ツリー'!$E$5:$E$560,MATCH(ROWS($A$11:A99),'02_ツリー'!$R$5:$R$560,0)),"")</x:f>
        <x:v>k_pack_cap</x:v>
      </x:c>
      <x:c r="B99" s="48" t="n">
        <x:f>IF($A99="","",SUMIFS('02_ツリー'!$K$5:$K$560,'02_ツリー'!$E$5:$E$560,$A99,'02_ツリー'!$K$5:$K$560,"&gt;0"))</x:f>
        <x:v>0</x:v>
      </x:c>
      <x:c r="C99" s="48" t="n">
        <x:f>IF($A99="","",SUMIFS('02_ツリー'!$K$5:$K$560,'02_ツリー'!$E$5:$E$560,$A99,'02_ツリー'!$K$5:$K$560,"&lt;0"))</x:f>
        <x:v>-0.12605536050312535</x:v>
      </x:c>
      <x:c r="D99" s="48" t="n">
        <x:f>IF($A99="","",B99+C99)</x:f>
        <x:v>-0.12605536050312535</x:v>
      </x:c>
      <x:c r="E99" s="48" t="n">
        <x:f>IF($A99="","",B99-C99)</x:f>
        <x:v>0.12605536050312535</x:v>
      </x:c>
      <x:c r="F99" s="48" t="n">
        <x:f>IF($A99="","",SUMIFS('02_ツリー'!$H$5:$H$560,'02_ツリー'!$E$5:$E$560,$A99,'02_ツリー'!$K$5:$K$560,"&gt;0"))</x:f>
        <x:v>0</x:v>
      </x:c>
      <x:c r="G99" s="48" t="n">
        <x:f>IF($A99="","",-SUMIFS('02_ツリー'!$H$5:$H$560,'02_ツリー'!$E$5:$E$560,$A99,'02_ツリー'!$K$5:$K$560,"&lt;0"))</x:f>
        <x:v>-1.12792307272332</x:v>
      </x:c>
      <x:c r="H99" s="48" t="n">
        <x:f>IF($A99="","",F99+G99)</x:f>
        <x:v>-1.12792307272332</x:v>
      </x:c>
      <x:c r="I99" s="244" t="n">
        <x:f>IF($A99="","",--(COUNTIFS('02_ツリー'!$E$5:$E$560,$A99,'02_ツリー'!$O$5:$O$560,0)=0))</x:f>
        <x:v>1</x:v>
      </x:c>
      <x:c r="J99" s="12" t="str">
        <x:f>IF($A99="","",IF(AND(B99&gt;0,C99&lt;0),"正負あり",IF(B99&gt;0,"正のみ",IF(C99&lt;0,"負のみ","ゼロ"))))</x:f>
        <x:v>負のみ</x:v>
      </x:c>
      <x:c r="K99" s="244" t="n">
        <x:f>IF($A99="","",--AND(B99&gt;0,C99&lt;0))</x:f>
        <x:v>0</x:v>
      </x:c>
      <x:c r="L99" s="244" t="n">
        <x:f>IF($A99="","",COUNTIF('02_ツリー'!$E$5:$E$560,$A99))</x:f>
        <x:v>1</x:v>
      </x:c>
      <x:c r="M99" s="244" t="n">
        <x:f>IF($A99="","",--(LEFT(A99,7)="Enable_"))</x:f>
        <x:v>0</x:v>
      </x:c>
      <x:c r="N99" s="12"/>
      <x:c r="O99" s="12"/>
      <x:c r="P99" s="12"/>
      <x:c r="Q99" s="12"/>
      <x:c r="R99" s="12"/>
      <x:c r="S99" s="12"/>
      <x:c r="T99" s="12"/>
      <x:c r="U99" s="12"/>
      <x:c r="V99" s="12"/>
      <x:c r="W99" s="12"/>
      <x:c r="X99" s="12"/>
      <x:c r="Y99" s="12"/>
    </x:row>
    <x:row r="100">
      <x:c r="A100" s="12" t="str">
        <x:f>IFERROR(INDEX('02_ツリー'!$E$5:$E$560,MATCH(ROWS($A$11:A100),'02_ツリー'!$R$5:$R$560,0)),"")</x:f>
        <x:v>mC_fix</x:v>
      </x:c>
      <x:c r="B100" s="48" t="n">
        <x:f>IF($A100="","",SUMIFS('02_ツリー'!$K$5:$K$560,'02_ツリー'!$E$5:$E$560,$A100,'02_ツリー'!$K$5:$K$560,"&gt;0"))</x:f>
        <x:v>0.011175882784166327</x:v>
      </x:c>
      <x:c r="C100" s="48" t="n">
        <x:f>IF($A100="","",SUMIFS('02_ツリー'!$K$5:$K$560,'02_ツリー'!$E$5:$E$560,$A100,'02_ツリー'!$K$5:$K$560,"&lt;0"))</x:f>
        <x:v>0</x:v>
      </x:c>
      <x:c r="D100" s="48" t="n">
        <x:f>IF($A100="","",B100+C100)</x:f>
        <x:v>0.011175882784166327</x:v>
      </x:c>
      <x:c r="E100" s="48" t="n">
        <x:f>IF($A100="","",B100-C100)</x:f>
        <x:v>0.011175882784166327</x:v>
      </x:c>
      <x:c r="F100" s="48" t="n">
        <x:f>IF($A100="","",SUMIFS('02_ツリー'!$H$5:$H$560,'02_ツリー'!$E$5:$E$560,$A100,'02_ツリー'!$K$5:$K$560,"&gt;0"))</x:f>
        <x:v>0.1</x:v>
      </x:c>
      <x:c r="G100" s="48" t="n">
        <x:f>IF($A100="","",-SUMIFS('02_ツリー'!$H$5:$H$560,'02_ツリー'!$E$5:$E$560,$A100,'02_ツリー'!$K$5:$K$560,"&lt;0"))</x:f>
        <x:v>0</x:v>
      </x:c>
      <x:c r="H100" s="48" t="n">
        <x:f>IF($A100="","",F100+G100)</x:f>
        <x:v>0.1</x:v>
      </x:c>
      <x:c r="I100" s="244" t="n">
        <x:f>IF($A100="","",--(COUNTIFS('02_ツリー'!$E$5:$E$560,$A100,'02_ツリー'!$O$5:$O$560,0)=0))</x:f>
        <x:v>1</x:v>
      </x:c>
      <x:c r="J100" s="12" t="str">
        <x:f>IF($A100="","",IF(AND(B100&gt;0,C100&lt;0),"正負あり",IF(B100&gt;0,"正のみ",IF(C100&lt;0,"負のみ","ゼロ"))))</x:f>
        <x:v>正のみ</x:v>
      </x:c>
      <x:c r="K100" s="244" t="n">
        <x:f>IF($A100="","",--AND(B100&gt;0,C100&lt;0))</x:f>
        <x:v>0</x:v>
      </x:c>
      <x:c r="L100" s="244" t="n">
        <x:f>IF($A100="","",COUNTIF('02_ツリー'!$E$5:$E$560,$A100))</x:f>
        <x:v>1</x:v>
      </x:c>
      <x:c r="M100" s="244" t="n">
        <x:f>IF($A100="","",--(LEFT(A100,7)="Enable_"))</x:f>
        <x:v>0</x:v>
      </x:c>
      <x:c r="N100" s="12"/>
      <x:c r="O100" s="12"/>
      <x:c r="P100" s="12"/>
      <x:c r="Q100" s="12"/>
      <x:c r="R100" s="12"/>
      <x:c r="S100" s="12"/>
      <x:c r="T100" s="12"/>
      <x:c r="U100" s="12"/>
      <x:c r="V100" s="12"/>
      <x:c r="W100" s="12"/>
      <x:c r="X100" s="12"/>
      <x:c r="Y100" s="12"/>
    </x:row>
    <x:row r="101">
      <x:c r="A101" s="12" t="str">
        <x:f>IFERROR(INDEX('02_ツリー'!$E$5:$E$560,MATCH(ROWS($A$11:A101),'02_ツリー'!$R$5:$R$560,0)),"")</x:f>
        <x:v>M_bus</x:v>
      </x:c>
      <x:c r="B101" s="48" t="n">
        <x:f>IF($A101="","",SUMIFS('02_ツリー'!$K$5:$K$560,'02_ツリー'!$E$5:$E$560,$A101,'02_ツリー'!$K$5:$K$560,"&gt;0"))</x:f>
        <x:v>0.00012366475555609176</x:v>
      </x:c>
      <x:c r="C101" s="48" t="n">
        <x:f>IF($A101="","",SUMIFS('02_ツリー'!$K$5:$K$560,'02_ツリー'!$E$5:$E$560,$A101,'02_ツリー'!$K$5:$K$560,"&lt;0"))</x:f>
        <x:v>0</x:v>
      </x:c>
      <x:c r="D101" s="48" t="n">
        <x:f>IF($A101="","",B101+C101)</x:f>
        <x:v>0.00012366475555609176</x:v>
      </x:c>
      <x:c r="E101" s="48" t="n">
        <x:f>IF($A101="","",B101-C101)</x:f>
        <x:v>0.00012366475555609176</x:v>
      </x:c>
      <x:c r="F101" s="48" t="n">
        <x:f>IF($A101="","",SUMIFS('02_ツリー'!$H$5:$H$560,'02_ツリー'!$E$5:$E$560,$A101,'02_ツリー'!$K$5:$K$560,"&gt;0"))</x:f>
        <x:v>0.0011065323245094917</x:v>
      </x:c>
      <x:c r="G101" s="48" t="n">
        <x:f>IF($A101="","",-SUMIFS('02_ツリー'!$H$5:$H$560,'02_ツリー'!$E$5:$E$560,$A101,'02_ツリー'!$K$5:$K$560,"&lt;0"))</x:f>
        <x:v>0</x:v>
      </x:c>
      <x:c r="H101" s="48" t="n">
        <x:f>IF($A101="","",F101+G101)</x:f>
        <x:v>0.0011065323245094917</x:v>
      </x:c>
      <x:c r="I101" s="244" t="n">
        <x:f>IF($A101="","",--(COUNTIFS('02_ツリー'!$E$5:$E$560,$A101,'02_ツリー'!$O$5:$O$560,0)=0))</x:f>
        <x:v>0</x:v>
      </x:c>
      <x:c r="J101" s="12" t="str">
        <x:f>IF($A101="","",IF(AND(B101&gt;0,C101&lt;0),"正負あり",IF(B101&gt;0,"正のみ",IF(C101&lt;0,"負のみ","ゼロ"))))</x:f>
        <x:v>正のみ</x:v>
      </x:c>
      <x:c r="K101" s="244" t="n">
        <x:f>IF($A101="","",--AND(B101&gt;0,C101&lt;0))</x:f>
        <x:v>0</x:v>
      </x:c>
      <x:c r="L101" s="244" t="n">
        <x:f>IF($A101="","",COUNTIF('02_ツリー'!$E$5:$E$560,$A101))</x:f>
        <x:v>2</x:v>
      </x:c>
      <x:c r="M101" s="244" t="n">
        <x:f>IF($A101="","",--(LEFT(A101,7)="Enable_"))</x:f>
        <x:v>0</x:v>
      </x:c>
      <x:c r="N101" s="12"/>
      <x:c r="O101" s="12"/>
      <x:c r="P101" s="12"/>
      <x:c r="Q101" s="12"/>
      <x:c r="R101" s="12"/>
      <x:c r="S101" s="12"/>
      <x:c r="T101" s="12"/>
      <x:c r="U101" s="12"/>
      <x:c r="V101" s="12"/>
      <x:c r="W101" s="12"/>
      <x:c r="X101" s="12"/>
      <x:c r="Y101" s="12"/>
    </x:row>
    <x:row r="102">
      <x:c r="A102" s="12" t="str">
        <x:f>IFERROR(INDEX('02_ツリー'!$E$5:$E$560,MATCH(ROWS($A$11:A102),'02_ツリー'!$R$5:$R$560,0)),"")</x:f>
        <x:v>N_bus</x:v>
      </x:c>
      <x:c r="B102" s="48" t="n">
        <x:f>IF($A102="","",SUMIFS('02_ツリー'!$K$5:$K$560,'02_ツリー'!$E$5:$E$560,$A102,'02_ツリー'!$K$5:$K$560,"&gt;0"))</x:f>
        <x:v>0.00012366475555609176</x:v>
      </x:c>
      <x:c r="C102" s="48" t="n">
        <x:f>IF($A102="","",SUMIFS('02_ツリー'!$K$5:$K$560,'02_ツリー'!$E$5:$E$560,$A102,'02_ツリー'!$K$5:$K$560,"&lt;0"))</x:f>
        <x:v>0</x:v>
      </x:c>
      <x:c r="D102" s="48" t="n">
        <x:f>IF($A102="","",B102+C102)</x:f>
        <x:v>0.00012366475555609176</x:v>
      </x:c>
      <x:c r="E102" s="48" t="n">
        <x:f>IF($A102="","",B102-C102)</x:f>
        <x:v>0.00012366475555609176</x:v>
      </x:c>
      <x:c r="F102" s="48" t="n">
        <x:f>IF($A102="","",SUMIFS('02_ツリー'!$H$5:$H$560,'02_ツリー'!$E$5:$E$560,$A102,'02_ツリー'!$K$5:$K$560,"&gt;0"))</x:f>
        <x:v>0.0011065323245094917</x:v>
      </x:c>
      <x:c r="G102" s="48" t="n">
        <x:f>IF($A102="","",-SUMIFS('02_ツリー'!$H$5:$H$560,'02_ツリー'!$E$5:$E$560,$A102,'02_ツリー'!$K$5:$K$560,"&lt;0"))</x:f>
        <x:v>0</x:v>
      </x:c>
      <x:c r="H102" s="48" t="n">
        <x:f>IF($A102="","",F102+G102)</x:f>
        <x:v>0.0011065323245094917</x:v>
      </x:c>
      <x:c r="I102" s="244" t="n">
        <x:f>IF($A102="","",--(COUNTIFS('02_ツリー'!$E$5:$E$560,$A102,'02_ツリー'!$O$5:$O$560,0)=0))</x:f>
        <x:v>1</x:v>
      </x:c>
      <x:c r="J102" s="12" t="str">
        <x:f>IF($A102="","",IF(AND(B102&gt;0,C102&lt;0),"正負あり",IF(B102&gt;0,"正のみ",IF(C102&lt;0,"負のみ","ゼロ"))))</x:f>
        <x:v>正のみ</x:v>
      </x:c>
      <x:c r="K102" s="244" t="n">
        <x:f>IF($A102="","",--AND(B102&gt;0,C102&lt;0))</x:f>
        <x:v>0</x:v>
      </x:c>
      <x:c r="L102" s="244" t="n">
        <x:f>IF($A102="","",COUNTIF('02_ツリー'!$E$5:$E$560,$A102))</x:f>
        <x:v>1</x:v>
      </x:c>
      <x:c r="M102" s="244" t="n">
        <x:f>IF($A102="","",--(LEFT(A102,7)="Enable_"))</x:f>
        <x:v>0</x:v>
      </x:c>
      <x:c r="N102" s="12"/>
      <x:c r="O102" s="12"/>
      <x:c r="P102" s="12"/>
      <x:c r="Q102" s="12"/>
      <x:c r="R102" s="12"/>
      <x:c r="S102" s="12"/>
      <x:c r="T102" s="12"/>
      <x:c r="U102" s="12"/>
      <x:c r="V102" s="12"/>
      <x:c r="W102" s="12"/>
      <x:c r="X102" s="12"/>
      <x:c r="Y102" s="12"/>
    </x:row>
    <x:row r="103">
      <x:c r="A103" s="12" t="str">
        <x:f>IFERROR(INDEX('02_ツリー'!$E$5:$E$560,MATCH(ROWS($A$11:A103),'02_ツリー'!$R$5:$R$560,0)),"")</x:f>
        <x:v>L_bus</x:v>
      </x:c>
      <x:c r="B103" s="48" t="n">
        <x:f>IF($A103="","",SUMIFS('02_ツリー'!$K$5:$K$560,'02_ツリー'!$E$5:$E$560,$A103,'02_ツリー'!$K$5:$K$560,"&gt;0"))</x:f>
        <x:v>0.00012366475555609176</x:v>
      </x:c>
      <x:c r="C103" s="48" t="n">
        <x:f>IF($A103="","",SUMIFS('02_ツリー'!$K$5:$K$560,'02_ツリー'!$E$5:$E$560,$A103,'02_ツリー'!$K$5:$K$560,"&lt;0"))</x:f>
        <x:v>0</x:v>
      </x:c>
      <x:c r="D103" s="48" t="n">
        <x:f>IF($A103="","",B103+C103)</x:f>
        <x:v>0.00012366475555609176</x:v>
      </x:c>
      <x:c r="E103" s="48" t="n">
        <x:f>IF($A103="","",B103-C103)</x:f>
        <x:v>0.00012366475555609176</x:v>
      </x:c>
      <x:c r="F103" s="48" t="n">
        <x:f>IF($A103="","",SUMIFS('02_ツリー'!$H$5:$H$560,'02_ツリー'!$E$5:$E$560,$A103,'02_ツリー'!$K$5:$K$560,"&gt;0"))</x:f>
        <x:v>0.0011065323245094917</x:v>
      </x:c>
      <x:c r="G103" s="48" t="n">
        <x:f>IF($A103="","",-SUMIFS('02_ツリー'!$H$5:$H$560,'02_ツリー'!$E$5:$E$560,$A103,'02_ツリー'!$K$5:$K$560,"&lt;0"))</x:f>
        <x:v>0</x:v>
      </x:c>
      <x:c r="H103" s="48" t="n">
        <x:f>IF($A103="","",F103+G103)</x:f>
        <x:v>0.0011065323245094917</x:v>
      </x:c>
      <x:c r="I103" s="244" t="n">
        <x:f>IF($A103="","",--(COUNTIFS('02_ツリー'!$E$5:$E$560,$A103,'02_ツリー'!$O$5:$O$560,0)=0))</x:f>
        <x:v>1</x:v>
      </x:c>
      <x:c r="J103" s="12" t="str">
        <x:f>IF($A103="","",IF(AND(B103&gt;0,C103&lt;0),"正負あり",IF(B103&gt;0,"正のみ",IF(C103&lt;0,"負のみ","ゼロ"))))</x:f>
        <x:v>正のみ</x:v>
      </x:c>
      <x:c r="K103" s="244" t="n">
        <x:f>IF($A103="","",--AND(B103&gt;0,C103&lt;0))</x:f>
        <x:v>0</x:v>
      </x:c>
      <x:c r="L103" s="244" t="n">
        <x:f>IF($A103="","",COUNTIF('02_ツリー'!$E$5:$E$560,$A103))</x:f>
        <x:v>1</x:v>
      </x:c>
      <x:c r="M103" s="244" t="n">
        <x:f>IF($A103="","",--(LEFT(A103,7)="Enable_"))</x:f>
        <x:v>0</x:v>
      </x:c>
      <x:c r="N103" s="12"/>
      <x:c r="O103" s="12"/>
      <x:c r="P103" s="12"/>
      <x:c r="Q103" s="12"/>
      <x:c r="R103" s="12"/>
      <x:c r="S103" s="12"/>
      <x:c r="T103" s="12"/>
      <x:c r="U103" s="12"/>
      <x:c r="V103" s="12"/>
      <x:c r="W103" s="12"/>
      <x:c r="X103" s="12"/>
      <x:c r="Y103" s="12"/>
    </x:row>
    <x:row r="104">
      <x:c r="A104" s="12" t="str">
        <x:f>IFERROR(INDEX('02_ツリー'!$E$5:$E$560,MATCH(ROWS($A$11:A104),'02_ツリー'!$R$5:$R$560,0)),"")</x:f>
        <x:v>A_bus</x:v>
      </x:c>
      <x:c r="B104" s="48" t="n">
        <x:f>IF($A104="","",SUMIFS('02_ツリー'!$K$5:$K$560,'02_ツリー'!$E$5:$E$560,$A104,'02_ツリー'!$K$5:$K$560,"&gt;0"))</x:f>
        <x:v>0.00012366475555609176</x:v>
      </x:c>
      <x:c r="C104" s="48" t="n">
        <x:f>IF($A104="","",SUMIFS('02_ツリー'!$K$5:$K$560,'02_ツリー'!$E$5:$E$560,$A104,'02_ツリー'!$K$5:$K$560,"&lt;0"))</x:f>
        <x:v>0</x:v>
      </x:c>
      <x:c r="D104" s="48" t="n">
        <x:f>IF($A104="","",B104+C104)</x:f>
        <x:v>0.00012366475555609176</x:v>
      </x:c>
      <x:c r="E104" s="48" t="n">
        <x:f>IF($A104="","",B104-C104)</x:f>
        <x:v>0.00012366475555609176</x:v>
      </x:c>
      <x:c r="F104" s="48" t="n">
        <x:f>IF($A104="","",SUMIFS('02_ツリー'!$H$5:$H$560,'02_ツリー'!$E$5:$E$560,$A104,'02_ツリー'!$K$5:$K$560,"&gt;0"))</x:f>
        <x:v>0.0011065323245094917</x:v>
      </x:c>
      <x:c r="G104" s="48" t="n">
        <x:f>IF($A104="","",-SUMIFS('02_ツリー'!$H$5:$H$560,'02_ツリー'!$E$5:$E$560,$A104,'02_ツリー'!$K$5:$K$560,"&lt;0"))</x:f>
        <x:v>0</x:v>
      </x:c>
      <x:c r="H104" s="48" t="n">
        <x:f>IF($A104="","",F104+G104)</x:f>
        <x:v>0.0011065323245094917</x:v>
      </x:c>
      <x:c r="I104" s="244" t="n">
        <x:f>IF($A104="","",--(COUNTIFS('02_ツリー'!$E$5:$E$560,$A104,'02_ツリー'!$O$5:$O$560,0)=0))</x:f>
        <x:v>0</x:v>
      </x:c>
      <x:c r="J104" s="12" t="str">
        <x:f>IF($A104="","",IF(AND(B104&gt;0,C104&lt;0),"正負あり",IF(B104&gt;0,"正のみ",IF(C104&lt;0,"負のみ","ゼロ"))))</x:f>
        <x:v>正のみ</x:v>
      </x:c>
      <x:c r="K104" s="244" t="n">
        <x:f>IF($A104="","",--AND(B104&gt;0,C104&lt;0))</x:f>
        <x:v>0</x:v>
      </x:c>
      <x:c r="L104" s="244" t="n">
        <x:f>IF($A104="","",COUNTIF('02_ツリー'!$E$5:$E$560,$A104))</x:f>
        <x:v>1</x:v>
      </x:c>
      <x:c r="M104" s="244" t="n">
        <x:f>IF($A104="","",--(LEFT(A104,7)="Enable_"))</x:f>
        <x:v>0</x:v>
      </x:c>
      <x:c r="N104" s="12"/>
      <x:c r="O104" s="12"/>
      <x:c r="P104" s="12"/>
      <x:c r="Q104" s="12"/>
      <x:c r="R104" s="12"/>
      <x:c r="S104" s="12"/>
      <x:c r="T104" s="12"/>
      <x:c r="U104" s="12"/>
      <x:c r="V104" s="12"/>
      <x:c r="W104" s="12"/>
      <x:c r="X104" s="12"/>
      <x:c r="Y104" s="12"/>
    </x:row>
    <x:row r="105">
      <x:c r="A105" s="12" t="str">
        <x:f>IFERROR(INDEX('02_ツリー'!$E$5:$E$560,MATCH(ROWS($A$11:A105),'02_ツリー'!$R$5:$R$560,0)),"")</x:f>
        <x:v>I_dc</x:v>
      </x:c>
      <x:c r="B105" s="48" t="n">
        <x:f>IF($A105="","",SUMIFS('02_ツリー'!$K$5:$K$560,'02_ツリー'!$E$5:$E$560,$A105,'02_ツリー'!$K$5:$K$560,"&gt;0"))</x:f>
        <x:v>0.00012366475555609176</x:v>
      </x:c>
      <x:c r="C105" s="48" t="n">
        <x:f>IF($A105="","",SUMIFS('02_ツリー'!$K$5:$K$560,'02_ツリー'!$E$5:$E$560,$A105,'02_ツリー'!$K$5:$K$560,"&lt;0"))</x:f>
        <x:v>0</x:v>
      </x:c>
      <x:c r="D105" s="48" t="n">
        <x:f>IF($A105="","",B105+C105)</x:f>
        <x:v>0.00012366475555609176</x:v>
      </x:c>
      <x:c r="E105" s="48" t="n">
        <x:f>IF($A105="","",B105-C105)</x:f>
        <x:v>0.00012366475555609176</x:v>
      </x:c>
      <x:c r="F105" s="48" t="n">
        <x:f>IF($A105="","",SUMIFS('02_ツリー'!$H$5:$H$560,'02_ツリー'!$E$5:$E$560,$A105,'02_ツリー'!$K$5:$K$560,"&gt;0"))</x:f>
        <x:v>0.0011065323245094917</x:v>
      </x:c>
      <x:c r="G105" s="48" t="n">
        <x:f>IF($A105="","",-SUMIFS('02_ツリー'!$H$5:$H$560,'02_ツリー'!$E$5:$E$560,$A105,'02_ツリー'!$K$5:$K$560,"&lt;0"))</x:f>
        <x:v>0</x:v>
      </x:c>
      <x:c r="H105" s="48" t="n">
        <x:f>IF($A105="","",F105+G105)</x:f>
        <x:v>0.0011065323245094917</x:v>
      </x:c>
      <x:c r="I105" s="244" t="n">
        <x:f>IF($A105="","",--(COUNTIFS('02_ツリー'!$E$5:$E$560,$A105,'02_ツリー'!$O$5:$O$560,0)=0))</x:f>
        <x:v>0</x:v>
      </x:c>
      <x:c r="J105" s="12" t="str">
        <x:f>IF($A105="","",IF(AND(B105&gt;0,C105&lt;0),"正負あり",IF(B105&gt;0,"正のみ",IF(C105&lt;0,"負のみ","ゼロ"))))</x:f>
        <x:v>正のみ</x:v>
      </x:c>
      <x:c r="K105" s="244" t="n">
        <x:f>IF($A105="","",--AND(B105&gt;0,C105&lt;0))</x:f>
        <x:v>0</x:v>
      </x:c>
      <x:c r="L105" s="244" t="n">
        <x:f>IF($A105="","",COUNTIF('02_ツリー'!$E$5:$E$560,$A105))</x:f>
        <x:v>1</x:v>
      </x:c>
      <x:c r="M105" s="244" t="n">
        <x:f>IF($A105="","",--(LEFT(A105,7)="Enable_"))</x:f>
        <x:v>0</x:v>
      </x:c>
      <x:c r="N105" s="12"/>
      <x:c r="O105" s="12"/>
      <x:c r="P105" s="12"/>
      <x:c r="Q105" s="12"/>
      <x:c r="R105" s="12"/>
      <x:c r="S105" s="12"/>
      <x:c r="T105" s="12"/>
      <x:c r="U105" s="12"/>
      <x:c r="V105" s="12"/>
      <x:c r="W105" s="12"/>
      <x:c r="X105" s="12"/>
      <x:c r="Y105" s="12"/>
    </x:row>
    <x:row r="106">
      <x:c r="A106" s="12" t="str">
        <x:f>IFERROR(INDEX('02_ツリー'!$E$5:$E$560,MATCH(ROWS($A$11:A106),'02_ツリー'!$R$5:$R$560,0)),"")</x:f>
        <x:v>J_bus</x:v>
      </x:c>
      <x:c r="B106" s="48" t="n">
        <x:f>IF($A106="","",SUMIFS('02_ツリー'!$K$5:$K$560,'02_ツリー'!$E$5:$E$560,$A106,'02_ツリー'!$K$5:$K$560,"&gt;0"))</x:f>
        <x:v>0</x:v>
      </x:c>
      <x:c r="C106" s="48" t="n">
        <x:f>IF($A106="","",SUMIFS('02_ツリー'!$K$5:$K$560,'02_ツリー'!$E$5:$E$560,$A106,'02_ツリー'!$K$5:$K$560,"&lt;0"))</x:f>
        <x:v>-0.00012366475555609176</x:v>
      </x:c>
      <x:c r="D106" s="48" t="n">
        <x:f>IF($A106="","",B106+C106)</x:f>
        <x:v>-0.00012366475555609176</x:v>
      </x:c>
      <x:c r="E106" s="48" t="n">
        <x:f>IF($A106="","",B106-C106)</x:f>
        <x:v>0.00012366475555609176</x:v>
      </x:c>
      <x:c r="F106" s="48" t="n">
        <x:f>IF($A106="","",SUMIFS('02_ツリー'!$H$5:$H$560,'02_ツリー'!$E$5:$E$560,$A106,'02_ツリー'!$K$5:$K$560,"&gt;0"))</x:f>
        <x:v>0</x:v>
      </x:c>
      <x:c r="G106" s="48" t="n">
        <x:f>IF($A106="","",-SUMIFS('02_ツリー'!$H$5:$H$560,'02_ツリー'!$E$5:$E$560,$A106,'02_ツリー'!$K$5:$K$560,"&lt;0"))</x:f>
        <x:v>-0.0011065323245094917</x:v>
      </x:c>
      <x:c r="H106" s="48" t="n">
        <x:f>IF($A106="","",F106+G106)</x:f>
        <x:v>-0.0011065323245094917</x:v>
      </x:c>
      <x:c r="I106" s="244" t="n">
        <x:f>IF($A106="","",--(COUNTIFS('02_ツリー'!$E$5:$E$560,$A106,'02_ツリー'!$O$5:$O$560,0)=0))</x:f>
        <x:v>0</x:v>
      </x:c>
      <x:c r="J106" s="12" t="str">
        <x:f>IF($A106="","",IF(AND(B106&gt;0,C106&lt;0),"正負あり",IF(B106&gt;0,"正のみ",IF(C106&lt;0,"負のみ","ゼロ"))))</x:f>
        <x:v>負のみ</x:v>
      </x:c>
      <x:c r="K106" s="244" t="n">
        <x:f>IF($A106="","",--AND(B106&gt;0,C106&lt;0))</x:f>
        <x:v>0</x:v>
      </x:c>
      <x:c r="L106" s="244" t="n">
        <x:f>IF($A106="","",COUNTIF('02_ツリー'!$E$5:$E$560,$A106))</x:f>
        <x:v>1</x:v>
      </x:c>
      <x:c r="M106" s="244" t="n">
        <x:f>IF($A106="","",--(LEFT(A106,7)="Enable_"))</x:f>
        <x:v>0</x:v>
      </x:c>
      <x:c r="N106" s="12"/>
      <x:c r="O106" s="12"/>
      <x:c r="P106" s="12"/>
      <x:c r="Q106" s="12"/>
      <x:c r="R106" s="12"/>
      <x:c r="S106" s="12"/>
      <x:c r="T106" s="12"/>
      <x:c r="U106" s="12"/>
      <x:c r="V106" s="12"/>
      <x:c r="W106" s="12"/>
      <x:c r="X106" s="12"/>
      <x:c r="Y106" s="12"/>
    </x:row>
    <x:row r="107">
      <x:c r="A107" s="12" t="str">
        <x:f>IFERROR(INDEX('02_ツリー'!$E$5:$E$560,MATCH(ROWS($A$11:A107),'02_ツリー'!$R$5:$R$560,0)),"")</x:f>
        <x:v>J_bus_ref</x:v>
      </x:c>
      <x:c r="B107" s="48" t="n">
        <x:f>IF($A107="","",SUMIFS('02_ツリー'!$K$5:$K$560,'02_ツリー'!$E$5:$E$560,$A107,'02_ツリー'!$K$5:$K$560,"&gt;0"))</x:f>
        <x:v>0</x:v>
      </x:c>
      <x:c r="C107" s="48" t="n">
        <x:f>IF($A107="","",SUMIFS('02_ツリー'!$K$5:$K$560,'02_ツリー'!$E$5:$E$560,$A107,'02_ツリー'!$K$5:$K$560,"&lt;0"))</x:f>
        <x:v>-8.36951913984431e-8</x:v>
      </x:c>
      <x:c r="D107" s="48" t="n">
        <x:f>IF($A107="","",B107+C107)</x:f>
        <x:v>-8.36951913984431e-8</x:v>
      </x:c>
      <x:c r="E107" s="48" t="n">
        <x:f>IF($A107="","",B107-C107)</x:f>
        <x:v>8.36951913984431e-8</x:v>
      </x:c>
      <x:c r="F107" s="48" t="n">
        <x:f>IF($A107="","",SUMIFS('02_ツリー'!$H$5:$H$560,'02_ツリー'!$E$5:$E$560,$A107,'02_ツリー'!$K$5:$K$560,"&gt;0"))</x:f>
        <x:v>0</x:v>
      </x:c>
      <x:c r="G107" s="48" t="n">
        <x:f>IF($A107="","",-SUMIFS('02_ツリー'!$H$5:$H$560,'02_ツリー'!$E$5:$E$560,$A107,'02_ツリー'!$K$5:$K$560,"&lt;0"))</x:f>
        <x:v>-7.488910989386902e-7</x:v>
      </x:c>
      <x:c r="H107" s="48" t="n">
        <x:f>IF($A107="","",F107+G107)</x:f>
        <x:v>-7.488910989386902e-7</x:v>
      </x:c>
      <x:c r="I107" s="244" t="n">
        <x:f>IF($A107="","",--(COUNTIFS('02_ツリー'!$E$5:$E$560,$A107,'02_ツリー'!$O$5:$O$560,0)=0))</x:f>
        <x:v>1</x:v>
      </x:c>
      <x:c r="J107" s="12" t="str">
        <x:f>IF($A107="","",IF(AND(B107&gt;0,C107&lt;0),"正負あり",IF(B107&gt;0,"正のみ",IF(C107&lt;0,"負のみ","ゼロ"))))</x:f>
        <x:v>負のみ</x:v>
      </x:c>
      <x:c r="K107" s="244" t="n">
        <x:f>IF($A107="","",--AND(B107&gt;0,C107&lt;0))</x:f>
        <x:v>0</x:v>
      </x:c>
      <x:c r="L107" s="244" t="n">
        <x:f>IF($A107="","",COUNTIF('02_ツリー'!$E$5:$E$560,$A107))</x:f>
        <x:v>1</x:v>
      </x:c>
      <x:c r="M107" s="244" t="n">
        <x:f>IF($A107="","",--(LEFT(A107,7)="Enable_"))</x:f>
        <x:v>0</x:v>
      </x:c>
      <x:c r="N107" s="12"/>
      <x:c r="O107" s="12"/>
      <x:c r="P107" s="12"/>
      <x:c r="Q107" s="12"/>
      <x:c r="R107" s="12"/>
      <x:c r="S107" s="12"/>
      <x:c r="T107" s="12"/>
      <x:c r="U107" s="12"/>
      <x:c r="V107" s="12"/>
      <x:c r="W107" s="12"/>
      <x:c r="X107" s="12"/>
      <x:c r="Y107" s="12"/>
    </x:row>
    <x:row r="108">
      <x:c r="A108" s="12" t="str">
        <x:f>IFERROR(INDEX('02_ツリー'!$E$5:$E$560,MATCH(ROWS($A$11:A108),'02_ツリー'!$R$5:$R$560,0)),"")</x:f>
        <x:v>k_temp</x:v>
      </x:c>
      <x:c r="B108" s="48" t="n">
        <x:f>IF($A108="","",SUMIFS('02_ツリー'!$K$5:$K$560,'02_ツリー'!$E$5:$E$560,$A108,'02_ツリー'!$K$5:$K$560,"&gt;0"))</x:f>
        <x:v>0</x:v>
      </x:c>
      <x:c r="C108" s="48" t="n">
        <x:f>IF($A108="","",SUMIFS('02_ツリー'!$K$5:$K$560,'02_ツリー'!$E$5:$E$560,$A108,'02_ツリー'!$K$5:$K$560,"&lt;0"))</x:f>
        <x:v>-0.00012366475555609176</x:v>
      </x:c>
      <x:c r="D108" s="48" t="n">
        <x:f>IF($A108="","",B108+C108)</x:f>
        <x:v>-0.00012366475555609176</x:v>
      </x:c>
      <x:c r="E108" s="48" t="n">
        <x:f>IF($A108="","",B108-C108)</x:f>
        <x:v>0.00012366475555609176</x:v>
      </x:c>
      <x:c r="F108" s="48" t="n">
        <x:f>IF($A108="","",SUMIFS('02_ツリー'!$H$5:$H$560,'02_ツリー'!$E$5:$E$560,$A108,'02_ツリー'!$K$5:$K$560,"&gt;0"))</x:f>
        <x:v>0</x:v>
      </x:c>
      <x:c r="G108" s="48" t="n">
        <x:f>IF($A108="","",-SUMIFS('02_ツリー'!$H$5:$H$560,'02_ツリー'!$E$5:$E$560,$A108,'02_ツリー'!$K$5:$K$560,"&lt;0"))</x:f>
        <x:v>-0.0011065323245094917</x:v>
      </x:c>
      <x:c r="H108" s="48" t="n">
        <x:f>IF($A108="","",F108+G108)</x:f>
        <x:v>-0.0011065323245094917</x:v>
      </x:c>
      <x:c r="I108" s="244" t="n">
        <x:f>IF($A108="","",--(COUNTIFS('02_ツリー'!$E$5:$E$560,$A108,'02_ツリー'!$O$5:$O$560,0)=0))</x:f>
        <x:v>0</x:v>
      </x:c>
      <x:c r="J108" s="12" t="str">
        <x:f>IF($A108="","",IF(AND(B108&gt;0,C108&lt;0),"正負あり",IF(B108&gt;0,"正のみ",IF(C108&lt;0,"負のみ","ゼロ"))))</x:f>
        <x:v>負のみ</x:v>
      </x:c>
      <x:c r="K108" s="244" t="n">
        <x:f>IF($A108="","",--AND(B108&gt;0,C108&lt;0))</x:f>
        <x:v>0</x:v>
      </x:c>
      <x:c r="L108" s="244" t="n">
        <x:f>IF($A108="","",COUNTIF('02_ツリー'!$E$5:$E$560,$A108))</x:f>
        <x:v>1</x:v>
      </x:c>
      <x:c r="M108" s="244" t="n">
        <x:f>IF($A108="","",--(LEFT(A108,7)="Enable_"))</x:f>
        <x:v>0</x:v>
      </x:c>
      <x:c r="N108" s="12"/>
      <x:c r="O108" s="12"/>
      <x:c r="P108" s="12"/>
      <x:c r="Q108" s="12"/>
      <x:c r="R108" s="12"/>
      <x:c r="S108" s="12"/>
      <x:c r="T108" s="12"/>
      <x:c r="U108" s="12"/>
      <x:c r="V108" s="12"/>
      <x:c r="W108" s="12"/>
      <x:c r="X108" s="12"/>
      <x:c r="Y108" s="12"/>
    </x:row>
    <x:row r="109">
      <x:c r="A109" s="12" t="str">
        <x:f>IFERROR(INDEX('02_ツリー'!$E$5:$E$560,MATCH(ROWS($A$11:A109),'02_ツリー'!$R$5:$R$560,0)),"")</x:f>
        <x:v>dT_bus</x:v>
      </x:c>
      <x:c r="B109" s="48" t="n">
        <x:f>IF($A109="","",SUMIFS('02_ツリー'!$K$5:$K$560,'02_ツリー'!$E$5:$E$560,$A109,'02_ツリー'!$K$5:$K$560,"&gt;0"))</x:f>
        <x:v>0</x:v>
      </x:c>
      <x:c r="C109" s="48" t="n">
        <x:f>IF($A109="","",SUMIFS('02_ツリー'!$K$5:$K$560,'02_ツリー'!$E$5:$E$560,$A109,'02_ツリー'!$K$5:$K$560,"&lt;0"))</x:f>
        <x:v>-0.00006183237777804588</x:v>
      </x:c>
      <x:c r="D109" s="48" t="n">
        <x:f>IF($A109="","",B109+C109)</x:f>
        <x:v>-0.00006183237777804588</x:v>
      </x:c>
      <x:c r="E109" s="48" t="n">
        <x:f>IF($A109="","",B109-C109)</x:f>
        <x:v>0.00006183237777804588</x:v>
      </x:c>
      <x:c r="F109" s="48" t="n">
        <x:f>IF($A109="","",SUMIFS('02_ツリー'!$H$5:$H$560,'02_ツリー'!$E$5:$E$560,$A109,'02_ツリー'!$K$5:$K$560,"&gt;0"))</x:f>
        <x:v>0</x:v>
      </x:c>
      <x:c r="G109" s="48" t="n">
        <x:f>IF($A109="","",-SUMIFS('02_ツリー'!$H$5:$H$560,'02_ツリー'!$E$5:$E$560,$A109,'02_ツリー'!$K$5:$K$560,"&lt;0"))</x:f>
        <x:v>-0.0005532661622547458</x:v>
      </x:c>
      <x:c r="H109" s="48" t="n">
        <x:f>IF($A109="","",F109+G109)</x:f>
        <x:v>-0.0005532661622547458</x:v>
      </x:c>
      <x:c r="I109" s="244" t="n">
        <x:f>IF($A109="","",--(COUNTIFS('02_ツリー'!$E$5:$E$560,$A109,'02_ツリー'!$O$5:$O$560,0)=0))</x:f>
        <x:v>0</x:v>
      </x:c>
      <x:c r="J109" s="12" t="str">
        <x:f>IF($A109="","",IF(AND(B109&gt;0,C109&lt;0),"正負あり",IF(B109&gt;0,"正のみ",IF(C109&lt;0,"負のみ","ゼロ"))))</x:f>
        <x:v>負のみ</x:v>
      </x:c>
      <x:c r="K109" s="244" t="n">
        <x:f>IF($A109="","",--AND(B109&gt;0,C109&lt;0))</x:f>
        <x:v>0</x:v>
      </x:c>
      <x:c r="L109" s="244" t="n">
        <x:f>IF($A109="","",COUNTIF('02_ツリー'!$E$5:$E$560,$A109))</x:f>
        <x:v>1</x:v>
      </x:c>
      <x:c r="M109" s="244" t="n">
        <x:f>IF($A109="","",--(LEFT(A109,7)="Enable_"))</x:f>
        <x:v>0</x:v>
      </x:c>
      <x:c r="N109" s="12"/>
      <x:c r="O109" s="12"/>
      <x:c r="P109" s="12"/>
      <x:c r="Q109" s="12"/>
      <x:c r="R109" s="12"/>
      <x:c r="S109" s="12"/>
      <x:c r="T109" s="12"/>
      <x:c r="U109" s="12"/>
      <x:c r="V109" s="12"/>
      <x:c r="W109" s="12"/>
      <x:c r="X109" s="12"/>
      <x:c r="Y109" s="12"/>
    </x:row>
    <x:row r="110">
      <x:c r="A110" s="12" t="str">
        <x:f>IFERROR(INDEX('02_ツリー'!$E$5:$E$560,MATCH(ROWS($A$11:A110),'02_ツリー'!$R$5:$R$560,0)),"")</x:f>
        <x:v>T_bus_max</x:v>
      </x:c>
      <x:c r="B110" s="48" t="n">
        <x:f>IF($A110="","",SUMIFS('02_ツリー'!$K$5:$K$560,'02_ツリー'!$E$5:$E$560,$A110,'02_ツリー'!$K$5:$K$560,"&gt;0"))</x:f>
        <x:v>0</x:v>
      </x:c>
      <x:c r="C110" s="48" t="n">
        <x:f>IF($A110="","",SUMIFS('02_ツリー'!$K$5:$K$560,'02_ツリー'!$E$5:$E$560,$A110,'02_ツリー'!$K$5:$K$560,"&lt;0"))</x:f>
        <x:v>-0.00010820666111158029</x:v>
      </x:c>
      <x:c r="D110" s="48" t="n">
        <x:f>IF($A110="","",B110+C110)</x:f>
        <x:v>-0.00010820666111158029</x:v>
      </x:c>
      <x:c r="E110" s="48" t="n">
        <x:f>IF($A110="","",B110-C110)</x:f>
        <x:v>0.00010820666111158029</x:v>
      </x:c>
      <x:c r="F110" s="48" t="n">
        <x:f>IF($A110="","",SUMIFS('02_ツリー'!$H$5:$H$560,'02_ツリー'!$E$5:$E$560,$A110,'02_ツリー'!$K$5:$K$560,"&gt;0"))</x:f>
        <x:v>0</x:v>
      </x:c>
      <x:c r="G110" s="48" t="n">
        <x:f>IF($A110="","",-SUMIFS('02_ツリー'!$H$5:$H$560,'02_ツリー'!$E$5:$E$560,$A110,'02_ツリー'!$K$5:$K$560,"&lt;0"))</x:f>
        <x:v>-0.0009682157839458053</x:v>
      </x:c>
      <x:c r="H110" s="48" t="n">
        <x:f>IF($A110="","",F110+G110)</x:f>
        <x:v>-0.0009682157839458053</x:v>
      </x:c>
      <x:c r="I110" s="244" t="n">
        <x:f>IF($A110="","",--(COUNTIFS('02_ツリー'!$E$5:$E$560,$A110,'02_ツリー'!$O$5:$O$560,0)=0))</x:f>
        <x:v>1</x:v>
      </x:c>
      <x:c r="J110" s="12" t="str">
        <x:f>IF($A110="","",IF(AND(B110&gt;0,C110&lt;0),"正負あり",IF(B110&gt;0,"正のみ",IF(C110&lt;0,"負のみ","ゼロ"))))</x:f>
        <x:v>負のみ</x:v>
      </x:c>
      <x:c r="K110" s="244" t="n">
        <x:f>IF($A110="","",--AND(B110&gt;0,C110&lt;0))</x:f>
        <x:v>0</x:v>
      </x:c>
      <x:c r="L110" s="244" t="n">
        <x:f>IF($A110="","",COUNTIF('02_ツリー'!$E$5:$E$560,$A110))</x:f>
        <x:v>1</x:v>
      </x:c>
      <x:c r="M110" s="244" t="n">
        <x:f>IF($A110="","",--(LEFT(A110,7)="Enable_"))</x:f>
        <x:v>0</x:v>
      </x:c>
      <x:c r="N110" s="12"/>
      <x:c r="O110" s="12"/>
      <x:c r="P110" s="12"/>
      <x:c r="Q110" s="12"/>
      <x:c r="R110" s="12"/>
      <x:c r="S110" s="12"/>
      <x:c r="T110" s="12"/>
      <x:c r="U110" s="12"/>
      <x:c r="V110" s="12"/>
      <x:c r="W110" s="12"/>
      <x:c r="X110" s="12"/>
      <x:c r="Y110" s="12"/>
    </x:row>
    <x:row r="111">
      <x:c r="A111" s="12" t="str">
        <x:f>IFERROR(INDEX('02_ツリー'!$E$5:$E$560,MATCH(ROWS($A$11:A111),'02_ツリー'!$R$5:$R$560,0)),"")</x:f>
        <x:v>T_amb</x:v>
      </x:c>
      <x:c r="B111" s="48" t="n">
        <x:f>IF($A111="","",SUMIFS('02_ツリー'!$K$5:$K$560,'02_ツリー'!$E$5:$E$560,$A111,'02_ツリー'!$K$5:$K$560,"&gt;0"))</x:f>
        <x:v>0.5112007755908229</x:v>
      </x:c>
      <x:c r="C111" s="48" t="n">
        <x:f>IF($A111="","",SUMIFS('02_ツリー'!$K$5:$K$560,'02_ツリー'!$E$5:$E$560,$A111,'02_ツリー'!$K$5:$K$560,"&lt;0"))</x:f>
        <x:v>0</x:v>
      </x:c>
      <x:c r="D111" s="48" t="n">
        <x:f>IF($A111="","",B111+C111)</x:f>
        <x:v>0.5112007755908229</x:v>
      </x:c>
      <x:c r="E111" s="48" t="n">
        <x:f>IF($A111="","",B111-C111)</x:f>
        <x:v>0.5112007755908229</x:v>
      </x:c>
      <x:c r="F111" s="48" t="n">
        <x:f>IF($A111="","",SUMIFS('02_ツリー'!$H$5:$H$560,'02_ツリー'!$E$5:$E$560,$A111,'02_ツリー'!$K$5:$K$560,"&gt;0"))</x:f>
        <x:v>4.574142244182067</x:v>
      </x:c>
      <x:c r="G111" s="48" t="n">
        <x:f>IF($A111="","",-SUMIFS('02_ツリー'!$H$5:$H$560,'02_ツリー'!$E$5:$E$560,$A111,'02_ツリー'!$K$5:$K$560,"&lt;0"))</x:f>
        <x:v>0</x:v>
      </x:c>
      <x:c r="H111" s="48" t="n">
        <x:f>IF($A111="","",F111+G111)</x:f>
        <x:v>4.574142244182067</x:v>
      </x:c>
      <x:c r="I111" s="244" t="n">
        <x:f>IF($A111="","",--(COUNTIFS('02_ツリー'!$E$5:$E$560,$A111,'02_ツリー'!$O$5:$O$560,0)=0))</x:f>
        <x:v>1</x:v>
      </x:c>
      <x:c r="J111" s="12" t="str">
        <x:f>IF($A111="","",IF(AND(B111&gt;0,C111&lt;0),"正負あり",IF(B111&gt;0,"正のみ",IF(C111&lt;0,"負のみ","ゼロ"))))</x:f>
        <x:v>正のみ</x:v>
      </x:c>
      <x:c r="K111" s="244" t="n">
        <x:f>IF($A111="","",--AND(B111&gt;0,C111&lt;0))</x:f>
        <x:v>0</x:v>
      </x:c>
      <x:c r="L111" s="244" t="n">
        <x:f>IF($A111="","",COUNTIF('02_ツリー'!$E$5:$E$560,$A111))</x:f>
        <x:v>2</x:v>
      </x:c>
      <x:c r="M111" s="244" t="n">
        <x:f>IF($A111="","",--(LEFT(A111,7)="Enable_"))</x:f>
        <x:v>0</x:v>
      </x:c>
      <x:c r="N111" s="12"/>
      <x:c r="O111" s="12"/>
      <x:c r="P111" s="12"/>
      <x:c r="Q111" s="12"/>
      <x:c r="R111" s="12"/>
      <x:c r="S111" s="12"/>
      <x:c r="T111" s="12"/>
      <x:c r="U111" s="12"/>
      <x:c r="V111" s="12"/>
      <x:c r="W111" s="12"/>
      <x:c r="X111" s="12"/>
      <x:c r="Y111" s="12"/>
    </x:row>
    <x:row r="112">
      <x:c r="A112" s="12" t="str">
        <x:f>IFERROR(INDEX('02_ツリー'!$E$5:$E$560,MATCH(ROWS($A$11:A112),'02_ツリー'!$R$5:$R$560,0)),"")</x:f>
        <x:v>dT_bus_ref</x:v>
      </x:c>
      <x:c r="B112" s="48" t="n">
        <x:f>IF($A112="","",SUMIFS('02_ツリー'!$K$5:$K$560,'02_ツリー'!$E$5:$E$560,$A112,'02_ツリー'!$K$5:$K$560,"&gt;0"))</x:f>
        <x:v>0.00006183237777804588</x:v>
      </x:c>
      <x:c r="C112" s="48" t="n">
        <x:f>IF($A112="","",SUMIFS('02_ツリー'!$K$5:$K$560,'02_ツリー'!$E$5:$E$560,$A112,'02_ツリー'!$K$5:$K$560,"&lt;0"))</x:f>
        <x:v>-0.00006179053018234665</x:v>
      </x:c>
      <x:c r="D112" s="48" t="n">
        <x:f>IF($A112="","",B112+C112)</x:f>
        <x:v>4.1847595699229224e-8</x:v>
      </x:c>
      <x:c r="E112" s="48" t="n">
        <x:f>IF($A112="","",B112-C112)</x:f>
        <x:v>0.00012362290796039252</x:v>
      </x:c>
      <x:c r="F112" s="48" t="n">
        <x:f>IF($A112="","",SUMIFS('02_ツリー'!$H$5:$H$560,'02_ツリー'!$E$5:$E$560,$A112,'02_ツリー'!$K$5:$K$560,"&gt;0"))</x:f>
        <x:v>0.0005532661622547458</x:v>
      </x:c>
      <x:c r="G112" s="48" t="n">
        <x:f>IF($A112="","",-SUMIFS('02_ツリー'!$H$5:$H$560,'02_ツリー'!$E$5:$E$560,$A112,'02_ツリー'!$K$5:$K$560,"&lt;0"))</x:f>
        <x:v>-0.0005528917167052764</x:v>
      </x:c>
      <x:c r="H112" s="48" t="n">
        <x:f>IF($A112="","",F112+G112)</x:f>
        <x:v>3.7444554946942325e-7</x:v>
      </x:c>
      <x:c r="I112" s="244" t="n">
        <x:f>IF($A112="","",--(COUNTIFS('02_ツリー'!$E$5:$E$560,$A112,'02_ツリー'!$O$5:$O$560,0)=0))</x:f>
        <x:v>1</x:v>
      </x:c>
      <x:c r="J112" s="12" t="str">
        <x:f>IF($A112="","",IF(AND(B112&gt;0,C112&lt;0),"正負あり",IF(B112&gt;0,"正のみ",IF(C112&lt;0,"負のみ","ゼロ"))))</x:f>
        <x:v>正負あり</x:v>
      </x:c>
      <x:c r="K112" s="244" t="n">
        <x:f>IF($A112="","",--AND(B112&gt;0,C112&lt;0))</x:f>
        <x:v>1</x:v>
      </x:c>
      <x:c r="L112" s="244" t="n">
        <x:f>IF($A112="","",COUNTIF('02_ツリー'!$E$5:$E$560,$A112))</x:f>
        <x:v>2</x:v>
      </x:c>
      <x:c r="M112" s="244" t="n">
        <x:f>IF($A112="","",--(LEFT(A112,7)="Enable_"))</x:f>
        <x:v>0</x:v>
      </x:c>
      <x:c r="N112" s="12"/>
      <x:c r="O112" s="12"/>
      <x:c r="P112" s="12"/>
      <x:c r="Q112" s="12"/>
      <x:c r="R112" s="12"/>
      <x:c r="S112" s="12"/>
      <x:c r="T112" s="12"/>
      <x:c r="U112" s="12"/>
      <x:c r="V112" s="12"/>
      <x:c r="W112" s="12"/>
      <x:c r="X112" s="12"/>
      <x:c r="Y112" s="12"/>
    </x:row>
    <x:row r="113">
      <x:c r="A113" s="12" t="str">
        <x:f>IFERROR(INDEX('02_ツリー'!$E$5:$E$560,MATCH(ROWS($A$11:A113),'02_ツリー'!$R$5:$R$560,0)),"")</x:f>
        <x:v>k_bus_cool</x:v>
      </x:c>
      <x:c r="B113" s="48" t="n">
        <x:f>IF($A113="","",SUMIFS('02_ツリー'!$K$5:$K$560,'02_ツリー'!$E$5:$E$560,$A113,'02_ツリー'!$K$5:$K$560,"&gt;0"))</x:f>
        <x:v>0</x:v>
      </x:c>
      <x:c r="C113" s="48" t="n">
        <x:f>IF($A113="","",SUMIFS('02_ツリー'!$K$5:$K$560,'02_ツリー'!$E$5:$E$560,$A113,'02_ツリー'!$K$5:$K$560,"&lt;0"))</x:f>
        <x:v>-0.00012366475555609176</x:v>
      </x:c>
      <x:c r="D113" s="48" t="n">
        <x:f>IF($A113="","",B113+C113)</x:f>
        <x:v>-0.00012366475555609176</x:v>
      </x:c>
      <x:c r="E113" s="48" t="n">
        <x:f>IF($A113="","",B113-C113)</x:f>
        <x:v>0.00012366475555609176</x:v>
      </x:c>
      <x:c r="F113" s="48" t="n">
        <x:f>IF($A113="","",SUMIFS('02_ツリー'!$H$5:$H$560,'02_ツリー'!$E$5:$E$560,$A113,'02_ツリー'!$K$5:$K$560,"&gt;0"))</x:f>
        <x:v>0</x:v>
      </x:c>
      <x:c r="G113" s="48" t="n">
        <x:f>IF($A113="","",-SUMIFS('02_ツリー'!$H$5:$H$560,'02_ツリー'!$E$5:$E$560,$A113,'02_ツリー'!$K$5:$K$560,"&lt;0"))</x:f>
        <x:v>-0.0011065323245094917</x:v>
      </x:c>
      <x:c r="H113" s="48" t="n">
        <x:f>IF($A113="","",F113+G113)</x:f>
        <x:v>-0.0011065323245094917</x:v>
      </x:c>
      <x:c r="I113" s="244" t="n">
        <x:f>IF($A113="","",--(COUNTIFS('02_ツリー'!$E$5:$E$560,$A113,'02_ツリー'!$O$5:$O$560,0)=0))</x:f>
        <x:v>1</x:v>
      </x:c>
      <x:c r="J113" s="12" t="str">
        <x:f>IF($A113="","",IF(AND(B113&gt;0,C113&lt;0),"正負あり",IF(B113&gt;0,"正のみ",IF(C113&lt;0,"負のみ","ゼロ"))))</x:f>
        <x:v>負のみ</x:v>
      </x:c>
      <x:c r="K113" s="244" t="n">
        <x:f>IF($A113="","",--AND(B113&gt;0,C113&lt;0))</x:f>
        <x:v>0</x:v>
      </x:c>
      <x:c r="L113" s="244" t="n">
        <x:f>IF($A113="","",COUNTIF('02_ツリー'!$E$5:$E$560,$A113))</x:f>
        <x:v>1</x:v>
      </x:c>
      <x:c r="M113" s="244" t="n">
        <x:f>IF($A113="","",--(LEFT(A113,7)="Enable_"))</x:f>
        <x:v>0</x:v>
      </x:c>
      <x:c r="N113" s="12"/>
      <x:c r="O113" s="12"/>
      <x:c r="P113" s="12"/>
      <x:c r="Q113" s="12"/>
      <x:c r="R113" s="12"/>
      <x:c r="S113" s="12"/>
      <x:c r="T113" s="12"/>
      <x:c r="U113" s="12"/>
      <x:c r="V113" s="12"/>
      <x:c r="W113" s="12"/>
      <x:c r="X113" s="12"/>
      <x:c r="Y113" s="12"/>
    </x:row>
    <x:row r="114">
      <x:c r="A114" s="12" t="str">
        <x:f>IFERROR(INDEX('02_ツリー'!$E$5:$E$560,MATCH(ROWS($A$11:A114),'02_ツリー'!$R$5:$R$560,0)),"")</x:f>
        <x:v>rho_bus</x:v>
      </x:c>
      <x:c r="B114" s="48" t="n">
        <x:f>IF($A114="","",SUMIFS('02_ツリー'!$K$5:$K$560,'02_ツリー'!$E$5:$E$560,$A114,'02_ツリー'!$K$5:$K$560,"&gt;0"))</x:f>
        <x:v>0.00012366475555609176</x:v>
      </x:c>
      <x:c r="C114" s="48" t="n">
        <x:f>IF($A114="","",SUMIFS('02_ツリー'!$K$5:$K$560,'02_ツリー'!$E$5:$E$560,$A114,'02_ツリー'!$K$5:$K$560,"&lt;0"))</x:f>
        <x:v>0</x:v>
      </x:c>
      <x:c r="D114" s="48" t="n">
        <x:f>IF($A114="","",B114+C114)</x:f>
        <x:v>0.00012366475555609176</x:v>
      </x:c>
      <x:c r="E114" s="48" t="n">
        <x:f>IF($A114="","",B114-C114)</x:f>
        <x:v>0.00012366475555609176</x:v>
      </x:c>
      <x:c r="F114" s="48" t="n">
        <x:f>IF($A114="","",SUMIFS('02_ツリー'!$H$5:$H$560,'02_ツリー'!$E$5:$E$560,$A114,'02_ツリー'!$K$5:$K$560,"&gt;0"))</x:f>
        <x:v>0.0011065323245094917</x:v>
      </x:c>
      <x:c r="G114" s="48" t="n">
        <x:f>IF($A114="","",-SUMIFS('02_ツリー'!$H$5:$H$560,'02_ツリー'!$E$5:$E$560,$A114,'02_ツリー'!$K$5:$K$560,"&lt;0"))</x:f>
        <x:v>0</x:v>
      </x:c>
      <x:c r="H114" s="48" t="n">
        <x:f>IF($A114="","",F114+G114)</x:f>
        <x:v>0.0011065323245094917</x:v>
      </x:c>
      <x:c r="I114" s="244" t="n">
        <x:f>IF($A114="","",--(COUNTIFS('02_ツリー'!$E$5:$E$560,$A114,'02_ツリー'!$O$5:$O$560,0)=0))</x:f>
        <x:v>0</x:v>
      </x:c>
      <x:c r="J114" s="12" t="str">
        <x:f>IF($A114="","",IF(AND(B114&gt;0,C114&lt;0),"正負あり",IF(B114&gt;0,"正のみ",IF(C114&lt;0,"負のみ","ゼロ"))))</x:f>
        <x:v>正のみ</x:v>
      </x:c>
      <x:c r="K114" s="244" t="n">
        <x:f>IF($A114="","",--AND(B114&gt;0,C114&lt;0))</x:f>
        <x:v>0</x:v>
      </x:c>
      <x:c r="L114" s="244" t="n">
        <x:f>IF($A114="","",COUNTIF('02_ツリー'!$E$5:$E$560,$A114))</x:f>
        <x:v>1</x:v>
      </x:c>
      <x:c r="M114" s="244" t="n">
        <x:f>IF($A114="","",--(LEFT(A114,7)="Enable_"))</x:f>
        <x:v>0</x:v>
      </x:c>
      <x:c r="N114" s="12"/>
      <x:c r="O114" s="12"/>
      <x:c r="P114" s="12"/>
      <x:c r="Q114" s="12"/>
      <x:c r="R114" s="12"/>
      <x:c r="S114" s="12"/>
      <x:c r="T114" s="12"/>
      <x:c r="U114" s="12"/>
      <x:c r="V114" s="12"/>
      <x:c r="W114" s="12"/>
      <x:c r="X114" s="12"/>
      <x:c r="Y114" s="12"/>
    </x:row>
    <x:row r="115">
      <x:c r="A115" s="12" t="str">
        <x:f>IFERROR(INDEX('02_ツリー'!$E$5:$E$560,MATCH(ROWS($A$11:A115),'02_ツリー'!$R$5:$R$560,0)),"")</x:f>
        <x:v>K_bus</x:v>
      </x:c>
      <x:c r="B115" s="48" t="n">
        <x:f>IF($A115="","",SUMIFS('02_ツリー'!$K$5:$K$560,'02_ツリー'!$E$5:$E$560,$A115,'02_ツリー'!$K$5:$K$560,"&gt;0"))</x:f>
        <x:v>0.00012366475555609176</x:v>
      </x:c>
      <x:c r="C115" s="48" t="n">
        <x:f>IF($A115="","",SUMIFS('02_ツリー'!$K$5:$K$560,'02_ツリー'!$E$5:$E$560,$A115,'02_ツリー'!$K$5:$K$560,"&lt;0"))</x:f>
        <x:v>0</x:v>
      </x:c>
      <x:c r="D115" s="48" t="n">
        <x:f>IF($A115="","",B115+C115)</x:f>
        <x:v>0.00012366475555609176</x:v>
      </x:c>
      <x:c r="E115" s="48" t="n">
        <x:f>IF($A115="","",B115-C115)</x:f>
        <x:v>0.00012366475555609176</x:v>
      </x:c>
      <x:c r="F115" s="48" t="n">
        <x:f>IF($A115="","",SUMIFS('02_ツリー'!$H$5:$H$560,'02_ツリー'!$E$5:$E$560,$A115,'02_ツリー'!$K$5:$K$560,"&gt;0"))</x:f>
        <x:v>0.0011065323245094917</x:v>
      </x:c>
      <x:c r="G115" s="48" t="n">
        <x:f>IF($A115="","",-SUMIFS('02_ツリー'!$H$5:$H$560,'02_ツリー'!$E$5:$E$560,$A115,'02_ツリー'!$K$5:$K$560,"&lt;0"))</x:f>
        <x:v>0</x:v>
      </x:c>
      <x:c r="H115" s="48" t="n">
        <x:f>IF($A115="","",F115+G115)</x:f>
        <x:v>0.0011065323245094917</x:v>
      </x:c>
      <x:c r="I115" s="244" t="n">
        <x:f>IF($A115="","",--(COUNTIFS('02_ツリー'!$E$5:$E$560,$A115,'02_ツリー'!$O$5:$O$560,0)=0))</x:f>
        <x:v>1</x:v>
      </x:c>
      <x:c r="J115" s="12" t="str">
        <x:f>IF($A115="","",IF(AND(B115&gt;0,C115&lt;0),"正負あり",IF(B115&gt;0,"正のみ",IF(C115&lt;0,"負のみ","ゼロ"))))</x:f>
        <x:v>正のみ</x:v>
      </x:c>
      <x:c r="K115" s="244" t="n">
        <x:f>IF($A115="","",--AND(B115&gt;0,C115&lt;0))</x:f>
        <x:v>0</x:v>
      </x:c>
      <x:c r="L115" s="244" t="n">
        <x:f>IF($A115="","",COUNTIF('02_ツリー'!$E$5:$E$560,$A115))</x:f>
        <x:v>1</x:v>
      </x:c>
      <x:c r="M115" s="244" t="n">
        <x:f>IF($A115="","",--(LEFT(A115,7)="Enable_"))</x:f>
        <x:v>0</x:v>
      </x:c>
      <x:c r="N115" s="12"/>
      <x:c r="O115" s="12"/>
      <x:c r="P115" s="12"/>
      <x:c r="Q115" s="12"/>
      <x:c r="R115" s="12"/>
      <x:c r="S115" s="12"/>
      <x:c r="T115" s="12"/>
      <x:c r="U115" s="12"/>
      <x:c r="V115" s="12"/>
      <x:c r="W115" s="12"/>
      <x:c r="X115" s="12"/>
      <x:c r="Y115" s="12"/>
    </x:row>
    <x:row r="116">
      <x:c r="A116" s="12" t="str">
        <x:f>IFERROR(INDEX('02_ツリー'!$E$5:$E$560,MATCH(ROWS($A$11:A116),'02_ツリー'!$R$5:$R$560,0)),"")</x:f>
        <x:v>M_case</x:v>
      </x:c>
      <x:c r="B116" s="48" t="n">
        <x:f>IF($A116="","",SUMIFS('02_ツリー'!$K$5:$K$560,'02_ツリー'!$E$5:$E$560,$A116,'02_ツリー'!$K$5:$K$560,"&gt;0"))</x:f>
        <x:v>0.24286284932342378</x:v>
      </x:c>
      <x:c r="C116" s="48" t="n">
        <x:f>IF($A116="","",SUMIFS('02_ツリー'!$K$5:$K$560,'02_ツリー'!$E$5:$E$560,$A116,'02_ツリー'!$K$5:$K$560,"&lt;0"))</x:f>
        <x:v>0</x:v>
      </x:c>
      <x:c r="D116" s="48" t="n">
        <x:f>IF($A116="","",B116+C116)</x:f>
        <x:v>0.24286284932342378</x:v>
      </x:c>
      <x:c r="E116" s="48" t="n">
        <x:f>IF($A116="","",B116-C116)</x:f>
        <x:v>0.24286284932342378</x:v>
      </x:c>
      <x:c r="F116" s="48" t="n">
        <x:f>IF($A116="","",SUMIFS('02_ツリー'!$H$5:$H$560,'02_ツリー'!$E$5:$E$560,$A116,'02_ツリー'!$K$5:$K$560,"&gt;0"))</x:f>
        <x:v>2.1730976784000005</x:v>
      </x:c>
      <x:c r="G116" s="48" t="n">
        <x:f>IF($A116="","",-SUMIFS('02_ツリー'!$H$5:$H$560,'02_ツリー'!$E$5:$E$560,$A116,'02_ツリー'!$K$5:$K$560,"&lt;0"))</x:f>
        <x:v>0</x:v>
      </x:c>
      <x:c r="H116" s="48" t="n">
        <x:f>IF($A116="","",F116+G116)</x:f>
        <x:v>2.1730976784000005</x:v>
      </x:c>
      <x:c r="I116" s="244" t="n">
        <x:f>IF($A116="","",--(COUNTIFS('02_ツリー'!$E$5:$E$560,$A116,'02_ツリー'!$O$5:$O$560,0)=0))</x:f>
        <x:v>0</x:v>
      </x:c>
      <x:c r="J116" s="12" t="str">
        <x:f>IF($A116="","",IF(AND(B116&gt;0,C116&lt;0),"正負あり",IF(B116&gt;0,"正のみ",IF(C116&lt;0,"負のみ","ゼロ"))))</x:f>
        <x:v>正のみ</x:v>
      </x:c>
      <x:c r="K116" s="244" t="n">
        <x:f>IF($A116="","",--AND(B116&gt;0,C116&lt;0))</x:f>
        <x:v>0</x:v>
      </x:c>
      <x:c r="L116" s="244" t="n">
        <x:f>IF($A116="","",COUNTIF('02_ツリー'!$E$5:$E$560,$A116))</x:f>
        <x:v>1</x:v>
      </x:c>
      <x:c r="M116" s="244" t="n">
        <x:f>IF($A116="","",--(LEFT(A116,7)="Enable_"))</x:f>
        <x:v>0</x:v>
      </x:c>
      <x:c r="N116" s="12"/>
      <x:c r="O116" s="12"/>
      <x:c r="P116" s="12"/>
      <x:c r="Q116" s="12"/>
      <x:c r="R116" s="12"/>
      <x:c r="S116" s="12"/>
      <x:c r="T116" s="12"/>
      <x:c r="U116" s="12"/>
      <x:c r="V116" s="12"/>
      <x:c r="W116" s="12"/>
      <x:c r="X116" s="12"/>
      <x:c r="Y116" s="12"/>
    </x:row>
    <x:row r="117">
      <x:c r="A117" s="12" t="str">
        <x:f>IFERROR(INDEX('02_ツリー'!$E$5:$E$560,MATCH(ROWS($A$11:A117),'02_ツリー'!$R$5:$R$560,0)),"")</x:f>
        <x:v>A_case</x:v>
      </x:c>
      <x:c r="B117" s="48" t="n">
        <x:f>IF($A117="","",SUMIFS('02_ツリー'!$K$5:$K$560,'02_ツリー'!$E$5:$E$560,$A117,'02_ツリー'!$K$5:$K$560,"&gt;0"))</x:f>
        <x:v>0.24286284932342378</x:v>
      </x:c>
      <x:c r="C117" s="48" t="n">
        <x:f>IF($A117="","",SUMIFS('02_ツリー'!$K$5:$K$560,'02_ツリー'!$E$5:$E$560,$A117,'02_ツリー'!$K$5:$K$560,"&lt;0"))</x:f>
        <x:v>0</x:v>
      </x:c>
      <x:c r="D117" s="48" t="n">
        <x:f>IF($A117="","",B117+C117)</x:f>
        <x:v>0.24286284932342378</x:v>
      </x:c>
      <x:c r="E117" s="48" t="n">
        <x:f>IF($A117="","",B117-C117)</x:f>
        <x:v>0.24286284932342378</x:v>
      </x:c>
      <x:c r="F117" s="48" t="n">
        <x:f>IF($A117="","",SUMIFS('02_ツリー'!$H$5:$H$560,'02_ツリー'!$E$5:$E$560,$A117,'02_ツリー'!$K$5:$K$560,"&gt;0"))</x:f>
        <x:v>2.1730976784000005</x:v>
      </x:c>
      <x:c r="G117" s="48" t="n">
        <x:f>IF($A117="","",-SUMIFS('02_ツリー'!$H$5:$H$560,'02_ツリー'!$E$5:$E$560,$A117,'02_ツリー'!$K$5:$K$560,"&lt;0"))</x:f>
        <x:v>0</x:v>
      </x:c>
      <x:c r="H117" s="48" t="n">
        <x:f>IF($A117="","",F117+G117)</x:f>
        <x:v>2.1730976784000005</x:v>
      </x:c>
      <x:c r="I117" s="244" t="n">
        <x:f>IF($A117="","",--(COUNTIFS('02_ツリー'!$E$5:$E$560,$A117,'02_ツリー'!$O$5:$O$560,0)=0))</x:f>
        <x:v>0</x:v>
      </x:c>
      <x:c r="J117" s="12" t="str">
        <x:f>IF($A117="","",IF(AND(B117&gt;0,C117&lt;0),"正負あり",IF(B117&gt;0,"正のみ",IF(C117&lt;0,"負のみ","ゼロ"))))</x:f>
        <x:v>正のみ</x:v>
      </x:c>
      <x:c r="K117" s="244" t="n">
        <x:f>IF($A117="","",--AND(B117&gt;0,C117&lt;0))</x:f>
        <x:v>0</x:v>
      </x:c>
      <x:c r="L117" s="244" t="n">
        <x:f>IF($A117="","",COUNTIF('02_ツリー'!$E$5:$E$560,$A117))</x:f>
        <x:v>1</x:v>
      </x:c>
      <x:c r="M117" s="244" t="n">
        <x:f>IF($A117="","",--(LEFT(A117,7)="Enable_"))</x:f>
        <x:v>0</x:v>
      </x:c>
      <x:c r="N117" s="12"/>
      <x:c r="O117" s="12"/>
      <x:c r="P117" s="12"/>
      <x:c r="Q117" s="12"/>
      <x:c r="R117" s="12"/>
      <x:c r="S117" s="12"/>
      <x:c r="T117" s="12"/>
      <x:c r="U117" s="12"/>
      <x:c r="V117" s="12"/>
      <x:c r="W117" s="12"/>
      <x:c r="X117" s="12"/>
      <x:c r="Y117" s="12"/>
    </x:row>
    <x:row r="118">
      <x:c r="A118" s="12" t="str">
        <x:f>IFERROR(INDEX('02_ツリー'!$E$5:$E$560,MATCH(ROWS($A$11:A118),'02_ツリー'!$R$5:$R$560,0)),"")</x:f>
        <x:v>L_case</x:v>
      </x:c>
      <x:c r="B118" s="48" t="n">
        <x:f>IF($A118="","",SUMIFS('02_ツリー'!$K$5:$K$560,'02_ツリー'!$E$5:$E$560,$A118,'02_ツリー'!$K$5:$K$560,"&gt;0"))</x:f>
        <x:v>0.1987059676282558</x:v>
      </x:c>
      <x:c r="C118" s="48" t="n">
        <x:f>IF($A118="","",SUMIFS('02_ツリー'!$K$5:$K$560,'02_ツリー'!$E$5:$E$560,$A118,'02_ツリー'!$K$5:$K$560,"&lt;0"))</x:f>
        <x:v>0</x:v>
      </x:c>
      <x:c r="D118" s="48" t="n">
        <x:f>IF($A118="","",B118+C118)</x:f>
        <x:v>0.1987059676282558</x:v>
      </x:c>
      <x:c r="E118" s="48" t="n">
        <x:f>IF($A118="","",B118-C118)</x:f>
        <x:v>0.1987059676282558</x:v>
      </x:c>
      <x:c r="F118" s="48" t="n">
        <x:f>IF($A118="","",SUMIFS('02_ツリー'!$H$5:$H$560,'02_ツリー'!$E$5:$E$560,$A118,'02_ツリー'!$K$5:$K$560,"&gt;0"))</x:f>
        <x:v>1.7779890096000002</x:v>
      </x:c>
      <x:c r="G118" s="48" t="n">
        <x:f>IF($A118="","",-SUMIFS('02_ツリー'!$H$5:$H$560,'02_ツリー'!$E$5:$E$560,$A118,'02_ツリー'!$K$5:$K$560,"&lt;0"))</x:f>
        <x:v>0</x:v>
      </x:c>
      <x:c r="H118" s="48" t="n">
        <x:f>IF($A118="","",F118+G118)</x:f>
        <x:v>1.7779890096000002</x:v>
      </x:c>
      <x:c r="I118" s="244" t="n">
        <x:f>IF($A118="","",--(COUNTIFS('02_ツリー'!$E$5:$E$560,$A118,'02_ツリー'!$O$5:$O$560,0)=0))</x:f>
        <x:v>1</x:v>
      </x:c>
      <x:c r="J118" s="12" t="str">
        <x:f>IF($A118="","",IF(AND(B118&gt;0,C118&lt;0),"正負あり",IF(B118&gt;0,"正のみ",IF(C118&lt;0,"負のみ","ゼロ"))))</x:f>
        <x:v>正のみ</x:v>
      </x:c>
      <x:c r="K118" s="244" t="n">
        <x:f>IF($A118="","",--AND(B118&gt;0,C118&lt;0))</x:f>
        <x:v>0</x:v>
      </x:c>
      <x:c r="L118" s="244" t="n">
        <x:f>IF($A118="","",COUNTIF('02_ツリー'!$E$5:$E$560,$A118))</x:f>
        <x:v>2</x:v>
      </x:c>
      <x:c r="M118" s="244" t="n">
        <x:f>IF($A118="","",--(LEFT(A118,7)="Enable_"))</x:f>
        <x:v>0</x:v>
      </x:c>
      <x:c r="N118" s="12"/>
      <x:c r="O118" s="12"/>
      <x:c r="P118" s="12"/>
      <x:c r="Q118" s="12"/>
      <x:c r="R118" s="12"/>
      <x:c r="S118" s="12"/>
      <x:c r="T118" s="12"/>
      <x:c r="U118" s="12"/>
      <x:c r="V118" s="12"/>
      <x:c r="W118" s="12"/>
      <x:c r="X118" s="12"/>
      <x:c r="Y118" s="12"/>
    </x:row>
    <x:row r="119">
      <x:c r="A119" s="12" t="str">
        <x:f>IFERROR(INDEX('02_ツリー'!$E$5:$E$560,MATCH(ROWS($A$11:A119),'02_ツリー'!$R$5:$R$560,0)),"")</x:f>
        <x:v>W_case</x:v>
      </x:c>
      <x:c r="B119" s="48" t="n">
        <x:f>IF($A119="","",SUMIFS('02_ツリー'!$K$5:$K$560,'02_ツリー'!$E$5:$E$560,$A119,'02_ツリー'!$K$5:$K$560,"&gt;0"))</x:f>
        <x:v>0.17662752678067184</x:v>
      </x:c>
      <x:c r="C119" s="48" t="n">
        <x:f>IF($A119="","",SUMIFS('02_ツリー'!$K$5:$K$560,'02_ツリー'!$E$5:$E$560,$A119,'02_ツリー'!$K$5:$K$560,"&lt;0"))</x:f>
        <x:v>0</x:v>
      </x:c>
      <x:c r="D119" s="48" t="n">
        <x:f>IF($A119="","",B119+C119)</x:f>
        <x:v>0.17662752678067184</x:v>
      </x:c>
      <x:c r="E119" s="48" t="n">
        <x:f>IF($A119="","",B119-C119)</x:f>
        <x:v>0.17662752678067184</x:v>
      </x:c>
      <x:c r="F119" s="48" t="n">
        <x:f>IF($A119="","",SUMIFS('02_ツリー'!$H$5:$H$560,'02_ツリー'!$E$5:$E$560,$A119,'02_ツリー'!$K$5:$K$560,"&gt;0"))</x:f>
        <x:v>1.5804346752000002</x:v>
      </x:c>
      <x:c r="G119" s="48" t="n">
        <x:f>IF($A119="","",-SUMIFS('02_ツリー'!$H$5:$H$560,'02_ツリー'!$E$5:$E$560,$A119,'02_ツリー'!$K$5:$K$560,"&lt;0"))</x:f>
        <x:v>0</x:v>
      </x:c>
      <x:c r="H119" s="48" t="n">
        <x:f>IF($A119="","",F119+G119)</x:f>
        <x:v>1.5804346752000002</x:v>
      </x:c>
      <x:c r="I119" s="244" t="n">
        <x:f>IF($A119="","",--(COUNTIFS('02_ツリー'!$E$5:$E$560,$A119,'02_ツリー'!$O$5:$O$560,0)=0))</x:f>
        <x:v>1</x:v>
      </x:c>
      <x:c r="J119" s="12" t="str">
        <x:f>IF($A119="","",IF(AND(B119&gt;0,C119&lt;0),"正負あり",IF(B119&gt;0,"正のみ",IF(C119&lt;0,"負のみ","ゼロ"))))</x:f>
        <x:v>正のみ</x:v>
      </x:c>
      <x:c r="K119" s="244" t="n">
        <x:f>IF($A119="","",--AND(B119&gt;0,C119&lt;0))</x:f>
        <x:v>0</x:v>
      </x:c>
      <x:c r="L119" s="244" t="n">
        <x:f>IF($A119="","",COUNTIF('02_ツリー'!$E$5:$E$560,$A119))</x:f>
        <x:v>2</x:v>
      </x:c>
      <x:c r="M119" s="244" t="n">
        <x:f>IF($A119="","",--(LEFT(A119,7)="Enable_"))</x:f>
        <x:v>0</x:v>
      </x:c>
      <x:c r="N119" s="12"/>
      <x:c r="O119" s="12"/>
      <x:c r="P119" s="12"/>
      <x:c r="Q119" s="12"/>
      <x:c r="R119" s="12"/>
      <x:c r="S119" s="12"/>
      <x:c r="T119" s="12"/>
      <x:c r="U119" s="12"/>
      <x:c r="V119" s="12"/>
      <x:c r="W119" s="12"/>
      <x:c r="X119" s="12"/>
      <x:c r="Y119" s="12"/>
    </x:row>
    <x:row r="120">
      <x:c r="A120" s="12" t="str">
        <x:f>IFERROR(INDEX('02_ツリー'!$E$5:$E$560,MATCH(ROWS($A$11:A120),'02_ツリー'!$R$5:$R$560,0)),"")</x:f>
        <x:v>H_case</x:v>
      </x:c>
      <x:c r="B120" s="48" t="n">
        <x:f>IF($A120="","",SUMIFS('02_ツリー'!$K$5:$K$560,'02_ツリー'!$E$5:$E$560,$A120,'02_ツリー'!$K$5:$K$560,"&gt;0"))</x:f>
        <x:v>0.1103922042379199</x:v>
      </x:c>
      <x:c r="C120" s="48" t="n">
        <x:f>IF($A120="","",SUMIFS('02_ツリー'!$K$5:$K$560,'02_ツリー'!$E$5:$E$560,$A120,'02_ツリー'!$K$5:$K$560,"&lt;0"))</x:f>
        <x:v>0</x:v>
      </x:c>
      <x:c r="D120" s="48" t="n">
        <x:f>IF($A120="","",B120+C120)</x:f>
        <x:v>0.1103922042379199</x:v>
      </x:c>
      <x:c r="E120" s="48" t="n">
        <x:f>IF($A120="","",B120-C120)</x:f>
        <x:v>0.1103922042379199</x:v>
      </x:c>
      <x:c r="F120" s="48" t="n">
        <x:f>IF($A120="","",SUMIFS('02_ツリー'!$H$5:$H$560,'02_ツリー'!$E$5:$E$560,$A120,'02_ツリー'!$K$5:$K$560,"&gt;0"))</x:f>
        <x:v>0.9877716720000003</x:v>
      </x:c>
      <x:c r="G120" s="48" t="n">
        <x:f>IF($A120="","",-SUMIFS('02_ツリー'!$H$5:$H$560,'02_ツリー'!$E$5:$E$560,$A120,'02_ツリー'!$K$5:$K$560,"&lt;0"))</x:f>
        <x:v>0</x:v>
      </x:c>
      <x:c r="H120" s="48" t="n">
        <x:f>IF($A120="","",F120+G120)</x:f>
        <x:v>0.9877716720000003</x:v>
      </x:c>
      <x:c r="I120" s="244" t="n">
        <x:f>IF($A120="","",--(COUNTIFS('02_ツリー'!$E$5:$E$560,$A120,'02_ツリー'!$O$5:$O$560,0)=0))</x:f>
        <x:v>1</x:v>
      </x:c>
      <x:c r="J120" s="12" t="str">
        <x:f>IF($A120="","",IF(AND(B120&gt;0,C120&lt;0),"正負あり",IF(B120&gt;0,"正のみ",IF(C120&lt;0,"負のみ","ゼロ"))))</x:f>
        <x:v>正のみ</x:v>
      </x:c>
      <x:c r="K120" s="244" t="n">
        <x:f>IF($A120="","",--AND(B120&gt;0,C120&lt;0))</x:f>
        <x:v>0</x:v>
      </x:c>
      <x:c r="L120" s="244" t="n">
        <x:f>IF($A120="","",COUNTIF('02_ツリー'!$E$5:$E$560,$A120))</x:f>
        <x:v>1</x:v>
      </x:c>
      <x:c r="M120" s="244" t="n">
        <x:f>IF($A120="","",--(LEFT(A120,7)="Enable_"))</x:f>
        <x:v>0</x:v>
      </x:c>
      <x:c r="N120" s="12"/>
      <x:c r="O120" s="12"/>
      <x:c r="P120" s="12"/>
      <x:c r="Q120" s="12"/>
      <x:c r="R120" s="12"/>
      <x:c r="S120" s="12"/>
      <x:c r="T120" s="12"/>
      <x:c r="U120" s="12"/>
      <x:c r="V120" s="12"/>
      <x:c r="W120" s="12"/>
      <x:c r="X120" s="12"/>
      <x:c r="Y120" s="12"/>
    </x:row>
    <x:row r="121">
      <x:c r="A121" s="12" t="str">
        <x:f>IFERROR(INDEX('02_ツリー'!$E$5:$E$560,MATCH(ROWS($A$11:A121),'02_ツリー'!$R$5:$R$560,0)),"")</x:f>
        <x:v>t_case_eff</x:v>
      </x:c>
      <x:c r="B121" s="48" t="n">
        <x:f>IF($A121="","",SUMIFS('02_ツリー'!$K$5:$K$560,'02_ツリー'!$E$5:$E$560,$A121,'02_ツリー'!$K$5:$K$560,"&gt;0"))</x:f>
        <x:v>0.24286284932342378</x:v>
      </x:c>
      <x:c r="C121" s="48" t="n">
        <x:f>IF($A121="","",SUMIFS('02_ツリー'!$K$5:$K$560,'02_ツリー'!$E$5:$E$560,$A121,'02_ツリー'!$K$5:$K$560,"&lt;0"))</x:f>
        <x:v>0</x:v>
      </x:c>
      <x:c r="D121" s="48" t="n">
        <x:f>IF($A121="","",B121+C121)</x:f>
        <x:v>0.24286284932342378</x:v>
      </x:c>
      <x:c r="E121" s="48" t="n">
        <x:f>IF($A121="","",B121-C121)</x:f>
        <x:v>0.24286284932342378</x:v>
      </x:c>
      <x:c r="F121" s="48" t="n">
        <x:f>IF($A121="","",SUMIFS('02_ツリー'!$H$5:$H$560,'02_ツリー'!$E$5:$E$560,$A121,'02_ツリー'!$K$5:$K$560,"&gt;0"))</x:f>
        <x:v>2.1730976784000005</x:v>
      </x:c>
      <x:c r="G121" s="48" t="n">
        <x:f>IF($A121="","",-SUMIFS('02_ツリー'!$H$5:$H$560,'02_ツリー'!$E$5:$E$560,$A121,'02_ツリー'!$K$5:$K$560,"&lt;0"))</x:f>
        <x:v>0</x:v>
      </x:c>
      <x:c r="H121" s="48" t="n">
        <x:f>IF($A121="","",F121+G121)</x:f>
        <x:v>2.1730976784000005</x:v>
      </x:c>
      <x:c r="I121" s="244" t="n">
        <x:f>IF($A121="","",--(COUNTIFS('02_ツリー'!$E$5:$E$560,$A121,'02_ツリー'!$O$5:$O$560,0)=0))</x:f>
        <x:v>0</x:v>
      </x:c>
      <x:c r="J121" s="12" t="str">
        <x:f>IF($A121="","",IF(AND(B121&gt;0,C121&lt;0),"正負あり",IF(B121&gt;0,"正のみ",IF(C121&lt;0,"負のみ","ゼロ"))))</x:f>
        <x:v>正のみ</x:v>
      </x:c>
      <x:c r="K121" s="244" t="n">
        <x:f>IF($A121="","",--AND(B121&gt;0,C121&lt;0))</x:f>
        <x:v>0</x:v>
      </x:c>
      <x:c r="L121" s="244" t="n">
        <x:f>IF($A121="","",COUNTIF('02_ツリー'!$E$5:$E$560,$A121))</x:f>
        <x:v>1</x:v>
      </x:c>
      <x:c r="M121" s="244" t="n">
        <x:f>IF($A121="","",--(LEFT(A121,7)="Enable_"))</x:f>
        <x:v>0</x:v>
      </x:c>
      <x:c r="N121" s="12"/>
      <x:c r="O121" s="12"/>
      <x:c r="P121" s="12"/>
      <x:c r="Q121" s="12"/>
      <x:c r="R121" s="12"/>
      <x:c r="S121" s="12"/>
      <x:c r="T121" s="12"/>
      <x:c r="U121" s="12"/>
      <x:c r="V121" s="12"/>
      <x:c r="W121" s="12"/>
      <x:c r="X121" s="12"/>
      <x:c r="Y121" s="12"/>
    </x:row>
    <x:row r="122">
      <x:c r="A122" s="12" t="str">
        <x:f>IFERROR(INDEX('02_ツリー'!$E$5:$E$560,MATCH(ROWS($A$11:A122),'02_ツリー'!$R$5:$R$560,0)),"")</x:f>
        <x:v>rho_case</x:v>
      </x:c>
      <x:c r="B122" s="48" t="n">
        <x:f>IF($A122="","",SUMIFS('02_ツリー'!$K$5:$K$560,'02_ツリー'!$E$5:$E$560,$A122,'02_ツリー'!$K$5:$K$560,"&gt;0"))</x:f>
        <x:v>0.24286284932342378</x:v>
      </x:c>
      <x:c r="C122" s="48" t="n">
        <x:f>IF($A122="","",SUMIFS('02_ツリー'!$K$5:$K$560,'02_ツリー'!$E$5:$E$560,$A122,'02_ツリー'!$K$5:$K$560,"&lt;0"))</x:f>
        <x:v>0</x:v>
      </x:c>
      <x:c r="D122" s="48" t="n">
        <x:f>IF($A122="","",B122+C122)</x:f>
        <x:v>0.24286284932342378</x:v>
      </x:c>
      <x:c r="E122" s="48" t="n">
        <x:f>IF($A122="","",B122-C122)</x:f>
        <x:v>0.24286284932342378</x:v>
      </x:c>
      <x:c r="F122" s="48" t="n">
        <x:f>IF($A122="","",SUMIFS('02_ツリー'!$H$5:$H$560,'02_ツリー'!$E$5:$E$560,$A122,'02_ツリー'!$K$5:$K$560,"&gt;0"))</x:f>
        <x:v>2.1730976784000005</x:v>
      </x:c>
      <x:c r="G122" s="48" t="n">
        <x:f>IF($A122="","",-SUMIFS('02_ツリー'!$H$5:$H$560,'02_ツリー'!$E$5:$E$560,$A122,'02_ツリー'!$K$5:$K$560,"&lt;0"))</x:f>
        <x:v>0</x:v>
      </x:c>
      <x:c r="H122" s="48" t="n">
        <x:f>IF($A122="","",F122+G122)</x:f>
        <x:v>2.1730976784000005</x:v>
      </x:c>
      <x:c r="I122" s="244" t="n">
        <x:f>IF($A122="","",--(COUNTIFS('02_ツリー'!$E$5:$E$560,$A122,'02_ツリー'!$O$5:$O$560,0)=0))</x:f>
        <x:v>1</x:v>
      </x:c>
      <x:c r="J122" s="12" t="str">
        <x:f>IF($A122="","",IF(AND(B122&gt;0,C122&lt;0),"正負あり",IF(B122&gt;0,"正のみ",IF(C122&lt;0,"負のみ","ゼロ"))))</x:f>
        <x:v>正のみ</x:v>
      </x:c>
      <x:c r="K122" s="244" t="n">
        <x:f>IF($A122="","",--AND(B122&gt;0,C122&lt;0))</x:f>
        <x:v>0</x:v>
      </x:c>
      <x:c r="L122" s="244" t="n">
        <x:f>IF($A122="","",COUNTIF('02_ツリー'!$E$5:$E$560,$A122))</x:f>
        <x:v>1</x:v>
      </x:c>
      <x:c r="M122" s="244" t="n">
        <x:f>IF($A122="","",--(LEFT(A122,7)="Enable_"))</x:f>
        <x:v>0</x:v>
      </x:c>
      <x:c r="N122" s="12"/>
      <x:c r="O122" s="12"/>
      <x:c r="P122" s="12"/>
      <x:c r="Q122" s="12"/>
      <x:c r="R122" s="12"/>
      <x:c r="S122" s="12"/>
      <x:c r="T122" s="12"/>
      <x:c r="U122" s="12"/>
      <x:c r="V122" s="12"/>
      <x:c r="W122" s="12"/>
      <x:c r="X122" s="12"/>
      <x:c r="Y122" s="12"/>
    </x:row>
    <x:row r="123">
      <x:c r="A123" s="12" t="str">
        <x:f>IFERROR(INDEX('02_ツリー'!$E$5:$E$560,MATCH(ROWS($A$11:A123),'02_ツリー'!$R$5:$R$560,0)),"")</x:f>
        <x:v>K_case</x:v>
      </x:c>
      <x:c r="B123" s="48" t="n">
        <x:f>IF($A123="","",SUMIFS('02_ツリー'!$K$5:$K$560,'02_ツリー'!$E$5:$E$560,$A123,'02_ツリー'!$K$5:$K$560,"&gt;0"))</x:f>
        <x:v>0.24286284932342378</x:v>
      </x:c>
      <x:c r="C123" s="48" t="n">
        <x:f>IF($A123="","",SUMIFS('02_ツリー'!$K$5:$K$560,'02_ツリー'!$E$5:$E$560,$A123,'02_ツリー'!$K$5:$K$560,"&lt;0"))</x:f>
        <x:v>0</x:v>
      </x:c>
      <x:c r="D123" s="48" t="n">
        <x:f>IF($A123="","",B123+C123)</x:f>
        <x:v>0.24286284932342378</x:v>
      </x:c>
      <x:c r="E123" s="48" t="n">
        <x:f>IF($A123="","",B123-C123)</x:f>
        <x:v>0.24286284932342378</x:v>
      </x:c>
      <x:c r="F123" s="48" t="n">
        <x:f>IF($A123="","",SUMIFS('02_ツリー'!$H$5:$H$560,'02_ツリー'!$E$5:$E$560,$A123,'02_ツリー'!$K$5:$K$560,"&gt;0"))</x:f>
        <x:v>2.1730976784000005</x:v>
      </x:c>
      <x:c r="G123" s="48" t="n">
        <x:f>IF($A123="","",-SUMIFS('02_ツリー'!$H$5:$H$560,'02_ツリー'!$E$5:$E$560,$A123,'02_ツリー'!$K$5:$K$560,"&lt;0"))</x:f>
        <x:v>0</x:v>
      </x:c>
      <x:c r="H123" s="48" t="n">
        <x:f>IF($A123="","",F123+G123)</x:f>
        <x:v>2.1730976784000005</x:v>
      </x:c>
      <x:c r="I123" s="244" t="n">
        <x:f>IF($A123="","",--(COUNTIFS('02_ツリー'!$E$5:$E$560,$A123,'02_ツリー'!$O$5:$O$560,0)=0))</x:f>
        <x:v>0</x:v>
      </x:c>
      <x:c r="J123" s="12" t="str">
        <x:f>IF($A123="","",IF(AND(B123&gt;0,C123&lt;0),"正負あり",IF(B123&gt;0,"正のみ",IF(C123&lt;0,"負のみ","ゼロ"))))</x:f>
        <x:v>正のみ</x:v>
      </x:c>
      <x:c r="K123" s="244" t="n">
        <x:f>IF($A123="","",--AND(B123&gt;0,C123&lt;0))</x:f>
        <x:v>0</x:v>
      </x:c>
      <x:c r="L123" s="244" t="n">
        <x:f>IF($A123="","",COUNTIF('02_ツリー'!$E$5:$E$560,$A123))</x:f>
        <x:v>1</x:v>
      </x:c>
      <x:c r="M123" s="244" t="n">
        <x:f>IF($A123="","",--(LEFT(A123,7)="Enable_"))</x:f>
        <x:v>0</x:v>
      </x:c>
      <x:c r="N123" s="12"/>
      <x:c r="O123" s="12"/>
      <x:c r="P123" s="12"/>
      <x:c r="Q123" s="12"/>
      <x:c r="R123" s="12"/>
      <x:c r="S123" s="12"/>
      <x:c r="T123" s="12"/>
      <x:c r="U123" s="12"/>
      <x:c r="V123" s="12"/>
      <x:c r="W123" s="12"/>
      <x:c r="X123" s="12"/>
      <x:c r="Y123" s="12"/>
    </x:row>
    <x:row r="124">
      <x:c r="A124" s="12" t="str">
        <x:f>IFERROR(INDEX('02_ツリー'!$E$5:$E$560,MATCH(ROWS($A$11:A124),'02_ツリー'!$R$5:$R$560,0)),"")</x:f>
        <x:v>r_open</x:v>
      </x:c>
      <x:c r="B124" s="48" t="n">
        <x:f>IF($A124="","",SUMIFS('02_ツリー'!$K$5:$K$560,'02_ツリー'!$E$5:$E$560,$A124,'02_ツリー'!$K$5:$K$560,"&gt;0"))</x:f>
        <x:v>0</x:v>
      </x:c>
      <x:c r="C124" s="48" t="n">
        <x:f>IF($A124="","",SUMIFS('02_ツリー'!$K$5:$K$560,'02_ツリー'!$E$5:$E$560,$A124,'02_ツリー'!$K$5:$K$560,"&lt;0"))</x:f>
        <x:v>-0.05331135716855643</x:v>
      </x:c>
      <x:c r="D124" s="48" t="n">
        <x:f>IF($A124="","",B124+C124)</x:f>
        <x:v>-0.05331135716855643</x:v>
      </x:c>
      <x:c r="E124" s="48" t="n">
        <x:f>IF($A124="","",B124-C124)</x:f>
        <x:v>0.05331135716855643</x:v>
      </x:c>
      <x:c r="F124" s="48" t="n">
        <x:f>IF($A124="","",SUMIFS('02_ツリー'!$H$5:$H$560,'02_ツリー'!$E$5:$E$560,$A124,'02_ツリー'!$K$5:$K$560,"&gt;0"))</x:f>
        <x:v>0</x:v>
      </x:c>
      <x:c r="G124" s="48" t="n">
        <x:f>IF($A124="","",-SUMIFS('02_ツリー'!$H$5:$H$560,'02_ツリー'!$E$5:$E$560,$A124,'02_ツリー'!$K$5:$K$560,"&lt;0"))</x:f>
        <x:v>-0.47702144160000004</x:v>
      </x:c>
      <x:c r="H124" s="48" t="n">
        <x:f>IF($A124="","",F124+G124)</x:f>
        <x:v>-0.47702144160000004</x:v>
      </x:c>
      <x:c r="I124" s="244" t="n">
        <x:f>IF($A124="","",--(COUNTIFS('02_ツリー'!$E$5:$E$560,$A124,'02_ツリー'!$O$5:$O$560,0)=0))</x:f>
        <x:v>1</x:v>
      </x:c>
      <x:c r="J124" s="12" t="str">
        <x:f>IF($A124="","",IF(AND(B124&gt;0,C124&lt;0),"正負あり",IF(B124&gt;0,"正のみ",IF(C124&lt;0,"負のみ","ゼロ"))))</x:f>
        <x:v>負のみ</x:v>
      </x:c>
      <x:c r="K124" s="244" t="n">
        <x:f>IF($A124="","",--AND(B124&gt;0,C124&lt;0))</x:f>
        <x:v>0</x:v>
      </x:c>
      <x:c r="L124" s="244" t="n">
        <x:f>IF($A124="","",COUNTIF('02_ツリー'!$E$5:$E$560,$A124))</x:f>
        <x:v>1</x:v>
      </x:c>
      <x:c r="M124" s="244" t="n">
        <x:f>IF($A124="","",--(LEFT(A124,7)="Enable_"))</x:f>
        <x:v>0</x:v>
      </x:c>
      <x:c r="N124" s="12"/>
      <x:c r="O124" s="12"/>
      <x:c r="P124" s="12"/>
      <x:c r="Q124" s="12"/>
      <x:c r="R124" s="12"/>
      <x:c r="S124" s="12"/>
      <x:c r="T124" s="12"/>
      <x:c r="U124" s="12"/>
      <x:c r="V124" s="12"/>
      <x:c r="W124" s="12"/>
      <x:c r="X124" s="12"/>
      <x:c r="Y124" s="12"/>
    </x:row>
    <x:row r="125">
      <x:c r="A125" s="12" t="str">
        <x:f>IFERROR(INDEX('02_ツリー'!$E$5:$E$560,MATCH(ROWS($A$11:A125),'02_ツリー'!$R$5:$R$560,0)),"")</x:f>
        <x:v>K_rib</x:v>
      </x:c>
      <x:c r="B125" s="48" t="n">
        <x:f>IF($A125="","",SUMIFS('02_ツリー'!$K$5:$K$560,'02_ツリー'!$E$5:$E$560,$A125,'02_ツリー'!$K$5:$K$560,"&gt;0"))</x:f>
        <x:v>0.24286284932342378</x:v>
      </x:c>
      <x:c r="C125" s="48" t="n">
        <x:f>IF($A125="","",SUMIFS('02_ツリー'!$K$5:$K$560,'02_ツリー'!$E$5:$E$560,$A125,'02_ツリー'!$K$5:$K$560,"&lt;0"))</x:f>
        <x:v>0</x:v>
      </x:c>
      <x:c r="D125" s="48" t="n">
        <x:f>IF($A125="","",B125+C125)</x:f>
        <x:v>0.24286284932342378</x:v>
      </x:c>
      <x:c r="E125" s="48" t="n">
        <x:f>IF($A125="","",B125-C125)</x:f>
        <x:v>0.24286284932342378</x:v>
      </x:c>
      <x:c r="F125" s="48" t="n">
        <x:f>IF($A125="","",SUMIFS('02_ツリー'!$H$5:$H$560,'02_ツリー'!$E$5:$E$560,$A125,'02_ツリー'!$K$5:$K$560,"&gt;0"))</x:f>
        <x:v>2.1730976784000005</x:v>
      </x:c>
      <x:c r="G125" s="48" t="n">
        <x:f>IF($A125="","",-SUMIFS('02_ツリー'!$H$5:$H$560,'02_ツリー'!$E$5:$E$560,$A125,'02_ツリー'!$K$5:$K$560,"&lt;0"))</x:f>
        <x:v>0</x:v>
      </x:c>
      <x:c r="H125" s="48" t="n">
        <x:f>IF($A125="","",F125+G125)</x:f>
        <x:v>2.1730976784000005</x:v>
      </x:c>
      <x:c r="I125" s="244" t="n">
        <x:f>IF($A125="","",--(COUNTIFS('02_ツリー'!$E$5:$E$560,$A125,'02_ツリー'!$O$5:$O$560,0)=0))</x:f>
        <x:v>1</x:v>
      </x:c>
      <x:c r="J125" s="12" t="str">
        <x:f>IF($A125="","",IF(AND(B125&gt;0,C125&lt;0),"正負あり",IF(B125&gt;0,"正のみ",IF(C125&lt;0,"負のみ","ゼロ"))))</x:f>
        <x:v>正のみ</x:v>
      </x:c>
      <x:c r="K125" s="244" t="n">
        <x:f>IF($A125="","",--AND(B125&gt;0,C125&lt;0))</x:f>
        <x:v>0</x:v>
      </x:c>
      <x:c r="L125" s="244" t="n">
        <x:f>IF($A125="","",COUNTIF('02_ツリー'!$E$5:$E$560,$A125))</x:f>
        <x:v>1</x:v>
      </x:c>
      <x:c r="M125" s="244" t="n">
        <x:f>IF($A125="","",--(LEFT(A125,7)="Enable_"))</x:f>
        <x:v>0</x:v>
      </x:c>
      <x:c r="N125" s="12"/>
      <x:c r="O125" s="12"/>
      <x:c r="P125" s="12"/>
      <x:c r="Q125" s="12"/>
      <x:c r="R125" s="12"/>
      <x:c r="S125" s="12"/>
      <x:c r="T125" s="12"/>
      <x:c r="U125" s="12"/>
      <x:c r="V125" s="12"/>
      <x:c r="W125" s="12"/>
      <x:c r="X125" s="12"/>
      <x:c r="Y125" s="12"/>
    </x:row>
    <x:row r="126">
      <x:c r="A126" s="12" t="str">
        <x:f>IFERROR(INDEX('02_ツリー'!$E$5:$E$560,MATCH(ROWS($A$11:A126),'02_ツリー'!$R$5:$R$560,0)),"")</x:f>
        <x:v>K_mfg</x:v>
      </x:c>
      <x:c r="B126" s="48" t="n">
        <x:f>IF($A126="","",SUMIFS('02_ツリー'!$K$5:$K$560,'02_ツリー'!$E$5:$E$560,$A126,'02_ツリー'!$K$5:$K$560,"&gt;0"))</x:f>
        <x:v>0.24286284932342378</x:v>
      </x:c>
      <x:c r="C126" s="48" t="n">
        <x:f>IF($A126="","",SUMIFS('02_ツリー'!$K$5:$K$560,'02_ツリー'!$E$5:$E$560,$A126,'02_ツリー'!$K$5:$K$560,"&lt;0"))</x:f>
        <x:v>0</x:v>
      </x:c>
      <x:c r="D126" s="48" t="n">
        <x:f>IF($A126="","",B126+C126)</x:f>
        <x:v>0.24286284932342378</x:v>
      </x:c>
      <x:c r="E126" s="48" t="n">
        <x:f>IF($A126="","",B126-C126)</x:f>
        <x:v>0.24286284932342378</x:v>
      </x:c>
      <x:c r="F126" s="48" t="n">
        <x:f>IF($A126="","",SUMIFS('02_ツリー'!$H$5:$H$560,'02_ツリー'!$E$5:$E$560,$A126,'02_ツリー'!$K$5:$K$560,"&gt;0"))</x:f>
        <x:v>2.1730976784000005</x:v>
      </x:c>
      <x:c r="G126" s="48" t="n">
        <x:f>IF($A126="","",-SUMIFS('02_ツリー'!$H$5:$H$560,'02_ツリー'!$E$5:$E$560,$A126,'02_ツリー'!$K$5:$K$560,"&lt;0"))</x:f>
        <x:v>0</x:v>
      </x:c>
      <x:c r="H126" s="48" t="n">
        <x:f>IF($A126="","",F126+G126)</x:f>
        <x:v>2.1730976784000005</x:v>
      </x:c>
      <x:c r="I126" s="244" t="n">
        <x:f>IF($A126="","",--(COUNTIFS('02_ツリー'!$E$5:$E$560,$A126,'02_ツリー'!$O$5:$O$560,0)=0))</x:f>
        <x:v>1</x:v>
      </x:c>
      <x:c r="J126" s="12" t="str">
        <x:f>IF($A126="","",IF(AND(B126&gt;0,C126&lt;0),"正負あり",IF(B126&gt;0,"正のみ",IF(C126&lt;0,"負のみ","ゼロ"))))</x:f>
        <x:v>正のみ</x:v>
      </x:c>
      <x:c r="K126" s="244" t="n">
        <x:f>IF($A126="","",--AND(B126&gt;0,C126&lt;0))</x:f>
        <x:v>0</x:v>
      </x:c>
      <x:c r="L126" s="244" t="n">
        <x:f>IF($A126="","",COUNTIF('02_ツリー'!$E$5:$E$560,$A126))</x:f>
        <x:v>1</x:v>
      </x:c>
      <x:c r="M126" s="244" t="n">
        <x:f>IF($A126="","",--(LEFT(A126,7)="Enable_"))</x:f>
        <x:v>0</x:v>
      </x:c>
      <x:c r="N126" s="12"/>
      <x:c r="O126" s="12"/>
      <x:c r="P126" s="12"/>
      <x:c r="Q126" s="12"/>
      <x:c r="R126" s="12"/>
      <x:c r="S126" s="12"/>
      <x:c r="T126" s="12"/>
      <x:c r="U126" s="12"/>
      <x:c r="V126" s="12"/>
      <x:c r="W126" s="12"/>
      <x:c r="X126" s="12"/>
      <x:c r="Y126" s="12"/>
    </x:row>
    <x:row r="127">
      <x:c r="A127" s="12" t="str">
        <x:f>IFERROR(INDEX('02_ツリー'!$E$5:$E$560,MATCH(ROWS($A$11:A127),'02_ツリー'!$R$5:$R$560,0)),"")</x:f>
        <x:v>M_emi</x:v>
      </x:c>
      <x:c r="B127" s="48" t="n">
        <x:f>IF($A127="","",SUMIFS('02_ツリー'!$K$5:$K$560,'02_ツリー'!$E$5:$E$560,$A127,'02_ツリー'!$K$5:$K$560,"&gt;0"))</x:f>
        <x:v>0.03692320663051486</x:v>
      </x:c>
      <x:c r="C127" s="48" t="n">
        <x:f>IF($A127="","",SUMIFS('02_ツリー'!$K$5:$K$560,'02_ツリー'!$E$5:$E$560,$A127,'02_ツリー'!$K$5:$K$560,"&lt;0"))</x:f>
        <x:v>0</x:v>
      </x:c>
      <x:c r="D127" s="48" t="n">
        <x:f>IF($A127="","",B127+C127)</x:f>
        <x:v>0.03692320663051486</x:v>
      </x:c>
      <x:c r="E127" s="48" t="n">
        <x:f>IF($A127="","",B127-C127)</x:f>
        <x:v>0.03692320663051486</x:v>
      </x:c>
      <x:c r="F127" s="48" t="n">
        <x:f>IF($A127="","",SUMIFS('02_ツリー'!$H$5:$H$560,'02_ツリー'!$E$5:$E$560,$A127,'02_ツリー'!$K$5:$K$560,"&gt;0"))</x:f>
        <x:v>0.3303829088367553</x:v>
      </x:c>
      <x:c r="G127" s="48" t="n">
        <x:f>IF($A127="","",-SUMIFS('02_ツリー'!$H$5:$H$560,'02_ツリー'!$E$5:$E$560,$A127,'02_ツリー'!$K$5:$K$560,"&lt;0"))</x:f>
        <x:v>0</x:v>
      </x:c>
      <x:c r="H127" s="48" t="n">
        <x:f>IF($A127="","",F127+G127)</x:f>
        <x:v>0.3303829088367553</x:v>
      </x:c>
      <x:c r="I127" s="244" t="n">
        <x:f>IF($A127="","",--(COUNTIFS('02_ツリー'!$E$5:$E$560,$A127,'02_ツリー'!$O$5:$O$560,0)=0))</x:f>
        <x:v>0</x:v>
      </x:c>
      <x:c r="J127" s="12" t="str">
        <x:f>IF($A127="","",IF(AND(B127&gt;0,C127&lt;0),"正負あり",IF(B127&gt;0,"正のみ",IF(C127&lt;0,"負のみ","ゼロ"))))</x:f>
        <x:v>正のみ</x:v>
      </x:c>
      <x:c r="K127" s="244" t="n">
        <x:f>IF($A127="","",--AND(B127&gt;0,C127&lt;0))</x:f>
        <x:v>0</x:v>
      </x:c>
      <x:c r="L127" s="244" t="n">
        <x:f>IF($A127="","",COUNTIF('02_ツリー'!$E$5:$E$560,$A127))</x:f>
        <x:v>1</x:v>
      </x:c>
      <x:c r="M127" s="244" t="n">
        <x:f>IF($A127="","",--(LEFT(A127,7)="Enable_"))</x:f>
        <x:v>0</x:v>
      </x:c>
      <x:c r="N127" s="12"/>
      <x:c r="O127" s="12"/>
      <x:c r="P127" s="12"/>
      <x:c r="Q127" s="12"/>
      <x:c r="R127" s="12"/>
      <x:c r="S127" s="12"/>
      <x:c r="T127" s="12"/>
      <x:c r="U127" s="12"/>
      <x:c r="V127" s="12"/>
      <x:c r="W127" s="12"/>
      <x:c r="X127" s="12"/>
      <x:c r="Y127" s="12"/>
    </x:row>
    <x:row r="128">
      <x:c r="A128" s="12" t="str">
        <x:f>IFERROR(INDEX('02_ツリー'!$E$5:$E$560,MATCH(ROWS($A$11:A128),'02_ツリー'!$R$5:$R$560,0)),"")</x:f>
        <x:v>M_L</x:v>
      </x:c>
      <x:c r="B128" s="48" t="n">
        <x:f>IF($A128="","",SUMIFS('02_ツリー'!$K$5:$K$560,'02_ツリー'!$E$5:$E$560,$A128,'02_ツリー'!$K$5:$K$560,"&gt;0"))</x:f>
        <x:v>0.000041790471451151947</x:v>
      </x:c>
      <x:c r="C128" s="48" t="n">
        <x:f>IF($A128="","",SUMIFS('02_ツリー'!$K$5:$K$560,'02_ツリー'!$E$5:$E$560,$A128,'02_ツリー'!$K$5:$K$560,"&lt;0"))</x:f>
        <x:v>0</x:v>
      </x:c>
      <x:c r="D128" s="48" t="n">
        <x:f>IF($A128="","",B128+C128)</x:f>
        <x:v>0.000041790471451151947</x:v>
      </x:c>
      <x:c r="E128" s="48" t="n">
        <x:f>IF($A128="","",B128-C128)</x:f>
        <x:v>0.000041790471451151947</x:v>
      </x:c>
      <x:c r="F128" s="48" t="n">
        <x:f>IF($A128="","",SUMIFS('02_ツリー'!$H$5:$H$560,'02_ツリー'!$E$5:$E$560,$A128,'02_ツリー'!$K$5:$K$560,"&gt;0"))</x:f>
        <x:v>0.0003739344108937819</x:v>
      </x:c>
      <x:c r="G128" s="48" t="n">
        <x:f>IF($A128="","",-SUMIFS('02_ツリー'!$H$5:$H$560,'02_ツリー'!$E$5:$E$560,$A128,'02_ツリー'!$K$5:$K$560,"&lt;0"))</x:f>
        <x:v>0</x:v>
      </x:c>
      <x:c r="H128" s="48" t="n">
        <x:f>IF($A128="","",F128+G128)</x:f>
        <x:v>0.0003739344108937819</x:v>
      </x:c>
      <x:c r="I128" s="244" t="n">
        <x:f>IF($A128="","",--(COUNTIFS('02_ツリー'!$E$5:$E$560,$A128,'02_ツリー'!$O$5:$O$560,0)=0))</x:f>
        <x:v>0</x:v>
      </x:c>
      <x:c r="J128" s="12" t="str">
        <x:f>IF($A128="","",IF(AND(B128&gt;0,C128&lt;0),"正負あり",IF(B128&gt;0,"正のみ",IF(C128&lt;0,"負のみ","ゼロ"))))</x:f>
        <x:v>正のみ</x:v>
      </x:c>
      <x:c r="K128" s="244" t="n">
        <x:f>IF($A128="","",--AND(B128&gt;0,C128&lt;0))</x:f>
        <x:v>0</x:v>
      </x:c>
      <x:c r="L128" s="244" t="n">
        <x:f>IF($A128="","",COUNTIF('02_ツリー'!$E$5:$E$560,$A128))</x:f>
        <x:v>1</x:v>
      </x:c>
      <x:c r="M128" s="244" t="n">
        <x:f>IF($A128="","",--(LEFT(A128,7)="Enable_"))</x:f>
        <x:v>0</x:v>
      </x:c>
      <x:c r="N128" s="12"/>
      <x:c r="O128" s="12"/>
      <x:c r="P128" s="12"/>
      <x:c r="Q128" s="12"/>
      <x:c r="R128" s="12"/>
      <x:c r="S128" s="12"/>
      <x:c r="T128" s="12"/>
      <x:c r="U128" s="12"/>
      <x:c r="V128" s="12"/>
      <x:c r="W128" s="12"/>
      <x:c r="X128" s="12"/>
      <x:c r="Y128" s="12"/>
    </x:row>
    <x:row r="129">
      <x:c r="A129" s="12" t="str">
        <x:f>IFERROR(INDEX('02_ツリー'!$E$5:$E$560,MATCH(ROWS($A$11:A129),'02_ツリー'!$R$5:$R$560,0)),"")</x:f>
        <x:v>k_mL</x:v>
      </x:c>
      <x:c r="B129" s="48" t="n">
        <x:f>IF($A129="","",SUMIFS('02_ツリー'!$K$5:$K$560,'02_ツリー'!$E$5:$E$560,$A129,'02_ツリー'!$K$5:$K$560,"&gt;0"))</x:f>
        <x:v>0.000041790471451151947</x:v>
      </x:c>
      <x:c r="C129" s="48" t="n">
        <x:f>IF($A129="","",SUMIFS('02_ツリー'!$K$5:$K$560,'02_ツリー'!$E$5:$E$560,$A129,'02_ツリー'!$K$5:$K$560,"&lt;0"))</x:f>
        <x:v>0</x:v>
      </x:c>
      <x:c r="D129" s="48" t="n">
        <x:f>IF($A129="","",B129+C129)</x:f>
        <x:v>0.000041790471451151947</x:v>
      </x:c>
      <x:c r="E129" s="48" t="n">
        <x:f>IF($A129="","",B129-C129)</x:f>
        <x:v>0.000041790471451151947</x:v>
      </x:c>
      <x:c r="F129" s="48" t="n">
        <x:f>IF($A129="","",SUMIFS('02_ツリー'!$H$5:$H$560,'02_ツリー'!$E$5:$E$560,$A129,'02_ツリー'!$K$5:$K$560,"&gt;0"))</x:f>
        <x:v>0.0003739344108937819</x:v>
      </x:c>
      <x:c r="G129" s="48" t="n">
        <x:f>IF($A129="","",-SUMIFS('02_ツリー'!$H$5:$H$560,'02_ツリー'!$E$5:$E$560,$A129,'02_ツリー'!$K$5:$K$560,"&lt;0"))</x:f>
        <x:v>0</x:v>
      </x:c>
      <x:c r="H129" s="48" t="n">
        <x:f>IF($A129="","",F129+G129)</x:f>
        <x:v>0.0003739344108937819</x:v>
      </x:c>
      <x:c r="I129" s="244" t="n">
        <x:f>IF($A129="","",--(COUNTIFS('02_ツリー'!$E$5:$E$560,$A129,'02_ツリー'!$O$5:$O$560,0)=0))</x:f>
        <x:v>0</x:v>
      </x:c>
      <x:c r="J129" s="12" t="str">
        <x:f>IF($A129="","",IF(AND(B129&gt;0,C129&lt;0),"正負あり",IF(B129&gt;0,"正のみ",IF(C129&lt;0,"負のみ","ゼロ"))))</x:f>
        <x:v>正のみ</x:v>
      </x:c>
      <x:c r="K129" s="244" t="n">
        <x:f>IF($A129="","",--AND(B129&gt;0,C129&lt;0))</x:f>
        <x:v>0</x:v>
      </x:c>
      <x:c r="L129" s="244" t="n">
        <x:f>IF($A129="","",COUNTIF('02_ツリー'!$E$5:$E$560,$A129))</x:f>
        <x:v>1</x:v>
      </x:c>
      <x:c r="M129" s="244" t="n">
        <x:f>IF($A129="","",--(LEFT(A129,7)="Enable_"))</x:f>
        <x:v>0</x:v>
      </x:c>
      <x:c r="N129" s="12"/>
      <x:c r="O129" s="12"/>
      <x:c r="P129" s="12"/>
      <x:c r="Q129" s="12"/>
      <x:c r="R129" s="12"/>
      <x:c r="S129" s="12"/>
      <x:c r="T129" s="12"/>
      <x:c r="U129" s="12"/>
      <x:c r="V129" s="12"/>
      <x:c r="W129" s="12"/>
      <x:c r="X129" s="12"/>
      <x:c r="Y129" s="12"/>
    </x:row>
    <x:row r="130">
      <x:c r="A130" s="12" t="str">
        <x:f>IFERROR(INDEX('02_ツリー'!$E$5:$E$560,MATCH(ROWS($A$11:A130),'02_ツリー'!$R$5:$R$560,0)),"")</x:f>
        <x:v>L_dm</x:v>
      </x:c>
      <x:c r="B130" s="48" t="n">
        <x:f>IF($A130="","",SUMIFS('02_ツリー'!$K$5:$K$560,'02_ツリー'!$E$5:$E$560,$A130,'02_ツリー'!$K$5:$K$560,"&gt;0"))</x:f>
        <x:v>0.000041790471451151947</x:v>
      </x:c>
      <x:c r="C130" s="48" t="n">
        <x:f>IF($A130="","",SUMIFS('02_ツリー'!$K$5:$K$560,'02_ツリー'!$E$5:$E$560,$A130,'02_ツリー'!$K$5:$K$560,"&lt;0"))</x:f>
        <x:v>0</x:v>
      </x:c>
      <x:c r="D130" s="48" t="n">
        <x:f>IF($A130="","",B130+C130)</x:f>
        <x:v>0.000041790471451151947</x:v>
      </x:c>
      <x:c r="E130" s="48" t="n">
        <x:f>IF($A130="","",B130-C130)</x:f>
        <x:v>0.000041790471451151947</x:v>
      </x:c>
      <x:c r="F130" s="48" t="n">
        <x:f>IF($A130="","",SUMIFS('02_ツリー'!$H$5:$H$560,'02_ツリー'!$E$5:$E$560,$A130,'02_ツリー'!$K$5:$K$560,"&gt;0"))</x:f>
        <x:v>0.0003739344108937819</x:v>
      </x:c>
      <x:c r="G130" s="48" t="n">
        <x:f>IF($A130="","",-SUMIFS('02_ツリー'!$H$5:$H$560,'02_ツリー'!$E$5:$E$560,$A130,'02_ツリー'!$K$5:$K$560,"&lt;0"))</x:f>
        <x:v>0</x:v>
      </x:c>
      <x:c r="H130" s="48" t="n">
        <x:f>IF($A130="","",F130+G130)</x:f>
        <x:v>0.0003739344108937819</x:v>
      </x:c>
      <x:c r="I130" s="244" t="n">
        <x:f>IF($A130="","",--(COUNTIFS('02_ツリー'!$E$5:$E$560,$A130,'02_ツリー'!$O$5:$O$560,0)=0))</x:f>
        <x:v>0</x:v>
      </x:c>
      <x:c r="J130" s="12" t="str">
        <x:f>IF($A130="","",IF(AND(B130&gt;0,C130&lt;0),"正負あり",IF(B130&gt;0,"正のみ",IF(C130&lt;0,"負のみ","ゼロ"))))</x:f>
        <x:v>正のみ</x:v>
      </x:c>
      <x:c r="K130" s="244" t="n">
        <x:f>IF($A130="","",--AND(B130&gt;0,C130&lt;0))</x:f>
        <x:v>0</x:v>
      </x:c>
      <x:c r="L130" s="244" t="n">
        <x:f>IF($A130="","",COUNTIF('02_ツリー'!$E$5:$E$560,$A130))</x:f>
        <x:v>1</x:v>
      </x:c>
      <x:c r="M130" s="244" t="n">
        <x:f>IF($A130="","",--(LEFT(A130,7)="Enable_"))</x:f>
        <x:v>0</x:v>
      </x:c>
      <x:c r="N130" s="12"/>
      <x:c r="O130" s="12"/>
      <x:c r="P130" s="12"/>
      <x:c r="Q130" s="12"/>
      <x:c r="R130" s="12"/>
      <x:c r="S130" s="12"/>
      <x:c r="T130" s="12"/>
      <x:c r="U130" s="12"/>
      <x:c r="V130" s="12"/>
      <x:c r="W130" s="12"/>
      <x:c r="X130" s="12"/>
      <x:c r="Y130" s="12"/>
    </x:row>
    <x:row r="131">
      <x:c r="A131" s="12" t="str">
        <x:f>IFERROR(INDEX('02_ツリー'!$E$5:$E$560,MATCH(ROWS($A$11:A131),'02_ツリー'!$R$5:$R$560,0)),"")</x:f>
        <x:v>V_noise</x:v>
      </x:c>
      <x:c r="B131" s="48" t="n">
        <x:f>IF($A131="","",SUMIFS('02_ツリー'!$K$5:$K$560,'02_ツリー'!$E$5:$E$560,$A131,'02_ツリー'!$K$5:$K$560,"&gt;0"))</x:f>
        <x:v>0.000041790471451151947</x:v>
      </x:c>
      <x:c r="C131" s="48" t="n">
        <x:f>IF($A131="","",SUMIFS('02_ツリー'!$K$5:$K$560,'02_ツリー'!$E$5:$E$560,$A131,'02_ツリー'!$K$5:$K$560,"&lt;0"))</x:f>
        <x:v>0</x:v>
      </x:c>
      <x:c r="D131" s="48" t="n">
        <x:f>IF($A131="","",B131+C131)</x:f>
        <x:v>0.000041790471451151947</x:v>
      </x:c>
      <x:c r="E131" s="48" t="n">
        <x:f>IF($A131="","",B131-C131)</x:f>
        <x:v>0.000041790471451151947</x:v>
      </x:c>
      <x:c r="F131" s="48" t="n">
        <x:f>IF($A131="","",SUMIFS('02_ツリー'!$H$5:$H$560,'02_ツリー'!$E$5:$E$560,$A131,'02_ツリー'!$K$5:$K$560,"&gt;0"))</x:f>
        <x:v>0.0003739344108937819</x:v>
      </x:c>
      <x:c r="G131" s="48" t="n">
        <x:f>IF($A131="","",-SUMIFS('02_ツリー'!$H$5:$H$560,'02_ツリー'!$E$5:$E$560,$A131,'02_ツリー'!$K$5:$K$560,"&lt;0"))</x:f>
        <x:v>0</x:v>
      </x:c>
      <x:c r="H131" s="48" t="n">
        <x:f>IF($A131="","",F131+G131)</x:f>
        <x:v>0.0003739344108937819</x:v>
      </x:c>
      <x:c r="I131" s="244" t="n">
        <x:f>IF($A131="","",--(COUNTIFS('02_ツリー'!$E$5:$E$560,$A131,'02_ツリー'!$O$5:$O$560,0)=0))</x:f>
        <x:v>1</x:v>
      </x:c>
      <x:c r="J131" s="12" t="str">
        <x:f>IF($A131="","",IF(AND(B131&gt;0,C131&lt;0),"正負あり",IF(B131&gt;0,"正のみ",IF(C131&lt;0,"負のみ","ゼロ"))))</x:f>
        <x:v>正のみ</x:v>
      </x:c>
      <x:c r="K131" s="244" t="n">
        <x:f>IF($A131="","",--AND(B131&gt;0,C131&lt;0))</x:f>
        <x:v>0</x:v>
      </x:c>
      <x:c r="L131" s="244" t="n">
        <x:f>IF($A131="","",COUNTIF('02_ツリー'!$E$5:$E$560,$A131))</x:f>
        <x:v>1</x:v>
      </x:c>
      <x:c r="M131" s="244" t="n">
        <x:f>IF($A131="","",--(LEFT(A131,7)="Enable_"))</x:f>
        <x:v>0</x:v>
      </x:c>
      <x:c r="N131" s="12"/>
      <x:c r="O131" s="12"/>
      <x:c r="P131" s="12"/>
      <x:c r="Q131" s="12"/>
      <x:c r="R131" s="12"/>
      <x:c r="S131" s="12"/>
      <x:c r="T131" s="12"/>
      <x:c r="U131" s="12"/>
      <x:c r="V131" s="12"/>
      <x:c r="W131" s="12"/>
      <x:c r="X131" s="12"/>
      <x:c r="Y131" s="12"/>
    </x:row>
    <x:row r="132">
      <x:c r="A132" s="12" t="str">
        <x:f>IFERROR(INDEX('02_ツリー'!$E$5:$E$560,MATCH(ROWS($A$11:A132),'02_ツリー'!$R$5:$R$560,0)),"")</x:f>
        <x:v>f_c</x:v>
      </x:c>
      <x:c r="B132" s="48" t="n">
        <x:f>IF($A132="","",SUMIFS('02_ツリー'!$K$5:$K$560,'02_ツリー'!$E$5:$E$560,$A132,'02_ツリー'!$K$5:$K$560,"&gt;0"))</x:f>
        <x:v>0</x:v>
      </x:c>
      <x:c r="C132" s="48" t="n">
        <x:f>IF($A132="","",SUMIFS('02_ツリー'!$K$5:$K$560,'02_ツリー'!$E$5:$E$560,$A132,'02_ツリー'!$K$5:$K$560,"&lt;0"))</x:f>
        <x:v>-0.000042793442765979596</x:v>
      </x:c>
      <x:c r="D132" s="48" t="n">
        <x:f>IF($A132="","",B132+C132)</x:f>
        <x:v>-0.000042793442765979596</x:v>
      </x:c>
      <x:c r="E132" s="48" t="n">
        <x:f>IF($A132="","",B132-C132)</x:f>
        <x:v>0.000042793442765979596</x:v>
      </x:c>
      <x:c r="F132" s="48" t="n">
        <x:f>IF($A132="","",SUMIFS('02_ツリー'!$H$5:$H$560,'02_ツリー'!$E$5:$E$560,$A132,'02_ツリー'!$K$5:$K$560,"&gt;0"))</x:f>
        <x:v>0</x:v>
      </x:c>
      <x:c r="G132" s="48" t="n">
        <x:f>IF($A132="","",-SUMIFS('02_ツリー'!$H$5:$H$560,'02_ツリー'!$E$5:$E$560,$A132,'02_ツリー'!$K$5:$K$560,"&lt;0"))</x:f>
        <x:v>-0.0003829088367552327</x:v>
      </x:c>
      <x:c r="H132" s="48" t="n">
        <x:f>IF($A132="","",F132+G132)</x:f>
        <x:v>-0.0003829088367552327</x:v>
      </x:c>
      <x:c r="I132" s="244" t="n">
        <x:f>IF($A132="","",--(COUNTIFS('02_ツリー'!$E$5:$E$560,$A132,'02_ツリー'!$O$5:$O$560,0)=0))</x:f>
        <x:v>0</x:v>
      </x:c>
      <x:c r="J132" s="12" t="str">
        <x:f>IF($A132="","",IF(AND(B132&gt;0,C132&lt;0),"正負あり",IF(B132&gt;0,"正のみ",IF(C132&lt;0,"負のみ","ゼロ"))))</x:f>
        <x:v>負のみ</x:v>
      </x:c>
      <x:c r="K132" s="244" t="n">
        <x:f>IF($A132="","",--AND(B132&gt;0,C132&lt;0))</x:f>
        <x:v>0</x:v>
      </x:c>
      <x:c r="L132" s="244" t="n">
        <x:f>IF($A132="","",COUNTIF('02_ツリー'!$E$5:$E$560,$A132))</x:f>
        <x:v>2</x:v>
      </x:c>
      <x:c r="M132" s="244" t="n">
        <x:f>IF($A132="","",--(LEFT(A132,7)="Enable_"))</x:f>
        <x:v>0</x:v>
      </x:c>
      <x:c r="N132" s="12"/>
      <x:c r="O132" s="12"/>
      <x:c r="P132" s="12"/>
      <x:c r="Q132" s="12"/>
      <x:c r="R132" s="12"/>
      <x:c r="S132" s="12"/>
      <x:c r="T132" s="12"/>
      <x:c r="U132" s="12"/>
      <x:c r="V132" s="12"/>
      <x:c r="W132" s="12"/>
      <x:c r="X132" s="12"/>
      <x:c r="Y132" s="12"/>
    </x:row>
    <x:row r="133">
      <x:c r="A133" s="12" t="str">
        <x:f>IFERROR(INDEX('02_ツリー'!$E$5:$E$560,MATCH(ROWS($A$11:A133),'02_ツリー'!$R$5:$R$560,0)),"")</x:f>
        <x:v>k_fc</x:v>
      </x:c>
      <x:c r="B133" s="48" t="n">
        <x:f>IF($A133="","",SUMIFS('02_ツリー'!$K$5:$K$560,'02_ツリー'!$E$5:$E$560,$A133,'02_ツリー'!$K$5:$K$560,"&gt;0"))</x:f>
        <x:v>0</x:v>
      </x:c>
      <x:c r="C133" s="48" t="n">
        <x:f>IF($A133="","",SUMIFS('02_ツリー'!$K$5:$K$560,'02_ツリー'!$E$5:$E$560,$A133,'02_ツリー'!$K$5:$K$560,"&lt;0"))</x:f>
        <x:v>-0.000042793442765979596</x:v>
      </x:c>
      <x:c r="D133" s="48" t="n">
        <x:f>IF($A133="","",B133+C133)</x:f>
        <x:v>-0.000042793442765979596</x:v>
      </x:c>
      <x:c r="E133" s="48" t="n">
        <x:f>IF($A133="","",B133-C133)</x:f>
        <x:v>0.000042793442765979596</x:v>
      </x:c>
      <x:c r="F133" s="48" t="n">
        <x:f>IF($A133="","",SUMIFS('02_ツリー'!$H$5:$H$560,'02_ツリー'!$E$5:$E$560,$A133,'02_ツリー'!$K$5:$K$560,"&gt;0"))</x:f>
        <x:v>0</x:v>
      </x:c>
      <x:c r="G133" s="48" t="n">
        <x:f>IF($A133="","",-SUMIFS('02_ツリー'!$H$5:$H$560,'02_ツリー'!$E$5:$E$560,$A133,'02_ツリー'!$K$5:$K$560,"&lt;0"))</x:f>
        <x:v>-0.0003829088367552327</x:v>
      </x:c>
      <x:c r="H133" s="48" t="n">
        <x:f>IF($A133="","",F133+G133)</x:f>
        <x:v>-0.0003829088367552327</x:v>
      </x:c>
      <x:c r="I133" s="244" t="n">
        <x:f>IF($A133="","",--(COUNTIFS('02_ツリー'!$E$5:$E$560,$A133,'02_ツリー'!$O$5:$O$560,0)=0))</x:f>
        <x:v>1</x:v>
      </x:c>
      <x:c r="J133" s="12" t="str">
        <x:f>IF($A133="","",IF(AND(B133&gt;0,C133&lt;0),"正負あり",IF(B133&gt;0,"正のみ",IF(C133&lt;0,"負のみ","ゼロ"))))</x:f>
        <x:v>負のみ</x:v>
      </x:c>
      <x:c r="K133" s="244" t="n">
        <x:f>IF($A133="","",--AND(B133&gt;0,C133&lt;0))</x:f>
        <x:v>0</x:v>
      </x:c>
      <x:c r="L133" s="244" t="n">
        <x:f>IF($A133="","",COUNTIF('02_ツリー'!$E$5:$E$560,$A133))</x:f>
        <x:v>2</x:v>
      </x:c>
      <x:c r="M133" s="244" t="n">
        <x:f>IF($A133="","",--(LEFT(A133,7)="Enable_"))</x:f>
        <x:v>0</x:v>
      </x:c>
      <x:c r="N133" s="12"/>
      <x:c r="O133" s="12"/>
      <x:c r="P133" s="12"/>
      <x:c r="Q133" s="12"/>
      <x:c r="R133" s="12"/>
      <x:c r="S133" s="12"/>
      <x:c r="T133" s="12"/>
      <x:c r="U133" s="12"/>
      <x:c r="V133" s="12"/>
      <x:c r="W133" s="12"/>
      <x:c r="X133" s="12"/>
      <x:c r="Y133" s="12"/>
    </x:row>
    <x:row r="134">
      <x:c r="A134" s="12" t="str">
        <x:f>IFERROR(INDEX('02_ツリー'!$E$5:$E$560,MATCH(ROWS($A$11:A134),'02_ツリー'!$R$5:$R$560,0)),"")</x:f>
        <x:v>I_ripple</x:v>
      </x:c>
      <x:c r="B134" s="48" t="n">
        <x:f>IF($A134="","",SUMIFS('02_ツリー'!$K$5:$K$560,'02_ツリー'!$E$5:$E$560,$A134,'02_ツリー'!$K$5:$K$560,"&gt;0"))</x:f>
        <x:v>0</x:v>
      </x:c>
      <x:c r="C134" s="48" t="n">
        <x:f>IF($A134="","",SUMIFS('02_ツリー'!$K$5:$K$560,'02_ツリー'!$E$5:$E$560,$A134,'02_ツリー'!$K$5:$K$560,"&lt;0"))</x:f>
        <x:v>-0.000041790471451151947</x:v>
      </x:c>
      <x:c r="D134" s="48" t="n">
        <x:f>IF($A134="","",B134+C134)</x:f>
        <x:v>-0.000041790471451151947</x:v>
      </x:c>
      <x:c r="E134" s="48" t="n">
        <x:f>IF($A134="","",B134-C134)</x:f>
        <x:v>0.000041790471451151947</x:v>
      </x:c>
      <x:c r="F134" s="48" t="n">
        <x:f>IF($A134="","",SUMIFS('02_ツリー'!$H$5:$H$560,'02_ツリー'!$E$5:$E$560,$A134,'02_ツリー'!$K$5:$K$560,"&gt;0"))</x:f>
        <x:v>0</x:v>
      </x:c>
      <x:c r="G134" s="48" t="n">
        <x:f>IF($A134="","",-SUMIFS('02_ツリー'!$H$5:$H$560,'02_ツリー'!$E$5:$E$560,$A134,'02_ツリー'!$K$5:$K$560,"&lt;0"))</x:f>
        <x:v>-0.0003739344108937819</x:v>
      </x:c>
      <x:c r="H134" s="48" t="n">
        <x:f>IF($A134="","",F134+G134)</x:f>
        <x:v>-0.0003739344108937819</x:v>
      </x:c>
      <x:c r="I134" s="244" t="n">
        <x:f>IF($A134="","",--(COUNTIFS('02_ツリー'!$E$5:$E$560,$A134,'02_ツリー'!$O$5:$O$560,0)=0))</x:f>
        <x:v>0</x:v>
      </x:c>
      <x:c r="J134" s="12" t="str">
        <x:f>IF($A134="","",IF(AND(B134&gt;0,C134&lt;0),"正負あり",IF(B134&gt;0,"正のみ",IF(C134&lt;0,"負のみ","ゼロ"))))</x:f>
        <x:v>負のみ</x:v>
      </x:c>
      <x:c r="K134" s="244" t="n">
        <x:f>IF($A134="","",--AND(B134&gt;0,C134&lt;0))</x:f>
        <x:v>0</x:v>
      </x:c>
      <x:c r="L134" s="244" t="n">
        <x:f>IF($A134="","",COUNTIF('02_ツリー'!$E$5:$E$560,$A134))</x:f>
        <x:v>1</x:v>
      </x:c>
      <x:c r="M134" s="244" t="n">
        <x:f>IF($A134="","",--(LEFT(A134,7)="Enable_"))</x:f>
        <x:v>0</x:v>
      </x:c>
      <x:c r="N134" s="12"/>
      <x:c r="O134" s="12"/>
      <x:c r="P134" s="12"/>
      <x:c r="Q134" s="12"/>
      <x:c r="R134" s="12"/>
      <x:c r="S134" s="12"/>
      <x:c r="T134" s="12"/>
      <x:c r="U134" s="12"/>
      <x:c r="V134" s="12"/>
      <x:c r="W134" s="12"/>
      <x:c r="X134" s="12"/>
      <x:c r="Y134" s="12"/>
    </x:row>
    <x:row r="135">
      <x:c r="A135" s="12" t="str">
        <x:f>IFERROR(INDEX('02_ツリー'!$E$5:$E$560,MATCH(ROWS($A$11:A135),'02_ツリー'!$R$5:$R$560,0)),"")</x:f>
        <x:v>r_Iemi</x:v>
      </x:c>
      <x:c r="B135" s="48" t="n">
        <x:f>IF($A135="","",SUMIFS('02_ツリー'!$K$5:$K$560,'02_ツリー'!$E$5:$E$560,$A135,'02_ツリー'!$K$5:$K$560,"&gt;0"))</x:f>
        <x:v>0</x:v>
      </x:c>
      <x:c r="C135" s="48" t="n">
        <x:f>IF($A135="","",SUMIFS('02_ツリー'!$K$5:$K$560,'02_ツリー'!$E$5:$E$560,$A135,'02_ツリー'!$K$5:$K$560,"&lt;0"))</x:f>
        <x:v>-0.000041790471451151947</x:v>
      </x:c>
      <x:c r="D135" s="48" t="n">
        <x:f>IF($A135="","",B135+C135)</x:f>
        <x:v>-0.000041790471451151947</x:v>
      </x:c>
      <x:c r="E135" s="48" t="n">
        <x:f>IF($A135="","",B135-C135)</x:f>
        <x:v>0.000041790471451151947</x:v>
      </x:c>
      <x:c r="F135" s="48" t="n">
        <x:f>IF($A135="","",SUMIFS('02_ツリー'!$H$5:$H$560,'02_ツリー'!$E$5:$E$560,$A135,'02_ツリー'!$K$5:$K$560,"&gt;0"))</x:f>
        <x:v>0</x:v>
      </x:c>
      <x:c r="G135" s="48" t="n">
        <x:f>IF($A135="","",-SUMIFS('02_ツリー'!$H$5:$H$560,'02_ツリー'!$E$5:$E$560,$A135,'02_ツリー'!$K$5:$K$560,"&lt;0"))</x:f>
        <x:v>-0.0003739344108937819</x:v>
      </x:c>
      <x:c r="H135" s="48" t="n">
        <x:f>IF($A135="","",F135+G135)</x:f>
        <x:v>-0.0003739344108937819</x:v>
      </x:c>
      <x:c r="I135" s="244" t="n">
        <x:f>IF($A135="","",--(COUNTIFS('02_ツリー'!$E$5:$E$560,$A135,'02_ツリー'!$O$5:$O$560,0)=0))</x:f>
        <x:v>1</x:v>
      </x:c>
      <x:c r="J135" s="12" t="str">
        <x:f>IF($A135="","",IF(AND(B135&gt;0,C135&lt;0),"正負あり",IF(B135&gt;0,"正のみ",IF(C135&lt;0,"負のみ","ゼロ"))))</x:f>
        <x:v>負のみ</x:v>
      </x:c>
      <x:c r="K135" s="244" t="n">
        <x:f>IF($A135="","",--AND(B135&gt;0,C135&lt;0))</x:f>
        <x:v>0</x:v>
      </x:c>
      <x:c r="L135" s="244" t="n">
        <x:f>IF($A135="","",COUNTIF('02_ツリー'!$E$5:$E$560,$A135))</x:f>
        <x:v>1</x:v>
      </x:c>
      <x:c r="M135" s="244" t="n">
        <x:f>IF($A135="","",--(LEFT(A135,7)="Enable_"))</x:f>
        <x:v>0</x:v>
      </x:c>
      <x:c r="N135" s="12"/>
      <x:c r="O135" s="12"/>
      <x:c r="P135" s="12"/>
      <x:c r="Q135" s="12"/>
      <x:c r="R135" s="12"/>
      <x:c r="S135" s="12"/>
      <x:c r="T135" s="12"/>
      <x:c r="U135" s="12"/>
      <x:c r="V135" s="12"/>
      <x:c r="W135" s="12"/>
      <x:c r="X135" s="12"/>
      <x:c r="Y135" s="12"/>
    </x:row>
    <x:row r="136">
      <x:c r="A136" s="12" t="str">
        <x:f>IFERROR(INDEX('02_ツリー'!$E$5:$E$560,MATCH(ROWS($A$11:A136),'02_ツリー'!$R$5:$R$560,0)),"")</x:f>
        <x:v>M_C</x:v>
      </x:c>
      <x:c r="B136" s="48" t="n">
        <x:f>IF($A136="","",SUMIFS('02_ツリー'!$K$5:$K$560,'02_ツリー'!$E$5:$E$560,$A136,'02_ツリー'!$K$5:$K$560,"&gt;0"))</x:f>
        <x:v>0.0000010029713148276472</x:v>
      </x:c>
      <x:c r="C136" s="48" t="n">
        <x:f>IF($A136="","",SUMIFS('02_ツリー'!$K$5:$K$560,'02_ツリー'!$E$5:$E$560,$A136,'02_ツリー'!$K$5:$K$560,"&lt;0"))</x:f>
        <x:v>0</x:v>
      </x:c>
      <x:c r="D136" s="48" t="n">
        <x:f>IF($A136="","",B136+C136)</x:f>
        <x:v>0.0000010029713148276472</x:v>
      </x:c>
      <x:c r="E136" s="48" t="n">
        <x:f>IF($A136="","",B136-C136)</x:f>
        <x:v>0.0000010029713148276472</x:v>
      </x:c>
      <x:c r="F136" s="48" t="n">
        <x:f>IF($A136="","",SUMIFS('02_ツリー'!$H$5:$H$560,'02_ツリー'!$E$5:$E$560,$A136,'02_ツリー'!$K$5:$K$560,"&gt;0"))</x:f>
        <x:v>0.000008974425861450771</x:v>
      </x:c>
      <x:c r="G136" s="48" t="n">
        <x:f>IF($A136="","",-SUMIFS('02_ツリー'!$H$5:$H$560,'02_ツリー'!$E$5:$E$560,$A136,'02_ツリー'!$K$5:$K$560,"&lt;0"))</x:f>
        <x:v>0</x:v>
      </x:c>
      <x:c r="H136" s="48" t="n">
        <x:f>IF($A136="","",F136+G136)</x:f>
        <x:v>0.000008974425861450771</x:v>
      </x:c>
      <x:c r="I136" s="244" t="n">
        <x:f>IF($A136="","",--(COUNTIFS('02_ツリー'!$E$5:$E$560,$A136,'02_ツリー'!$O$5:$O$560,0)=0))</x:f>
        <x:v>0</x:v>
      </x:c>
      <x:c r="J136" s="12" t="str">
        <x:f>IF($A136="","",IF(AND(B136&gt;0,C136&lt;0),"正負あり",IF(B136&gt;0,"正のみ",IF(C136&lt;0,"負のみ","ゼロ"))))</x:f>
        <x:v>正のみ</x:v>
      </x:c>
      <x:c r="K136" s="244" t="n">
        <x:f>IF($A136="","",--AND(B136&gt;0,C136&lt;0))</x:f>
        <x:v>0</x:v>
      </x:c>
      <x:c r="L136" s="244" t="n">
        <x:f>IF($A136="","",COUNTIF('02_ツリー'!$E$5:$E$560,$A136))</x:f>
        <x:v>1</x:v>
      </x:c>
      <x:c r="M136" s="244" t="n">
        <x:f>IF($A136="","",--(LEFT(A136,7)="Enable_"))</x:f>
        <x:v>0</x:v>
      </x:c>
      <x:c r="N136" s="12"/>
      <x:c r="O136" s="12"/>
      <x:c r="P136" s="12"/>
      <x:c r="Q136" s="12"/>
      <x:c r="R136" s="12"/>
      <x:c r="S136" s="12"/>
      <x:c r="T136" s="12"/>
      <x:c r="U136" s="12"/>
      <x:c r="V136" s="12"/>
      <x:c r="W136" s="12"/>
      <x:c r="X136" s="12"/>
      <x:c r="Y136" s="12"/>
    </x:row>
    <x:row r="137">
      <x:c r="A137" s="12" t="str">
        <x:f>IFERROR(INDEX('02_ツリー'!$E$5:$E$560,MATCH(ROWS($A$11:A137),'02_ツリー'!$R$5:$R$560,0)),"")</x:f>
        <x:v>k_mC</x:v>
      </x:c>
      <x:c r="B137" s="48" t="n">
        <x:f>IF($A137="","",SUMIFS('02_ツリー'!$K$5:$K$560,'02_ツリー'!$E$5:$E$560,$A137,'02_ツリー'!$K$5:$K$560,"&gt;0"))</x:f>
        <x:v>0.0000010029713148276472</x:v>
      </x:c>
      <x:c r="C137" s="48" t="n">
        <x:f>IF($A137="","",SUMIFS('02_ツリー'!$K$5:$K$560,'02_ツリー'!$E$5:$E$560,$A137,'02_ツリー'!$K$5:$K$560,"&lt;0"))</x:f>
        <x:v>0</x:v>
      </x:c>
      <x:c r="D137" s="48" t="n">
        <x:f>IF($A137="","",B137+C137)</x:f>
        <x:v>0.0000010029713148276472</x:v>
      </x:c>
      <x:c r="E137" s="48" t="n">
        <x:f>IF($A137="","",B137-C137)</x:f>
        <x:v>0.0000010029713148276472</x:v>
      </x:c>
      <x:c r="F137" s="48" t="n">
        <x:f>IF($A137="","",SUMIFS('02_ツリー'!$H$5:$H$560,'02_ツリー'!$E$5:$E$560,$A137,'02_ツリー'!$K$5:$K$560,"&gt;0"))</x:f>
        <x:v>0.000008974425861450771</x:v>
      </x:c>
      <x:c r="G137" s="48" t="n">
        <x:f>IF($A137="","",-SUMIFS('02_ツリー'!$H$5:$H$560,'02_ツリー'!$E$5:$E$560,$A137,'02_ツリー'!$K$5:$K$560,"&lt;0"))</x:f>
        <x:v>0</x:v>
      </x:c>
      <x:c r="H137" s="48" t="n">
        <x:f>IF($A137="","",F137+G137)</x:f>
        <x:v>0.000008974425861450771</x:v>
      </x:c>
      <x:c r="I137" s="244" t="n">
        <x:f>IF($A137="","",--(COUNTIFS('02_ツリー'!$E$5:$E$560,$A137,'02_ツリー'!$O$5:$O$560,0)=0))</x:f>
        <x:v>1</x:v>
      </x:c>
      <x:c r="J137" s="12" t="str">
        <x:f>IF($A137="","",IF(AND(B137&gt;0,C137&lt;0),"正負あり",IF(B137&gt;0,"正のみ",IF(C137&lt;0,"負のみ","ゼロ"))))</x:f>
        <x:v>正のみ</x:v>
      </x:c>
      <x:c r="K137" s="244" t="n">
        <x:f>IF($A137="","",--AND(B137&gt;0,C137&lt;0))</x:f>
        <x:v>0</x:v>
      </x:c>
      <x:c r="L137" s="244" t="n">
        <x:f>IF($A137="","",COUNTIF('02_ツリー'!$E$5:$E$560,$A137))</x:f>
        <x:v>1</x:v>
      </x:c>
      <x:c r="M137" s="244" t="n">
        <x:f>IF($A137="","",--(LEFT(A137,7)="Enable_"))</x:f>
        <x:v>0</x:v>
      </x:c>
      <x:c r="N137" s="12"/>
      <x:c r="O137" s="12"/>
      <x:c r="P137" s="12"/>
      <x:c r="Q137" s="12"/>
      <x:c r="R137" s="12"/>
      <x:c r="S137" s="12"/>
      <x:c r="T137" s="12"/>
      <x:c r="U137" s="12"/>
      <x:c r="V137" s="12"/>
      <x:c r="W137" s="12"/>
      <x:c r="X137" s="12"/>
      <x:c r="Y137" s="12"/>
    </x:row>
    <x:row r="138">
      <x:c r="A138" s="12" t="str">
        <x:f>IFERROR(INDEX('02_ツリー'!$E$5:$E$560,MATCH(ROWS($A$11:A138),'02_ツリー'!$R$5:$R$560,0)),"")</x:f>
        <x:v>C_dm</x:v>
      </x:c>
      <x:c r="B138" s="48" t="n">
        <x:f>IF($A138="","",SUMIFS('02_ツリー'!$K$5:$K$560,'02_ツリー'!$E$5:$E$560,$A138,'02_ツリー'!$K$5:$K$560,"&gt;0"))</x:f>
        <x:v>0.0000010029713148276472</x:v>
      </x:c>
      <x:c r="C138" s="48" t="n">
        <x:f>IF($A138="","",SUMIFS('02_ツリー'!$K$5:$K$560,'02_ツリー'!$E$5:$E$560,$A138,'02_ツリー'!$K$5:$K$560,"&lt;0"))</x:f>
        <x:v>0</x:v>
      </x:c>
      <x:c r="D138" s="48" t="n">
        <x:f>IF($A138="","",B138+C138)</x:f>
        <x:v>0.0000010029713148276472</x:v>
      </x:c>
      <x:c r="E138" s="48" t="n">
        <x:f>IF($A138="","",B138-C138)</x:f>
        <x:v>0.0000010029713148276472</x:v>
      </x:c>
      <x:c r="F138" s="48" t="n">
        <x:f>IF($A138="","",SUMIFS('02_ツリー'!$H$5:$H$560,'02_ツリー'!$E$5:$E$560,$A138,'02_ツリー'!$K$5:$K$560,"&gt;0"))</x:f>
        <x:v>0.000008974425861450771</x:v>
      </x:c>
      <x:c r="G138" s="48" t="n">
        <x:f>IF($A138="","",-SUMIFS('02_ツリー'!$H$5:$H$560,'02_ツリー'!$E$5:$E$560,$A138,'02_ツリー'!$K$5:$K$560,"&lt;0"))</x:f>
        <x:v>0</x:v>
      </x:c>
      <x:c r="H138" s="48" t="n">
        <x:f>IF($A138="","",F138+G138)</x:f>
        <x:v>0.000008974425861450771</x:v>
      </x:c>
      <x:c r="I138" s="244" t="n">
        <x:f>IF($A138="","",--(COUNTIFS('02_ツリー'!$E$5:$E$560,$A138,'02_ツリー'!$O$5:$O$560,0)=0))</x:f>
        <x:v>0</x:v>
      </x:c>
      <x:c r="J138" s="12" t="str">
        <x:f>IF($A138="","",IF(AND(B138&gt;0,C138&lt;0),"正負あり",IF(B138&gt;0,"正のみ",IF(C138&lt;0,"負のみ","ゼロ"))))</x:f>
        <x:v>正のみ</x:v>
      </x:c>
      <x:c r="K138" s="244" t="n">
        <x:f>IF($A138="","",--AND(B138&gt;0,C138&lt;0))</x:f>
        <x:v>0</x:v>
      </x:c>
      <x:c r="L138" s="244" t="n">
        <x:f>IF($A138="","",COUNTIF('02_ツリー'!$E$5:$E$560,$A138))</x:f>
        <x:v>1</x:v>
      </x:c>
      <x:c r="M138" s="244" t="n">
        <x:f>IF($A138="","",--(LEFT(A138,7)="Enable_"))</x:f>
        <x:v>0</x:v>
      </x:c>
      <x:c r="N138" s="12"/>
      <x:c r="O138" s="12"/>
      <x:c r="P138" s="12"/>
      <x:c r="Q138" s="12"/>
      <x:c r="R138" s="12"/>
      <x:c r="S138" s="12"/>
      <x:c r="T138" s="12"/>
      <x:c r="U138" s="12"/>
      <x:c r="V138" s="12"/>
      <x:c r="W138" s="12"/>
      <x:c r="X138" s="12"/>
      <x:c r="Y138" s="12"/>
    </x:row>
    <x:row r="139">
      <x:c r="A139" s="12" t="str">
        <x:f>IFERROR(INDEX('02_ツリー'!$E$5:$E$560,MATCH(ROWS($A$11:A139),'02_ツリー'!$R$5:$R$560,0)),"")</x:f>
        <x:v>I_noise</x:v>
      </x:c>
      <x:c r="B139" s="48" t="n">
        <x:f>IF($A139="","",SUMIFS('02_ツリー'!$K$5:$K$560,'02_ツリー'!$E$5:$E$560,$A139,'02_ツリー'!$K$5:$K$560,"&gt;0"))</x:f>
        <x:v>0.0000010029713148276472</x:v>
      </x:c>
      <x:c r="C139" s="48" t="n">
        <x:f>IF($A139="","",SUMIFS('02_ツリー'!$K$5:$K$560,'02_ツリー'!$E$5:$E$560,$A139,'02_ツリー'!$K$5:$K$560,"&lt;0"))</x:f>
        <x:v>0</x:v>
      </x:c>
      <x:c r="D139" s="48" t="n">
        <x:f>IF($A139="","",B139+C139)</x:f>
        <x:v>0.0000010029713148276472</x:v>
      </x:c>
      <x:c r="E139" s="48" t="n">
        <x:f>IF($A139="","",B139-C139)</x:f>
        <x:v>0.0000010029713148276472</x:v>
      </x:c>
      <x:c r="F139" s="48" t="n">
        <x:f>IF($A139="","",SUMIFS('02_ツリー'!$H$5:$H$560,'02_ツリー'!$E$5:$E$560,$A139,'02_ツリー'!$K$5:$K$560,"&gt;0"))</x:f>
        <x:v>0.000008974425861450771</x:v>
      </x:c>
      <x:c r="G139" s="48" t="n">
        <x:f>IF($A139="","",-SUMIFS('02_ツリー'!$H$5:$H$560,'02_ツリー'!$E$5:$E$560,$A139,'02_ツリー'!$K$5:$K$560,"&lt;0"))</x:f>
        <x:v>0</x:v>
      </x:c>
      <x:c r="H139" s="48" t="n">
        <x:f>IF($A139="","",F139+G139)</x:f>
        <x:v>0.000008974425861450771</x:v>
      </x:c>
      <x:c r="I139" s="244" t="n">
        <x:f>IF($A139="","",--(COUNTIFS('02_ツリー'!$E$5:$E$560,$A139,'02_ツリー'!$O$5:$O$560,0)=0))</x:f>
        <x:v>0</x:v>
      </x:c>
      <x:c r="J139" s="12" t="str">
        <x:f>IF($A139="","",IF(AND(B139&gt;0,C139&lt;0),"正負あり",IF(B139&gt;0,"正のみ",IF(C139&lt;0,"負のみ","ゼロ"))))</x:f>
        <x:v>正のみ</x:v>
      </x:c>
      <x:c r="K139" s="244" t="n">
        <x:f>IF($A139="","",--AND(B139&gt;0,C139&lt;0))</x:f>
        <x:v>0</x:v>
      </x:c>
      <x:c r="L139" s="244" t="n">
        <x:f>IF($A139="","",COUNTIF('02_ツリー'!$E$5:$E$560,$A139))</x:f>
        <x:v>1</x:v>
      </x:c>
      <x:c r="M139" s="244" t="n">
        <x:f>IF($A139="","",--(LEFT(A139,7)="Enable_"))</x:f>
        <x:v>0</x:v>
      </x:c>
      <x:c r="N139" s="12"/>
      <x:c r="O139" s="12"/>
      <x:c r="P139" s="12"/>
      <x:c r="Q139" s="12"/>
      <x:c r="R139" s="12"/>
      <x:c r="S139" s="12"/>
      <x:c r="T139" s="12"/>
      <x:c r="U139" s="12"/>
      <x:c r="V139" s="12"/>
      <x:c r="W139" s="12"/>
      <x:c r="X139" s="12"/>
      <x:c r="Y139" s="12"/>
    </x:row>
    <x:row r="140">
      <x:c r="A140" s="12" t="str">
        <x:f>IFERROR(INDEX('02_ツリー'!$E$5:$E$560,MATCH(ROWS($A$11:A140),'02_ツリー'!$R$5:$R$560,0)),"")</x:f>
        <x:v>r_noise</x:v>
      </x:c>
      <x:c r="B140" s="48" t="n">
        <x:f>IF($A140="","",SUMIFS('02_ツリー'!$K$5:$K$560,'02_ツリー'!$E$5:$E$560,$A140,'02_ツリー'!$K$5:$K$560,"&gt;0"))</x:f>
        <x:v>0.0000010029713148276472</x:v>
      </x:c>
      <x:c r="C140" s="48" t="n">
        <x:f>IF($A140="","",SUMIFS('02_ツリー'!$K$5:$K$560,'02_ツリー'!$E$5:$E$560,$A140,'02_ツリー'!$K$5:$K$560,"&lt;0"))</x:f>
        <x:v>0</x:v>
      </x:c>
      <x:c r="D140" s="48" t="n">
        <x:f>IF($A140="","",B140+C140)</x:f>
        <x:v>0.0000010029713148276472</x:v>
      </x:c>
      <x:c r="E140" s="48" t="n">
        <x:f>IF($A140="","",B140-C140)</x:f>
        <x:v>0.0000010029713148276472</x:v>
      </x:c>
      <x:c r="F140" s="48" t="n">
        <x:f>IF($A140="","",SUMIFS('02_ツリー'!$H$5:$H$560,'02_ツリー'!$E$5:$E$560,$A140,'02_ツリー'!$K$5:$K$560,"&gt;0"))</x:f>
        <x:v>0.000008974425861450771</x:v>
      </x:c>
      <x:c r="G140" s="48" t="n">
        <x:f>IF($A140="","",-SUMIFS('02_ツリー'!$H$5:$H$560,'02_ツリー'!$E$5:$E$560,$A140,'02_ツリー'!$K$5:$K$560,"&lt;0"))</x:f>
        <x:v>0</x:v>
      </x:c>
      <x:c r="H140" s="48" t="n">
        <x:f>IF($A140="","",F140+G140)</x:f>
        <x:v>0.000008974425861450771</x:v>
      </x:c>
      <x:c r="I140" s="244" t="n">
        <x:f>IF($A140="","",--(COUNTIFS('02_ツリー'!$E$5:$E$560,$A140,'02_ツリー'!$O$5:$O$560,0)=0))</x:f>
        <x:v>1</x:v>
      </x:c>
      <x:c r="J140" s="12" t="str">
        <x:f>IF($A140="","",IF(AND(B140&gt;0,C140&lt;0),"正負あり",IF(B140&gt;0,"正のみ",IF(C140&lt;0,"負のみ","ゼロ"))))</x:f>
        <x:v>正のみ</x:v>
      </x:c>
      <x:c r="K140" s="244" t="n">
        <x:f>IF($A140="","",--AND(B140&gt;0,C140&lt;0))</x:f>
        <x:v>0</x:v>
      </x:c>
      <x:c r="L140" s="244" t="n">
        <x:f>IF($A140="","",COUNTIF('02_ツリー'!$E$5:$E$560,$A140))</x:f>
        <x:v>1</x:v>
      </x:c>
      <x:c r="M140" s="244" t="n">
        <x:f>IF($A140="","",--(LEFT(A140,7)="Enable_"))</x:f>
        <x:v>0</x:v>
      </x:c>
      <x:c r="N140" s="12"/>
      <x:c r="O140" s="12"/>
      <x:c r="P140" s="12"/>
      <x:c r="Q140" s="12"/>
      <x:c r="R140" s="12"/>
      <x:c r="S140" s="12"/>
      <x:c r="T140" s="12"/>
      <x:c r="U140" s="12"/>
      <x:c r="V140" s="12"/>
      <x:c r="W140" s="12"/>
      <x:c r="X140" s="12"/>
      <x:c r="Y140" s="12"/>
    </x:row>
    <x:row r="141">
      <x:c r="A141" s="12" t="str">
        <x:f>IFERROR(INDEX('02_ツリー'!$E$5:$E$560,MATCH(ROWS($A$11:A141),'02_ツリー'!$R$5:$R$560,0)),"")</x:f>
        <x:v>V_ripple</x:v>
      </x:c>
      <x:c r="B141" s="48" t="n">
        <x:f>IF($A141="","",SUMIFS('02_ツリー'!$K$5:$K$560,'02_ツリー'!$E$5:$E$560,$A141,'02_ツリー'!$K$5:$K$560,"&gt;0"))</x:f>
        <x:v>0</x:v>
      </x:c>
      <x:c r="C141" s="48" t="n">
        <x:f>IF($A141="","",SUMIFS('02_ツリー'!$K$5:$K$560,'02_ツリー'!$E$5:$E$560,$A141,'02_ツリー'!$K$5:$K$560,"&lt;0"))</x:f>
        <x:v>-0.0000010029713148276472</x:v>
      </x:c>
      <x:c r="D141" s="48" t="n">
        <x:f>IF($A141="","",B141+C141)</x:f>
        <x:v>-0.0000010029713148276472</x:v>
      </x:c>
      <x:c r="E141" s="48" t="n">
        <x:f>IF($A141="","",B141-C141)</x:f>
        <x:v>0.0000010029713148276472</x:v>
      </x:c>
      <x:c r="F141" s="48" t="n">
        <x:f>IF($A141="","",SUMIFS('02_ツリー'!$H$5:$H$560,'02_ツリー'!$E$5:$E$560,$A141,'02_ツリー'!$K$5:$K$560,"&gt;0"))</x:f>
        <x:v>0</x:v>
      </x:c>
      <x:c r="G141" s="48" t="n">
        <x:f>IF($A141="","",-SUMIFS('02_ツリー'!$H$5:$H$560,'02_ツリー'!$E$5:$E$560,$A141,'02_ツリー'!$K$5:$K$560,"&lt;0"))</x:f>
        <x:v>-0.000008974425861450771</x:v>
      </x:c>
      <x:c r="H141" s="48" t="n">
        <x:f>IF($A141="","",F141+G141)</x:f>
        <x:v>-0.000008974425861450771</x:v>
      </x:c>
      <x:c r="I141" s="244" t="n">
        <x:f>IF($A141="","",--(COUNTIFS('02_ツリー'!$E$5:$E$560,$A141,'02_ツリー'!$O$5:$O$560,0)=0))</x:f>
        <x:v>0</x:v>
      </x:c>
      <x:c r="J141" s="12" t="str">
        <x:f>IF($A141="","",IF(AND(B141&gt;0,C141&lt;0),"正負あり",IF(B141&gt;0,"正のみ",IF(C141&lt;0,"負のみ","ゼロ"))))</x:f>
        <x:v>負のみ</x:v>
      </x:c>
      <x:c r="K141" s="244" t="n">
        <x:f>IF($A141="","",--AND(B141&gt;0,C141&lt;0))</x:f>
        <x:v>0</x:v>
      </x:c>
      <x:c r="L141" s="244" t="n">
        <x:f>IF($A141="","",COUNTIF('02_ツリー'!$E$5:$E$560,$A141))</x:f>
        <x:v>1</x:v>
      </x:c>
      <x:c r="M141" s="244" t="n">
        <x:f>IF($A141="","",--(LEFT(A141,7)="Enable_"))</x:f>
        <x:v>0</x:v>
      </x:c>
      <x:c r="N141" s="12"/>
      <x:c r="O141" s="12"/>
      <x:c r="P141" s="12"/>
      <x:c r="Q141" s="12"/>
      <x:c r="R141" s="12"/>
      <x:c r="S141" s="12"/>
      <x:c r="T141" s="12"/>
      <x:c r="U141" s="12"/>
      <x:c r="V141" s="12"/>
      <x:c r="W141" s="12"/>
      <x:c r="X141" s="12"/>
      <x:c r="Y141" s="12"/>
    </x:row>
    <x:row r="142">
      <x:c r="A142" s="12" t="str">
        <x:f>IFERROR(INDEX('02_ツリー'!$E$5:$E$560,MATCH(ROWS($A$11:A142),'02_ツリー'!$R$5:$R$560,0)),"")</x:f>
        <x:v>r_Vemi</x:v>
      </x:c>
      <x:c r="B142" s="48" t="n">
        <x:f>IF($A142="","",SUMIFS('02_ツリー'!$K$5:$K$560,'02_ツリー'!$E$5:$E$560,$A142,'02_ツリー'!$K$5:$K$560,"&gt;0"))</x:f>
        <x:v>0</x:v>
      </x:c>
      <x:c r="C142" s="48" t="n">
        <x:f>IF($A142="","",SUMIFS('02_ツリー'!$K$5:$K$560,'02_ツリー'!$E$5:$E$560,$A142,'02_ツリー'!$K$5:$K$560,"&lt;0"))</x:f>
        <x:v>-0.0000010029713148276472</x:v>
      </x:c>
      <x:c r="D142" s="48" t="n">
        <x:f>IF($A142="","",B142+C142)</x:f>
        <x:v>-0.0000010029713148276472</x:v>
      </x:c>
      <x:c r="E142" s="48" t="n">
        <x:f>IF($A142="","",B142-C142)</x:f>
        <x:v>0.0000010029713148276472</x:v>
      </x:c>
      <x:c r="F142" s="48" t="n">
        <x:f>IF($A142="","",SUMIFS('02_ツリー'!$H$5:$H$560,'02_ツリー'!$E$5:$E$560,$A142,'02_ツリー'!$K$5:$K$560,"&gt;0"))</x:f>
        <x:v>0</x:v>
      </x:c>
      <x:c r="G142" s="48" t="n">
        <x:f>IF($A142="","",-SUMIFS('02_ツリー'!$H$5:$H$560,'02_ツリー'!$E$5:$E$560,$A142,'02_ツリー'!$K$5:$K$560,"&lt;0"))</x:f>
        <x:v>-0.000008974425861450771</x:v>
      </x:c>
      <x:c r="H142" s="48" t="n">
        <x:f>IF($A142="","",F142+G142)</x:f>
        <x:v>-0.000008974425861450771</x:v>
      </x:c>
      <x:c r="I142" s="244" t="n">
        <x:f>IF($A142="","",--(COUNTIFS('02_ツリー'!$E$5:$E$560,$A142,'02_ツリー'!$O$5:$O$560,0)=0))</x:f>
        <x:v>1</x:v>
      </x:c>
      <x:c r="J142" s="12" t="str">
        <x:f>IF($A142="","",IF(AND(B142&gt;0,C142&lt;0),"正負あり",IF(B142&gt;0,"正のみ",IF(C142&lt;0,"負のみ","ゼロ"))))</x:f>
        <x:v>負のみ</x:v>
      </x:c>
      <x:c r="K142" s="244" t="n">
        <x:f>IF($A142="","",--AND(B142&gt;0,C142&lt;0))</x:f>
        <x:v>0</x:v>
      </x:c>
      <x:c r="L142" s="244" t="n">
        <x:f>IF($A142="","",COUNTIF('02_ツリー'!$E$5:$E$560,$A142))</x:f>
        <x:v>1</x:v>
      </x:c>
      <x:c r="M142" s="244" t="n">
        <x:f>IF($A142="","",--(LEFT(A142,7)="Enable_"))</x:f>
        <x:v>0</x:v>
      </x:c>
      <x:c r="N142" s="12"/>
      <x:c r="O142" s="12"/>
      <x:c r="P142" s="12"/>
      <x:c r="Q142" s="12"/>
      <x:c r="R142" s="12"/>
      <x:c r="S142" s="12"/>
      <x:c r="T142" s="12"/>
      <x:c r="U142" s="12"/>
      <x:c r="V142" s="12"/>
      <x:c r="W142" s="12"/>
      <x:c r="X142" s="12"/>
      <x:c r="Y142" s="12"/>
    </x:row>
    <x:row r="143">
      <x:c r="A143" s="12" t="str">
        <x:f>IFERROR(INDEX('02_ツリー'!$E$5:$E$560,MATCH(ROWS($A$11:A143),'02_ツリー'!$R$5:$R$560,0)),"")</x:f>
        <x:v>m_ctrl</x:v>
      </x:c>
      <x:c r="B143" s="48" t="n">
        <x:f>IF($A143="","",SUMIFS('02_ツリー'!$K$5:$K$560,'02_ツリー'!$E$5:$E$560,$A143,'02_ツリー'!$K$5:$K$560,"&gt;0"))</x:f>
        <x:v>0.04684930063122524</x:v>
      </x:c>
      <x:c r="C143" s="48" t="n">
        <x:f>IF($A143="","",SUMIFS('02_ツリー'!$K$5:$K$560,'02_ツリー'!$E$5:$E$560,$A143,'02_ツリー'!$K$5:$K$560,"&lt;0"))</x:f>
        <x:v>0</x:v>
      </x:c>
      <x:c r="D143" s="48" t="n">
        <x:f>IF($A143="","",B143+C143)</x:f>
        <x:v>0.04684930063122524</x:v>
      </x:c>
      <x:c r="E143" s="48" t="n">
        <x:f>IF($A143="","",B143-C143)</x:f>
        <x:v>0.04684930063122524</x:v>
      </x:c>
      <x:c r="F143" s="48" t="n">
        <x:f>IF($A143="","",SUMIFS('02_ツリー'!$H$5:$H$560,'02_ツリー'!$E$5:$E$560,$A143,'02_ツリー'!$K$5:$K$560,"&gt;0"))</x:f>
        <x:v>0.4192</x:v>
      </x:c>
      <x:c r="G143" s="48" t="n">
        <x:f>IF($A143="","",-SUMIFS('02_ツリー'!$H$5:$H$560,'02_ツリー'!$E$5:$E$560,$A143,'02_ツリー'!$K$5:$K$560,"&lt;0"))</x:f>
        <x:v>0</x:v>
      </x:c>
      <x:c r="H143" s="48" t="n">
        <x:f>IF($A143="","",F143+G143)</x:f>
        <x:v>0.4192</x:v>
      </x:c>
      <x:c r="I143" s="244" t="n">
        <x:f>IF($A143="","",--(COUNTIFS('02_ツリー'!$E$5:$E$560,$A143,'02_ツリー'!$O$5:$O$560,0)=0))</x:f>
        <x:v>0</x:v>
      </x:c>
      <x:c r="J143" s="12" t="str">
        <x:f>IF($A143="","",IF(AND(B143&gt;0,C143&lt;0),"正負あり",IF(B143&gt;0,"正のみ",IF(C143&lt;0,"負のみ","ゼロ"))))</x:f>
        <x:v>正のみ</x:v>
      </x:c>
      <x:c r="K143" s="244" t="n">
        <x:f>IF($A143="","",--AND(B143&gt;0,C143&lt;0))</x:f>
        <x:v>0</x:v>
      </x:c>
      <x:c r="L143" s="244" t="n">
        <x:f>IF($A143="","",COUNTIF('02_ツリー'!$E$5:$E$560,$A143))</x:f>
        <x:v>1</x:v>
      </x:c>
      <x:c r="M143" s="244" t="n">
        <x:f>IF($A143="","",--(LEFT(A143,7)="Enable_"))</x:f>
        <x:v>0</x:v>
      </x:c>
      <x:c r="N143" s="12"/>
      <x:c r="O143" s="12"/>
      <x:c r="P143" s="12"/>
      <x:c r="Q143" s="12"/>
      <x:c r="R143" s="12"/>
      <x:c r="S143" s="12"/>
      <x:c r="T143" s="12"/>
      <x:c r="U143" s="12"/>
      <x:c r="V143" s="12"/>
      <x:c r="W143" s="12"/>
      <x:c r="X143" s="12"/>
      <x:c r="Y143" s="12"/>
    </x:row>
    <x:row r="144">
      <x:c r="A144" s="12" t="str">
        <x:f>IFERROR(INDEX('02_ツリー'!$E$5:$E$560,MATCH(ROWS($A$11:A144),'02_ツリー'!$R$5:$R$560,0)),"")</x:f>
        <x:v>m_sensor</x:v>
      </x:c>
      <x:c r="B144" s="48" t="n">
        <x:f>IF($A144="","",SUMIFS('02_ツリー'!$K$5:$K$560,'02_ツリー'!$E$5:$E$560,$A144,'02_ツリー'!$K$5:$K$560,"&gt;0"))</x:f>
        <x:v>0.035204030770123934</x:v>
      </x:c>
      <x:c r="C144" s="48" t="n">
        <x:f>IF($A144="","",SUMIFS('02_ツリー'!$K$5:$K$560,'02_ツリー'!$E$5:$E$560,$A144,'02_ツリー'!$K$5:$K$560,"&lt;0"))</x:f>
        <x:v>0</x:v>
      </x:c>
      <x:c r="D144" s="48" t="n">
        <x:f>IF($A144="","",B144+C144)</x:f>
        <x:v>0.035204030770123934</x:v>
      </x:c>
      <x:c r="E144" s="48" t="n">
        <x:f>IF($A144="","",B144-C144)</x:f>
        <x:v>0.035204030770123934</x:v>
      </x:c>
      <x:c r="F144" s="48" t="n">
        <x:f>IF($A144="","",SUMIFS('02_ツリー'!$H$5:$H$560,'02_ツリー'!$E$5:$E$560,$A144,'02_ツリー'!$K$5:$K$560,"&gt;0"))</x:f>
        <x:v>0.31500000000000006</x:v>
      </x:c>
      <x:c r="G144" s="48" t="n">
        <x:f>IF($A144="","",-SUMIFS('02_ツリー'!$H$5:$H$560,'02_ツリー'!$E$5:$E$560,$A144,'02_ツリー'!$K$5:$K$560,"&lt;0"))</x:f>
        <x:v>0</x:v>
      </x:c>
      <x:c r="H144" s="48" t="n">
        <x:f>IF($A144="","",F144+G144)</x:f>
        <x:v>0.31500000000000006</x:v>
      </x:c>
      <x:c r="I144" s="244" t="n">
        <x:f>IF($A144="","",--(COUNTIFS('02_ツリー'!$E$5:$E$560,$A144,'02_ツリー'!$O$5:$O$560,0)=0))</x:f>
        <x:v>0</x:v>
      </x:c>
      <x:c r="J144" s="12" t="str">
        <x:f>IF($A144="","",IF(AND(B144&gt;0,C144&lt;0),"正負あり",IF(B144&gt;0,"正のみ",IF(C144&lt;0,"負のみ","ゼロ"))))</x:f>
        <x:v>正のみ</x:v>
      </x:c>
      <x:c r="K144" s="244" t="n">
        <x:f>IF($A144="","",--AND(B144&gt;0,C144&lt;0))</x:f>
        <x:v>0</x:v>
      </x:c>
      <x:c r="L144" s="244" t="n">
        <x:f>IF($A144="","",COUNTIF('02_ツリー'!$E$5:$E$560,$A144))</x:f>
        <x:v>1</x:v>
      </x:c>
      <x:c r="M144" s="244" t="n">
        <x:f>IF($A144="","",--(LEFT(A144,7)="Enable_"))</x:f>
        <x:v>0</x:v>
      </x:c>
      <x:c r="N144" s="12"/>
      <x:c r="O144" s="12"/>
      <x:c r="P144" s="12"/>
      <x:c r="Q144" s="12"/>
      <x:c r="R144" s="12"/>
      <x:c r="S144" s="12"/>
      <x:c r="T144" s="12"/>
      <x:c r="U144" s="12"/>
      <x:c r="V144" s="12"/>
      <x:c r="W144" s="12"/>
      <x:c r="X144" s="12"/>
      <x:c r="Y144" s="12"/>
    </x:row>
    <x:row r="145">
      <x:c r="A145" s="12" t="str">
        <x:f>IFERROR(INDEX('02_ツリー'!$E$5:$E$560,MATCH(ROWS($A$11:A145),'02_ツリー'!$R$5:$R$560,0)),"")</x:f>
        <x:v>m_conn</x:v>
      </x:c>
      <x:c r="B145" s="48" t="n">
        <x:f>IF($A145="","",SUMIFS('02_ツリー'!$K$5:$K$560,'02_ツリー'!$E$5:$E$560,$A145,'02_ツリー'!$K$5:$K$560,"&gt;0"))</x:f>
        <x:v>0.046938707693498574</x:v>
      </x:c>
      <x:c r="C145" s="48" t="n">
        <x:f>IF($A145="","",SUMIFS('02_ツリー'!$K$5:$K$560,'02_ツリー'!$E$5:$E$560,$A145,'02_ツリー'!$K$5:$K$560,"&lt;0"))</x:f>
        <x:v>0</x:v>
      </x:c>
      <x:c r="D145" s="48" t="n">
        <x:f>IF($A145="","",B145+C145)</x:f>
        <x:v>0.046938707693498574</x:v>
      </x:c>
      <x:c r="E145" s="48" t="n">
        <x:f>IF($A145="","",B145-C145)</x:f>
        <x:v>0.046938707693498574</x:v>
      </x:c>
      <x:c r="F145" s="48" t="n">
        <x:f>IF($A145="","",SUMIFS('02_ツリー'!$H$5:$H$560,'02_ツリー'!$E$5:$E$560,$A145,'02_ツリー'!$K$5:$K$560,"&gt;0"))</x:f>
        <x:v>0.42000000000000004</x:v>
      </x:c>
      <x:c r="G145" s="48" t="n">
        <x:f>IF($A145="","",-SUMIFS('02_ツリー'!$H$5:$H$560,'02_ツリー'!$E$5:$E$560,$A145,'02_ツリー'!$K$5:$K$560,"&lt;0"))</x:f>
        <x:v>0</x:v>
      </x:c>
      <x:c r="H145" s="48" t="n">
        <x:f>IF($A145="","",F145+G145)</x:f>
        <x:v>0.42000000000000004</x:v>
      </x:c>
      <x:c r="I145" s="244" t="n">
        <x:f>IF($A145="","",--(COUNTIFS('02_ツリー'!$E$5:$E$560,$A145,'02_ツリー'!$O$5:$O$560,0)=0))</x:f>
        <x:v>0</x:v>
      </x:c>
      <x:c r="J145" s="12" t="str">
        <x:f>IF($A145="","",IF(AND(B145&gt;0,C145&lt;0),"正負あり",IF(B145&gt;0,"正のみ",IF(C145&lt;0,"負のみ","ゼロ"))))</x:f>
        <x:v>正のみ</x:v>
      </x:c>
      <x:c r="K145" s="244" t="n">
        <x:f>IF($A145="","",--AND(B145&gt;0,C145&lt;0))</x:f>
        <x:v>0</x:v>
      </x:c>
      <x:c r="L145" s="244" t="n">
        <x:f>IF($A145="","",COUNTIF('02_ツリー'!$E$5:$E$560,$A145))</x:f>
        <x:v>1</x:v>
      </x:c>
      <x:c r="M145" s="244" t="n">
        <x:f>IF($A145="","",--(LEFT(A145,7)="Enable_"))</x:f>
        <x:v>0</x:v>
      </x:c>
      <x:c r="N145" s="12"/>
      <x:c r="O145" s="12"/>
      <x:c r="P145" s="12"/>
      <x:c r="Q145" s="12"/>
      <x:c r="R145" s="12"/>
      <x:c r="S145" s="12"/>
      <x:c r="T145" s="12"/>
      <x:c r="U145" s="12"/>
      <x:c r="V145" s="12"/>
      <x:c r="W145" s="12"/>
      <x:c r="X145" s="12"/>
      <x:c r="Y145" s="12"/>
    </x:row>
    <x:row r="146">
      <x:c r="A146" s="12" t="str">
        <x:f>IFERROR(INDEX('02_ツリー'!$E$5:$E$560,MATCH(ROWS($A$11:A146),'02_ツリー'!$R$5:$R$560,0)),"")</x:f>
        <x:v>m_other</x:v>
      </x:c>
      <x:c r="B146" s="48" t="n">
        <x:f>IF($A146="","",SUMIFS('02_ツリー'!$K$5:$K$560,'02_ツリー'!$E$5:$E$560,$A146,'02_ツリー'!$K$5:$K$560,"&gt;0"))</x:f>
        <x:v>0.055879413920831636</x:v>
      </x:c>
      <x:c r="C146" s="48" t="n">
        <x:f>IF($A146="","",SUMIFS('02_ツリー'!$K$5:$K$560,'02_ツリー'!$E$5:$E$560,$A146,'02_ツリー'!$K$5:$K$560,"&lt;0"))</x:f>
        <x:v>0</x:v>
      </x:c>
      <x:c r="D146" s="48" t="n">
        <x:f>IF($A146="","",B146+C146)</x:f>
        <x:v>0.055879413920831636</x:v>
      </x:c>
      <x:c r="E146" s="48" t="n">
        <x:f>IF($A146="","",B146-C146)</x:f>
        <x:v>0.055879413920831636</x:v>
      </x:c>
      <x:c r="F146" s="48" t="n">
        <x:f>IF($A146="","",SUMIFS('02_ツリー'!$H$5:$H$560,'02_ツリー'!$E$5:$E$560,$A146,'02_ツリー'!$K$5:$K$560,"&gt;0"))</x:f>
        <x:v>0.5</x:v>
      </x:c>
      <x:c r="G146" s="48" t="n">
        <x:f>IF($A146="","",-SUMIFS('02_ツリー'!$H$5:$H$560,'02_ツリー'!$E$5:$E$560,$A146,'02_ツリー'!$K$5:$K$560,"&lt;0"))</x:f>
        <x:v>0</x:v>
      </x:c>
      <x:c r="H146" s="48" t="n">
        <x:f>IF($A146="","",F146+G146)</x:f>
        <x:v>0.5</x:v>
      </x:c>
      <x:c r="I146" s="244" t="n">
        <x:f>IF($A146="","",--(COUNTIFS('02_ツリー'!$E$5:$E$560,$A146,'02_ツリー'!$O$5:$O$560,0)=0))</x:f>
        <x:v>0</x:v>
      </x:c>
      <x:c r="J146" s="12" t="str">
        <x:f>IF($A146="","",IF(AND(B146&gt;0,C146&lt;0),"正負あり",IF(B146&gt;0,"正のみ",IF(C146&lt;0,"負のみ","ゼロ"))))</x:f>
        <x:v>正のみ</x:v>
      </x:c>
      <x:c r="K146" s="244" t="n">
        <x:f>IF($A146="","",--AND(B146&gt;0,C146&lt;0))</x:f>
        <x:v>0</x:v>
      </x:c>
      <x:c r="L146" s="244" t="n">
        <x:f>IF($A146="","",COUNTIF('02_ツリー'!$E$5:$E$560,$A146))</x:f>
        <x:v>1</x:v>
      </x:c>
      <x:c r="M146" s="244" t="n">
        <x:f>IF($A146="","",--(LEFT(A146,7)="Enable_"))</x:f>
        <x:v>0</x:v>
      </x:c>
      <x:c r="N146" s="12"/>
      <x:c r="O146" s="12"/>
      <x:c r="P146" s="12"/>
      <x:c r="Q146" s="12"/>
      <x:c r="R146" s="12"/>
      <x:c r="S146" s="12"/>
      <x:c r="T146" s="12"/>
      <x:c r="U146" s="12"/>
      <x:c r="V146" s="12"/>
      <x:c r="W146" s="12"/>
      <x:c r="X146" s="12"/>
      <x:c r="Y146" s="12"/>
    </x:row>
    <x:row r="147">
      <x:c r="A147" s="12" t="str">
        <x:f>IFERROR(INDEX('02_ツリー'!$E$5:$E$560,MATCH(ROWS($A$11:A147),'02_ツリー'!$R$5:$R$560,0)),"")</x:f>
        <x:v>M_parallel</x:v>
      </x:c>
      <x:c r="B147" s="48" t="n">
        <x:f>IF($A147="","",SUMIFS('02_ツリー'!$K$5:$K$560,'02_ツリー'!$E$5:$E$560,$A147,'02_ツリー'!$K$5:$K$560,"&gt;0"))</x:f>
        <x:v>0.07040806154024787</x:v>
      </x:c>
      <x:c r="C147" s="48" t="n">
        <x:f>IF($A147="","",SUMIFS('02_ツリー'!$K$5:$K$560,'02_ツリー'!$E$5:$E$560,$A147,'02_ツリー'!$K$5:$K$560,"&lt;0"))</x:f>
        <x:v>0</x:v>
      </x:c>
      <x:c r="D147" s="48" t="n">
        <x:f>IF($A147="","",B147+C147)</x:f>
        <x:v>0.07040806154024787</x:v>
      </x:c>
      <x:c r="E147" s="48" t="n">
        <x:f>IF($A147="","",B147-C147)</x:f>
        <x:v>0.07040806154024787</x:v>
      </x:c>
      <x:c r="F147" s="48" t="n">
        <x:f>IF($A147="","",SUMIFS('02_ツリー'!$H$5:$H$560,'02_ツリー'!$E$5:$E$560,$A147,'02_ツリー'!$K$5:$K$560,"&gt;0"))</x:f>
        <x:v>0.6300000000000001</x:v>
      </x:c>
      <x:c r="G147" s="48" t="n">
        <x:f>IF($A147="","",-SUMIFS('02_ツリー'!$H$5:$H$560,'02_ツリー'!$E$5:$E$560,$A147,'02_ツリー'!$K$5:$K$560,"&lt;0"))</x:f>
        <x:v>0</x:v>
      </x:c>
      <x:c r="H147" s="48" t="n">
        <x:f>IF($A147="","",F147+G147)</x:f>
        <x:v>0.6300000000000001</x:v>
      </x:c>
      <x:c r="I147" s="244" t="n">
        <x:f>IF($A147="","",--(COUNTIFS('02_ツリー'!$E$5:$E$560,$A147,'02_ツリー'!$O$5:$O$560,0)=0))</x:f>
        <x:v>0</x:v>
      </x:c>
      <x:c r="J147" s="12" t="str">
        <x:f>IF($A147="","",IF(AND(B147&gt;0,C147&lt;0),"正負あり",IF(B147&gt;0,"正のみ",IF(C147&lt;0,"負のみ","ゼロ"))))</x:f>
        <x:v>正のみ</x:v>
      </x:c>
      <x:c r="K147" s="244" t="n">
        <x:f>IF($A147="","",--AND(B147&gt;0,C147&lt;0))</x:f>
        <x:v>0</x:v>
      </x:c>
      <x:c r="L147" s="244" t="n">
        <x:f>IF($A147="","",COUNTIF('02_ツリー'!$E$5:$E$560,$A147))</x:f>
        <x:v>1</x:v>
      </x:c>
      <x:c r="M147" s="244" t="n">
        <x:f>IF($A147="","",--(LEFT(A147,7)="Enable_"))</x:f>
        <x:v>0</x:v>
      </x:c>
      <x:c r="N147" s="12"/>
      <x:c r="O147" s="12"/>
      <x:c r="P147" s="12"/>
      <x:c r="Q147" s="12"/>
      <x:c r="R147" s="12"/>
      <x:c r="S147" s="12"/>
      <x:c r="T147" s="12"/>
      <x:c r="U147" s="12"/>
      <x:c r="V147" s="12"/>
      <x:c r="W147" s="12"/>
      <x:c r="X147" s="12"/>
      <x:c r="Y147" s="12"/>
    </x:row>
    <x:row r="148">
      <x:c r="A148" s="12" t="str">
        <x:f>IFERROR(INDEX('02_ツリー'!$E$5:$E$560,MATCH(ROWS($A$11:A148),'02_ツリー'!$R$5:$R$560,0)),"")</x:f>
        <x:v>N_parallel</x:v>
      </x:c>
      <x:c r="B148" s="48" t="n">
        <x:f>IF($A148="","",SUMIFS('02_ツリー'!$K$5:$K$560,'02_ツリー'!$E$5:$E$560,$A148,'02_ツリー'!$K$5:$K$560,"&gt;0"))</x:f>
        <x:v>0.07040806154024787</x:v>
      </x:c>
      <x:c r="C148" s="48" t="n">
        <x:f>IF($A148="","",SUMIFS('02_ツリー'!$K$5:$K$560,'02_ツリー'!$E$5:$E$560,$A148,'02_ツリー'!$K$5:$K$560,"&lt;0"))</x:f>
        <x:v>-0.00006437034150358829</x:v>
      </x:c>
      <x:c r="D148" s="48" t="n">
        <x:f>IF($A148="","",B148+C148)</x:f>
        <x:v>0.07034369119874428</x:v>
      </x:c>
      <x:c r="E148" s="48" t="n">
        <x:f>IF($A148="","",B148-C148)</x:f>
        <x:v>0.07047243188175145</x:v>
      </x:c>
      <x:c r="F148" s="48" t="n">
        <x:f>IF($A148="","",SUMIFS('02_ツリー'!$H$5:$H$560,'02_ツリー'!$E$5:$E$560,$A148,'02_ツリー'!$K$5:$K$560,"&gt;0"))</x:f>
        <x:v>0.6300000000000001</x:v>
      </x:c>
      <x:c r="G148" s="48" t="n">
        <x:f>IF($A148="","",-SUMIFS('02_ツリー'!$H$5:$H$560,'02_ツリー'!$E$5:$E$560,$A148,'02_ツリー'!$K$5:$K$560,"&lt;0"))</x:f>
        <x:v>-0.0005759754530960755</x:v>
      </x:c>
      <x:c r="H148" s="48" t="n">
        <x:f>IF($A148="","",F148+G148)</x:f>
        <x:v>0.629424024546904</x:v>
      </x:c>
      <x:c r="I148" s="244" t="n">
        <x:f>IF($A148="","",--(COUNTIFS('02_ツリー'!$E$5:$E$560,$A148,'02_ツリー'!$O$5:$O$560,0)=0))</x:f>
        <x:v>1</x:v>
      </x:c>
      <x:c r="J148" s="12" t="str">
        <x:f>IF($A148="","",IF(AND(B148&gt;0,C148&lt;0),"正負あり",IF(B148&gt;0,"正のみ",IF(C148&lt;0,"負のみ","ゼロ"))))</x:f>
        <x:v>正負あり</x:v>
      </x:c>
      <x:c r="K148" s="244" t="n">
        <x:f>IF($A148="","",--AND(B148&gt;0,C148&lt;0))</x:f>
        <x:v>1</x:v>
      </x:c>
      <x:c r="L148" s="244" t="n">
        <x:f>IF($A148="","",COUNTIF('02_ツリー'!$E$5:$E$560,$A148))</x:f>
        <x:v>2</x:v>
      </x:c>
      <x:c r="M148" s="244" t="n">
        <x:f>IF($A148="","",--(LEFT(A148,7)="Enable_"))</x:f>
        <x:v>0</x:v>
      </x:c>
      <x:c r="N148" s="12"/>
      <x:c r="O148" s="12"/>
      <x:c r="P148" s="12"/>
      <x:c r="Q148" s="12"/>
      <x:c r="R148" s="12"/>
      <x:c r="S148" s="12"/>
      <x:c r="T148" s="12"/>
      <x:c r="U148" s="12"/>
      <x:c r="V148" s="12"/>
      <x:c r="W148" s="12"/>
      <x:c r="X148" s="12"/>
      <x:c r="Y148" s="12"/>
    </x:row>
    <x:row r="149">
      <x:c r="A149" s="12" t="str">
        <x:f>IFERROR(INDEX('02_ツリー'!$E$5:$E$560,MATCH(ROWS($A$11:A149),'02_ツリー'!$R$5:$R$560,0)),"")</x:f>
        <x:v>m_parallel_unit</x:v>
      </x:c>
      <x:c r="B149" s="48" t="n">
        <x:f>IF($A149="","",SUMIFS('02_ツリー'!$K$5:$K$560,'02_ツリー'!$E$5:$E$560,$A149,'02_ツリー'!$K$5:$K$560,"&gt;0"))</x:f>
        <x:v>0.07040806154024787</x:v>
      </x:c>
      <x:c r="C149" s="48" t="n">
        <x:f>IF($A149="","",SUMIFS('02_ツリー'!$K$5:$K$560,'02_ツリー'!$E$5:$E$560,$A149,'02_ツリー'!$K$5:$K$560,"&lt;0"))</x:f>
        <x:v>0</x:v>
      </x:c>
      <x:c r="D149" s="48" t="n">
        <x:f>IF($A149="","",B149+C149)</x:f>
        <x:v>0.07040806154024787</x:v>
      </x:c>
      <x:c r="E149" s="48" t="n">
        <x:f>IF($A149="","",B149-C149)</x:f>
        <x:v>0.07040806154024787</x:v>
      </x:c>
      <x:c r="F149" s="48" t="n">
        <x:f>IF($A149="","",SUMIFS('02_ツリー'!$H$5:$H$560,'02_ツリー'!$E$5:$E$560,$A149,'02_ツリー'!$K$5:$K$560,"&gt;0"))</x:f>
        <x:v>0.6300000000000001</x:v>
      </x:c>
      <x:c r="G149" s="48" t="n">
        <x:f>IF($A149="","",-SUMIFS('02_ツリー'!$H$5:$H$560,'02_ツリー'!$E$5:$E$560,$A149,'02_ツリー'!$K$5:$K$560,"&lt;0"))</x:f>
        <x:v>0</x:v>
      </x:c>
      <x:c r="H149" s="48" t="n">
        <x:f>IF($A149="","",F149+G149)</x:f>
        <x:v>0.6300000000000001</x:v>
      </x:c>
      <x:c r="I149" s="244" t="n">
        <x:f>IF($A149="","",--(COUNTIFS('02_ツリー'!$E$5:$E$560,$A149,'02_ツリー'!$O$5:$O$560,0)=0))</x:f>
        <x:v>1</x:v>
      </x:c>
      <x:c r="J149" s="12" t="str">
        <x:f>IF($A149="","",IF(AND(B149&gt;0,C149&lt;0),"正負あり",IF(B149&gt;0,"正のみ",IF(C149&lt;0,"負のみ","ゼロ"))))</x:f>
        <x:v>正のみ</x:v>
      </x:c>
      <x:c r="K149" s="244" t="n">
        <x:f>IF($A149="","",--AND(B149&gt;0,C149&lt;0))</x:f>
        <x:v>0</x:v>
      </x:c>
      <x:c r="L149" s="244" t="n">
        <x:f>IF($A149="","",COUNTIF('02_ツリー'!$E$5:$E$560,$A149))</x:f>
        <x:v>1</x:v>
      </x:c>
      <x:c r="M149" s="244" t="n">
        <x:f>IF($A149="","",--(LEFT(A149,7)="Enable_"))</x:f>
        <x:v>0</x:v>
      </x:c>
      <x:c r="N149" s="12"/>
      <x:c r="O149" s="12"/>
      <x:c r="P149" s="12"/>
      <x:c r="Q149" s="12"/>
      <x:c r="R149" s="12"/>
      <x:c r="S149" s="12"/>
      <x:c r="T149" s="12"/>
      <x:c r="U149" s="12"/>
      <x:c r="V149" s="12"/>
      <x:c r="W149" s="12"/>
      <x:c r="X149" s="12"/>
      <x:c r="Y149" s="12"/>
    </x:row>
    <x:row r="150">
      <x:c r="A150" s="12" t="str">
        <x:f>IFERROR(INDEX('02_ツリー'!$E$5:$E$560,MATCH(ROWS($A$11:A150),'02_ツリー'!$R$5:$R$560,0)),"")</x:f>
        <x:v>k_ss_eff</x:v>
      </x:c>
      <x:c r="B150" s="48" t="n">
        <x:f>IF($A150="","",SUMIFS('02_ツリー'!$K$5:$K$560,'02_ツリー'!$E$5:$E$560,$A150,'02_ツリー'!$K$5:$K$560,"&gt;0"))</x:f>
        <x:v>0.007515582271838901</x:v>
      </x:c>
      <x:c r="C150" s="48" t="n">
        <x:f>IF($A150="","",SUMIFS('02_ツリー'!$K$5:$K$560,'02_ツリー'!$E$5:$E$560,$A150,'02_ツリー'!$K$5:$K$560,"&lt;0"))</x:f>
        <x:v>0</x:v>
      </x:c>
      <x:c r="D150" s="48" t="n">
        <x:f>IF($A150="","",B150+C150)</x:f>
        <x:v>0.007515582271838901</x:v>
      </x:c>
      <x:c r="E150" s="48" t="n">
        <x:f>IF($A150="","",B150-C150)</x:f>
        <x:v>0.007515582271838901</x:v>
      </x:c>
      <x:c r="F150" s="48" t="n">
        <x:f>IF($A150="","",SUMIFS('02_ツリー'!$H$5:$H$560,'02_ツリー'!$E$5:$E$560,$A150,'02_ツリー'!$K$5:$K$560,"&gt;0"))</x:f>
        <x:v>0.06724822027023014</x:v>
      </x:c>
      <x:c r="G150" s="48" t="n">
        <x:f>IF($A150="","",-SUMIFS('02_ツリー'!$H$5:$H$560,'02_ツリー'!$E$5:$E$560,$A150,'02_ツリー'!$K$5:$K$560,"&lt;0"))</x:f>
        <x:v>0</x:v>
      </x:c>
      <x:c r="H150" s="48" t="n">
        <x:f>IF($A150="","",F150+G150)</x:f>
        <x:v>0.06724822027023014</x:v>
      </x:c>
      <x:c r="I150" s="244" t="n">
        <x:f>IF($A150="","",--(COUNTIFS('02_ツリー'!$E$5:$E$560,$A150,'02_ツリー'!$O$5:$O$560,0)=0))</x:f>
        <x:v>0</x:v>
      </x:c>
      <x:c r="J150" s="12" t="str">
        <x:f>IF($A150="","",IF(AND(B150&gt;0,C150&lt;0),"正負あり",IF(B150&gt;0,"正のみ",IF(C150&lt;0,"負のみ","ゼロ"))))</x:f>
        <x:v>正のみ</x:v>
      </x:c>
      <x:c r="K150" s="244" t="n">
        <x:f>IF($A150="","",--AND(B150&gt;0,C150&lt;0))</x:f>
        <x:v>0</x:v>
      </x:c>
      <x:c r="L150" s="244" t="n">
        <x:f>IF($A150="","",COUNTIF('02_ツリー'!$E$5:$E$560,$A150))</x:f>
        <x:v>1</x:v>
      </x:c>
      <x:c r="M150" s="244" t="n">
        <x:f>IF($A150="","",--(LEFT(A150,7)="Enable_"))</x:f>
        <x:v>0</x:v>
      </x:c>
      <x:c r="N150" s="12"/>
      <x:c r="O150" s="12"/>
      <x:c r="P150" s="12"/>
      <x:c r="Q150" s="12"/>
      <x:c r="R150" s="12"/>
      <x:c r="S150" s="12"/>
      <x:c r="T150" s="12"/>
      <x:c r="U150" s="12"/>
      <x:c r="V150" s="12"/>
      <x:c r="W150" s="12"/>
      <x:c r="X150" s="12"/>
      <x:c r="Y150" s="12"/>
    </x:row>
    <x:row r="151">
      <x:c r="A151" s="12" t="str">
        <x:f>IFERROR(INDEX('02_ツリー'!$E$5:$E$560,MATCH(ROWS($A$11:A151),'02_ツリー'!$R$5:$R$560,0)),"")</x:f>
        <x:v>Enable_SS</x:v>
      </x:c>
      <x:c r="B151" s="48" t="n">
        <x:f>IF($A151="","",SUMIFS('02_ツリー'!$K$5:$K$560,'02_ツリー'!$E$5:$E$560,$A151,'02_ツリー'!$K$5:$K$560,"&gt;0"))</x:f>
        <x:v>0</x:v>
      </x:c>
      <x:c r="C151" s="48" t="n">
        <x:f>IF($A151="","",SUMIFS('02_ツリー'!$K$5:$K$560,'02_ツリー'!$E$5:$E$560,$A151,'02_ツリー'!$K$5:$K$560,"&lt;0"))</x:f>
        <x:v>0</x:v>
      </x:c>
      <x:c r="D151" s="48" t="n">
        <x:f>IF($A151="","",B151+C151)</x:f>
        <x:v>0</x:v>
      </x:c>
      <x:c r="E151" s="48" t="n">
        <x:f>IF($A151="","",B151-C151)</x:f>
        <x:v>0</x:v>
      </x:c>
      <x:c r="F151" s="48" t="n">
        <x:f>IF($A151="","",SUMIFS('02_ツリー'!$H$5:$H$560,'02_ツリー'!$E$5:$E$560,$A151,'02_ツリー'!$K$5:$K$560,"&gt;0"))</x:f>
        <x:v>0</x:v>
      </x:c>
      <x:c r="G151" s="48" t="n">
        <x:f>IF($A151="","",-SUMIFS('02_ツリー'!$H$5:$H$560,'02_ツリー'!$E$5:$E$560,$A151,'02_ツリー'!$K$5:$K$560,"&lt;0"))</x:f>
        <x:v>0</x:v>
      </x:c>
      <x:c r="H151" s="48" t="n">
        <x:f>IF($A151="","",F151+G151)</x:f>
        <x:v>0</x:v>
      </x:c>
      <x:c r="I151" s="244" t="n">
        <x:f>IF($A151="","",--(COUNTIFS('02_ツリー'!$E$5:$E$560,$A151,'02_ツリー'!$O$5:$O$560,0)=0))</x:f>
        <x:v>1</x:v>
      </x:c>
      <x:c r="J151" s="12" t="str">
        <x:f>IF($A151="","",IF(AND(B151&gt;0,C151&lt;0),"正負あり",IF(B151&gt;0,"正のみ",IF(C151&lt;0,"負のみ","ゼロ"))))</x:f>
        <x:v>ゼロ</x:v>
      </x:c>
      <x:c r="K151" s="244" t="n">
        <x:f>IF($A151="","",--AND(B151&gt;0,C151&lt;0))</x:f>
        <x:v>0</x:v>
      </x:c>
      <x:c r="L151" s="244" t="n">
        <x:f>IF($A151="","",COUNTIF('02_ツリー'!$E$5:$E$560,$A151))</x:f>
        <x:v>2</x:v>
      </x:c>
      <x:c r="M151" s="244" t="n">
        <x:f>IF($A151="","",--(LEFT(A151,7)="Enable_"))</x:f>
        <x:v>1</x:v>
      </x:c>
      <x:c r="N151" s="12"/>
      <x:c r="O151" s="12"/>
      <x:c r="P151" s="12"/>
      <x:c r="Q151" s="12"/>
      <x:c r="R151" s="12"/>
      <x:c r="S151" s="12"/>
      <x:c r="T151" s="12"/>
      <x:c r="U151" s="12"/>
      <x:c r="V151" s="12"/>
      <x:c r="W151" s="12"/>
      <x:c r="X151" s="12"/>
      <x:c r="Y151" s="12"/>
    </x:row>
    <x:row r="152">
      <x:c r="A152" s="12" t="str">
        <x:f>IFERROR(INDEX('02_ツリー'!$E$5:$E$560,MATCH(ROWS($A$11:A152),'02_ツリー'!$R$5:$R$560,0)),"")</x:f>
        <x:v>k_ss_residual</x:v>
      </x:c>
      <x:c r="B152" s="48" t="n">
        <x:f>IF($A152="","",SUMIFS('02_ツリー'!$K$5:$K$560,'02_ツリー'!$E$5:$E$560,$A152,'02_ツリー'!$K$5:$K$560,"&gt;0"))</x:f>
        <x:v>0</x:v>
      </x:c>
      <x:c r="C152" s="48" t="n">
        <x:f>IF($A152="","",SUMIFS('02_ツリー'!$K$5:$K$560,'02_ツリー'!$E$5:$E$560,$A152,'02_ツリー'!$K$5:$K$560,"&lt;0"))</x:f>
        <x:v>0</x:v>
      </x:c>
      <x:c r="D152" s="48" t="n">
        <x:f>IF($A152="","",B152+C152)</x:f>
        <x:v>0</x:v>
      </x:c>
      <x:c r="E152" s="48" t="n">
        <x:f>IF($A152="","",B152-C152)</x:f>
        <x:v>0</x:v>
      </x:c>
      <x:c r="F152" s="48" t="n">
        <x:f>IF($A152="","",SUMIFS('02_ツリー'!$H$5:$H$560,'02_ツリー'!$E$5:$E$560,$A152,'02_ツリー'!$K$5:$K$560,"&gt;0"))</x:f>
        <x:v>0</x:v>
      </x:c>
      <x:c r="G152" s="48" t="n">
        <x:f>IF($A152="","",-SUMIFS('02_ツリー'!$H$5:$H$560,'02_ツリー'!$E$5:$E$560,$A152,'02_ツリー'!$K$5:$K$560,"&lt;0"))</x:f>
        <x:v>0</x:v>
      </x:c>
      <x:c r="H152" s="48" t="n">
        <x:f>IF($A152="","",F152+G152)</x:f>
        <x:v>0</x:v>
      </x:c>
      <x:c r="I152" s="244" t="n">
        <x:f>IF($A152="","",--(COUNTIFS('02_ツリー'!$E$5:$E$560,$A152,'02_ツリー'!$O$5:$O$560,0)=0))</x:f>
        <x:v>1</x:v>
      </x:c>
      <x:c r="J152" s="12" t="str">
        <x:f>IF($A152="","",IF(AND(B152&gt;0,C152&lt;0),"正負あり",IF(B152&gt;0,"正のみ",IF(C152&lt;0,"負のみ","ゼロ"))))</x:f>
        <x:v>ゼロ</x:v>
      </x:c>
      <x:c r="K152" s="244" t="n">
        <x:f>IF($A152="","",--AND(B152&gt;0,C152&lt;0))</x:f>
        <x:v>0</x:v>
      </x:c>
      <x:c r="L152" s="244" t="n">
        <x:f>IF($A152="","",COUNTIF('02_ツリー'!$E$5:$E$560,$A152))</x:f>
        <x:v>1</x:v>
      </x:c>
      <x:c r="M152" s="244" t="n">
        <x:f>IF($A152="","",--(LEFT(A152,7)="Enable_"))</x:f>
        <x:v>0</x:v>
      </x:c>
      <x:c r="N152" s="12"/>
      <x:c r="O152" s="12"/>
      <x:c r="P152" s="12"/>
      <x:c r="Q152" s="12"/>
      <x:c r="R152" s="12"/>
      <x:c r="S152" s="12"/>
      <x:c r="T152" s="12"/>
      <x:c r="U152" s="12"/>
      <x:c r="V152" s="12"/>
      <x:c r="W152" s="12"/>
      <x:c r="X152" s="12"/>
      <x:c r="Y152" s="12"/>
    </x:row>
    <x:row r="153">
      <x:c r="A153" s="12" t="str">
        <x:f>IFERROR(INDEX('02_ツリー'!$E$5:$E$560,MATCH(ROWS($A$11:A153),'02_ツリー'!$R$5:$R$560,0)),"")</x:f>
        <x:v>M_ss</x:v>
      </x:c>
      <x:c r="B153" s="48" t="n">
        <x:f>IF($A153="","",SUMIFS('02_ツリー'!$K$5:$K$560,'02_ツリー'!$E$5:$E$560,$A153,'02_ツリー'!$K$5:$K$560,"&gt;0"))</x:f>
        <x:v>0</x:v>
      </x:c>
      <x:c r="C153" s="48" t="n">
        <x:f>IF($A153="","",SUMIFS('02_ツリー'!$K$5:$K$560,'02_ツリー'!$E$5:$E$560,$A153,'02_ツリー'!$K$5:$K$560,"&lt;0"))</x:f>
        <x:v>0</x:v>
      </x:c>
      <x:c r="D153" s="48" t="n">
        <x:f>IF($A153="","",B153+C153)</x:f>
        <x:v>0</x:v>
      </x:c>
      <x:c r="E153" s="48" t="n">
        <x:f>IF($A153="","",B153-C153)</x:f>
        <x:v>0</x:v>
      </x:c>
      <x:c r="F153" s="48" t="n">
        <x:f>IF($A153="","",SUMIFS('02_ツリー'!$H$5:$H$560,'02_ツリー'!$E$5:$E$560,$A153,'02_ツリー'!$K$5:$K$560,"&gt;0"))</x:f>
        <x:v>0</x:v>
      </x:c>
      <x:c r="G153" s="48" t="n">
        <x:f>IF($A153="","",-SUMIFS('02_ツリー'!$H$5:$H$560,'02_ツリー'!$E$5:$E$560,$A153,'02_ツリー'!$K$5:$K$560,"&lt;0"))</x:f>
        <x:v>0</x:v>
      </x:c>
      <x:c r="H153" s="48" t="n">
        <x:f>IF($A153="","",F153+G153)</x:f>
        <x:v>0</x:v>
      </x:c>
      <x:c r="I153" s="244" t="n">
        <x:f>IF($A153="","",--(COUNTIFS('02_ツリー'!$E$5:$E$560,$A153,'02_ツリー'!$O$5:$O$560,0)=0))</x:f>
        <x:v>0</x:v>
      </x:c>
      <x:c r="J153" s="12" t="str">
        <x:f>IF($A153="","",IF(AND(B153&gt;0,C153&lt;0),"正負あり",IF(B153&gt;0,"正のみ",IF(C153&lt;0,"負のみ","ゼロ"))))</x:f>
        <x:v>ゼロ</x:v>
      </x:c>
      <x:c r="K153" s="244" t="n">
        <x:f>IF($A153="","",--AND(B153&gt;0,C153&lt;0))</x:f>
        <x:v>0</x:v>
      </x:c>
      <x:c r="L153" s="244" t="n">
        <x:f>IF($A153="","",COUNTIF('02_ツリー'!$E$5:$E$560,$A153))</x:f>
        <x:v>1</x:v>
      </x:c>
      <x:c r="M153" s="244" t="n">
        <x:f>IF($A153="","",--(LEFT(A153,7)="Enable_"))</x:f>
        <x:v>0</x:v>
      </x:c>
      <x:c r="N153" s="12"/>
      <x:c r="O153" s="12"/>
      <x:c r="P153" s="12"/>
      <x:c r="Q153" s="12"/>
      <x:c r="R153" s="12"/>
      <x:c r="S153" s="12"/>
      <x:c r="T153" s="12"/>
      <x:c r="U153" s="12"/>
      <x:c r="V153" s="12"/>
      <x:c r="W153" s="12"/>
      <x:c r="X153" s="12"/>
      <x:c r="Y153" s="12"/>
    </x:row>
    <x:row r="154">
      <x:c r="A154" s="12" t="str">
        <x:f>IFERROR(INDEX('02_ツリー'!$E$5:$E$560,MATCH(ROWS($A$11:A154),'02_ツリー'!$R$5:$R$560,0)),"")</x:f>
        <x:v>M_aux_ss</x:v>
      </x:c>
      <x:c r="B154" s="48" t="n">
        <x:f>IF($A154="","",SUMIFS('02_ツリー'!$K$5:$K$560,'02_ツリー'!$E$5:$E$560,$A154,'02_ツリー'!$K$5:$K$560,"&gt;0"))</x:f>
        <x:v>0</x:v>
      </x:c>
      <x:c r="C154" s="48" t="n">
        <x:f>IF($A154="","",SUMIFS('02_ツリー'!$K$5:$K$560,'02_ツリー'!$E$5:$E$560,$A154,'02_ツリー'!$K$5:$K$560,"&lt;0"))</x:f>
        <x:v>0</x:v>
      </x:c>
      <x:c r="D154" s="48" t="n">
        <x:f>IF($A154="","",B154+C154)</x:f>
        <x:v>0</x:v>
      </x:c>
      <x:c r="E154" s="48" t="n">
        <x:f>IF($A154="","",B154-C154)</x:f>
        <x:v>0</x:v>
      </x:c>
      <x:c r="F154" s="48" t="n">
        <x:f>IF($A154="","",SUMIFS('02_ツリー'!$H$5:$H$560,'02_ツリー'!$E$5:$E$560,$A154,'02_ツリー'!$K$5:$K$560,"&gt;0"))</x:f>
        <x:v>0</x:v>
      </x:c>
      <x:c r="G154" s="48" t="n">
        <x:f>IF($A154="","",-SUMIFS('02_ツリー'!$H$5:$H$560,'02_ツリー'!$E$5:$E$560,$A154,'02_ツリー'!$K$5:$K$560,"&lt;0"))</x:f>
        <x:v>0</x:v>
      </x:c>
      <x:c r="H154" s="48" t="n">
        <x:f>IF($A154="","",F154+G154)</x:f>
        <x:v>0</x:v>
      </x:c>
      <x:c r="I154" s="244" t="n">
        <x:f>IF($A154="","",--(COUNTIFS('02_ツリー'!$E$5:$E$560,$A154,'02_ツリー'!$O$5:$O$560,0)=0))</x:f>
        <x:v>0</x:v>
      </x:c>
      <x:c r="J154" s="12" t="str">
        <x:f>IF($A154="","",IF(AND(B154&gt;0,C154&lt;0),"正負あり",IF(B154&gt;0,"正のみ",IF(C154&lt;0,"負のみ","ゼロ"))))</x:f>
        <x:v>ゼロ</x:v>
      </x:c>
      <x:c r="K154" s="244" t="n">
        <x:f>IF($A154="","",--AND(B154&gt;0,C154&lt;0))</x:f>
        <x:v>0</x:v>
      </x:c>
      <x:c r="L154" s="244" t="n">
        <x:f>IF($A154="","",COUNTIF('02_ツリー'!$E$5:$E$560,$A154))</x:f>
        <x:v>2</x:v>
      </x:c>
      <x:c r="M154" s="244" t="n">
        <x:f>IF($A154="","",--(LEFT(A154,7)="Enable_"))</x:f>
        <x:v>0</x:v>
      </x:c>
      <x:c r="N154" s="12"/>
      <x:c r="O154" s="12"/>
      <x:c r="P154" s="12"/>
      <x:c r="Q154" s="12"/>
      <x:c r="R154" s="12"/>
      <x:c r="S154" s="12"/>
      <x:c r="T154" s="12"/>
      <x:c r="U154" s="12"/>
      <x:c r="V154" s="12"/>
      <x:c r="W154" s="12"/>
      <x:c r="X154" s="12"/>
      <x:c r="Y154" s="12"/>
    </x:row>
    <x:row r="155">
      <x:c r="A155" s="12" t="str">
        <x:f>IFERROR(INDEX('02_ツリー'!$E$5:$E$560,MATCH(ROWS($A$11:A155),'02_ツリー'!$R$5:$R$560,0)),"")</x:f>
        <x:v>N_aux_ss</x:v>
      </x:c>
      <x:c r="B155" s="48" t="n">
        <x:f>IF($A155="","",SUMIFS('02_ツリー'!$K$5:$K$560,'02_ツリー'!$E$5:$E$560,$A155,'02_ツリー'!$K$5:$K$560,"&gt;0"))</x:f>
        <x:v>0</x:v>
      </x:c>
      <x:c r="C155" s="48" t="n">
        <x:f>IF($A155="","",SUMIFS('02_ツリー'!$K$5:$K$560,'02_ツリー'!$E$5:$E$560,$A155,'02_ツリー'!$K$5:$K$560,"&lt;0"))</x:f>
        <x:v>0</x:v>
      </x:c>
      <x:c r="D155" s="48" t="n">
        <x:f>IF($A155="","",B155+C155)</x:f>
        <x:v>0</x:v>
      </x:c>
      <x:c r="E155" s="48" t="n">
        <x:f>IF($A155="","",B155-C155)</x:f>
        <x:v>0</x:v>
      </x:c>
      <x:c r="F155" s="48" t="n">
        <x:f>IF($A155="","",SUMIFS('02_ツリー'!$H$5:$H$560,'02_ツリー'!$E$5:$E$560,$A155,'02_ツリー'!$K$5:$K$560,"&gt;0"))</x:f>
        <x:v>0</x:v>
      </x:c>
      <x:c r="G155" s="48" t="n">
        <x:f>IF($A155="","",-SUMIFS('02_ツリー'!$H$5:$H$560,'02_ツリー'!$E$5:$E$560,$A155,'02_ツリー'!$K$5:$K$560,"&lt;0"))</x:f>
        <x:v>0</x:v>
      </x:c>
      <x:c r="H155" s="48" t="n">
        <x:f>IF($A155="","",F155+G155)</x:f>
        <x:v>0</x:v>
      </x:c>
      <x:c r="I155" s="244" t="n">
        <x:f>IF($A155="","",--(COUNTIFS('02_ツリー'!$E$5:$E$560,$A155,'02_ツリー'!$O$5:$O$560,0)=0))</x:f>
        <x:v>1</x:v>
      </x:c>
      <x:c r="J155" s="12" t="str">
        <x:f>IF($A155="","",IF(AND(B155&gt;0,C155&lt;0),"正負あり",IF(B155&gt;0,"正のみ",IF(C155&lt;0,"負のみ","ゼロ"))))</x:f>
        <x:v>ゼロ</x:v>
      </x:c>
      <x:c r="K155" s="244" t="n">
        <x:f>IF($A155="","",--AND(B155&gt;0,C155&lt;0))</x:f>
        <x:v>0</x:v>
      </x:c>
      <x:c r="L155" s="244" t="n">
        <x:f>IF($A155="","",COUNTIF('02_ツリー'!$E$5:$E$560,$A155))</x:f>
        <x:v>1</x:v>
      </x:c>
      <x:c r="M155" s="244" t="n">
        <x:f>IF($A155="","",--(LEFT(A155,7)="Enable_"))</x:f>
        <x:v>0</x:v>
      </x:c>
      <x:c r="N155" s="12"/>
      <x:c r="O155" s="12"/>
      <x:c r="P155" s="12"/>
      <x:c r="Q155" s="12"/>
      <x:c r="R155" s="12"/>
      <x:c r="S155" s="12"/>
      <x:c r="T155" s="12"/>
      <x:c r="U155" s="12"/>
      <x:c r="V155" s="12"/>
      <x:c r="W155" s="12"/>
      <x:c r="X155" s="12"/>
      <x:c r="Y155" s="12"/>
    </x:row>
    <x:row r="156">
      <x:c r="A156" s="12" t="str">
        <x:f>IFERROR(INDEX('02_ツリー'!$E$5:$E$560,MATCH(ROWS($A$11:A156),'02_ツリー'!$R$5:$R$560,0)),"")</x:f>
        <x:v>M_res_ss</x:v>
      </x:c>
      <x:c r="B156" s="48" t="n">
        <x:f>IF($A156="","",SUMIFS('02_ツリー'!$K$5:$K$560,'02_ツリー'!$E$5:$E$560,$A156,'02_ツリー'!$K$5:$K$560,"&gt;0"))</x:f>
        <x:v>0</x:v>
      </x:c>
      <x:c r="C156" s="48" t="n">
        <x:f>IF($A156="","",SUMIFS('02_ツリー'!$K$5:$K$560,'02_ツリー'!$E$5:$E$560,$A156,'02_ツリー'!$K$5:$K$560,"&lt;0"))</x:f>
        <x:v>0</x:v>
      </x:c>
      <x:c r="D156" s="48" t="n">
        <x:f>IF($A156="","",B156+C156)</x:f>
        <x:v>0</x:v>
      </x:c>
      <x:c r="E156" s="48" t="n">
        <x:f>IF($A156="","",B156-C156)</x:f>
        <x:v>0</x:v>
      </x:c>
      <x:c r="F156" s="48" t="n">
        <x:f>IF($A156="","",SUMIFS('02_ツリー'!$H$5:$H$560,'02_ツリー'!$E$5:$E$560,$A156,'02_ツリー'!$K$5:$K$560,"&gt;0"))</x:f>
        <x:v>0</x:v>
      </x:c>
      <x:c r="G156" s="48" t="n">
        <x:f>IF($A156="","",-SUMIFS('02_ツリー'!$H$5:$H$560,'02_ツリー'!$E$5:$E$560,$A156,'02_ツリー'!$K$5:$K$560,"&lt;0"))</x:f>
        <x:v>0</x:v>
      </x:c>
      <x:c r="H156" s="48" t="n">
        <x:f>IF($A156="","",F156+G156)</x:f>
        <x:v>0</x:v>
      </x:c>
      <x:c r="I156" s="244" t="n">
        <x:f>IF($A156="","",--(COUNTIFS('02_ツリー'!$E$5:$E$560,$A156,'02_ツリー'!$O$5:$O$560,0)=0))</x:f>
        <x:v>0</x:v>
      </x:c>
      <x:c r="J156" s="12" t="str">
        <x:f>IF($A156="","",IF(AND(B156&gt;0,C156&lt;0),"正負あり",IF(B156&gt;0,"正のみ",IF(C156&lt;0,"負のみ","ゼロ"))))</x:f>
        <x:v>ゼロ</x:v>
      </x:c>
      <x:c r="K156" s="244" t="n">
        <x:f>IF($A156="","",--AND(B156&gt;0,C156&lt;0))</x:f>
        <x:v>0</x:v>
      </x:c>
      <x:c r="L156" s="244" t="n">
        <x:f>IF($A156="","",COUNTIF('02_ツリー'!$E$5:$E$560,$A156))</x:f>
        <x:v>1</x:v>
      </x:c>
      <x:c r="M156" s="244" t="n">
        <x:f>IF($A156="","",--(LEFT(A156,7)="Enable_"))</x:f>
        <x:v>0</x:v>
      </x:c>
      <x:c r="N156" s="12"/>
      <x:c r="O156" s="12"/>
      <x:c r="P156" s="12"/>
      <x:c r="Q156" s="12"/>
      <x:c r="R156" s="12"/>
      <x:c r="S156" s="12"/>
      <x:c r="T156" s="12"/>
      <x:c r="U156" s="12"/>
      <x:c r="V156" s="12"/>
      <x:c r="W156" s="12"/>
      <x:c r="X156" s="12"/>
      <x:c r="Y156" s="12"/>
    </x:row>
    <x:row r="157">
      <x:c r="A157" s="12" t="str">
        <x:f>IFERROR(INDEX('02_ツリー'!$E$5:$E$560,MATCH(ROWS($A$11:A157),'02_ツリー'!$R$5:$R$560,0)),"")</x:f>
        <x:v>m_Lr</x:v>
      </x:c>
      <x:c r="B157" s="48" t="n">
        <x:f>IF($A157="","",SUMIFS('02_ツリー'!$K$5:$K$560,'02_ツリー'!$E$5:$E$560,$A157,'02_ツリー'!$K$5:$K$560,"&gt;0"))</x:f>
        <x:v>0</x:v>
      </x:c>
      <x:c r="C157" s="48" t="n">
        <x:f>IF($A157="","",SUMIFS('02_ツリー'!$K$5:$K$560,'02_ツリー'!$E$5:$E$560,$A157,'02_ツリー'!$K$5:$K$560,"&lt;0"))</x:f>
        <x:v>0</x:v>
      </x:c>
      <x:c r="D157" s="48" t="n">
        <x:f>IF($A157="","",B157+C157)</x:f>
        <x:v>0</x:v>
      </x:c>
      <x:c r="E157" s="48" t="n">
        <x:f>IF($A157="","",B157-C157)</x:f>
        <x:v>0</x:v>
      </x:c>
      <x:c r="F157" s="48" t="n">
        <x:f>IF($A157="","",SUMIFS('02_ツリー'!$H$5:$H$560,'02_ツリー'!$E$5:$E$560,$A157,'02_ツリー'!$K$5:$K$560,"&gt;0"))</x:f>
        <x:v>0</x:v>
      </x:c>
      <x:c r="G157" s="48" t="n">
        <x:f>IF($A157="","",-SUMIFS('02_ツリー'!$H$5:$H$560,'02_ツリー'!$E$5:$E$560,$A157,'02_ツリー'!$K$5:$K$560,"&lt;0"))</x:f>
        <x:v>0</x:v>
      </x:c>
      <x:c r="H157" s="48" t="n">
        <x:f>IF($A157="","",F157+G157)</x:f>
        <x:v>0</x:v>
      </x:c>
      <x:c r="I157" s="244" t="n">
        <x:f>IF($A157="","",--(COUNTIFS('02_ツリー'!$E$5:$E$560,$A157,'02_ツリー'!$O$5:$O$560,0)=0))</x:f>
        <x:v>0</x:v>
      </x:c>
      <x:c r="J157" s="12" t="str">
        <x:f>IF($A157="","",IF(AND(B157&gt;0,C157&lt;0),"正負あり",IF(B157&gt;0,"正のみ",IF(C157&lt;0,"負のみ","ゼロ"))))</x:f>
        <x:v>ゼロ</x:v>
      </x:c>
      <x:c r="K157" s="244" t="n">
        <x:f>IF($A157="","",--AND(B157&gt;0,C157&lt;0))</x:f>
        <x:v>0</x:v>
      </x:c>
      <x:c r="L157" s="244" t="n">
        <x:f>IF($A157="","",COUNTIF('02_ツリー'!$E$5:$E$560,$A157))</x:f>
        <x:v>1</x:v>
      </x:c>
      <x:c r="M157" s="244" t="n">
        <x:f>IF($A157="","",--(LEFT(A157,7)="Enable_"))</x:f>
        <x:v>0</x:v>
      </x:c>
      <x:c r="N157" s="12"/>
      <x:c r="O157" s="12"/>
      <x:c r="P157" s="12"/>
      <x:c r="Q157" s="12"/>
      <x:c r="R157" s="12"/>
      <x:c r="S157" s="12"/>
      <x:c r="T157" s="12"/>
      <x:c r="U157" s="12"/>
      <x:c r="V157" s="12"/>
      <x:c r="W157" s="12"/>
      <x:c r="X157" s="12"/>
      <x:c r="Y157" s="12"/>
    </x:row>
    <x:row r="158">
      <x:c r="A158" s="12" t="str">
        <x:f>IFERROR(INDEX('02_ツリー'!$E$5:$E$560,MATCH(ROWS($A$11:A158),'02_ツリー'!$R$5:$R$560,0)),"")</x:f>
        <x:v>k_mLr</x:v>
      </x:c>
      <x:c r="B158" s="48" t="n">
        <x:f>IF($A158="","",SUMIFS('02_ツリー'!$K$5:$K$560,'02_ツリー'!$E$5:$E$560,$A158,'02_ツリー'!$K$5:$K$560,"&gt;0"))</x:f>
        <x:v>0</x:v>
      </x:c>
      <x:c r="C158" s="48" t="n">
        <x:f>IF($A158="","",SUMIFS('02_ツリー'!$K$5:$K$560,'02_ツリー'!$E$5:$E$560,$A158,'02_ツリー'!$K$5:$K$560,"&lt;0"))</x:f>
        <x:v>0</x:v>
      </x:c>
      <x:c r="D158" s="48" t="n">
        <x:f>IF($A158="","",B158+C158)</x:f>
        <x:v>0</x:v>
      </x:c>
      <x:c r="E158" s="48" t="n">
        <x:f>IF($A158="","",B158-C158)</x:f>
        <x:v>0</x:v>
      </x:c>
      <x:c r="F158" s="48" t="n">
        <x:f>IF($A158="","",SUMIFS('02_ツリー'!$H$5:$H$560,'02_ツリー'!$E$5:$E$560,$A158,'02_ツリー'!$K$5:$K$560,"&gt;0"))</x:f>
        <x:v>0</x:v>
      </x:c>
      <x:c r="G158" s="48" t="n">
        <x:f>IF($A158="","",-SUMIFS('02_ツリー'!$H$5:$H$560,'02_ツリー'!$E$5:$E$560,$A158,'02_ツリー'!$K$5:$K$560,"&lt;0"))</x:f>
        <x:v>0</x:v>
      </x:c>
      <x:c r="H158" s="48" t="n">
        <x:f>IF($A158="","",F158+G158)</x:f>
        <x:v>0</x:v>
      </x:c>
      <x:c r="I158" s="244" t="n">
        <x:f>IF($A158="","",--(COUNTIFS('02_ツリー'!$E$5:$E$560,$A158,'02_ツリー'!$O$5:$O$560,0)=0))</x:f>
        <x:v>1</x:v>
      </x:c>
      <x:c r="J158" s="12" t="str">
        <x:f>IF($A158="","",IF(AND(B158&gt;0,C158&lt;0),"正負あり",IF(B158&gt;0,"正のみ",IF(C158&lt;0,"負のみ","ゼロ"))))</x:f>
        <x:v>ゼロ</x:v>
      </x:c>
      <x:c r="K158" s="244" t="n">
        <x:f>IF($A158="","",--AND(B158&gt;0,C158&lt;0))</x:f>
        <x:v>0</x:v>
      </x:c>
      <x:c r="L158" s="244" t="n">
        <x:f>IF($A158="","",COUNTIF('02_ツリー'!$E$5:$E$560,$A158))</x:f>
        <x:v>1</x:v>
      </x:c>
      <x:c r="M158" s="244" t="n">
        <x:f>IF($A158="","",--(LEFT(A158,7)="Enable_"))</x:f>
        <x:v>0</x:v>
      </x:c>
      <x:c r="N158" s="12"/>
      <x:c r="O158" s="12"/>
      <x:c r="P158" s="12"/>
      <x:c r="Q158" s="12"/>
      <x:c r="R158" s="12"/>
      <x:c r="S158" s="12"/>
      <x:c r="T158" s="12"/>
      <x:c r="U158" s="12"/>
      <x:c r="V158" s="12"/>
      <x:c r="W158" s="12"/>
      <x:c r="X158" s="12"/>
      <x:c r="Y158" s="12"/>
    </x:row>
    <x:row r="159">
      <x:c r="A159" s="12" t="str">
        <x:f>IFERROR(INDEX('02_ツリー'!$E$5:$E$560,MATCH(ROWS($A$11:A159),'02_ツリー'!$R$5:$R$560,0)),"")</x:f>
        <x:v>L_r</x:v>
      </x:c>
      <x:c r="B159" s="48" t="n">
        <x:f>IF($A159="","",SUMIFS('02_ツリー'!$K$5:$K$560,'02_ツリー'!$E$5:$E$560,$A159,'02_ツリー'!$K$5:$K$560,"&gt;0"))</x:f>
        <x:v>0</x:v>
      </x:c>
      <x:c r="C159" s="48" t="n">
        <x:f>IF($A159="","",SUMIFS('02_ツリー'!$K$5:$K$560,'02_ツリー'!$E$5:$E$560,$A159,'02_ツリー'!$K$5:$K$560,"&lt;0"))</x:f>
        <x:v>0</x:v>
      </x:c>
      <x:c r="D159" s="48" t="n">
        <x:f>IF($A159="","",B159+C159)</x:f>
        <x:v>0</x:v>
      </x:c>
      <x:c r="E159" s="48" t="n">
        <x:f>IF($A159="","",B159-C159)</x:f>
        <x:v>0</x:v>
      </x:c>
      <x:c r="F159" s="48" t="n">
        <x:f>IF($A159="","",SUMIFS('02_ツリー'!$H$5:$H$560,'02_ツリー'!$E$5:$E$560,$A159,'02_ツリー'!$K$5:$K$560,"&gt;0"))</x:f>
        <x:v>0</x:v>
      </x:c>
      <x:c r="G159" s="48" t="n">
        <x:f>IF($A159="","",-SUMIFS('02_ツリー'!$H$5:$H$560,'02_ツリー'!$E$5:$E$560,$A159,'02_ツリー'!$K$5:$K$560,"&lt;0"))</x:f>
        <x:v>0</x:v>
      </x:c>
      <x:c r="H159" s="48" t="n">
        <x:f>IF($A159="","",F159+G159)</x:f>
        <x:v>0</x:v>
      </x:c>
      <x:c r="I159" s="244" t="n">
        <x:f>IF($A159="","",--(COUNTIFS('02_ツリー'!$E$5:$E$560,$A159,'02_ツリー'!$O$5:$O$560,0)=0))</x:f>
        <x:v>0</x:v>
      </x:c>
      <x:c r="J159" s="12" t="str">
        <x:f>IF($A159="","",IF(AND(B159&gt;0,C159&lt;0),"正負あり",IF(B159&gt;0,"正のみ",IF(C159&lt;0,"負のみ","ゼロ"))))</x:f>
        <x:v>ゼロ</x:v>
      </x:c>
      <x:c r="K159" s="244" t="n">
        <x:f>IF($A159="","",--AND(B159&gt;0,C159&lt;0))</x:f>
        <x:v>0</x:v>
      </x:c>
      <x:c r="L159" s="244" t="n">
        <x:f>IF($A159="","",COUNTIF('02_ツリー'!$E$5:$E$560,$A159))</x:f>
        <x:v>1</x:v>
      </x:c>
      <x:c r="M159" s="244" t="n">
        <x:f>IF($A159="","",--(LEFT(A159,7)="Enable_"))</x:f>
        <x:v>0</x:v>
      </x:c>
      <x:c r="N159" s="12"/>
      <x:c r="O159" s="12"/>
      <x:c r="P159" s="12"/>
      <x:c r="Q159" s="12"/>
      <x:c r="R159" s="12"/>
      <x:c r="S159" s="12"/>
      <x:c r="T159" s="12"/>
      <x:c r="U159" s="12"/>
      <x:c r="V159" s="12"/>
      <x:c r="W159" s="12"/>
      <x:c r="X159" s="12"/>
      <x:c r="Y159" s="12"/>
    </x:row>
    <x:row r="160">
      <x:c r="A160" s="12" t="str">
        <x:f>IFERROR(INDEX('02_ツリー'!$E$5:$E$560,MATCH(ROWS($A$11:A160),'02_ツリー'!$R$5:$R$560,0)),"")</x:f>
        <x:v>k_Lr</x:v>
      </x:c>
      <x:c r="B160" s="48" t="n">
        <x:f>IF($A160="","",SUMIFS('02_ツリー'!$K$5:$K$560,'02_ツリー'!$E$5:$E$560,$A160,'02_ツリー'!$K$5:$K$560,"&gt;0"))</x:f>
        <x:v>0</x:v>
      </x:c>
      <x:c r="C160" s="48" t="n">
        <x:f>IF($A160="","",SUMIFS('02_ツリー'!$K$5:$K$560,'02_ツリー'!$E$5:$E$560,$A160,'02_ツリー'!$K$5:$K$560,"&lt;0"))</x:f>
        <x:v>0</x:v>
      </x:c>
      <x:c r="D160" s="48" t="n">
        <x:f>IF($A160="","",B160+C160)</x:f>
        <x:v>0</x:v>
      </x:c>
      <x:c r="E160" s="48" t="n">
        <x:f>IF($A160="","",B160-C160)</x:f>
        <x:v>0</x:v>
      </x:c>
      <x:c r="F160" s="48" t="n">
        <x:f>IF($A160="","",SUMIFS('02_ツリー'!$H$5:$H$560,'02_ツリー'!$E$5:$E$560,$A160,'02_ツリー'!$K$5:$K$560,"&gt;0"))</x:f>
        <x:v>0</x:v>
      </x:c>
      <x:c r="G160" s="48" t="n">
        <x:f>IF($A160="","",-SUMIFS('02_ツリー'!$H$5:$H$560,'02_ツリー'!$E$5:$E$560,$A160,'02_ツリー'!$K$5:$K$560,"&lt;0"))</x:f>
        <x:v>0</x:v>
      </x:c>
      <x:c r="H160" s="48" t="n">
        <x:f>IF($A160="","",F160+G160)</x:f>
        <x:v>0</x:v>
      </x:c>
      <x:c r="I160" s="244" t="n">
        <x:f>IF($A160="","",--(COUNTIFS('02_ツリー'!$E$5:$E$560,$A160,'02_ツリー'!$O$5:$O$560,0)=0))</x:f>
        <x:v>1</x:v>
      </x:c>
      <x:c r="J160" s="12" t="str">
        <x:f>IF($A160="","",IF(AND(B160&gt;0,C160&lt;0),"正負あり",IF(B160&gt;0,"正のみ",IF(C160&lt;0,"負のみ","ゼロ"))))</x:f>
        <x:v>ゼロ</x:v>
      </x:c>
      <x:c r="K160" s="244" t="n">
        <x:f>IF($A160="","",--AND(B160&gt;0,C160&lt;0))</x:f>
        <x:v>0</x:v>
      </x:c>
      <x:c r="L160" s="244" t="n">
        <x:f>IF($A160="","",COUNTIF('02_ツリー'!$E$5:$E$560,$A160))</x:f>
        <x:v>1</x:v>
      </x:c>
      <x:c r="M160" s="244" t="n">
        <x:f>IF($A160="","",--(LEFT(A160,7)="Enable_"))</x:f>
        <x:v>0</x:v>
      </x:c>
      <x:c r="N160" s="12"/>
      <x:c r="O160" s="12"/>
      <x:c r="P160" s="12"/>
      <x:c r="Q160" s="12"/>
      <x:c r="R160" s="12"/>
      <x:c r="S160" s="12"/>
      <x:c r="T160" s="12"/>
      <x:c r="U160" s="12"/>
      <x:c r="V160" s="12"/>
      <x:c r="W160" s="12"/>
      <x:c r="X160" s="12"/>
      <x:c r="Y160" s="12"/>
    </x:row>
    <x:row r="161">
      <x:c r="A161" s="12" t="str">
        <x:f>IFERROR(INDEX('02_ツリー'!$E$5:$E$560,MATCH(ROWS($A$11:A161),'02_ツリー'!$R$5:$R$560,0)),"")</x:f>
        <x:v>m_Cr</x:v>
      </x:c>
      <x:c r="B161" s="48" t="n">
        <x:f>IF($A161="","",SUMIFS('02_ツリー'!$K$5:$K$560,'02_ツリー'!$E$5:$E$560,$A161,'02_ツリー'!$K$5:$K$560,"&gt;0"))</x:f>
        <x:v>0</x:v>
      </x:c>
      <x:c r="C161" s="48" t="n">
        <x:f>IF($A161="","",SUMIFS('02_ツリー'!$K$5:$K$560,'02_ツリー'!$E$5:$E$560,$A161,'02_ツリー'!$K$5:$K$560,"&lt;0"))</x:f>
        <x:v>0</x:v>
      </x:c>
      <x:c r="D161" s="48" t="n">
        <x:f>IF($A161="","",B161+C161)</x:f>
        <x:v>0</x:v>
      </x:c>
      <x:c r="E161" s="48" t="n">
        <x:f>IF($A161="","",B161-C161)</x:f>
        <x:v>0</x:v>
      </x:c>
      <x:c r="F161" s="48" t="n">
        <x:f>IF($A161="","",SUMIFS('02_ツリー'!$H$5:$H$560,'02_ツリー'!$E$5:$E$560,$A161,'02_ツリー'!$K$5:$K$560,"&gt;0"))</x:f>
        <x:v>0</x:v>
      </x:c>
      <x:c r="G161" s="48" t="n">
        <x:f>IF($A161="","",-SUMIFS('02_ツリー'!$H$5:$H$560,'02_ツリー'!$E$5:$E$560,$A161,'02_ツリー'!$K$5:$K$560,"&lt;0"))</x:f>
        <x:v>0</x:v>
      </x:c>
      <x:c r="H161" s="48" t="n">
        <x:f>IF($A161="","",F161+G161)</x:f>
        <x:v>0</x:v>
      </x:c>
      <x:c r="I161" s="244" t="n">
        <x:f>IF($A161="","",--(COUNTIFS('02_ツリー'!$E$5:$E$560,$A161,'02_ツリー'!$O$5:$O$560,0)=0))</x:f>
        <x:v>0</x:v>
      </x:c>
      <x:c r="J161" s="12" t="str">
        <x:f>IF($A161="","",IF(AND(B161&gt;0,C161&lt;0),"正負あり",IF(B161&gt;0,"正のみ",IF(C161&lt;0,"負のみ","ゼロ"))))</x:f>
        <x:v>ゼロ</x:v>
      </x:c>
      <x:c r="K161" s="244" t="n">
        <x:f>IF($A161="","",--AND(B161&gt;0,C161&lt;0))</x:f>
        <x:v>0</x:v>
      </x:c>
      <x:c r="L161" s="244" t="n">
        <x:f>IF($A161="","",COUNTIF('02_ツリー'!$E$5:$E$560,$A161))</x:f>
        <x:v>1</x:v>
      </x:c>
      <x:c r="M161" s="244" t="n">
        <x:f>IF($A161="","",--(LEFT(A161,7)="Enable_"))</x:f>
        <x:v>0</x:v>
      </x:c>
      <x:c r="N161" s="12"/>
      <x:c r="O161" s="12"/>
      <x:c r="P161" s="12"/>
      <x:c r="Q161" s="12"/>
      <x:c r="R161" s="12"/>
      <x:c r="S161" s="12"/>
      <x:c r="T161" s="12"/>
      <x:c r="U161" s="12"/>
      <x:c r="V161" s="12"/>
      <x:c r="W161" s="12"/>
      <x:c r="X161" s="12"/>
      <x:c r="Y161" s="12"/>
    </x:row>
    <x:row r="162">
      <x:c r="A162" s="12" t="str">
        <x:f>IFERROR(INDEX('02_ツリー'!$E$5:$E$560,MATCH(ROWS($A$11:A162),'02_ツリー'!$R$5:$R$560,0)),"")</x:f>
        <x:v>k_mCr</x:v>
      </x:c>
      <x:c r="B162" s="48" t="n">
        <x:f>IF($A162="","",SUMIFS('02_ツリー'!$K$5:$K$560,'02_ツリー'!$E$5:$E$560,$A162,'02_ツリー'!$K$5:$K$560,"&gt;0"))</x:f>
        <x:v>0</x:v>
      </x:c>
      <x:c r="C162" s="48" t="n">
        <x:f>IF($A162="","",SUMIFS('02_ツリー'!$K$5:$K$560,'02_ツリー'!$E$5:$E$560,$A162,'02_ツリー'!$K$5:$K$560,"&lt;0"))</x:f>
        <x:v>0</x:v>
      </x:c>
      <x:c r="D162" s="48" t="n">
        <x:f>IF($A162="","",B162+C162)</x:f>
        <x:v>0</x:v>
      </x:c>
      <x:c r="E162" s="48" t="n">
        <x:f>IF($A162="","",B162-C162)</x:f>
        <x:v>0</x:v>
      </x:c>
      <x:c r="F162" s="48" t="n">
        <x:f>IF($A162="","",SUMIFS('02_ツリー'!$H$5:$H$560,'02_ツリー'!$E$5:$E$560,$A162,'02_ツリー'!$K$5:$K$560,"&gt;0"))</x:f>
        <x:v>0</x:v>
      </x:c>
      <x:c r="G162" s="48" t="n">
        <x:f>IF($A162="","",-SUMIFS('02_ツリー'!$H$5:$H$560,'02_ツリー'!$E$5:$E$560,$A162,'02_ツリー'!$K$5:$K$560,"&lt;0"))</x:f>
        <x:v>0</x:v>
      </x:c>
      <x:c r="H162" s="48" t="n">
        <x:f>IF($A162="","",F162+G162)</x:f>
        <x:v>0</x:v>
      </x:c>
      <x:c r="I162" s="244" t="n">
        <x:f>IF($A162="","",--(COUNTIFS('02_ツリー'!$E$5:$E$560,$A162,'02_ツリー'!$O$5:$O$560,0)=0))</x:f>
        <x:v>1</x:v>
      </x:c>
      <x:c r="J162" s="12" t="str">
        <x:f>IF($A162="","",IF(AND(B162&gt;0,C162&lt;0),"正負あり",IF(B162&gt;0,"正のみ",IF(C162&lt;0,"負のみ","ゼロ"))))</x:f>
        <x:v>ゼロ</x:v>
      </x:c>
      <x:c r="K162" s="244" t="n">
        <x:f>IF($A162="","",--AND(B162&gt;0,C162&lt;0))</x:f>
        <x:v>0</x:v>
      </x:c>
      <x:c r="L162" s="244" t="n">
        <x:f>IF($A162="","",COUNTIF('02_ツリー'!$E$5:$E$560,$A162))</x:f>
        <x:v>1</x:v>
      </x:c>
      <x:c r="M162" s="244" t="n">
        <x:f>IF($A162="","",--(LEFT(A162,7)="Enable_"))</x:f>
        <x:v>0</x:v>
      </x:c>
      <x:c r="N162" s="12"/>
      <x:c r="O162" s="12"/>
      <x:c r="P162" s="12"/>
      <x:c r="Q162" s="12"/>
      <x:c r="R162" s="12"/>
      <x:c r="S162" s="12"/>
      <x:c r="T162" s="12"/>
      <x:c r="U162" s="12"/>
      <x:c r="V162" s="12"/>
      <x:c r="W162" s="12"/>
      <x:c r="X162" s="12"/>
      <x:c r="Y162" s="12"/>
    </x:row>
    <x:row r="163">
      <x:c r="A163" s="12" t="str">
        <x:f>IFERROR(INDEX('02_ツリー'!$E$5:$E$560,MATCH(ROWS($A$11:A163),'02_ツリー'!$R$5:$R$560,0)),"")</x:f>
        <x:v>C_r</x:v>
      </x:c>
      <x:c r="B163" s="48" t="n">
        <x:f>IF($A163="","",SUMIFS('02_ツリー'!$K$5:$K$560,'02_ツリー'!$E$5:$E$560,$A163,'02_ツリー'!$K$5:$K$560,"&gt;0"))</x:f>
        <x:v>0</x:v>
      </x:c>
      <x:c r="C163" s="48" t="n">
        <x:f>IF($A163="","",SUMIFS('02_ツリー'!$K$5:$K$560,'02_ツリー'!$E$5:$E$560,$A163,'02_ツリー'!$K$5:$K$560,"&lt;0"))</x:f>
        <x:v>0</x:v>
      </x:c>
      <x:c r="D163" s="48" t="n">
        <x:f>IF($A163="","",B163+C163)</x:f>
        <x:v>0</x:v>
      </x:c>
      <x:c r="E163" s="48" t="n">
        <x:f>IF($A163="","",B163-C163)</x:f>
        <x:v>0</x:v>
      </x:c>
      <x:c r="F163" s="48" t="n">
        <x:f>IF($A163="","",SUMIFS('02_ツリー'!$H$5:$H$560,'02_ツリー'!$E$5:$E$560,$A163,'02_ツリー'!$K$5:$K$560,"&gt;0"))</x:f>
        <x:v>0</x:v>
      </x:c>
      <x:c r="G163" s="48" t="n">
        <x:f>IF($A163="","",-SUMIFS('02_ツリー'!$H$5:$H$560,'02_ツリー'!$E$5:$E$560,$A163,'02_ツリー'!$K$5:$K$560,"&lt;0"))</x:f>
        <x:v>0</x:v>
      </x:c>
      <x:c r="H163" s="48" t="n">
        <x:f>IF($A163="","",F163+G163)</x:f>
        <x:v>0</x:v>
      </x:c>
      <x:c r="I163" s="244" t="n">
        <x:f>IF($A163="","",--(COUNTIFS('02_ツリー'!$E$5:$E$560,$A163,'02_ツリー'!$O$5:$O$560,0)=0))</x:f>
        <x:v>0</x:v>
      </x:c>
      <x:c r="J163" s="12" t="str">
        <x:f>IF($A163="","",IF(AND(B163&gt;0,C163&lt;0),"正負あり",IF(B163&gt;0,"正のみ",IF(C163&lt;0,"負のみ","ゼロ"))))</x:f>
        <x:v>ゼロ</x:v>
      </x:c>
      <x:c r="K163" s="244" t="n">
        <x:f>IF($A163="","",--AND(B163&gt;0,C163&lt;0))</x:f>
        <x:v>0</x:v>
      </x:c>
      <x:c r="L163" s="244" t="n">
        <x:f>IF($A163="","",COUNTIF('02_ツリー'!$E$5:$E$560,$A163))</x:f>
        <x:v>1</x:v>
      </x:c>
      <x:c r="M163" s="244" t="n">
        <x:f>IF($A163="","",--(LEFT(A163,7)="Enable_"))</x:f>
        <x:v>0</x:v>
      </x:c>
      <x:c r="N163" s="12"/>
      <x:c r="O163" s="12"/>
      <x:c r="P163" s="12"/>
      <x:c r="Q163" s="12"/>
      <x:c r="R163" s="12"/>
      <x:c r="S163" s="12"/>
      <x:c r="T163" s="12"/>
      <x:c r="U163" s="12"/>
      <x:c r="V163" s="12"/>
      <x:c r="W163" s="12"/>
      <x:c r="X163" s="12"/>
      <x:c r="Y163" s="12"/>
    </x:row>
    <x:row r="164">
      <x:c r="A164" s="12" t="str">
        <x:f>IFERROR(INDEX('02_ツリー'!$E$5:$E$560,MATCH(ROWS($A$11:A164),'02_ツリー'!$R$5:$R$560,0)),"")</x:f>
        <x:v>k_Cr</x:v>
      </x:c>
      <x:c r="B164" s="48" t="n">
        <x:f>IF($A164="","",SUMIFS('02_ツリー'!$K$5:$K$560,'02_ツリー'!$E$5:$E$560,$A164,'02_ツリー'!$K$5:$K$560,"&gt;0"))</x:f>
        <x:v>0</x:v>
      </x:c>
      <x:c r="C164" s="48" t="n">
        <x:f>IF($A164="","",SUMIFS('02_ツリー'!$K$5:$K$560,'02_ツリー'!$E$5:$E$560,$A164,'02_ツリー'!$K$5:$K$560,"&lt;0"))</x:f>
        <x:v>0</x:v>
      </x:c>
      <x:c r="D164" s="48" t="n">
        <x:f>IF($A164="","",B164+C164)</x:f>
        <x:v>0</x:v>
      </x:c>
      <x:c r="E164" s="48" t="n">
        <x:f>IF($A164="","",B164-C164)</x:f>
        <x:v>0</x:v>
      </x:c>
      <x:c r="F164" s="48" t="n">
        <x:f>IF($A164="","",SUMIFS('02_ツリー'!$H$5:$H$560,'02_ツリー'!$E$5:$E$560,$A164,'02_ツリー'!$K$5:$K$560,"&gt;0"))</x:f>
        <x:v>0</x:v>
      </x:c>
      <x:c r="G164" s="48" t="n">
        <x:f>IF($A164="","",-SUMIFS('02_ツリー'!$H$5:$H$560,'02_ツリー'!$E$5:$E$560,$A164,'02_ツリー'!$K$5:$K$560,"&lt;0"))</x:f>
        <x:v>0</x:v>
      </x:c>
      <x:c r="H164" s="48" t="n">
        <x:f>IF($A164="","",F164+G164)</x:f>
        <x:v>0</x:v>
      </x:c>
      <x:c r="I164" s="244" t="n">
        <x:f>IF($A164="","",--(COUNTIFS('02_ツリー'!$E$5:$E$560,$A164,'02_ツリー'!$O$5:$O$560,0)=0))</x:f>
        <x:v>1</x:v>
      </x:c>
      <x:c r="J164" s="12" t="str">
        <x:f>IF($A164="","",IF(AND(B164&gt;0,C164&lt;0),"正負あり",IF(B164&gt;0,"正のみ",IF(C164&lt;0,"負のみ","ゼロ"))))</x:f>
        <x:v>ゼロ</x:v>
      </x:c>
      <x:c r="K164" s="244" t="n">
        <x:f>IF($A164="","",--AND(B164&gt;0,C164&lt;0))</x:f>
        <x:v>0</x:v>
      </x:c>
      <x:c r="L164" s="244" t="n">
        <x:f>IF($A164="","",COUNTIF('02_ツリー'!$E$5:$E$560,$A164))</x:f>
        <x:v>1</x:v>
      </x:c>
      <x:c r="M164" s="244" t="n">
        <x:f>IF($A164="","",--(LEFT(A164,7)="Enable_"))</x:f>
        <x:v>0</x:v>
      </x:c>
      <x:c r="N164" s="12"/>
      <x:c r="O164" s="12"/>
      <x:c r="P164" s="12"/>
      <x:c r="Q164" s="12"/>
      <x:c r="R164" s="12"/>
      <x:c r="S164" s="12"/>
      <x:c r="T164" s="12"/>
      <x:c r="U164" s="12"/>
      <x:c r="V164" s="12"/>
      <x:c r="W164" s="12"/>
      <x:c r="X164" s="12"/>
      <x:c r="Y164" s="12"/>
    </x:row>
    <x:row r="165">
      <x:c r="A165" s="12" t="str">
        <x:f>IFERROR(INDEX('02_ツリー'!$E$5:$E$560,MATCH(ROWS($A$11:A165),'02_ツリー'!$R$5:$R$560,0)),"")</x:f>
        <x:v>m_ctrl_ss</x:v>
      </x:c>
      <x:c r="B165" s="48" t="n">
        <x:f>IF($A165="","",SUMIFS('02_ツリー'!$K$5:$K$560,'02_ツリー'!$E$5:$E$560,$A165,'02_ツリー'!$K$5:$K$560,"&gt;0"))</x:f>
        <x:v>0</x:v>
      </x:c>
      <x:c r="C165" s="48" t="n">
        <x:f>IF($A165="","",SUMIFS('02_ツリー'!$K$5:$K$560,'02_ツリー'!$E$5:$E$560,$A165,'02_ツリー'!$K$5:$K$560,"&lt;0"))</x:f>
        <x:v>0</x:v>
      </x:c>
      <x:c r="D165" s="48" t="n">
        <x:f>IF($A165="","",B165+C165)</x:f>
        <x:v>0</x:v>
      </x:c>
      <x:c r="E165" s="48" t="n">
        <x:f>IF($A165="","",B165-C165)</x:f>
        <x:v>0</x:v>
      </x:c>
      <x:c r="F165" s="48" t="n">
        <x:f>IF($A165="","",SUMIFS('02_ツリー'!$H$5:$H$560,'02_ツリー'!$E$5:$E$560,$A165,'02_ツリー'!$K$5:$K$560,"&gt;0"))</x:f>
        <x:v>0</x:v>
      </x:c>
      <x:c r="G165" s="48" t="n">
        <x:f>IF($A165="","",-SUMIFS('02_ツリー'!$H$5:$H$560,'02_ツリー'!$E$5:$E$560,$A165,'02_ツリー'!$K$5:$K$560,"&lt;0"))</x:f>
        <x:v>0</x:v>
      </x:c>
      <x:c r="H165" s="48" t="n">
        <x:f>IF($A165="","",F165+G165)</x:f>
        <x:v>0</x:v>
      </x:c>
      <x:c r="I165" s="244" t="n">
        <x:f>IF($A165="","",--(COUNTIFS('02_ツリー'!$E$5:$E$560,$A165,'02_ツリー'!$O$5:$O$560,0)=0))</x:f>
        <x:v>1</x:v>
      </x:c>
      <x:c r="J165" s="12" t="str">
        <x:f>IF($A165="","",IF(AND(B165&gt;0,C165&lt;0),"正負あり",IF(B165&gt;0,"正のみ",IF(C165&lt;0,"負のみ","ゼロ"))))</x:f>
        <x:v>ゼロ</x:v>
      </x:c>
      <x:c r="K165" s="244" t="n">
        <x:f>IF($A165="","",--AND(B165&gt;0,C165&lt;0))</x:f>
        <x:v>0</x:v>
      </x:c>
      <x:c r="L165" s="244" t="n">
        <x:f>IF($A165="","",COUNTIF('02_ツリー'!$E$5:$E$560,$A165))</x:f>
        <x:v>1</x:v>
      </x:c>
      <x:c r="M165" s="244" t="n">
        <x:f>IF($A165="","",--(LEFT(A165,7)="Enable_"))</x:f>
        <x:v>0</x:v>
      </x:c>
      <x:c r="N165" s="12"/>
      <x:c r="O165" s="12"/>
      <x:c r="P165" s="12"/>
      <x:c r="Q165" s="12"/>
      <x:c r="R165" s="12"/>
      <x:c r="S165" s="12"/>
      <x:c r="T165" s="12"/>
      <x:c r="U165" s="12"/>
      <x:c r="V165" s="12"/>
      <x:c r="W165" s="12"/>
      <x:c r="X165" s="12"/>
      <x:c r="Y165" s="12"/>
    </x:row>
    <x:row r="166">
      <x:c r="A166" s="12" t="str">
        <x:f>IFERROR(INDEX('02_ツリー'!$E$5:$E$560,MATCH(ROWS($A$11:A166),'02_ツリー'!$R$5:$R$560,0)),"")</x:f>
        <x:v>L_dbc</x:v>
      </x:c>
      <x:c r="B166" s="48" t="n">
        <x:f>IF($A166="","",SUMIFS('02_ツリー'!$K$5:$K$560,'02_ツリー'!$E$5:$E$560,$A166,'02_ツリー'!$K$5:$K$560,"&gt;0"))</x:f>
        <x:v>0.010364066658724485</x:v>
      </x:c>
      <x:c r="C166" s="48" t="n">
        <x:f>IF($A166="","",SUMIFS('02_ツリー'!$K$5:$K$560,'02_ツリー'!$E$5:$E$560,$A166,'02_ツリー'!$K$5:$K$560,"&lt;0"))</x:f>
        <x:v>0</x:v>
      </x:c>
      <x:c r="D166" s="48" t="n">
        <x:f>IF($A166="","",B166+C166)</x:f>
        <x:v>0.010364066658724485</x:v>
      </x:c>
      <x:c r="E166" s="48" t="n">
        <x:f>IF($A166="","",B166-C166)</x:f>
        <x:v>0.010364066658724485</x:v>
      </x:c>
      <x:c r="F166" s="48" t="n">
        <x:f>IF($A166="","",SUMIFS('02_ツリー'!$H$5:$H$560,'02_ツリー'!$E$5:$E$560,$A166,'02_ツリー'!$K$5:$K$560,"&gt;0"))</x:f>
        <x:v>0.092736</x:v>
      </x:c>
      <x:c r="G166" s="48" t="n">
        <x:f>IF($A166="","",-SUMIFS('02_ツリー'!$H$5:$H$560,'02_ツリー'!$E$5:$E$560,$A166,'02_ツリー'!$K$5:$K$560,"&lt;0"))</x:f>
        <x:v>0</x:v>
      </x:c>
      <x:c r="H166" s="48" t="n">
        <x:f>IF($A166="","",F166+G166)</x:f>
        <x:v>0.092736</x:v>
      </x:c>
      <x:c r="I166" s="244" t="n">
        <x:f>IF($A166="","",--(COUNTIFS('02_ツリー'!$E$5:$E$560,$A166,'02_ツリー'!$O$5:$O$560,0)=0))</x:f>
        <x:v>1</x:v>
      </x:c>
      <x:c r="J166" s="12" t="str">
        <x:f>IF($A166="","",IF(AND(B166&gt;0,C166&lt;0),"正負あり",IF(B166&gt;0,"正のみ",IF(C166&lt;0,"負のみ","ゼロ"))))</x:f>
        <x:v>正のみ</x:v>
      </x:c>
      <x:c r="K166" s="244" t="n">
        <x:f>IF($A166="","",--AND(B166&gt;0,C166&lt;0))</x:f>
        <x:v>0</x:v>
      </x:c>
      <x:c r="L166" s="244" t="n">
        <x:f>IF($A166="","",COUNTIF('02_ツリー'!$E$5:$E$560,$A166))</x:f>
        <x:v>1</x:v>
      </x:c>
      <x:c r="M166" s="244" t="n">
        <x:f>IF($A166="","",--(LEFT(A166,7)="Enable_"))</x:f>
        <x:v>0</x:v>
      </x:c>
      <x:c r="N166" s="12"/>
      <x:c r="O166" s="12"/>
      <x:c r="P166" s="12"/>
      <x:c r="Q166" s="12"/>
      <x:c r="R166" s="12"/>
      <x:c r="S166" s="12"/>
      <x:c r="T166" s="12"/>
      <x:c r="U166" s="12"/>
      <x:c r="V166" s="12"/>
      <x:c r="W166" s="12"/>
      <x:c r="X166" s="12"/>
      <x:c r="Y166" s="12"/>
    </x:row>
    <x:row r="167">
      <x:c r="A167" s="12" t="str">
        <x:f>IFERROR(INDEX('02_ツリー'!$E$5:$E$560,MATCH(ROWS($A$11:A167),'02_ツリー'!$R$5:$R$560,0)),"")</x:f>
        <x:v>W_dbc</x:v>
      </x:c>
      <x:c r="B167" s="48" t="n">
        <x:f>IF($A167="","",SUMIFS('02_ツリー'!$K$5:$K$560,'02_ツリー'!$E$5:$E$560,$A167,'02_ツリー'!$K$5:$K$560,"&gt;0"))</x:f>
        <x:v>0.010364066658724485</x:v>
      </x:c>
      <x:c r="C167" s="48" t="n">
        <x:f>IF($A167="","",SUMIFS('02_ツリー'!$K$5:$K$560,'02_ツリー'!$E$5:$E$560,$A167,'02_ツリー'!$K$5:$K$560,"&lt;0"))</x:f>
        <x:v>0</x:v>
      </x:c>
      <x:c r="D167" s="48" t="n">
        <x:f>IF($A167="","",B167+C167)</x:f>
        <x:v>0.010364066658724485</x:v>
      </x:c>
      <x:c r="E167" s="48" t="n">
        <x:f>IF($A167="","",B167-C167)</x:f>
        <x:v>0.010364066658724485</x:v>
      </x:c>
      <x:c r="F167" s="48" t="n">
        <x:f>IF($A167="","",SUMIFS('02_ツリー'!$H$5:$H$560,'02_ツリー'!$E$5:$E$560,$A167,'02_ツリー'!$K$5:$K$560,"&gt;0"))</x:f>
        <x:v>0.092736</x:v>
      </x:c>
      <x:c r="G167" s="48" t="n">
        <x:f>IF($A167="","",-SUMIFS('02_ツリー'!$H$5:$H$560,'02_ツリー'!$E$5:$E$560,$A167,'02_ツリー'!$K$5:$K$560,"&lt;0"))</x:f>
        <x:v>0</x:v>
      </x:c>
      <x:c r="H167" s="48" t="n">
        <x:f>IF($A167="","",F167+G167)</x:f>
        <x:v>0.092736</x:v>
      </x:c>
      <x:c r="I167" s="244" t="n">
        <x:f>IF($A167="","",--(COUNTIFS('02_ツリー'!$E$5:$E$560,$A167,'02_ツリー'!$O$5:$O$560,0)=0))</x:f>
        <x:v>1</x:v>
      </x:c>
      <x:c r="J167" s="12" t="str">
        <x:f>IF($A167="","",IF(AND(B167&gt;0,C167&lt;0),"正負あり",IF(B167&gt;0,"正のみ",IF(C167&lt;0,"負のみ","ゼロ"))))</x:f>
        <x:v>正のみ</x:v>
      </x:c>
      <x:c r="K167" s="244" t="n">
        <x:f>IF($A167="","",--AND(B167&gt;0,C167&lt;0))</x:f>
        <x:v>0</x:v>
      </x:c>
      <x:c r="L167" s="244" t="n">
        <x:f>IF($A167="","",COUNTIF('02_ツリー'!$E$5:$E$560,$A167))</x:f>
        <x:v>1</x:v>
      </x:c>
      <x:c r="M167" s="244" t="n">
        <x:f>IF($A167="","",--(LEFT(A167,7)="Enable_"))</x:f>
        <x:v>0</x:v>
      </x:c>
      <x:c r="N167" s="12"/>
      <x:c r="O167" s="12"/>
      <x:c r="P167" s="12"/>
      <x:c r="Q167" s="12"/>
      <x:c r="R167" s="12"/>
      <x:c r="S167" s="12"/>
      <x:c r="T167" s="12"/>
      <x:c r="U167" s="12"/>
      <x:c r="V167" s="12"/>
      <x:c r="W167" s="12"/>
      <x:c r="X167" s="12"/>
      <x:c r="Y167" s="12"/>
    </x:row>
    <x:row r="168">
      <x:c r="A168" s="12" t="str">
        <x:f>IFERROR(INDEX('02_ツリー'!$E$5:$E$560,MATCH(ROWS($A$11:A168),'02_ツリー'!$R$5:$R$560,0)),"")</x:f>
        <x:v>t_cu_top</x:v>
      </x:c>
      <x:c r="B168" s="48" t="n">
        <x:f>IF($A168="","",SUMIFS('02_ツリー'!$K$5:$K$560,'02_ツリー'!$E$5:$E$560,$A168,'02_ツリー'!$K$5:$K$560,"&gt;0"))</x:f>
        <x:v>0.007719475285601174</x:v>
      </x:c>
      <x:c r="C168" s="48" t="n">
        <x:f>IF($A168="","",SUMIFS('02_ツリー'!$K$5:$K$560,'02_ツリー'!$E$5:$E$560,$A168,'02_ツリー'!$K$5:$K$560,"&lt;0"))</x:f>
        <x:v>-0.0033795869539318974</x:v>
      </x:c>
      <x:c r="D168" s="48" t="n">
        <x:f>IF($A168="","",B168+C168)</x:f>
        <x:v>0.004339888331669276</x:v>
      </x:c>
      <x:c r="E168" s="48" t="n">
        <x:f>IF($A168="","",B168-C168)</x:f>
        <x:v>0.01109906223953307</x:v>
      </x:c>
      <x:c r="F168" s="48" t="n">
        <x:f>IF($A168="","",SUMIFS('02_ツリー'!$H$5:$H$560,'02_ツリー'!$E$5:$E$560,$A168,'02_ツリー'!$K$5:$K$560,"&gt;0"))</x:f>
        <x:v>0.06907262213359922</x:v>
      </x:c>
      <x:c r="G168" s="48" t="n">
        <x:f>IF($A168="","",-SUMIFS('02_ツリー'!$H$5:$H$560,'02_ツリー'!$E$5:$E$560,$A168,'02_ツリー'!$K$5:$K$560,"&lt;0"))</x:f>
        <x:v>-0.030240000000000003</x:v>
      </x:c>
      <x:c r="H168" s="48" t="n">
        <x:f>IF($A168="","",F168+G168)</x:f>
        <x:v>0.03883262213359921</x:v>
      </x:c>
      <x:c r="I168" s="244" t="n">
        <x:f>IF($A168="","",--(COUNTIFS('02_ツリー'!$E$5:$E$560,$A168,'02_ツリー'!$O$5:$O$560,0)=0))</x:f>
        <x:v>1</x:v>
      </x:c>
      <x:c r="J168" s="12" t="str">
        <x:f>IF($A168="","",IF(AND(B168&gt;0,C168&lt;0),"正負あり",IF(B168&gt;0,"正のみ",IF(C168&lt;0,"負のみ","ゼロ"))))</x:f>
        <x:v>正負あり</x:v>
      </x:c>
      <x:c r="K168" s="244" t="n">
        <x:f>IF($A168="","",--AND(B168&gt;0,C168&lt;0))</x:f>
        <x:v>1</x:v>
      </x:c>
      <x:c r="L168" s="244" t="n">
        <x:f>IF($A168="","",COUNTIF('02_ツリー'!$E$5:$E$560,$A168))</x:f>
        <x:v>3</x:v>
      </x:c>
      <x:c r="M168" s="244" t="n">
        <x:f>IF($A168="","",--(LEFT(A168,7)="Enable_"))</x:f>
        <x:v>0</x:v>
      </x:c>
      <x:c r="N168" s="12"/>
      <x:c r="O168" s="12"/>
      <x:c r="P168" s="12"/>
      <x:c r="Q168" s="12"/>
      <x:c r="R168" s="12"/>
      <x:c r="S168" s="12"/>
      <x:c r="T168" s="12"/>
      <x:c r="U168" s="12"/>
      <x:c r="V168" s="12"/>
      <x:c r="W168" s="12"/>
      <x:c r="X168" s="12"/>
      <x:c r="Y168" s="12"/>
    </x:row>
    <x:row r="169">
      <x:c r="A169" s="12" t="str">
        <x:f>IFERROR(INDEX('02_ツリー'!$E$5:$E$560,MATCH(ROWS($A$11:A169),'02_ツリー'!$R$5:$R$560,0)),"")</x:f>
        <x:v>t_cer</x:v>
      </x:c>
      <x:c r="B169" s="48" t="n">
        <x:f>IF($A169="","",SUMIFS('02_ツリー'!$K$5:$K$560,'02_ツリー'!$E$5:$E$560,$A169,'02_ツリー'!$K$5:$K$560,"&gt;0"))</x:f>
        <x:v>0.0052891827462466234</x:v>
      </x:c>
      <x:c r="C169" s="48" t="n">
        <x:f>IF($A169="","",SUMIFS('02_ツリー'!$K$5:$K$560,'02_ツリー'!$E$5:$E$560,$A169,'02_ツリー'!$K$5:$K$560,"&lt;0"))</x:f>
        <x:v>-0.0036048927508606906</x:v>
      </x:c>
      <x:c r="D169" s="48" t="n">
        <x:f>IF($A169="","",B169+C169)</x:f>
        <x:v>0.0016842899953859328</x:v>
      </x:c>
      <x:c r="E169" s="48" t="n">
        <x:f>IF($A169="","",B169-C169)</x:f>
        <x:v>0.008894075497107315</x:v>
      </x:c>
      <x:c r="F169" s="48" t="n">
        <x:f>IF($A169="","",SUMIFS('02_ツリー'!$H$5:$H$560,'02_ツリー'!$E$5:$E$560,$A169,'02_ツリー'!$K$5:$K$560,"&gt;0"))</x:f>
        <x:v>0.047326755732801595</x:v>
      </x:c>
      <x:c r="G169" s="48" t="n">
        <x:f>IF($A169="","",-SUMIFS('02_ツリー'!$H$5:$H$560,'02_ツリー'!$E$5:$E$560,$A169,'02_ツリー'!$K$5:$K$560,"&lt;0"))</x:f>
        <x:v>-0.032256</x:v>
      </x:c>
      <x:c r="H169" s="48" t="n">
        <x:f>IF($A169="","",F169+G169)</x:f>
        <x:v>0.015070755732801595</x:v>
      </x:c>
      <x:c r="I169" s="244" t="n">
        <x:f>IF($A169="","",--(COUNTIFS('02_ツリー'!$E$5:$E$560,$A169,'02_ツリー'!$O$5:$O$560,0)=0))</x:f>
        <x:v>1</x:v>
      </x:c>
      <x:c r="J169" s="12" t="str">
        <x:f>IF($A169="","",IF(AND(B169&gt;0,C169&lt;0),"正負あり",IF(B169&gt;0,"正のみ",IF(C169&lt;0,"負のみ","ゼロ"))))</x:f>
        <x:v>正負あり</x:v>
      </x:c>
      <x:c r="K169" s="244" t="n">
        <x:f>IF($A169="","",--AND(B169&gt;0,C169&lt;0))</x:f>
        <x:v>1</x:v>
      </x:c>
      <x:c r="L169" s="244" t="n">
        <x:f>IF($A169="","",COUNTIF('02_ツリー'!$E$5:$E$560,$A169))</x:f>
        <x:v>3</x:v>
      </x:c>
      <x:c r="M169" s="244" t="n">
        <x:f>IF($A169="","",--(LEFT(A169,7)="Enable_"))</x:f>
        <x:v>0</x:v>
      </x:c>
      <x:c r="N169" s="12"/>
      <x:c r="O169" s="12"/>
      <x:c r="P169" s="12"/>
      <x:c r="Q169" s="12"/>
      <x:c r="R169" s="12"/>
      <x:c r="S169" s="12"/>
      <x:c r="T169" s="12"/>
      <x:c r="U169" s="12"/>
      <x:c r="V169" s="12"/>
      <x:c r="W169" s="12"/>
      <x:c r="X169" s="12"/>
      <x:c r="Y169" s="12"/>
    </x:row>
    <x:row r="170">
      <x:c r="A170" s="12" t="str">
        <x:f>IFERROR(INDEX('02_ツリー'!$E$5:$E$560,MATCH(ROWS($A$11:A170),'02_ツリー'!$R$5:$R$560,0)),"")</x:f>
        <x:v>t_cu_bot</x:v>
      </x:c>
      <x:c r="B170" s="48" t="n">
        <x:f>IF($A170="","",SUMIFS('02_ツリー'!$K$5:$K$560,'02_ツリー'!$E$5:$E$560,$A170,'02_ツリー'!$K$5:$K$560,"&gt;0"))</x:f>
        <x:v>0.007719475285601174</x:v>
      </x:c>
      <x:c r="C170" s="48" t="n">
        <x:f>IF($A170="","",SUMIFS('02_ツリー'!$K$5:$K$560,'02_ツリー'!$E$5:$E$560,$A170,'02_ツリー'!$K$5:$K$560,"&lt;0"))</x:f>
        <x:v>-0.0033795869539318974</x:v>
      </x:c>
      <x:c r="D170" s="48" t="n">
        <x:f>IF($A170="","",B170+C170)</x:f>
        <x:v>0.004339888331669276</x:v>
      </x:c>
      <x:c r="E170" s="48" t="n">
        <x:f>IF($A170="","",B170-C170)</x:f>
        <x:v>0.01109906223953307</x:v>
      </x:c>
      <x:c r="F170" s="48" t="n">
        <x:f>IF($A170="","",SUMIFS('02_ツリー'!$H$5:$H$560,'02_ツリー'!$E$5:$E$560,$A170,'02_ツリー'!$K$5:$K$560,"&gt;0"))</x:f>
        <x:v>0.06907262213359922</x:v>
      </x:c>
      <x:c r="G170" s="48" t="n">
        <x:f>IF($A170="","",-SUMIFS('02_ツリー'!$H$5:$H$560,'02_ツリー'!$E$5:$E$560,$A170,'02_ツリー'!$K$5:$K$560,"&lt;0"))</x:f>
        <x:v>-0.030240000000000003</x:v>
      </x:c>
      <x:c r="H170" s="48" t="n">
        <x:f>IF($A170="","",F170+G170)</x:f>
        <x:v>0.03883262213359921</x:v>
      </x:c>
      <x:c r="I170" s="244" t="n">
        <x:f>IF($A170="","",--(COUNTIFS('02_ツリー'!$E$5:$E$560,$A170,'02_ツリー'!$O$5:$O$560,0)=0))</x:f>
        <x:v>1</x:v>
      </x:c>
      <x:c r="J170" s="12" t="str">
        <x:f>IF($A170="","",IF(AND(B170&gt;0,C170&lt;0),"正負あり",IF(B170&gt;0,"正のみ",IF(C170&lt;0,"負のみ","ゼロ"))))</x:f>
        <x:v>正負あり</x:v>
      </x:c>
      <x:c r="K170" s="244" t="n">
        <x:f>IF($A170="","",--AND(B170&gt;0,C170&lt;0))</x:f>
        <x:v>1</x:v>
      </x:c>
      <x:c r="L170" s="244" t="n">
        <x:f>IF($A170="","",COUNTIF('02_ツリー'!$E$5:$E$560,$A170))</x:f>
        <x:v>3</x:v>
      </x:c>
      <x:c r="M170" s="244" t="n">
        <x:f>IF($A170="","",--(LEFT(A170,7)="Enable_"))</x:f>
        <x:v>0</x:v>
      </x:c>
      <x:c r="N170" s="12"/>
      <x:c r="O170" s="12"/>
      <x:c r="P170" s="12"/>
      <x:c r="Q170" s="12"/>
      <x:c r="R170" s="12"/>
      <x:c r="S170" s="12"/>
      <x:c r="T170" s="12"/>
      <x:c r="U170" s="12"/>
      <x:c r="V170" s="12"/>
      <x:c r="W170" s="12"/>
      <x:c r="X170" s="12"/>
      <x:c r="Y170" s="12"/>
    </x:row>
    <x:row r="171">
      <x:c r="A171" s="12" t="str">
        <x:f>IFERROR(INDEX('02_ツリー'!$E$5:$E$560,MATCH(ROWS($A$11:A171),'02_ツリー'!$R$5:$R$560,0)),"")</x:f>
        <x:v>rho_cu</x:v>
      </x:c>
      <x:c r="B171" s="48" t="n">
        <x:f>IF($A171="","",SUMIFS('02_ツリー'!$K$5:$K$560,'02_ツリー'!$E$5:$E$560,$A171,'02_ツリー'!$K$5:$K$560,"&gt;0"))</x:f>
        <x:v>0.008679776663338553</x:v>
      </x:c>
      <x:c r="C171" s="48" t="n">
        <x:f>IF($A171="","",SUMIFS('02_ツリー'!$K$5:$K$560,'02_ツリー'!$E$5:$E$560,$A171,'02_ツリー'!$K$5:$K$560,"&lt;0"))</x:f>
        <x:v>0</x:v>
      </x:c>
      <x:c r="D171" s="48" t="n">
        <x:f>IF($A171="","",B171+C171)</x:f>
        <x:v>0.008679776663338553</x:v>
      </x:c>
      <x:c r="E171" s="48" t="n">
        <x:f>IF($A171="","",B171-C171)</x:f>
        <x:v>0.008679776663338553</x:v>
      </x:c>
      <x:c r="F171" s="48" t="n">
        <x:f>IF($A171="","",SUMIFS('02_ツリー'!$H$5:$H$560,'02_ツリー'!$E$5:$E$560,$A171,'02_ツリー'!$K$5:$K$560,"&gt;0"))</x:f>
        <x:v>0.07766524426719841</x:v>
      </x:c>
      <x:c r="G171" s="48" t="n">
        <x:f>IF($A171="","",-SUMIFS('02_ツリー'!$H$5:$H$560,'02_ツリー'!$E$5:$E$560,$A171,'02_ツリー'!$K$5:$K$560,"&lt;0"))</x:f>
        <x:v>0</x:v>
      </x:c>
      <x:c r="H171" s="48" t="n">
        <x:f>IF($A171="","",F171+G171)</x:f>
        <x:v>0.07766524426719841</x:v>
      </x:c>
      <x:c r="I171" s="244" t="n">
        <x:f>IF($A171="","",--(COUNTIFS('02_ツリー'!$E$5:$E$560,$A171,'02_ツリー'!$O$5:$O$560,0)=0))</x:f>
        <x:v>1</x:v>
      </x:c>
      <x:c r="J171" s="12" t="str">
        <x:f>IF($A171="","",IF(AND(B171&gt;0,C171&lt;0),"正負あり",IF(B171&gt;0,"正のみ",IF(C171&lt;0,"負のみ","ゼロ"))))</x:f>
        <x:v>正のみ</x:v>
      </x:c>
      <x:c r="K171" s="244" t="n">
        <x:f>IF($A171="","",--AND(B171&gt;0,C171&lt;0))</x:f>
        <x:v>0</x:v>
      </x:c>
      <x:c r="L171" s="244" t="n">
        <x:f>IF($A171="","",COUNTIF('02_ツリー'!$E$5:$E$560,$A171))</x:f>
        <x:v>1</x:v>
      </x:c>
      <x:c r="M171" s="244" t="n">
        <x:f>IF($A171="","",--(LEFT(A171,7)="Enable_"))</x:f>
        <x:v>0</x:v>
      </x:c>
      <x:c r="N171" s="12"/>
      <x:c r="O171" s="12"/>
      <x:c r="P171" s="12"/>
      <x:c r="Q171" s="12"/>
      <x:c r="R171" s="12"/>
      <x:c r="S171" s="12"/>
      <x:c r="T171" s="12"/>
      <x:c r="U171" s="12"/>
      <x:c r="V171" s="12"/>
      <x:c r="W171" s="12"/>
      <x:c r="X171" s="12"/>
      <x:c r="Y171" s="12"/>
    </x:row>
    <x:row r="172">
      <x:c r="A172" s="12" t="str">
        <x:f>IFERROR(INDEX('02_ツリー'!$E$5:$E$560,MATCH(ROWS($A$11:A172),'02_ツリー'!$R$5:$R$560,0)),"")</x:f>
        <x:v>rho_cer</x:v>
      </x:c>
      <x:c r="B172" s="48" t="n">
        <x:f>IF($A172="","",SUMIFS('02_ツリー'!$K$5:$K$560,'02_ツリー'!$E$5:$E$560,$A172,'02_ツリー'!$K$5:$K$560,"&gt;0"))</x:f>
        <x:v>0.0016842899953859332</x:v>
      </x:c>
      <x:c r="C172" s="48" t="n">
        <x:f>IF($A172="","",SUMIFS('02_ツリー'!$K$5:$K$560,'02_ツリー'!$E$5:$E$560,$A172,'02_ツリー'!$K$5:$K$560,"&lt;0"))</x:f>
        <x:v>0</x:v>
      </x:c>
      <x:c r="D172" s="48" t="n">
        <x:f>IF($A172="","",B172+C172)</x:f>
        <x:v>0.0016842899953859332</x:v>
      </x:c>
      <x:c r="E172" s="48" t="n">
        <x:f>IF($A172="","",B172-C172)</x:f>
        <x:v>0.0016842899953859332</x:v>
      </x:c>
      <x:c r="F172" s="48" t="n">
        <x:f>IF($A172="","",SUMIFS('02_ツリー'!$H$5:$H$560,'02_ツリー'!$E$5:$E$560,$A172,'02_ツリー'!$K$5:$K$560,"&gt;0"))</x:f>
        <x:v>0.015070755732801595</x:v>
      </x:c>
      <x:c r="G172" s="48" t="n">
        <x:f>IF($A172="","",-SUMIFS('02_ツリー'!$H$5:$H$560,'02_ツリー'!$E$5:$E$560,$A172,'02_ツリー'!$K$5:$K$560,"&lt;0"))</x:f>
        <x:v>0</x:v>
      </x:c>
      <x:c r="H172" s="48" t="n">
        <x:f>IF($A172="","",F172+G172)</x:f>
        <x:v>0.015070755732801595</x:v>
      </x:c>
      <x:c r="I172" s="244" t="n">
        <x:f>IF($A172="","",--(COUNTIFS('02_ツリー'!$E$5:$E$560,$A172,'02_ツリー'!$O$5:$O$560,0)=0))</x:f>
        <x:v>1</x:v>
      </x:c>
      <x:c r="J172" s="12" t="str">
        <x:f>IF($A172="","",IF(AND(B172&gt;0,C172&lt;0),"正負あり",IF(B172&gt;0,"正のみ",IF(C172&lt;0,"負のみ","ゼロ"))))</x:f>
        <x:v>正のみ</x:v>
      </x:c>
      <x:c r="K172" s="244" t="n">
        <x:f>IF($A172="","",--AND(B172&gt;0,C172&lt;0))</x:f>
        <x:v>0</x:v>
      </x:c>
      <x:c r="L172" s="244" t="n">
        <x:f>IF($A172="","",COUNTIF('02_ツリー'!$E$5:$E$560,$A172))</x:f>
        <x:v>1</x:v>
      </x:c>
      <x:c r="M172" s="244" t="n">
        <x:f>IF($A172="","",--(LEFT(A172,7)="Enable_"))</x:f>
        <x:v>0</x:v>
      </x:c>
      <x:c r="N172" s="12"/>
      <x:c r="O172" s="12"/>
      <x:c r="P172" s="12"/>
      <x:c r="Q172" s="12"/>
      <x:c r="R172" s="12"/>
      <x:c r="S172" s="12"/>
      <x:c r="T172" s="12"/>
      <x:c r="U172" s="12"/>
      <x:c r="V172" s="12"/>
      <x:c r="W172" s="12"/>
      <x:c r="X172" s="12"/>
      <x:c r="Y172" s="12"/>
    </x:row>
    <x:row r="173">
      <x:c r="A173" s="12" t="str">
        <x:f>IFERROR(INDEX('02_ツリー'!$E$5:$E$560,MATCH(ROWS($A$11:A173),'02_ツリー'!$R$5:$R$560,0)),"")</x:f>
        <x:v>L_base</x:v>
      </x:c>
      <x:c r="B173" s="48" t="n">
        <x:f>IF($A173="","",SUMIFS('02_ツリー'!$K$5:$K$560,'02_ツリー'!$E$5:$E$560,$A173,'02_ツリー'!$K$5:$K$560,"&gt;0"))</x:f>
        <x:v>0.05431479033104835</x:v>
      </x:c>
      <x:c r="C173" s="48" t="n">
        <x:f>IF($A173="","",SUMIFS('02_ツリー'!$K$5:$K$560,'02_ツリー'!$E$5:$E$560,$A173,'02_ツリー'!$K$5:$K$560,"&lt;0"))</x:f>
        <x:v>0</x:v>
      </x:c>
      <x:c r="D173" s="48" t="n">
        <x:f>IF($A173="","",B173+C173)</x:f>
        <x:v>0.05431479033104835</x:v>
      </x:c>
      <x:c r="E173" s="48" t="n">
        <x:f>IF($A173="","",B173-C173)</x:f>
        <x:v>0.05431479033104835</x:v>
      </x:c>
      <x:c r="F173" s="48" t="n">
        <x:f>IF($A173="","",SUMIFS('02_ツリー'!$H$5:$H$560,'02_ツリー'!$E$5:$E$560,$A173,'02_ツリー'!$K$5:$K$560,"&gt;0"))</x:f>
        <x:v>0.48600000000000004</x:v>
      </x:c>
      <x:c r="G173" s="48" t="n">
        <x:f>IF($A173="","",-SUMIFS('02_ツリー'!$H$5:$H$560,'02_ツリー'!$E$5:$E$560,$A173,'02_ツリー'!$K$5:$K$560,"&lt;0"))</x:f>
        <x:v>0</x:v>
      </x:c>
      <x:c r="H173" s="48" t="n">
        <x:f>IF($A173="","",F173+G173)</x:f>
        <x:v>0.48600000000000004</x:v>
      </x:c>
      <x:c r="I173" s="244" t="n">
        <x:f>IF($A173="","",--(COUNTIFS('02_ツリー'!$E$5:$E$560,$A173,'02_ツリー'!$O$5:$O$560,0)=0))</x:f>
        <x:v>1</x:v>
      </x:c>
      <x:c r="J173" s="12" t="str">
        <x:f>IF($A173="","",IF(AND(B173&gt;0,C173&lt;0),"正負あり",IF(B173&gt;0,"正のみ",IF(C173&lt;0,"負のみ","ゼロ"))))</x:f>
        <x:v>正のみ</x:v>
      </x:c>
      <x:c r="K173" s="244" t="n">
        <x:f>IF($A173="","",--AND(B173&gt;0,C173&lt;0))</x:f>
        <x:v>0</x:v>
      </x:c>
      <x:c r="L173" s="244" t="n">
        <x:f>IF($A173="","",COUNTIF('02_ツリー'!$E$5:$E$560,$A173))</x:f>
        <x:v>2</x:v>
      </x:c>
      <x:c r="M173" s="244" t="n">
        <x:f>IF($A173="","",--(LEFT(A173,7)="Enable_"))</x:f>
        <x:v>0</x:v>
      </x:c>
      <x:c r="N173" s="12"/>
      <x:c r="O173" s="12"/>
      <x:c r="P173" s="12"/>
      <x:c r="Q173" s="12"/>
      <x:c r="R173" s="12"/>
      <x:c r="S173" s="12"/>
      <x:c r="T173" s="12"/>
      <x:c r="U173" s="12"/>
      <x:c r="V173" s="12"/>
      <x:c r="W173" s="12"/>
      <x:c r="X173" s="12"/>
      <x:c r="Y173" s="12"/>
    </x:row>
    <x:row r="174">
      <x:c r="A174" s="12" t="str">
        <x:f>IFERROR(INDEX('02_ツリー'!$E$5:$E$560,MATCH(ROWS($A$11:A174),'02_ツリー'!$R$5:$R$560,0)),"")</x:f>
        <x:v>W_base</x:v>
      </x:c>
      <x:c r="B174" s="48" t="n">
        <x:f>IF($A174="","",SUMIFS('02_ツリー'!$K$5:$K$560,'02_ツリー'!$E$5:$E$560,$A174,'02_ツリー'!$K$5:$K$560,"&gt;0"))</x:f>
        <x:v>0.027157395165524175</x:v>
      </x:c>
      <x:c r="C174" s="48" t="n">
        <x:f>IF($A174="","",SUMIFS('02_ツリー'!$K$5:$K$560,'02_ツリー'!$E$5:$E$560,$A174,'02_ツリー'!$K$5:$K$560,"&lt;0"))</x:f>
        <x:v>0</x:v>
      </x:c>
      <x:c r="D174" s="48" t="n">
        <x:f>IF($A174="","",B174+C174)</x:f>
        <x:v>0.027157395165524175</x:v>
      </x:c>
      <x:c r="E174" s="48" t="n">
        <x:f>IF($A174="","",B174-C174)</x:f>
        <x:v>0.027157395165524175</x:v>
      </x:c>
      <x:c r="F174" s="48" t="n">
        <x:f>IF($A174="","",SUMIFS('02_ツリー'!$H$5:$H$560,'02_ツリー'!$E$5:$E$560,$A174,'02_ツリー'!$K$5:$K$560,"&gt;0"))</x:f>
        <x:v>0.24300000000000002</x:v>
      </x:c>
      <x:c r="G174" s="48" t="n">
        <x:f>IF($A174="","",-SUMIFS('02_ツリー'!$H$5:$H$560,'02_ツリー'!$E$5:$E$560,$A174,'02_ツリー'!$K$5:$K$560,"&lt;0"))</x:f>
        <x:v>0</x:v>
      </x:c>
      <x:c r="H174" s="48" t="n">
        <x:f>IF($A174="","",F174+G174)</x:f>
        <x:v>0.24300000000000002</x:v>
      </x:c>
      <x:c r="I174" s="244" t="n">
        <x:f>IF($A174="","",--(COUNTIFS('02_ツリー'!$E$5:$E$560,$A174,'02_ツリー'!$O$5:$O$560,0)=0))</x:f>
        <x:v>1</x:v>
      </x:c>
      <x:c r="J174" s="12" t="str">
        <x:f>IF($A174="","",IF(AND(B174&gt;0,C174&lt;0),"正負あり",IF(B174&gt;0,"正のみ",IF(C174&lt;0,"負のみ","ゼロ"))))</x:f>
        <x:v>正のみ</x:v>
      </x:c>
      <x:c r="K174" s="244" t="n">
        <x:f>IF($A174="","",--AND(B174&gt;0,C174&lt;0))</x:f>
        <x:v>0</x:v>
      </x:c>
      <x:c r="L174" s="244" t="n">
        <x:f>IF($A174="","",COUNTIF('02_ツリー'!$E$5:$E$560,$A174))</x:f>
        <x:v>1</x:v>
      </x:c>
      <x:c r="M174" s="244" t="n">
        <x:f>IF($A174="","",--(LEFT(A174,7)="Enable_"))</x:f>
        <x:v>0</x:v>
      </x:c>
      <x:c r="N174" s="12"/>
      <x:c r="O174" s="12"/>
      <x:c r="P174" s="12"/>
      <x:c r="Q174" s="12"/>
      <x:c r="R174" s="12"/>
      <x:c r="S174" s="12"/>
      <x:c r="T174" s="12"/>
      <x:c r="U174" s="12"/>
      <x:c r="V174" s="12"/>
      <x:c r="W174" s="12"/>
      <x:c r="X174" s="12"/>
      <x:c r="Y174" s="12"/>
    </x:row>
    <x:row r="175">
      <x:c r="A175" s="12" t="str">
        <x:f>IFERROR(INDEX('02_ツリー'!$E$5:$E$560,MATCH(ROWS($A$11:A175),'02_ツリー'!$R$5:$R$560,0)),"")</x:f>
        <x:v>t_base_req</x:v>
      </x:c>
      <x:c r="B175" s="48" t="n">
        <x:f>IF($A175="","",SUMIFS('02_ツリー'!$K$5:$K$560,'02_ツリー'!$E$5:$E$560,$A175,'02_ツリー'!$K$5:$K$560,"&gt;0"))</x:f>
        <x:v>0.027157395165524175</x:v>
      </x:c>
      <x:c r="C175" s="48" t="n">
        <x:f>IF($A175="","",SUMIFS('02_ツリー'!$K$5:$K$560,'02_ツリー'!$E$5:$E$560,$A175,'02_ツリー'!$K$5:$K$560,"&lt;0"))</x:f>
        <x:v>0</x:v>
      </x:c>
      <x:c r="D175" s="48" t="n">
        <x:f>IF($A175="","",B175+C175)</x:f>
        <x:v>0.027157395165524175</x:v>
      </x:c>
      <x:c r="E175" s="48" t="n">
        <x:f>IF($A175="","",B175-C175)</x:f>
        <x:v>0.027157395165524175</x:v>
      </x:c>
      <x:c r="F175" s="48" t="n">
        <x:f>IF($A175="","",SUMIFS('02_ツリー'!$H$5:$H$560,'02_ツリー'!$E$5:$E$560,$A175,'02_ツリー'!$K$5:$K$560,"&gt;0"))</x:f>
        <x:v>0.24300000000000002</x:v>
      </x:c>
      <x:c r="G175" s="48" t="n">
        <x:f>IF($A175="","",-SUMIFS('02_ツリー'!$H$5:$H$560,'02_ツリー'!$E$5:$E$560,$A175,'02_ツリー'!$K$5:$K$560,"&lt;0"))</x:f>
        <x:v>0</x:v>
      </x:c>
      <x:c r="H175" s="48" t="n">
        <x:f>IF($A175="","",F175+G175)</x:f>
        <x:v>0.24300000000000002</x:v>
      </x:c>
      <x:c r="I175" s="244" t="n">
        <x:f>IF($A175="","",--(COUNTIFS('02_ツリー'!$E$5:$E$560,$A175,'02_ツリー'!$O$5:$O$560,0)=0))</x:f>
        <x:v>0</x:v>
      </x:c>
      <x:c r="J175" s="12" t="str">
        <x:f>IF($A175="","",IF(AND(B175&gt;0,C175&lt;0),"正負あり",IF(B175&gt;0,"正のみ",IF(C175&lt;0,"負のみ","ゼロ"))))</x:f>
        <x:v>正のみ</x:v>
      </x:c>
      <x:c r="K175" s="244" t="n">
        <x:f>IF($A175="","",--AND(B175&gt;0,C175&lt;0))</x:f>
        <x:v>0</x:v>
      </x:c>
      <x:c r="L175" s="244" t="n">
        <x:f>IF($A175="","",COUNTIF('02_ツリー'!$E$5:$E$560,$A175))</x:f>
        <x:v>1</x:v>
      </x:c>
      <x:c r="M175" s="244" t="n">
        <x:f>IF($A175="","",--(LEFT(A175,7)="Enable_"))</x:f>
        <x:v>0</x:v>
      </x:c>
      <x:c r="N175" s="12"/>
      <x:c r="O175" s="12"/>
      <x:c r="P175" s="12"/>
      <x:c r="Q175" s="12"/>
      <x:c r="R175" s="12"/>
      <x:c r="S175" s="12"/>
      <x:c r="T175" s="12"/>
      <x:c r="U175" s="12"/>
      <x:c r="V175" s="12"/>
      <x:c r="W175" s="12"/>
      <x:c r="X175" s="12"/>
      <x:c r="Y175" s="12"/>
    </x:row>
    <x:row r="176">
      <x:c r="A176" s="12" t="str">
        <x:f>IFERROR(INDEX('02_ツリー'!$E$5:$E$560,MATCH(ROWS($A$11:A176),'02_ツリー'!$R$5:$R$560,0)),"")</x:f>
        <x:v>K_base_sf</x:v>
      </x:c>
      <x:c r="B176" s="48" t="n">
        <x:f>IF($A176="","",SUMIFS('02_ツリー'!$K$5:$K$560,'02_ツリー'!$E$5:$E$560,$A176,'02_ツリー'!$K$5:$K$560,"&gt;0"))</x:f>
        <x:v>0.027157395165524175</x:v>
      </x:c>
      <x:c r="C176" s="48" t="n">
        <x:f>IF($A176="","",SUMIFS('02_ツリー'!$K$5:$K$560,'02_ツリー'!$E$5:$E$560,$A176,'02_ツリー'!$K$5:$K$560,"&lt;0"))</x:f>
        <x:v>0</x:v>
      </x:c>
      <x:c r="D176" s="48" t="n">
        <x:f>IF($A176="","",B176+C176)</x:f>
        <x:v>0.027157395165524175</x:v>
      </x:c>
      <x:c r="E176" s="48" t="n">
        <x:f>IF($A176="","",B176-C176)</x:f>
        <x:v>0.027157395165524175</x:v>
      </x:c>
      <x:c r="F176" s="48" t="n">
        <x:f>IF($A176="","",SUMIFS('02_ツリー'!$H$5:$H$560,'02_ツリー'!$E$5:$E$560,$A176,'02_ツリー'!$K$5:$K$560,"&gt;0"))</x:f>
        <x:v>0.24300000000000002</x:v>
      </x:c>
      <x:c r="G176" s="48" t="n">
        <x:f>IF($A176="","",-SUMIFS('02_ツリー'!$H$5:$H$560,'02_ツリー'!$E$5:$E$560,$A176,'02_ツリー'!$K$5:$K$560,"&lt;0"))</x:f>
        <x:v>0</x:v>
      </x:c>
      <x:c r="H176" s="48" t="n">
        <x:f>IF($A176="","",F176+G176)</x:f>
        <x:v>0.24300000000000002</x:v>
      </x:c>
      <x:c r="I176" s="244" t="n">
        <x:f>IF($A176="","",--(COUNTIFS('02_ツリー'!$E$5:$E$560,$A176,'02_ツリー'!$O$5:$O$560,0)=0))</x:f>
        <x:v>1</x:v>
      </x:c>
      <x:c r="J176" s="12" t="str">
        <x:f>IF($A176="","",IF(AND(B176&gt;0,C176&lt;0),"正負あり",IF(B176&gt;0,"正のみ",IF(C176&lt;0,"負のみ","ゼロ"))))</x:f>
        <x:v>正のみ</x:v>
      </x:c>
      <x:c r="K176" s="244" t="n">
        <x:f>IF($A176="","",--AND(B176&gt;0,C176&lt;0))</x:f>
        <x:v>0</x:v>
      </x:c>
      <x:c r="L176" s="244" t="n">
        <x:f>IF($A176="","",COUNTIF('02_ツリー'!$E$5:$E$560,$A176))</x:f>
        <x:v>1</x:v>
      </x:c>
      <x:c r="M176" s="244" t="n">
        <x:f>IF($A176="","",--(LEFT(A176,7)="Enable_"))</x:f>
        <x:v>0</x:v>
      </x:c>
      <x:c r="N176" s="12"/>
      <x:c r="O176" s="12"/>
      <x:c r="P176" s="12"/>
      <x:c r="Q176" s="12"/>
      <x:c r="R176" s="12"/>
      <x:c r="S176" s="12"/>
      <x:c r="T176" s="12"/>
      <x:c r="U176" s="12"/>
      <x:c r="V176" s="12"/>
      <x:c r="W176" s="12"/>
      <x:c r="X176" s="12"/>
      <x:c r="Y176" s="12"/>
    </x:row>
    <x:row r="177">
      <x:c r="A177" s="12" t="str">
        <x:f>IFERROR(INDEX('02_ツリー'!$E$5:$E$560,MATCH(ROWS($A$11:A177),'02_ツリー'!$R$5:$R$560,0)),"")</x:f>
        <x:v>p_base</x:v>
      </x:c>
      <x:c r="B177" s="48" t="n">
        <x:f>IF($A177="","",SUMIFS('02_ツリー'!$K$5:$K$560,'02_ツリー'!$E$5:$E$560,$A177,'02_ツリー'!$K$5:$K$560,"&gt;0"))</x:f>
        <x:v>0.013578697582762088</x:v>
      </x:c>
      <x:c r="C177" s="48" t="n">
        <x:f>IF($A177="","",SUMIFS('02_ツリー'!$K$5:$K$560,'02_ツリー'!$E$5:$E$560,$A177,'02_ツリー'!$K$5:$K$560,"&lt;0"))</x:f>
        <x:v>0</x:v>
      </x:c>
      <x:c r="D177" s="48" t="n">
        <x:f>IF($A177="","",B177+C177)</x:f>
        <x:v>0.013578697582762088</x:v>
      </x:c>
      <x:c r="E177" s="48" t="n">
        <x:f>IF($A177="","",B177-C177)</x:f>
        <x:v>0.013578697582762088</x:v>
      </x:c>
      <x:c r="F177" s="48" t="n">
        <x:f>IF($A177="","",SUMIFS('02_ツリー'!$H$5:$H$560,'02_ツリー'!$E$5:$E$560,$A177,'02_ツリー'!$K$5:$K$560,"&gt;0"))</x:f>
        <x:v>0.12150000000000001</x:v>
      </x:c>
      <x:c r="G177" s="48" t="n">
        <x:f>IF($A177="","",-SUMIFS('02_ツリー'!$H$5:$H$560,'02_ツリー'!$E$5:$E$560,$A177,'02_ツリー'!$K$5:$K$560,"&lt;0"))</x:f>
        <x:v>0</x:v>
      </x:c>
      <x:c r="H177" s="48" t="n">
        <x:f>IF($A177="","",F177+G177)</x:f>
        <x:v>0.12150000000000001</x:v>
      </x:c>
      <x:c r="I177" s="244" t="n">
        <x:f>IF($A177="","",--(COUNTIFS('02_ツリー'!$E$5:$E$560,$A177,'02_ツリー'!$O$5:$O$560,0)=0))</x:f>
        <x:v>1</x:v>
      </x:c>
      <x:c r="J177" s="12" t="str">
        <x:f>IF($A177="","",IF(AND(B177&gt;0,C177&lt;0),"正負あり",IF(B177&gt;0,"正のみ",IF(C177&lt;0,"負のみ","ゼロ"))))</x:f>
        <x:v>正のみ</x:v>
      </x:c>
      <x:c r="K177" s="244" t="n">
        <x:f>IF($A177="","",--AND(B177&gt;0,C177&lt;0))</x:f>
        <x:v>0</x:v>
      </x:c>
      <x:c r="L177" s="244" t="n">
        <x:f>IF($A177="","",COUNTIF('02_ツリー'!$E$5:$E$560,$A177))</x:f>
        <x:v>1</x:v>
      </x:c>
      <x:c r="M177" s="244" t="n">
        <x:f>IF($A177="","",--(LEFT(A177,7)="Enable_"))</x:f>
        <x:v>0</x:v>
      </x:c>
      <x:c r="N177" s="12"/>
      <x:c r="O177" s="12"/>
      <x:c r="P177" s="12"/>
      <x:c r="Q177" s="12"/>
      <x:c r="R177" s="12"/>
      <x:c r="S177" s="12"/>
      <x:c r="T177" s="12"/>
      <x:c r="U177" s="12"/>
      <x:c r="V177" s="12"/>
      <x:c r="W177" s="12"/>
      <x:c r="X177" s="12"/>
      <x:c r="Y177" s="12"/>
    </x:row>
    <x:row r="178">
      <x:c r="A178" s="12" t="str">
        <x:f>IFERROR(INDEX('02_ツリー'!$E$5:$E$560,MATCH(ROWS($A$11:A178),'02_ツリー'!$R$5:$R$560,0)),"")</x:f>
        <x:v>sigma_base</x:v>
      </x:c>
      <x:c r="B178" s="48" t="n">
        <x:f>IF($A178="","",SUMIFS('02_ツリー'!$K$5:$K$560,'02_ツリー'!$E$5:$E$560,$A178,'02_ツリー'!$K$5:$K$560,"&gt;0"))</x:f>
        <x:v>0</x:v>
      </x:c>
      <x:c r="C178" s="48" t="n">
        <x:f>IF($A178="","",SUMIFS('02_ツリー'!$K$5:$K$560,'02_ツリー'!$E$5:$E$560,$A178,'02_ツリー'!$K$5:$K$560,"&lt;0"))</x:f>
        <x:v>-0.013578697582762088</x:v>
      </x:c>
      <x:c r="D178" s="48" t="n">
        <x:f>IF($A178="","",B178+C178)</x:f>
        <x:v>-0.013578697582762088</x:v>
      </x:c>
      <x:c r="E178" s="48" t="n">
        <x:f>IF($A178="","",B178-C178)</x:f>
        <x:v>0.013578697582762088</x:v>
      </x:c>
      <x:c r="F178" s="48" t="n">
        <x:f>IF($A178="","",SUMIFS('02_ツリー'!$H$5:$H$560,'02_ツリー'!$E$5:$E$560,$A178,'02_ツリー'!$K$5:$K$560,"&gt;0"))</x:f>
        <x:v>0</x:v>
      </x:c>
      <x:c r="G178" s="48" t="n">
        <x:f>IF($A178="","",-SUMIFS('02_ツリー'!$H$5:$H$560,'02_ツリー'!$E$5:$E$560,$A178,'02_ツリー'!$K$5:$K$560,"&lt;0"))</x:f>
        <x:v>-0.12150000000000001</x:v>
      </x:c>
      <x:c r="H178" s="48" t="n">
        <x:f>IF($A178="","",F178+G178)</x:f>
        <x:v>-0.12150000000000001</x:v>
      </x:c>
      <x:c r="I178" s="244" t="n">
        <x:f>IF($A178="","",--(COUNTIFS('02_ツリー'!$E$5:$E$560,$A178,'02_ツリー'!$O$5:$O$560,0)=0))</x:f>
        <x:v>1</x:v>
      </x:c>
      <x:c r="J178" s="12" t="str">
        <x:f>IF($A178="","",IF(AND(B178&gt;0,C178&lt;0),"正負あり",IF(B178&gt;0,"正のみ",IF(C178&lt;0,"負のみ","ゼロ"))))</x:f>
        <x:v>負のみ</x:v>
      </x:c>
      <x:c r="K178" s="244" t="n">
        <x:f>IF($A178="","",--AND(B178&gt;0,C178&lt;0))</x:f>
        <x:v>0</x:v>
      </x:c>
      <x:c r="L178" s="244" t="n">
        <x:f>IF($A178="","",COUNTIF('02_ツリー'!$E$5:$E$560,$A178))</x:f>
        <x:v>1</x:v>
      </x:c>
      <x:c r="M178" s="244" t="n">
        <x:f>IF($A178="","",--(LEFT(A178,7)="Enable_"))</x:f>
        <x:v>0</x:v>
      </x:c>
      <x:c r="N178" s="12"/>
      <x:c r="O178" s="12"/>
      <x:c r="P178" s="12"/>
      <x:c r="Q178" s="12"/>
      <x:c r="R178" s="12"/>
      <x:c r="S178" s="12"/>
      <x:c r="T178" s="12"/>
      <x:c r="U178" s="12"/>
      <x:c r="V178" s="12"/>
      <x:c r="W178" s="12"/>
      <x:c r="X178" s="12"/>
      <x:c r="Y178" s="12"/>
    </x:row>
    <x:row r="179">
      <x:c r="A179" s="12" t="str">
        <x:f>IFERROR(INDEX('02_ツリー'!$E$5:$E$560,MATCH(ROWS($A$11:A179),'02_ツリー'!$R$5:$R$560,0)),"")</x:f>
        <x:v>e_cap_phys</x:v>
      </x:c>
      <x:c r="B179" s="48" t="n">
        <x:f>IF($A179="","",SUMIFS('02_ツリー'!$K$5:$K$560,'02_ツリー'!$E$5:$E$560,$A179,'02_ツリー'!$K$5:$K$560,"&gt;0"))</x:f>
        <x:v>0</x:v>
      </x:c>
      <x:c r="C179" s="48" t="n">
        <x:f>IF($A179="","",SUMIFS('02_ツリー'!$K$5:$K$560,'02_ツリー'!$E$5:$E$560,$A179,'02_ツリー'!$K$5:$K$560,"&lt;0"))</x:f>
        <x:v>-0.014522683844049863</x:v>
      </x:c>
      <x:c r="D179" s="48" t="n">
        <x:f>IF($A179="","",B179+C179)</x:f>
        <x:v>-0.014522683844049863</x:v>
      </x:c>
      <x:c r="E179" s="48" t="n">
        <x:f>IF($A179="","",B179-C179)</x:f>
        <x:v>0.014522683844049863</x:v>
      </x:c>
      <x:c r="F179" s="48" t="n">
        <x:f>IF($A179="","",SUMIFS('02_ツリー'!$H$5:$H$560,'02_ツリー'!$E$5:$E$560,$A179,'02_ツリー'!$K$5:$K$560,"&gt;0"))</x:f>
        <x:v>0</x:v>
      </x:c>
      <x:c r="G179" s="48" t="n">
        <x:f>IF($A179="","",-SUMIFS('02_ツリー'!$H$5:$H$560,'02_ツリー'!$E$5:$E$560,$A179,'02_ツリー'!$K$5:$K$560,"&lt;0"))</x:f>
        <x:v>-0.1299466370981019</x:v>
      </x:c>
      <x:c r="H179" s="48" t="n">
        <x:f>IF($A179="","",F179+G179)</x:f>
        <x:v>-0.1299466370981019</x:v>
      </x:c>
      <x:c r="I179" s="244" t="n">
        <x:f>IF($A179="","",--(COUNTIFS('02_ツリー'!$E$5:$E$560,$A179,'02_ツリー'!$O$5:$O$560,0)=0))</x:f>
        <x:v>0</x:v>
      </x:c>
      <x:c r="J179" s="12" t="str">
        <x:f>IF($A179="","",IF(AND(B179&gt;0,C179&lt;0),"正負あり",IF(B179&gt;0,"正のみ",IF(C179&lt;0,"負のみ","ゼロ"))))</x:f>
        <x:v>負のみ</x:v>
      </x:c>
      <x:c r="K179" s="244" t="n">
        <x:f>IF($A179="","",--AND(B179&gt;0,C179&lt;0))</x:f>
        <x:v>0</x:v>
      </x:c>
      <x:c r="L179" s="244" t="n">
        <x:f>IF($A179="","",COUNTIF('02_ツリー'!$E$5:$E$560,$A179))</x:f>
        <x:v>1</x:v>
      </x:c>
      <x:c r="M179" s="244" t="n">
        <x:f>IF($A179="","",--(LEFT(A179,7)="Enable_"))</x:f>
        <x:v>0</x:v>
      </x:c>
      <x:c r="N179" s="12"/>
      <x:c r="O179" s="12"/>
      <x:c r="P179" s="12"/>
      <x:c r="Q179" s="12"/>
      <x:c r="R179" s="12"/>
      <x:c r="S179" s="12"/>
      <x:c r="T179" s="12"/>
      <x:c r="U179" s="12"/>
      <x:c r="V179" s="12"/>
      <x:c r="W179" s="12"/>
      <x:c r="X179" s="12"/>
      <x:c r="Y179" s="12"/>
    </x:row>
    <x:row r="180">
      <x:c r="A180" s="12" t="str">
        <x:f>IFERROR(INDEX('02_ツリー'!$E$5:$E$560,MATCH(ROWS($A$11:A180),'02_ツリー'!$R$5:$R$560,0)),"")</x:f>
        <x:v>eps0</x:v>
      </x:c>
      <x:c r="B180" s="48" t="n">
        <x:f>IF($A180="","",SUMIFS('02_ツリー'!$K$5:$K$560,'02_ツリー'!$E$5:$E$560,$A180,'02_ツリー'!$K$5:$K$560,"&gt;0"))</x:f>
        <x:v>0</x:v>
      </x:c>
      <x:c r="C180" s="48" t="n">
        <x:f>IF($A180="","",SUMIFS('02_ツリー'!$K$5:$K$560,'02_ツリー'!$E$5:$E$560,$A180,'02_ツリー'!$K$5:$K$560,"&lt;0"))</x:f>
        <x:v>0</x:v>
      </x:c>
      <x:c r="D180" s="48" t="n">
        <x:f>IF($A180="","",B180+C180)</x:f>
        <x:v>0</x:v>
      </x:c>
      <x:c r="E180" s="48" t="n">
        <x:f>IF($A180="","",B180-C180)</x:f>
        <x:v>0</x:v>
      </x:c>
      <x:c r="F180" s="48" t="n">
        <x:f>IF($A180="","",SUMIFS('02_ツリー'!$H$5:$H$560,'02_ツリー'!$E$5:$E$560,$A180,'02_ツリー'!$K$5:$K$560,"&gt;0"))</x:f>
        <x:v>0</x:v>
      </x:c>
      <x:c r="G180" s="48" t="n">
        <x:f>IF($A180="","",-SUMIFS('02_ツリー'!$H$5:$H$560,'02_ツリー'!$E$5:$E$560,$A180,'02_ツリー'!$K$5:$K$560,"&lt;0"))</x:f>
        <x:v>0</x:v>
      </x:c>
      <x:c r="H180" s="48" t="n">
        <x:f>IF($A180="","",F180+G180)</x:f>
        <x:v>0</x:v>
      </x:c>
      <x:c r="I180" s="244" t="n">
        <x:f>IF($A180="","",--(COUNTIFS('02_ツリー'!$E$5:$E$560,$A180,'02_ツリー'!$O$5:$O$560,0)=0))</x:f>
        <x:v>1</x:v>
      </x:c>
      <x:c r="J180" s="12" t="str">
        <x:f>IF($A180="","",IF(AND(B180&gt;0,C180&lt;0),"正負あり",IF(B180&gt;0,"正のみ",IF(C180&lt;0,"負のみ","ゼロ"))))</x:f>
        <x:v>ゼロ</x:v>
      </x:c>
      <x:c r="K180" s="244" t="n">
        <x:f>IF($A180="","",--AND(B180&gt;0,C180&lt;0))</x:f>
        <x:v>0</x:v>
      </x:c>
      <x:c r="L180" s="244" t="n">
        <x:f>IF($A180="","",COUNTIF('02_ツリー'!$E$5:$E$560,$A180))</x:f>
        <x:v>1</x:v>
      </x:c>
      <x:c r="M180" s="244" t="n">
        <x:f>IF($A180="","",--(LEFT(A180,7)="Enable_"))</x:f>
        <x:v>0</x:v>
      </x:c>
      <x:c r="N180" s="12"/>
      <x:c r="O180" s="12"/>
      <x:c r="P180" s="12"/>
      <x:c r="Q180" s="12"/>
      <x:c r="R180" s="12"/>
      <x:c r="S180" s="12"/>
      <x:c r="T180" s="12"/>
      <x:c r="U180" s="12"/>
      <x:c r="V180" s="12"/>
      <x:c r="W180" s="12"/>
      <x:c r="X180" s="12"/>
      <x:c r="Y180" s="12"/>
    </x:row>
    <x:row r="181">
      <x:c r="A181" s="12" t="str">
        <x:f>IFERROR(INDEX('02_ツリー'!$E$5:$E$560,MATCH(ROWS($A$11:A181),'02_ツリー'!$R$5:$R$560,0)),"")</x:f>
        <x:v>eps_r</x:v>
      </x:c>
      <x:c r="B181" s="48" t="n">
        <x:f>IF($A181="","",SUMIFS('02_ツリー'!$K$5:$K$560,'02_ツリー'!$E$5:$E$560,$A181,'02_ツリー'!$K$5:$K$560,"&gt;0"))</x:f>
        <x:v>0</x:v>
      </x:c>
      <x:c r="C181" s="48" t="n">
        <x:f>IF($A181="","",SUMIFS('02_ツリー'!$K$5:$K$560,'02_ツリー'!$E$5:$E$560,$A181,'02_ツリー'!$K$5:$K$560,"&lt;0"))</x:f>
        <x:v>-0.014522683844049863</x:v>
      </x:c>
      <x:c r="D181" s="48" t="n">
        <x:f>IF($A181="","",B181+C181)</x:f>
        <x:v>-0.014522683844049863</x:v>
      </x:c>
      <x:c r="E181" s="48" t="n">
        <x:f>IF($A181="","",B181-C181)</x:f>
        <x:v>0.014522683844049863</x:v>
      </x:c>
      <x:c r="F181" s="48" t="n">
        <x:f>IF($A181="","",SUMIFS('02_ツリー'!$H$5:$H$560,'02_ツリー'!$E$5:$E$560,$A181,'02_ツリー'!$K$5:$K$560,"&gt;0"))</x:f>
        <x:v>0</x:v>
      </x:c>
      <x:c r="G181" s="48" t="n">
        <x:f>IF($A181="","",-SUMIFS('02_ツリー'!$H$5:$H$560,'02_ツリー'!$E$5:$E$560,$A181,'02_ツリー'!$K$5:$K$560,"&lt;0"))</x:f>
        <x:v>-0.1299466370981019</x:v>
      </x:c>
      <x:c r="H181" s="48" t="n">
        <x:f>IF($A181="","",F181+G181)</x:f>
        <x:v>-0.1299466370981019</x:v>
      </x:c>
      <x:c r="I181" s="244" t="n">
        <x:f>IF($A181="","",--(COUNTIFS('02_ツリー'!$E$5:$E$560,$A181,'02_ツリー'!$O$5:$O$560,0)=0))</x:f>
        <x:v>1</x:v>
      </x:c>
      <x:c r="J181" s="12" t="str">
        <x:f>IF($A181="","",IF(AND(B181&gt;0,C181&lt;0),"正負あり",IF(B181&gt;0,"正のみ",IF(C181&lt;0,"負のみ","ゼロ"))))</x:f>
        <x:v>負のみ</x:v>
      </x:c>
      <x:c r="K181" s="244" t="n">
        <x:f>IF($A181="","",--AND(B181&gt;0,C181&lt;0))</x:f>
        <x:v>0</x:v>
      </x:c>
      <x:c r="L181" s="244" t="n">
        <x:f>IF($A181="","",COUNTIF('02_ツリー'!$E$5:$E$560,$A181))</x:f>
        <x:v>1</x:v>
      </x:c>
      <x:c r="M181" s="244" t="n">
        <x:f>IF($A181="","",--(LEFT(A181,7)="Enable_"))</x:f>
        <x:v>0</x:v>
      </x:c>
      <x:c r="N181" s="12"/>
      <x:c r="O181" s="12"/>
      <x:c r="P181" s="12"/>
      <x:c r="Q181" s="12"/>
      <x:c r="R181" s="12"/>
      <x:c r="S181" s="12"/>
      <x:c r="T181" s="12"/>
      <x:c r="U181" s="12"/>
      <x:c r="V181" s="12"/>
      <x:c r="W181" s="12"/>
      <x:c r="X181" s="12"/>
      <x:c r="Y181" s="12"/>
    </x:row>
    <x:row r="182">
      <x:c r="A182" s="12" t="str">
        <x:f>IFERROR(INDEX('02_ツリー'!$E$5:$E$560,MATCH(ROWS($A$11:A182),'02_ツリー'!$R$5:$R$560,0)),"")</x:f>
        <x:v>E_work_cap</x:v>
      </x:c>
      <x:c r="B182" s="48" t="n">
        <x:f>IF($A182="","",SUMIFS('02_ツリー'!$K$5:$K$560,'02_ツリー'!$E$5:$E$560,$A182,'02_ツリー'!$K$5:$K$560,"&gt;0"))</x:f>
        <x:v>0</x:v>
      </x:c>
      <x:c r="C182" s="48" t="n">
        <x:f>IF($A182="","",SUMIFS('02_ツリー'!$K$5:$K$560,'02_ツリー'!$E$5:$E$560,$A182,'02_ツリー'!$K$5:$K$560,"&lt;0"))</x:f>
        <x:v>-0.029045367688099726</x:v>
      </x:c>
      <x:c r="D182" s="48" t="n">
        <x:f>IF($A182="","",B182+C182)</x:f>
        <x:v>-0.029045367688099726</x:v>
      </x:c>
      <x:c r="E182" s="48" t="n">
        <x:f>IF($A182="","",B182-C182)</x:f>
        <x:v>0.029045367688099726</x:v>
      </x:c>
      <x:c r="F182" s="48" t="n">
        <x:f>IF($A182="","",SUMIFS('02_ツリー'!$H$5:$H$560,'02_ツリー'!$E$5:$E$560,$A182,'02_ツリー'!$K$5:$K$560,"&gt;0"))</x:f>
        <x:v>0</x:v>
      </x:c>
      <x:c r="G182" s="48" t="n">
        <x:f>IF($A182="","",-SUMIFS('02_ツリー'!$H$5:$H$560,'02_ツリー'!$E$5:$E$560,$A182,'02_ツリー'!$K$5:$K$560,"&lt;0"))</x:f>
        <x:v>-0.2598932741962038</x:v>
      </x:c>
      <x:c r="H182" s="48" t="n">
        <x:f>IF($A182="","",F182+G182)</x:f>
        <x:v>-0.2598932741962038</x:v>
      </x:c>
      <x:c r="I182" s="244" t="n">
        <x:f>IF($A182="","",--(COUNTIFS('02_ツリー'!$E$5:$E$560,$A182,'02_ツリー'!$O$5:$O$560,0)=0))</x:f>
        <x:v>0</x:v>
      </x:c>
      <x:c r="J182" s="12" t="str">
        <x:f>IF($A182="","",IF(AND(B182&gt;0,C182&lt;0),"正負あり",IF(B182&gt;0,"正のみ",IF(C182&lt;0,"負のみ","ゼロ"))))</x:f>
        <x:v>負のみ</x:v>
      </x:c>
      <x:c r="K182" s="244" t="n">
        <x:f>IF($A182="","",--AND(B182&gt;0,C182&lt;0))</x:f>
        <x:v>0</x:v>
      </x:c>
      <x:c r="L182" s="244" t="n">
        <x:f>IF($A182="","",COUNTIF('02_ツリー'!$E$5:$E$560,$A182))</x:f>
        <x:v>1</x:v>
      </x:c>
      <x:c r="M182" s="244" t="n">
        <x:f>IF($A182="","",--(LEFT(A182,7)="Enable_"))</x:f>
        <x:v>0</x:v>
      </x:c>
      <x:c r="N182" s="12"/>
      <x:c r="O182" s="12"/>
      <x:c r="P182" s="12"/>
      <x:c r="Q182" s="12"/>
      <x:c r="R182" s="12"/>
      <x:c r="S182" s="12"/>
      <x:c r="T182" s="12"/>
      <x:c r="U182" s="12"/>
      <x:c r="V182" s="12"/>
      <x:c r="W182" s="12"/>
      <x:c r="X182" s="12"/>
      <x:c r="Y182" s="12"/>
    </x:row>
    <x:row r="183">
      <x:c r="A183" s="12" t="str">
        <x:f>IFERROR(INDEX('02_ツリー'!$E$5:$E$560,MATCH(ROWS($A$11:A183),'02_ツリー'!$R$5:$R$560,0)),"")</x:f>
        <x:v>k_Ecap</x:v>
      </x:c>
      <x:c r="B183" s="48" t="n">
        <x:f>IF($A183="","",SUMIFS('02_ツリー'!$K$5:$K$560,'02_ツリー'!$E$5:$E$560,$A183,'02_ツリー'!$K$5:$K$560,"&gt;0"))</x:f>
        <x:v>0</x:v>
      </x:c>
      <x:c r="C183" s="48" t="n">
        <x:f>IF($A183="","",SUMIFS('02_ツリー'!$K$5:$K$560,'02_ツリー'!$E$5:$E$560,$A183,'02_ツリー'!$K$5:$K$560,"&lt;0"))</x:f>
        <x:v>-0.029045367688099726</x:v>
      </x:c>
      <x:c r="D183" s="48" t="n">
        <x:f>IF($A183="","",B183+C183)</x:f>
        <x:v>-0.029045367688099726</x:v>
      </x:c>
      <x:c r="E183" s="48" t="n">
        <x:f>IF($A183="","",B183-C183)</x:f>
        <x:v>0.029045367688099726</x:v>
      </x:c>
      <x:c r="F183" s="48" t="n">
        <x:f>IF($A183="","",SUMIFS('02_ツリー'!$H$5:$H$560,'02_ツリー'!$E$5:$E$560,$A183,'02_ツリー'!$K$5:$K$560,"&gt;0"))</x:f>
        <x:v>0</x:v>
      </x:c>
      <x:c r="G183" s="48" t="n">
        <x:f>IF($A183="","",-SUMIFS('02_ツリー'!$H$5:$H$560,'02_ツリー'!$E$5:$E$560,$A183,'02_ツリー'!$K$5:$K$560,"&lt;0"))</x:f>
        <x:v>-0.2598932741962038</x:v>
      </x:c>
      <x:c r="H183" s="48" t="n">
        <x:f>IF($A183="","",F183+G183)</x:f>
        <x:v>-0.2598932741962038</x:v>
      </x:c>
      <x:c r="I183" s="244" t="n">
        <x:f>IF($A183="","",--(COUNTIFS('02_ツリー'!$E$5:$E$560,$A183,'02_ツリー'!$O$5:$O$560,0)=0))</x:f>
        <x:v>1</x:v>
      </x:c>
      <x:c r="J183" s="12" t="str">
        <x:f>IF($A183="","",IF(AND(B183&gt;0,C183&lt;0),"正負あり",IF(B183&gt;0,"正のみ",IF(C183&lt;0,"負のみ","ゼロ"))))</x:f>
        <x:v>負のみ</x:v>
      </x:c>
      <x:c r="K183" s="244" t="n">
        <x:f>IF($A183="","",--AND(B183&gt;0,C183&lt;0))</x:f>
        <x:v>0</x:v>
      </x:c>
      <x:c r="L183" s="244" t="n">
        <x:f>IF($A183="","",COUNTIF('02_ツリー'!$E$5:$E$560,$A183))</x:f>
        <x:v>1</x:v>
      </x:c>
      <x:c r="M183" s="244" t="n">
        <x:f>IF($A183="","",--(LEFT(A183,7)="Enable_"))</x:f>
        <x:v>0</x:v>
      </x:c>
      <x:c r="N183" s="12"/>
      <x:c r="O183" s="12"/>
      <x:c r="P183" s="12"/>
      <x:c r="Q183" s="12"/>
      <x:c r="R183" s="12"/>
      <x:c r="S183" s="12"/>
      <x:c r="T183" s="12"/>
      <x:c r="U183" s="12"/>
      <x:c r="V183" s="12"/>
      <x:c r="W183" s="12"/>
      <x:c r="X183" s="12"/>
      <x:c r="Y183" s="12"/>
    </x:row>
    <x:row r="184">
      <x:c r="A184" s="12" t="str">
        <x:f>IFERROR(INDEX('02_ツリー'!$E$5:$E$560,MATCH(ROWS($A$11:A184),'02_ツリー'!$R$5:$R$560,0)),"")</x:f>
        <x:v>E_break_cap</x:v>
      </x:c>
      <x:c r="B184" s="48" t="n">
        <x:f>IF($A184="","",SUMIFS('02_ツリー'!$K$5:$K$560,'02_ツリー'!$E$5:$E$560,$A184,'02_ツリー'!$K$5:$K$560,"&gt;0"))</x:f>
        <x:v>0</x:v>
      </x:c>
      <x:c r="C184" s="48" t="n">
        <x:f>IF($A184="","",SUMIFS('02_ツリー'!$K$5:$K$560,'02_ツリー'!$E$5:$E$560,$A184,'02_ツリー'!$K$5:$K$560,"&lt;0"))</x:f>
        <x:v>-0.029045367688099726</x:v>
      </x:c>
      <x:c r="D184" s="48" t="n">
        <x:f>IF($A184="","",B184+C184)</x:f>
        <x:v>-0.029045367688099726</x:v>
      </x:c>
      <x:c r="E184" s="48" t="n">
        <x:f>IF($A184="","",B184-C184)</x:f>
        <x:v>0.029045367688099726</x:v>
      </x:c>
      <x:c r="F184" s="48" t="n">
        <x:f>IF($A184="","",SUMIFS('02_ツリー'!$H$5:$H$560,'02_ツリー'!$E$5:$E$560,$A184,'02_ツリー'!$K$5:$K$560,"&gt;0"))</x:f>
        <x:v>0</x:v>
      </x:c>
      <x:c r="G184" s="48" t="n">
        <x:f>IF($A184="","",-SUMIFS('02_ツリー'!$H$5:$H$560,'02_ツリー'!$E$5:$E$560,$A184,'02_ツリー'!$K$5:$K$560,"&lt;0"))</x:f>
        <x:v>-0.2598932741962038</x:v>
      </x:c>
      <x:c r="H184" s="48" t="n">
        <x:f>IF($A184="","",F184+G184)</x:f>
        <x:v>-0.2598932741962038</x:v>
      </x:c>
      <x:c r="I184" s="244" t="n">
        <x:f>IF($A184="","",--(COUNTIFS('02_ツリー'!$E$5:$E$560,$A184,'02_ツリー'!$O$5:$O$560,0)=0))</x:f>
        <x:v>1</x:v>
      </x:c>
      <x:c r="J184" s="12" t="str">
        <x:f>IF($A184="","",IF(AND(B184&gt;0,C184&lt;0),"正負あり",IF(B184&gt;0,"正のみ",IF(C184&lt;0,"負のみ","ゼロ"))))</x:f>
        <x:v>負のみ</x:v>
      </x:c>
      <x:c r="K184" s="244" t="n">
        <x:f>IF($A184="","",--AND(B184&gt;0,C184&lt;0))</x:f>
        <x:v>0</x:v>
      </x:c>
      <x:c r="L184" s="244" t="n">
        <x:f>IF($A184="","",COUNTIF('02_ツリー'!$E$5:$E$560,$A184))</x:f>
        <x:v>1</x:v>
      </x:c>
      <x:c r="M184" s="244" t="n">
        <x:f>IF($A184="","",--(LEFT(A184,7)="Enable_"))</x:f>
        <x:v>0</x:v>
      </x:c>
      <x:c r="N184" s="12"/>
      <x:c r="O184" s="12"/>
      <x:c r="P184" s="12"/>
      <x:c r="Q184" s="12"/>
      <x:c r="R184" s="12"/>
      <x:c r="S184" s="12"/>
      <x:c r="T184" s="12"/>
      <x:c r="U184" s="12"/>
      <x:c r="V184" s="12"/>
      <x:c r="W184" s="12"/>
      <x:c r="X184" s="12"/>
      <x:c r="Y184" s="12"/>
    </x:row>
    <x:row r="185">
      <x:c r="A185" s="12" t="str">
        <x:f>IFERROR(INDEX('02_ツリー'!$E$5:$E$560,MATCH(ROWS($A$11:A185),'02_ツリー'!$R$5:$R$560,0)),"")</x:f>
        <x:v>k_vol_cap</x:v>
      </x:c>
      <x:c r="B185" s="48" t="n">
        <x:f>IF($A185="","",SUMIFS('02_ツリー'!$K$5:$K$560,'02_ツリー'!$E$5:$E$560,$A185,'02_ツリー'!$K$5:$K$560,"&gt;0"))</x:f>
        <x:v>0</x:v>
      </x:c>
      <x:c r="C185" s="48" t="n">
        <x:f>IF($A185="","",SUMIFS('02_ツリー'!$K$5:$K$560,'02_ツリー'!$E$5:$E$560,$A185,'02_ツリー'!$K$5:$K$560,"&lt;0"))</x:f>
        <x:v>-0.014522683844049863</x:v>
      </x:c>
      <x:c r="D185" s="48" t="n">
        <x:f>IF($A185="","",B185+C185)</x:f>
        <x:v>-0.014522683844049863</x:v>
      </x:c>
      <x:c r="E185" s="48" t="n">
        <x:f>IF($A185="","",B185-C185)</x:f>
        <x:v>0.014522683844049863</x:v>
      </x:c>
      <x:c r="F185" s="48" t="n">
        <x:f>IF($A185="","",SUMIFS('02_ツリー'!$H$5:$H$560,'02_ツリー'!$E$5:$E$560,$A185,'02_ツリー'!$K$5:$K$560,"&gt;0"))</x:f>
        <x:v>0</x:v>
      </x:c>
      <x:c r="G185" s="48" t="n">
        <x:f>IF($A185="","",-SUMIFS('02_ツリー'!$H$5:$H$560,'02_ツリー'!$E$5:$E$560,$A185,'02_ツリー'!$K$5:$K$560,"&lt;0"))</x:f>
        <x:v>-0.1299466370981019</x:v>
      </x:c>
      <x:c r="H185" s="48" t="n">
        <x:f>IF($A185="","",F185+G185)</x:f>
        <x:v>-0.1299466370981019</x:v>
      </x:c>
      <x:c r="I185" s="244" t="n">
        <x:f>IF($A185="","",--(COUNTIFS('02_ツリー'!$E$5:$E$560,$A185,'02_ツリー'!$O$5:$O$560,0)=0))</x:f>
        <x:v>1</x:v>
      </x:c>
      <x:c r="J185" s="12" t="str">
        <x:f>IF($A185="","",IF(AND(B185&gt;0,C185&lt;0),"正負あり",IF(B185&gt;0,"正のみ",IF(C185&lt;0,"負のみ","ゼロ"))))</x:f>
        <x:v>負のみ</x:v>
      </x:c>
      <x:c r="K185" s="244" t="n">
        <x:f>IF($A185="","",--AND(B185&gt;0,C185&lt;0))</x:f>
        <x:v>0</x:v>
      </x:c>
      <x:c r="L185" s="244" t="n">
        <x:f>IF($A185="","",COUNTIF('02_ツリー'!$E$5:$E$560,$A185))</x:f>
        <x:v>1</x:v>
      </x:c>
      <x:c r="M185" s="244" t="n">
        <x:f>IF($A185="","",--(LEFT(A185,7)="Enable_"))</x:f>
        <x:v>0</x:v>
      </x:c>
      <x:c r="N185" s="12"/>
      <x:c r="O185" s="12"/>
      <x:c r="P185" s="12"/>
      <x:c r="Q185" s="12"/>
      <x:c r="R185" s="12"/>
      <x:c r="S185" s="12"/>
      <x:c r="T185" s="12"/>
      <x:c r="U185" s="12"/>
      <x:c r="V185" s="12"/>
      <x:c r="W185" s="12"/>
      <x:c r="X185" s="12"/>
      <x:c r="Y185" s="12"/>
    </x:row>
    <x:row r="186">
      <x:c r="A186" s="12" t="str">
        <x:f>IFERROR(INDEX('02_ツリー'!$E$5:$E$560,MATCH(ROWS($A$11:A186),'02_ツリー'!$R$5:$R$560,0)),"")</x:f>
        <x:v>rho_die</x:v>
      </x:c>
      <x:c r="B186" s="48" t="n">
        <x:f>IF($A186="","",SUMIFS('02_ツリー'!$K$5:$K$560,'02_ツリー'!$E$5:$E$560,$A186,'02_ツリー'!$K$5:$K$560,"&gt;0"))</x:f>
        <x:v>0.014522683844049863</x:v>
      </x:c>
      <x:c r="C186" s="48" t="n">
        <x:f>IF($A186="","",SUMIFS('02_ツリー'!$K$5:$K$560,'02_ツリー'!$E$5:$E$560,$A186,'02_ツリー'!$K$5:$K$560,"&lt;0"))</x:f>
        <x:v>0</x:v>
      </x:c>
      <x:c r="D186" s="48" t="n">
        <x:f>IF($A186="","",B186+C186)</x:f>
        <x:v>0.014522683844049863</x:v>
      </x:c>
      <x:c r="E186" s="48" t="n">
        <x:f>IF($A186="","",B186-C186)</x:f>
        <x:v>0.014522683844049863</x:v>
      </x:c>
      <x:c r="F186" s="48" t="n">
        <x:f>IF($A186="","",SUMIFS('02_ツリー'!$H$5:$H$560,'02_ツリー'!$E$5:$E$560,$A186,'02_ツリー'!$K$5:$K$560,"&gt;0"))</x:f>
        <x:v>0.1299466370981019</x:v>
      </x:c>
      <x:c r="G186" s="48" t="n">
        <x:f>IF($A186="","",-SUMIFS('02_ツリー'!$H$5:$H$560,'02_ツリー'!$E$5:$E$560,$A186,'02_ツリー'!$K$5:$K$560,"&lt;0"))</x:f>
        <x:v>0</x:v>
      </x:c>
      <x:c r="H186" s="48" t="n">
        <x:f>IF($A186="","",F186+G186)</x:f>
        <x:v>0.1299466370981019</x:v>
      </x:c>
      <x:c r="I186" s="244" t="n">
        <x:f>IF($A186="","",--(COUNTIFS('02_ツリー'!$E$5:$E$560,$A186,'02_ツリー'!$O$5:$O$560,0)=0))</x:f>
        <x:v>1</x:v>
      </x:c>
      <x:c r="J186" s="12" t="str">
        <x:f>IF($A186="","",IF(AND(B186&gt;0,C186&lt;0),"正負あり",IF(B186&gt;0,"正のみ",IF(C186&lt;0,"負のみ","ゼロ"))))</x:f>
        <x:v>正のみ</x:v>
      </x:c>
      <x:c r="K186" s="244" t="n">
        <x:f>IF($A186="","",--AND(B186&gt;0,C186&lt;0))</x:f>
        <x:v>0</x:v>
      </x:c>
      <x:c r="L186" s="244" t="n">
        <x:f>IF($A186="","",COUNTIF('02_ツリー'!$E$5:$E$560,$A186))</x:f>
        <x:v>1</x:v>
      </x:c>
      <x:c r="M186" s="244" t="n">
        <x:f>IF($A186="","",--(LEFT(A186,7)="Enable_"))</x:f>
        <x:v>0</x:v>
      </x:c>
      <x:c r="N186" s="12"/>
      <x:c r="O186" s="12"/>
      <x:c r="P186" s="12"/>
      <x:c r="Q186" s="12"/>
      <x:c r="R186" s="12"/>
      <x:c r="S186" s="12"/>
      <x:c r="T186" s="12"/>
      <x:c r="U186" s="12"/>
      <x:c r="V186" s="12"/>
      <x:c r="W186" s="12"/>
      <x:c r="X186" s="12"/>
      <x:c r="Y186" s="12"/>
    </x:row>
    <x:row r="187">
      <x:c r="A187" s="12" t="str">
        <x:f>IFERROR(INDEX('02_ツリー'!$E$5:$E$560,MATCH(ROWS($A$11:A187),'02_ツリー'!$R$5:$R$560,0)),"")</x:f>
        <x:v>J_bus_phys</x:v>
      </x:c>
      <x:c r="B187" s="48" t="n">
        <x:f>IF($A187="","",SUMIFS('02_ツリー'!$K$5:$K$560,'02_ツリー'!$E$5:$E$560,$A187,'02_ツリー'!$K$5:$K$560,"&gt;0"))</x:f>
        <x:v>0</x:v>
      </x:c>
      <x:c r="C187" s="48" t="n">
        <x:f>IF($A187="","",SUMIFS('02_ツリー'!$K$5:$K$560,'02_ツリー'!$E$5:$E$560,$A187,'02_ツリー'!$K$5:$K$560,"&lt;0"))</x:f>
        <x:v>-0.0001235810603646933</x:v>
      </x:c>
      <x:c r="D187" s="48" t="n">
        <x:f>IF($A187="","",B187+C187)</x:f>
        <x:v>-0.0001235810603646933</x:v>
      </x:c>
      <x:c r="E187" s="48" t="n">
        <x:f>IF($A187="","",B187-C187)</x:f>
        <x:v>0.0001235810603646933</x:v>
      </x:c>
      <x:c r="F187" s="48" t="n">
        <x:f>IF($A187="","",SUMIFS('02_ツリー'!$H$5:$H$560,'02_ツリー'!$E$5:$E$560,$A187,'02_ツリー'!$K$5:$K$560,"&gt;0"))</x:f>
        <x:v>0</x:v>
      </x:c>
      <x:c r="G187" s="48" t="n">
        <x:f>IF($A187="","",-SUMIFS('02_ツリー'!$H$5:$H$560,'02_ツリー'!$E$5:$E$560,$A187,'02_ツリー'!$K$5:$K$560,"&lt;0"))</x:f>
        <x:v>-0.0011057834334105528</x:v>
      </x:c>
      <x:c r="H187" s="48" t="n">
        <x:f>IF($A187="","",F187+G187)</x:f>
        <x:v>-0.0011057834334105528</x:v>
      </x:c>
      <x:c r="I187" s="244" t="n">
        <x:f>IF($A187="","",--(COUNTIFS('02_ツリー'!$E$5:$E$560,$A187,'02_ツリー'!$O$5:$O$560,0)=0))</x:f>
        <x:v>0</x:v>
      </x:c>
      <x:c r="J187" s="12" t="str">
        <x:f>IF($A187="","",IF(AND(B187&gt;0,C187&lt;0),"正負あり",IF(B187&gt;0,"正のみ",IF(C187&lt;0,"負のみ","ゼロ"))))</x:f>
        <x:v>負のみ</x:v>
      </x:c>
      <x:c r="K187" s="244" t="n">
        <x:f>IF($A187="","",--AND(B187&gt;0,C187&lt;0))</x:f>
        <x:v>0</x:v>
      </x:c>
      <x:c r="L187" s="244" t="n">
        <x:f>IF($A187="","",COUNTIF('02_ツリー'!$E$5:$E$560,$A187))</x:f>
        <x:v>1</x:v>
      </x:c>
      <x:c r="M187" s="244" t="n">
        <x:f>IF($A187="","",--(LEFT(A187,7)="Enable_"))</x:f>
        <x:v>0</x:v>
      </x:c>
      <x:c r="N187" s="12"/>
      <x:c r="O187" s="12"/>
      <x:c r="P187" s="12"/>
      <x:c r="Q187" s="12"/>
      <x:c r="R187" s="12"/>
      <x:c r="S187" s="12"/>
      <x:c r="T187" s="12"/>
      <x:c r="U187" s="12"/>
      <x:c r="V187" s="12"/>
      <x:c r="W187" s="12"/>
      <x:c r="X187" s="12"/>
      <x:c r="Y187" s="12"/>
    </x:row>
    <x:row r="188">
      <x:c r="A188" s="12" t="str">
        <x:f>IFERROR(INDEX('02_ツリー'!$E$5:$E$560,MATCH(ROWS($A$11:A188),'02_ツリー'!$R$5:$R$560,0)),"")</x:f>
        <x:v>h_bus</x:v>
      </x:c>
      <x:c r="B188" s="48" t="n">
        <x:f>IF($A188="","",SUMIFS('02_ツリー'!$K$5:$K$560,'02_ツリー'!$E$5:$E$560,$A188,'02_ツリー'!$K$5:$K$560,"&gt;0"))</x:f>
        <x:v>0</x:v>
      </x:c>
      <x:c r="C188" s="48" t="n">
        <x:f>IF($A188="","",SUMIFS('02_ツリー'!$K$5:$K$560,'02_ツリー'!$E$5:$E$560,$A188,'02_ツリー'!$K$5:$K$560,"&lt;0"))</x:f>
        <x:v>-0.00006179053018234665</x:v>
      </x:c>
      <x:c r="D188" s="48" t="n">
        <x:f>IF($A188="","",B188+C188)</x:f>
        <x:v>-0.00006179053018234665</x:v>
      </x:c>
      <x:c r="E188" s="48" t="n">
        <x:f>IF($A188="","",B188-C188)</x:f>
        <x:v>0.00006179053018234665</x:v>
      </x:c>
      <x:c r="F188" s="48" t="n">
        <x:f>IF($A188="","",SUMIFS('02_ツリー'!$H$5:$H$560,'02_ツリー'!$E$5:$E$560,$A188,'02_ツリー'!$K$5:$K$560,"&gt;0"))</x:f>
        <x:v>0</x:v>
      </x:c>
      <x:c r="G188" s="48" t="n">
        <x:f>IF($A188="","",-SUMIFS('02_ツリー'!$H$5:$H$560,'02_ツリー'!$E$5:$E$560,$A188,'02_ツリー'!$K$5:$K$560,"&lt;0"))</x:f>
        <x:v>-0.0005528917167052764</x:v>
      </x:c>
      <x:c r="H188" s="48" t="n">
        <x:f>IF($A188="","",F188+G188)</x:f>
        <x:v>-0.0005528917167052764</x:v>
      </x:c>
      <x:c r="I188" s="244" t="n">
        <x:f>IF($A188="","",--(COUNTIFS('02_ツリー'!$E$5:$E$560,$A188,'02_ツリー'!$O$5:$O$560,0)=0))</x:f>
        <x:v>1</x:v>
      </x:c>
      <x:c r="J188" s="12" t="str">
        <x:f>IF($A188="","",IF(AND(B188&gt;0,C188&lt;0),"正負あり",IF(B188&gt;0,"正のみ",IF(C188&lt;0,"負のみ","ゼロ"))))</x:f>
        <x:v>負のみ</x:v>
      </x:c>
      <x:c r="K188" s="244" t="n">
        <x:f>IF($A188="","",--AND(B188&gt;0,C188&lt;0))</x:f>
        <x:v>0</x:v>
      </x:c>
      <x:c r="L188" s="244" t="n">
        <x:f>IF($A188="","",COUNTIF('02_ツリー'!$E$5:$E$560,$A188))</x:f>
        <x:v>1</x:v>
      </x:c>
      <x:c r="M188" s="244" t="n">
        <x:f>IF($A188="","",--(LEFT(A188,7)="Enable_"))</x:f>
        <x:v>0</x:v>
      </x:c>
      <x:c r="N188" s="12"/>
      <x:c r="O188" s="12"/>
      <x:c r="P188" s="12"/>
      <x:c r="Q188" s="12"/>
      <x:c r="R188" s="12"/>
      <x:c r="S188" s="12"/>
      <x:c r="T188" s="12"/>
      <x:c r="U188" s="12"/>
      <x:c r="V188" s="12"/>
      <x:c r="W188" s="12"/>
      <x:c r="X188" s="12"/>
      <x:c r="Y188" s="12"/>
    </x:row>
    <x:row r="189">
      <x:c r="A189" s="12" t="str">
        <x:f>IFERROR(INDEX('02_ツリー'!$E$5:$E$560,MATCH(ROWS($A$11:A189),'02_ツリー'!$R$5:$R$560,0)),"")</x:f>
        <x:v>k_sav_bus</x:v>
      </x:c>
      <x:c r="B189" s="48" t="n">
        <x:f>IF($A189="","",SUMIFS('02_ツリー'!$K$5:$K$560,'02_ツリー'!$E$5:$E$560,$A189,'02_ツリー'!$K$5:$K$560,"&gt;0"))</x:f>
        <x:v>0</x:v>
      </x:c>
      <x:c r="C189" s="48" t="n">
        <x:f>IF($A189="","",SUMIFS('02_ツリー'!$K$5:$K$560,'02_ツリー'!$E$5:$E$560,$A189,'02_ツリー'!$K$5:$K$560,"&lt;0"))</x:f>
        <x:v>-0.00006179053018234665</x:v>
      </x:c>
      <x:c r="D189" s="48" t="n">
        <x:f>IF($A189="","",B189+C189)</x:f>
        <x:v>-0.00006179053018234665</x:v>
      </x:c>
      <x:c r="E189" s="48" t="n">
        <x:f>IF($A189="","",B189-C189)</x:f>
        <x:v>0.00006179053018234665</x:v>
      </x:c>
      <x:c r="F189" s="48" t="n">
        <x:f>IF($A189="","",SUMIFS('02_ツリー'!$H$5:$H$560,'02_ツリー'!$E$5:$E$560,$A189,'02_ツリー'!$K$5:$K$560,"&gt;0"))</x:f>
        <x:v>0</x:v>
      </x:c>
      <x:c r="G189" s="48" t="n">
        <x:f>IF($A189="","",-SUMIFS('02_ツリー'!$H$5:$H$560,'02_ツリー'!$E$5:$E$560,$A189,'02_ツリー'!$K$5:$K$560,"&lt;0"))</x:f>
        <x:v>-0.0005528917167052764</x:v>
      </x:c>
      <x:c r="H189" s="48" t="n">
        <x:f>IF($A189="","",F189+G189)</x:f>
        <x:v>-0.0005528917167052764</x:v>
      </x:c>
      <x:c r="I189" s="244" t="n">
        <x:f>IF($A189="","",--(COUNTIFS('02_ツリー'!$E$5:$E$560,$A189,'02_ツリー'!$O$5:$O$560,0)=0))</x:f>
        <x:v>1</x:v>
      </x:c>
      <x:c r="J189" s="12" t="str">
        <x:f>IF($A189="","",IF(AND(B189&gt;0,C189&lt;0),"正負あり",IF(B189&gt;0,"正のみ",IF(C189&lt;0,"負のみ","ゼロ"))))</x:f>
        <x:v>負のみ</x:v>
      </x:c>
      <x:c r="K189" s="244" t="n">
        <x:f>IF($A189="","",--AND(B189&gt;0,C189&lt;0))</x:f>
        <x:v>0</x:v>
      </x:c>
      <x:c r="L189" s="244" t="n">
        <x:f>IF($A189="","",COUNTIF('02_ツリー'!$E$5:$E$560,$A189))</x:f>
        <x:v>1</x:v>
      </x:c>
      <x:c r="M189" s="244" t="n">
        <x:f>IF($A189="","",--(LEFT(A189,7)="Enable_"))</x:f>
        <x:v>0</x:v>
      </x:c>
      <x:c r="N189" s="12"/>
      <x:c r="O189" s="12"/>
      <x:c r="P189" s="12"/>
      <x:c r="Q189" s="12"/>
      <x:c r="R189" s="12"/>
      <x:c r="S189" s="12"/>
      <x:c r="T189" s="12"/>
      <x:c r="U189" s="12"/>
      <x:c r="V189" s="12"/>
      <x:c r="W189" s="12"/>
      <x:c r="X189" s="12"/>
      <x:c r="Y189" s="12"/>
    </x:row>
    <x:row r="190">
      <x:c r="A190" s="12" t="str">
        <x:f>IFERROR(INDEX('02_ツリー'!$E$5:$E$560,MATCH(ROWS($A$11:A190),'02_ツリー'!$R$5:$R$560,0)),"")</x:f>
        <x:v>rho_e_bus</x:v>
      </x:c>
      <x:c r="B190" s="48" t="n">
        <x:f>IF($A190="","",SUMIFS('02_ツリー'!$K$5:$K$560,'02_ツリー'!$E$5:$E$560,$A190,'02_ツリー'!$K$5:$K$560,"&gt;0"))</x:f>
        <x:v>0.00006179053018234665</x:v>
      </x:c>
      <x:c r="C190" s="48" t="n">
        <x:f>IF($A190="","",SUMIFS('02_ツリー'!$K$5:$K$560,'02_ツリー'!$E$5:$E$560,$A190,'02_ツリー'!$K$5:$K$560,"&lt;0"))</x:f>
        <x:v>0</x:v>
      </x:c>
      <x:c r="D190" s="48" t="n">
        <x:f>IF($A190="","",B190+C190)</x:f>
        <x:v>0.00006179053018234665</x:v>
      </x:c>
      <x:c r="E190" s="48" t="n">
        <x:f>IF($A190="","",B190-C190)</x:f>
        <x:v>0.00006179053018234665</x:v>
      </x:c>
      <x:c r="F190" s="48" t="n">
        <x:f>IF($A190="","",SUMIFS('02_ツリー'!$H$5:$H$560,'02_ツリー'!$E$5:$E$560,$A190,'02_ツリー'!$K$5:$K$560,"&gt;0"))</x:f>
        <x:v>0.0005528917167052764</x:v>
      </x:c>
      <x:c r="G190" s="48" t="n">
        <x:f>IF($A190="","",-SUMIFS('02_ツリー'!$H$5:$H$560,'02_ツリー'!$E$5:$E$560,$A190,'02_ツリー'!$K$5:$K$560,"&lt;0"))</x:f>
        <x:v>0</x:v>
      </x:c>
      <x:c r="H190" s="48" t="n">
        <x:f>IF($A190="","",F190+G190)</x:f>
        <x:v>0.0005528917167052764</x:v>
      </x:c>
      <x:c r="I190" s="244" t="n">
        <x:f>IF($A190="","",--(COUNTIFS('02_ツリー'!$E$5:$E$560,$A190,'02_ツリー'!$O$5:$O$560,0)=0))</x:f>
        <x:v>1</x:v>
      </x:c>
      <x:c r="J190" s="12" t="str">
        <x:f>IF($A190="","",IF(AND(B190&gt;0,C190&lt;0),"正負あり",IF(B190&gt;0,"正のみ",IF(C190&lt;0,"負のみ","ゼロ"))))</x:f>
        <x:v>正のみ</x:v>
      </x:c>
      <x:c r="K190" s="244" t="n">
        <x:f>IF($A190="","",--AND(B190&gt;0,C190&lt;0))</x:f>
        <x:v>0</x:v>
      </x:c>
      <x:c r="L190" s="244" t="n">
        <x:f>IF($A190="","",COUNTIF('02_ツリー'!$E$5:$E$560,$A190))</x:f>
        <x:v>1</x:v>
      </x:c>
      <x:c r="M190" s="244" t="n">
        <x:f>IF($A190="","",--(LEFT(A190,7)="Enable_"))</x:f>
        <x:v>0</x:v>
      </x:c>
      <x:c r="N190" s="12"/>
      <x:c r="O190" s="12"/>
      <x:c r="P190" s="12"/>
      <x:c r="Q190" s="12"/>
      <x:c r="R190" s="12"/>
      <x:c r="S190" s="12"/>
      <x:c r="T190" s="12"/>
      <x:c r="U190" s="12"/>
      <x:c r="V190" s="12"/>
      <x:c r="W190" s="12"/>
      <x:c r="X190" s="12"/>
      <x:c r="Y190" s="12"/>
    </x:row>
    <x:row r="191">
      <x:c r="A191" s="12" t="str">
        <x:f>IFERROR(INDEX('02_ツリー'!$E$5:$E$560,MATCH(ROWS($A$11:A191),'02_ツリー'!$R$5:$R$560,0)),"")</x:f>
        <x:v>k_mL_phys</x:v>
      </x:c>
      <x:c r="B191" s="48" t="n">
        <x:f>IF($A191="","",SUMIFS('02_ツリー'!$K$5:$K$560,'02_ツリー'!$E$5:$E$560,$A191,'02_ツリー'!$K$5:$K$560,"&gt;0"))</x:f>
        <x:v>2.0791279328931314e-7</x:v>
      </x:c>
      <x:c r="C191" s="48" t="n">
        <x:f>IF($A191="","",SUMIFS('02_ツリー'!$K$5:$K$560,'02_ツリー'!$E$5:$E$560,$A191,'02_ツリー'!$K$5:$K$560,"&lt;0"))</x:f>
        <x:v>0</x:v>
      </x:c>
      <x:c r="D191" s="48" t="n">
        <x:f>IF($A191="","",B191+C191)</x:f>
        <x:v>2.0791279328931314e-7</x:v>
      </x:c>
      <x:c r="E191" s="48" t="n">
        <x:f>IF($A191="","",B191-C191)</x:f>
        <x:v>2.0791279328931314e-7</x:v>
      </x:c>
      <x:c r="F191" s="48" t="n">
        <x:f>IF($A191="","",SUMIFS('02_ツリー'!$H$5:$H$560,'02_ツリー'!$E$5:$E$560,$A191,'02_ツリー'!$K$5:$K$560,"&gt;0"))</x:f>
        <x:v>0.0000018603702034516511</x:v>
      </x:c>
      <x:c r="G191" s="48" t="n">
        <x:f>IF($A191="","",-SUMIFS('02_ツリー'!$H$5:$H$560,'02_ツリー'!$E$5:$E$560,$A191,'02_ツリー'!$K$5:$K$560,"&lt;0"))</x:f>
        <x:v>0</x:v>
      </x:c>
      <x:c r="H191" s="48" t="n">
        <x:f>IF($A191="","",F191+G191)</x:f>
        <x:v>0.0000018603702034516511</x:v>
      </x:c>
      <x:c r="I191" s="244" t="n">
        <x:f>IF($A191="","",--(COUNTIFS('02_ツリー'!$E$5:$E$560,$A191,'02_ツリー'!$O$5:$O$560,0)=0))</x:f>
        <x:v>0</x:v>
      </x:c>
      <x:c r="J191" s="12" t="str">
        <x:f>IF($A191="","",IF(AND(B191&gt;0,C191&lt;0),"正負あり",IF(B191&gt;0,"正のみ",IF(C191&lt;0,"負のみ","ゼロ"))))</x:f>
        <x:v>正のみ</x:v>
      </x:c>
      <x:c r="K191" s="244" t="n">
        <x:f>IF($A191="","",--AND(B191&gt;0,C191&lt;0))</x:f>
        <x:v>0</x:v>
      </x:c>
      <x:c r="L191" s="244" t="n">
        <x:f>IF($A191="","",COUNTIF('02_ツリー'!$E$5:$E$560,$A191))</x:f>
        <x:v>1</x:v>
      </x:c>
      <x:c r="M191" s="244" t="n">
        <x:f>IF($A191="","",--(LEFT(A191,7)="Enable_"))</x:f>
        <x:v>0</x:v>
      </x:c>
      <x:c r="N191" s="12"/>
      <x:c r="O191" s="12"/>
      <x:c r="P191" s="12"/>
      <x:c r="Q191" s="12"/>
      <x:c r="R191" s="12"/>
      <x:c r="S191" s="12"/>
      <x:c r="T191" s="12"/>
      <x:c r="U191" s="12"/>
      <x:c r="V191" s="12"/>
      <x:c r="W191" s="12"/>
      <x:c r="X191" s="12"/>
      <x:c r="Y191" s="12"/>
    </x:row>
    <x:row r="192">
      <x:c r="A192" s="12" t="str">
        <x:f>IFERROR(INDEX('02_ツリー'!$E$5:$E$560,MATCH(ROWS($A$11:A192),'02_ツリー'!$R$5:$R$560,0)),"")</x:f>
        <x:v>rho_L_eq</x:v>
      </x:c>
      <x:c r="B192" s="48" t="n">
        <x:f>IF($A192="","",SUMIFS('02_ツリー'!$K$5:$K$560,'02_ツリー'!$E$5:$E$560,$A192,'02_ツリー'!$K$5:$K$560,"&gt;0"))</x:f>
        <x:v>2.0791279328931314e-7</x:v>
      </x:c>
      <x:c r="C192" s="48" t="n">
        <x:f>IF($A192="","",SUMIFS('02_ツリー'!$K$5:$K$560,'02_ツリー'!$E$5:$E$560,$A192,'02_ツリー'!$K$5:$K$560,"&lt;0"))</x:f>
        <x:v>0</x:v>
      </x:c>
      <x:c r="D192" s="48" t="n">
        <x:f>IF($A192="","",B192+C192)</x:f>
        <x:v>2.0791279328931314e-7</x:v>
      </x:c>
      <x:c r="E192" s="48" t="n">
        <x:f>IF($A192="","",B192-C192)</x:f>
        <x:v>2.0791279328931314e-7</x:v>
      </x:c>
      <x:c r="F192" s="48" t="n">
        <x:f>IF($A192="","",SUMIFS('02_ツリー'!$H$5:$H$560,'02_ツリー'!$E$5:$E$560,$A192,'02_ツリー'!$K$5:$K$560,"&gt;0"))</x:f>
        <x:v>0.0000018603702034516511</x:v>
      </x:c>
      <x:c r="G192" s="48" t="n">
        <x:f>IF($A192="","",-SUMIFS('02_ツリー'!$H$5:$H$560,'02_ツリー'!$E$5:$E$560,$A192,'02_ツリー'!$K$5:$K$560,"&lt;0"))</x:f>
        <x:v>0</x:v>
      </x:c>
      <x:c r="H192" s="48" t="n">
        <x:f>IF($A192="","",F192+G192)</x:f>
        <x:v>0.0000018603702034516511</x:v>
      </x:c>
      <x:c r="I192" s="244" t="n">
        <x:f>IF($A192="","",--(COUNTIFS('02_ツリー'!$E$5:$E$560,$A192,'02_ツリー'!$O$5:$O$560,0)=0))</x:f>
        <x:v>1</x:v>
      </x:c>
      <x:c r="J192" s="12" t="str">
        <x:f>IF($A192="","",IF(AND(B192&gt;0,C192&lt;0),"正負あり",IF(B192&gt;0,"正のみ",IF(C192&lt;0,"負のみ","ゼロ"))))</x:f>
        <x:v>正のみ</x:v>
      </x:c>
      <x:c r="K192" s="244" t="n">
        <x:f>IF($A192="","",--AND(B192&gt;0,C192&lt;0))</x:f>
        <x:v>0</x:v>
      </x:c>
      <x:c r="L192" s="244" t="n">
        <x:f>IF($A192="","",COUNTIF('02_ツリー'!$E$5:$E$560,$A192))</x:f>
        <x:v>1</x:v>
      </x:c>
      <x:c r="M192" s="244" t="n">
        <x:f>IF($A192="","",--(LEFT(A192,7)="Enable_"))</x:f>
        <x:v>0</x:v>
      </x:c>
      <x:c r="N192" s="12"/>
      <x:c r="O192" s="12"/>
      <x:c r="P192" s="12"/>
      <x:c r="Q192" s="12"/>
      <x:c r="R192" s="12"/>
      <x:c r="S192" s="12"/>
      <x:c r="T192" s="12"/>
      <x:c r="U192" s="12"/>
      <x:c r="V192" s="12"/>
      <x:c r="W192" s="12"/>
      <x:c r="X192" s="12"/>
      <x:c r="Y192" s="12"/>
    </x:row>
    <x:row r="193">
      <x:c r="A193" s="12" t="str">
        <x:f>IFERROR(INDEX('02_ツリー'!$E$5:$E$560,MATCH(ROWS($A$11:A193),'02_ツリー'!$R$5:$R$560,0)),"")</x:f>
        <x:v>B_max</x:v>
      </x:c>
      <x:c r="B193" s="48" t="n">
        <x:f>IF($A193="","",SUMIFS('02_ツリー'!$K$5:$K$560,'02_ツリー'!$E$5:$E$560,$A193,'02_ツリー'!$K$5:$K$560,"&gt;0"))</x:f>
        <x:v>0</x:v>
      </x:c>
      <x:c r="C193" s="48" t="n">
        <x:f>IF($A193="","",SUMIFS('02_ツリー'!$K$5:$K$560,'02_ツリー'!$E$5:$E$560,$A193,'02_ツリー'!$K$5:$K$560,"&lt;0"))</x:f>
        <x:v>-4.1582558657862627e-7</x:v>
      </x:c>
      <x:c r="D193" s="48" t="n">
        <x:f>IF($A193="","",B193+C193)</x:f>
        <x:v>-4.1582558657862627e-7</x:v>
      </x:c>
      <x:c r="E193" s="48" t="n">
        <x:f>IF($A193="","",B193-C193)</x:f>
        <x:v>4.1582558657862627e-7</x:v>
      </x:c>
      <x:c r="F193" s="48" t="n">
        <x:f>IF($A193="","",SUMIFS('02_ツリー'!$H$5:$H$560,'02_ツリー'!$E$5:$E$560,$A193,'02_ツリー'!$K$5:$K$560,"&gt;0"))</x:f>
        <x:v>0</x:v>
      </x:c>
      <x:c r="G193" s="48" t="n">
        <x:f>IF($A193="","",-SUMIFS('02_ツリー'!$H$5:$H$560,'02_ツリー'!$E$5:$E$560,$A193,'02_ツリー'!$K$5:$K$560,"&lt;0"))</x:f>
        <x:v>-0.0000037207404069033022</x:v>
      </x:c>
      <x:c r="H193" s="48" t="n">
        <x:f>IF($A193="","",F193+G193)</x:f>
        <x:v>-0.0000037207404069033022</x:v>
      </x:c>
      <x:c r="I193" s="244" t="n">
        <x:f>IF($A193="","",--(COUNTIFS('02_ツリー'!$E$5:$E$560,$A193,'02_ツリー'!$O$5:$O$560,0)=0))</x:f>
        <x:v>1</x:v>
      </x:c>
      <x:c r="J193" s="12" t="str">
        <x:f>IF($A193="","",IF(AND(B193&gt;0,C193&lt;0),"正負あり",IF(B193&gt;0,"正のみ",IF(C193&lt;0,"負のみ","ゼロ"))))</x:f>
        <x:v>負のみ</x:v>
      </x:c>
      <x:c r="K193" s="244" t="n">
        <x:f>IF($A193="","",--AND(B193&gt;0,C193&lt;0))</x:f>
        <x:v>0</x:v>
      </x:c>
      <x:c r="L193" s="244" t="n">
        <x:f>IF($A193="","",COUNTIF('02_ツリー'!$E$5:$E$560,$A193))</x:f>
        <x:v>1</x:v>
      </x:c>
      <x:c r="M193" s="244" t="n">
        <x:f>IF($A193="","",--(LEFT(A193,7)="Enable_"))</x:f>
        <x:v>0</x:v>
      </x:c>
      <x:c r="N193" s="12"/>
      <x:c r="O193" s="12"/>
      <x:c r="P193" s="12"/>
      <x:c r="Q193" s="12"/>
      <x:c r="R193" s="12"/>
      <x:c r="S193" s="12"/>
      <x:c r="T193" s="12"/>
      <x:c r="U193" s="12"/>
      <x:c r="V193" s="12"/>
      <x:c r="W193" s="12"/>
      <x:c r="X193" s="12"/>
      <x:c r="Y193" s="12"/>
    </x:row>
    <x:row r="194">
      <x:c r="A194" s="12" t="str">
        <x:f>IFERROR(INDEX('02_ツリー'!$E$5:$E$560,MATCH(ROWS($A$11:A194),'02_ツリー'!$R$5:$R$560,0)),"")</x:f>
        <x:v>k_mu_core</x:v>
      </x:c>
      <x:c r="B194" s="48" t="n">
        <x:f>IF($A194="","",SUMIFS('02_ツリー'!$K$5:$K$560,'02_ツリー'!$E$5:$E$560,$A194,'02_ツリー'!$K$5:$K$560,"&gt;0"))</x:f>
        <x:v>0</x:v>
      </x:c>
      <x:c r="C194" s="48" t="n">
        <x:f>IF($A194="","",SUMIFS('02_ツリー'!$K$5:$K$560,'02_ツリー'!$E$5:$E$560,$A194,'02_ツリー'!$K$5:$K$560,"&lt;0"))</x:f>
        <x:v>-2.0791279328931314e-7</x:v>
      </x:c>
      <x:c r="D194" s="48" t="n">
        <x:f>IF($A194="","",B194+C194)</x:f>
        <x:v>-2.0791279328931314e-7</x:v>
      </x:c>
      <x:c r="E194" s="48" t="n">
        <x:f>IF($A194="","",B194-C194)</x:f>
        <x:v>2.0791279328931314e-7</x:v>
      </x:c>
      <x:c r="F194" s="48" t="n">
        <x:f>IF($A194="","",SUMIFS('02_ツリー'!$H$5:$H$560,'02_ツリー'!$E$5:$E$560,$A194,'02_ツリー'!$K$5:$K$560,"&gt;0"))</x:f>
        <x:v>0</x:v>
      </x:c>
      <x:c r="G194" s="48" t="n">
        <x:f>IF($A194="","",-SUMIFS('02_ツリー'!$H$5:$H$560,'02_ツリー'!$E$5:$E$560,$A194,'02_ツリー'!$K$5:$K$560,"&lt;0"))</x:f>
        <x:v>-0.0000018603702034516511</x:v>
      </x:c>
      <x:c r="H194" s="48" t="n">
        <x:f>IF($A194="","",F194+G194)</x:f>
        <x:v>-0.0000018603702034516511</x:v>
      </x:c>
      <x:c r="I194" s="244" t="n">
        <x:f>IF($A194="","",--(COUNTIFS('02_ツリー'!$E$5:$E$560,$A194,'02_ツリー'!$O$5:$O$560,0)=0))</x:f>
        <x:v>1</x:v>
      </x:c>
      <x:c r="J194" s="12" t="str">
        <x:f>IF($A194="","",IF(AND(B194&gt;0,C194&lt;0),"正負あり",IF(B194&gt;0,"正のみ",IF(C194&lt;0,"負のみ","ゼロ"))))</x:f>
        <x:v>負のみ</x:v>
      </x:c>
      <x:c r="K194" s="244" t="n">
        <x:f>IF($A194="","",--AND(B194&gt;0,C194&lt;0))</x:f>
        <x:v>0</x:v>
      </x:c>
      <x:c r="L194" s="244" t="n">
        <x:f>IF($A194="","",COUNTIF('02_ツリー'!$E$5:$E$560,$A194))</x:f>
        <x:v>1</x:v>
      </x:c>
      <x:c r="M194" s="244" t="n">
        <x:f>IF($A194="","",--(LEFT(A194,7)="Enable_"))</x:f>
        <x:v>0</x:v>
      </x:c>
      <x:c r="N194" s="12"/>
      <x:c r="O194" s="12"/>
      <x:c r="P194" s="12"/>
      <x:c r="Q194" s="12"/>
      <x:c r="R194" s="12"/>
      <x:c r="S194" s="12"/>
      <x:c r="T194" s="12"/>
      <x:c r="U194" s="12"/>
      <x:c r="V194" s="12"/>
      <x:c r="W194" s="12"/>
      <x:c r="X194" s="12"/>
      <x:c r="Y194" s="12"/>
    </x:row>
    <x:row r="195">
      <x:c r="A195" s="12" t="str">
        <x:f>IFERROR(INDEX('02_ツリー'!$E$5:$E$560,MATCH(ROWS($A$11:A195),'02_ツリー'!$R$5:$R$560,0)),"")</x:f>
        <x:v>k_fill_L</x:v>
      </x:c>
      <x:c r="B195" s="48" t="n">
        <x:f>IF($A195="","",SUMIFS('02_ツリー'!$K$5:$K$560,'02_ツリー'!$E$5:$E$560,$A195,'02_ツリー'!$K$5:$K$560,"&gt;0"))</x:f>
        <x:v>0</x:v>
      </x:c>
      <x:c r="C195" s="48" t="n">
        <x:f>IF($A195="","",SUMIFS('02_ツリー'!$K$5:$K$560,'02_ツリー'!$E$5:$E$560,$A195,'02_ツリー'!$K$5:$K$560,"&lt;0"))</x:f>
        <x:v>-2.0791279328931314e-7</x:v>
      </x:c>
      <x:c r="D195" s="48" t="n">
        <x:f>IF($A195="","",B195+C195)</x:f>
        <x:v>-2.0791279328931314e-7</x:v>
      </x:c>
      <x:c r="E195" s="48" t="n">
        <x:f>IF($A195="","",B195-C195)</x:f>
        <x:v>2.0791279328931314e-7</x:v>
      </x:c>
      <x:c r="F195" s="48" t="n">
        <x:f>IF($A195="","",SUMIFS('02_ツリー'!$H$5:$H$560,'02_ツリー'!$E$5:$E$560,$A195,'02_ツリー'!$K$5:$K$560,"&gt;0"))</x:f>
        <x:v>0</x:v>
      </x:c>
      <x:c r="G195" s="48" t="n">
        <x:f>IF($A195="","",-SUMIFS('02_ツリー'!$H$5:$H$560,'02_ツリー'!$E$5:$E$560,$A195,'02_ツリー'!$K$5:$K$560,"&lt;0"))</x:f>
        <x:v>-0.0000018603702034516511</x:v>
      </x:c>
      <x:c r="H195" s="48" t="n">
        <x:f>IF($A195="","",F195+G195)</x:f>
        <x:v>-0.0000018603702034516511</x:v>
      </x:c>
      <x:c r="I195" s="244" t="n">
        <x:f>IF($A195="","",--(COUNTIFS('02_ツリー'!$E$5:$E$560,$A195,'02_ツリー'!$O$5:$O$560,0)=0))</x:f>
        <x:v>1</x:v>
      </x:c>
      <x:c r="J195" s="12" t="str">
        <x:f>IF($A195="","",IF(AND(B195&gt;0,C195&lt;0),"正負あり",IF(B195&gt;0,"正のみ",IF(C195&lt;0,"負のみ","ゼロ"))))</x:f>
        <x:v>負のみ</x:v>
      </x:c>
      <x:c r="K195" s="244" t="n">
        <x:f>IF($A195="","",--AND(B195&gt;0,C195&lt;0))</x:f>
        <x:v>0</x:v>
      </x:c>
      <x:c r="L195" s="244" t="n">
        <x:f>IF($A195="","",COUNTIF('02_ツリー'!$E$5:$E$560,$A195))</x:f>
        <x:v>1</x:v>
      </x:c>
      <x:c r="M195" s="244" t="n">
        <x:f>IF($A195="","",--(LEFT(A195,7)="Enable_"))</x:f>
        <x:v>0</x:v>
      </x:c>
      <x:c r="N195" s="12"/>
      <x:c r="O195" s="12"/>
      <x:c r="P195" s="12"/>
      <x:c r="Q195" s="12"/>
      <x:c r="R195" s="12"/>
      <x:c r="S195" s="12"/>
      <x:c r="T195" s="12"/>
      <x:c r="U195" s="12"/>
      <x:c r="V195" s="12"/>
      <x:c r="W195" s="12"/>
      <x:c r="X195" s="12"/>
      <x:c r="Y195" s="12"/>
    </x:row>
    <x:row r="196">
      <x:c r="A196" s="12" t="str">
        <x:f>IFERROR(INDEX('02_ツリー'!$E$5:$E$560,MATCH(ROWS($A$11:A196),'02_ツリー'!$R$5:$R$560,0)),"")</x:f>
        <x:v>t_case</x:v>
      </x:c>
      <x:c r="B196" s="48" t="n">
        <x:f>IF($A196="","",SUMIFS('02_ツリー'!$K$5:$K$560,'02_ツリー'!$E$5:$E$560,$A196,'02_ツリー'!$K$5:$K$560,"&gt;0"))</x:f>
        <x:v>0.24286284932342378</x:v>
      </x:c>
      <x:c r="C196" s="48" t="n">
        <x:f>IF($A196="","",SUMIFS('02_ツリー'!$K$5:$K$560,'02_ツリー'!$E$5:$E$560,$A196,'02_ツリー'!$K$5:$K$560,"&lt;0"))</x:f>
        <x:v>0</x:v>
      </x:c>
      <x:c r="D196" s="48" t="n">
        <x:f>IF($A196="","",B196+C196)</x:f>
        <x:v>0.24286284932342378</x:v>
      </x:c>
      <x:c r="E196" s="48" t="n">
        <x:f>IF($A196="","",B196-C196)</x:f>
        <x:v>0.24286284932342378</x:v>
      </x:c>
      <x:c r="F196" s="48" t="n">
        <x:f>IF($A196="","",SUMIFS('02_ツリー'!$H$5:$H$560,'02_ツリー'!$E$5:$E$560,$A196,'02_ツリー'!$K$5:$K$560,"&gt;0"))</x:f>
        <x:v>2.1730976784000005</x:v>
      </x:c>
      <x:c r="G196" s="48" t="n">
        <x:f>IF($A196="","",-SUMIFS('02_ツリー'!$H$5:$H$560,'02_ツリー'!$E$5:$E$560,$A196,'02_ツリー'!$K$5:$K$560,"&lt;0"))</x:f>
        <x:v>0</x:v>
      </x:c>
      <x:c r="H196" s="48" t="n">
        <x:f>IF($A196="","",F196+G196)</x:f>
        <x:v>2.1730976784000005</x:v>
      </x:c>
      <x:c r="I196" s="244" t="n">
        <x:f>IF($A196="","",--(COUNTIFS('02_ツリー'!$E$5:$E$560,$A196,'02_ツリー'!$O$5:$O$560,0)=0))</x:f>
        <x:v>1</x:v>
      </x:c>
      <x:c r="J196" s="12" t="str">
        <x:f>IF($A196="","",IF(AND(B196&gt;0,C196&lt;0),"正負あり",IF(B196&gt;0,"正のみ",IF(C196&lt;0,"負のみ","ゼロ"))))</x:f>
        <x:v>正のみ</x:v>
      </x:c>
      <x:c r="K196" s="244" t="n">
        <x:f>IF($A196="","",--AND(B196&gt;0,C196&lt;0))</x:f>
        <x:v>0</x:v>
      </x:c>
      <x:c r="L196" s="244" t="n">
        <x:f>IF($A196="","",COUNTIF('02_ツリー'!$E$5:$E$560,$A196))</x:f>
        <x:v>1</x:v>
      </x:c>
      <x:c r="M196" s="244" t="n">
        <x:f>IF($A196="","",--(LEFT(A196,7)="Enable_"))</x:f>
        <x:v>0</x:v>
      </x:c>
      <x:c r="N196" s="12"/>
      <x:c r="O196" s="12"/>
      <x:c r="P196" s="12"/>
      <x:c r="Q196" s="12"/>
      <x:c r="R196" s="12"/>
      <x:c r="S196" s="12"/>
      <x:c r="T196" s="12"/>
      <x:c r="U196" s="12"/>
      <x:c r="V196" s="12"/>
      <x:c r="W196" s="12"/>
      <x:c r="X196" s="12"/>
      <x:c r="Y196" s="12"/>
    </x:row>
    <x:row r="197">
      <x:c r="A197" s="12" t="str">
        <x:f>IFERROR(INDEX('02_ツリー'!$E$5:$E$560,MATCH(ROWS($A$11:A197),'02_ツリー'!$R$5:$R$560,0)),"")</x:f>
        <x:v>t_case_req</x:v>
      </x:c>
      <x:c r="B197" s="48" t="n">
        <x:f>IF($A197="","",SUMIFS('02_ツリー'!$K$5:$K$560,'02_ツリー'!$E$5:$E$560,$A197,'02_ツリー'!$K$5:$K$560,"&gt;0"))</x:f>
        <x:v>0</x:v>
      </x:c>
      <x:c r="C197" s="48" t="n">
        <x:f>IF($A197="","",SUMIFS('02_ツリー'!$K$5:$K$560,'02_ツリー'!$E$5:$E$560,$A197,'02_ツリー'!$K$5:$K$560,"&lt;0"))</x:f>
        <x:v>0</x:v>
      </x:c>
      <x:c r="D197" s="48" t="n">
        <x:f>IF($A197="","",B197+C197)</x:f>
        <x:v>0</x:v>
      </x:c>
      <x:c r="E197" s="48" t="n">
        <x:f>IF($A197="","",B197-C197)</x:f>
        <x:v>0</x:v>
      </x:c>
      <x:c r="F197" s="48" t="n">
        <x:f>IF($A197="","",SUMIFS('02_ツリー'!$H$5:$H$560,'02_ツリー'!$E$5:$E$560,$A197,'02_ツリー'!$K$5:$K$560,"&gt;0"))</x:f>
        <x:v>0</x:v>
      </x:c>
      <x:c r="G197" s="48" t="n">
        <x:f>IF($A197="","",-SUMIFS('02_ツリー'!$H$5:$H$560,'02_ツリー'!$E$5:$E$560,$A197,'02_ツリー'!$K$5:$K$560,"&lt;0"))</x:f>
        <x:v>0</x:v>
      </x:c>
      <x:c r="H197" s="48" t="n">
        <x:f>IF($A197="","",F197+G197)</x:f>
        <x:v>0</x:v>
      </x:c>
      <x:c r="I197" s="244" t="n">
        <x:f>IF($A197="","",--(COUNTIFS('02_ツリー'!$E$5:$E$560,$A197,'02_ツリー'!$O$5:$O$560,0)=0))</x:f>
        <x:v>0</x:v>
      </x:c>
      <x:c r="J197" s="12" t="str">
        <x:f>IF($A197="","",IF(AND(B197&gt;0,C197&lt;0),"正負あり",IF(B197&gt;0,"正のみ",IF(C197&lt;0,"負のみ","ゼロ"))))</x:f>
        <x:v>ゼロ</x:v>
      </x:c>
      <x:c r="K197" s="244" t="n">
        <x:f>IF($A197="","",--AND(B197&gt;0,C197&lt;0))</x:f>
        <x:v>0</x:v>
      </x:c>
      <x:c r="L197" s="244" t="n">
        <x:f>IF($A197="","",COUNTIF('02_ツリー'!$E$5:$E$560,$A197))</x:f>
        <x:v>1</x:v>
      </x:c>
      <x:c r="M197" s="244" t="n">
        <x:f>IF($A197="","",--(LEFT(A197,7)="Enable_"))</x:f>
        <x:v>0</x:v>
      </x:c>
      <x:c r="N197" s="12"/>
      <x:c r="O197" s="12"/>
      <x:c r="P197" s="12"/>
      <x:c r="Q197" s="12"/>
      <x:c r="R197" s="12"/>
      <x:c r="S197" s="12"/>
      <x:c r="T197" s="12"/>
      <x:c r="U197" s="12"/>
      <x:c r="V197" s="12"/>
      <x:c r="W197" s="12"/>
      <x:c r="X197" s="12"/>
      <x:c r="Y197" s="12"/>
    </x:row>
    <x:row r="198">
      <x:c r="A198" s="12" t="str">
        <x:f>IFERROR(INDEX('02_ツリー'!$E$5:$E$560,MATCH(ROWS($A$11:A198),'02_ツリー'!$R$5:$R$560,0)),"")</x:f>
        <x:v>K_tcase_sf</x:v>
      </x:c>
      <x:c r="B198" s="48" t="n">
        <x:f>IF($A198="","",SUMIFS('02_ツリー'!$K$5:$K$560,'02_ツリー'!$E$5:$E$560,$A198,'02_ツリー'!$K$5:$K$560,"&gt;0"))</x:f>
        <x:v>0</x:v>
      </x:c>
      <x:c r="C198" s="48" t="n">
        <x:f>IF($A198="","",SUMIFS('02_ツリー'!$K$5:$K$560,'02_ツリー'!$E$5:$E$560,$A198,'02_ツリー'!$K$5:$K$560,"&lt;0"))</x:f>
        <x:v>0</x:v>
      </x:c>
      <x:c r="D198" s="48" t="n">
        <x:f>IF($A198="","",B198+C198)</x:f>
        <x:v>0</x:v>
      </x:c>
      <x:c r="E198" s="48" t="n">
        <x:f>IF($A198="","",B198-C198)</x:f>
        <x:v>0</x:v>
      </x:c>
      <x:c r="F198" s="48" t="n">
        <x:f>IF($A198="","",SUMIFS('02_ツリー'!$H$5:$H$560,'02_ツリー'!$E$5:$E$560,$A198,'02_ツリー'!$K$5:$K$560,"&gt;0"))</x:f>
        <x:v>0</x:v>
      </x:c>
      <x:c r="G198" s="48" t="n">
        <x:f>IF($A198="","",-SUMIFS('02_ツリー'!$H$5:$H$560,'02_ツリー'!$E$5:$E$560,$A198,'02_ツリー'!$K$5:$K$560,"&lt;0"))</x:f>
        <x:v>0</x:v>
      </x:c>
      <x:c r="H198" s="48" t="n">
        <x:f>IF($A198="","",F198+G198)</x:f>
        <x:v>0</x:v>
      </x:c>
      <x:c r="I198" s="244" t="n">
        <x:f>IF($A198="","",--(COUNTIFS('02_ツリー'!$E$5:$E$560,$A198,'02_ツリー'!$O$5:$O$560,0)=0))</x:f>
        <x:v>1</x:v>
      </x:c>
      <x:c r="J198" s="12" t="str">
        <x:f>IF($A198="","",IF(AND(B198&gt;0,C198&lt;0),"正負あり",IF(B198&gt;0,"正のみ",IF(C198&lt;0,"負のみ","ゼロ"))))</x:f>
        <x:v>ゼロ</x:v>
      </x:c>
      <x:c r="K198" s="244" t="n">
        <x:f>IF($A198="","",--AND(B198&gt;0,C198&lt;0))</x:f>
        <x:v>0</x:v>
      </x:c>
      <x:c r="L198" s="244" t="n">
        <x:f>IF($A198="","",COUNTIF('02_ツリー'!$E$5:$E$560,$A198))</x:f>
        <x:v>1</x:v>
      </x:c>
      <x:c r="M198" s="244" t="n">
        <x:f>IF($A198="","",--(LEFT(A198,7)="Enable_"))</x:f>
        <x:v>0</x:v>
      </x:c>
      <x:c r="N198" s="12"/>
      <x:c r="O198" s="12"/>
      <x:c r="P198" s="12"/>
      <x:c r="Q198" s="12"/>
      <x:c r="R198" s="12"/>
      <x:c r="S198" s="12"/>
      <x:c r="T198" s="12"/>
      <x:c r="U198" s="12"/>
      <x:c r="V198" s="12"/>
      <x:c r="W198" s="12"/>
      <x:c r="X198" s="12"/>
      <x:c r="Y198" s="12"/>
    </x:row>
    <x:row r="199">
      <x:c r="A199" s="12" t="str">
        <x:f>IFERROR(INDEX('02_ツリー'!$E$5:$E$560,MATCH(ROWS($A$11:A199),'02_ツリー'!$R$5:$R$560,0)),"")</x:f>
        <x:v>L_eff</x:v>
      </x:c>
      <x:c r="B199" s="48" t="n">
        <x:f>IF($A199="","",SUMIFS('02_ツリー'!$K$5:$K$560,'02_ツリー'!$E$5:$E$560,$A199,'02_ツリー'!$K$5:$K$560,"&gt;0"))</x:f>
        <x:v>0</x:v>
      </x:c>
      <x:c r="C199" s="48" t="n">
        <x:f>IF($A199="","",SUMIFS('02_ツリー'!$K$5:$K$560,'02_ツリー'!$E$5:$E$560,$A199,'02_ツリー'!$K$5:$K$560,"&lt;0"))</x:f>
        <x:v>0</x:v>
      </x:c>
      <x:c r="D199" s="48" t="n">
        <x:f>IF($A199="","",B199+C199)</x:f>
        <x:v>0</x:v>
      </x:c>
      <x:c r="E199" s="48" t="n">
        <x:f>IF($A199="","",B199-C199)</x:f>
        <x:v>0</x:v>
      </x:c>
      <x:c r="F199" s="48" t="n">
        <x:f>IF($A199="","",SUMIFS('02_ツリー'!$H$5:$H$560,'02_ツリー'!$E$5:$E$560,$A199,'02_ツリー'!$K$5:$K$560,"&gt;0"))</x:f>
        <x:v>0</x:v>
      </x:c>
      <x:c r="G199" s="48" t="n">
        <x:f>IF($A199="","",-SUMIFS('02_ツリー'!$H$5:$H$560,'02_ツリー'!$E$5:$E$560,$A199,'02_ツリー'!$K$5:$K$560,"&lt;0"))</x:f>
        <x:v>0</x:v>
      </x:c>
      <x:c r="H199" s="48" t="n">
        <x:f>IF($A199="","",F199+G199)</x:f>
        <x:v>0</x:v>
      </x:c>
      <x:c r="I199" s="244" t="n">
        <x:f>IF($A199="","",--(COUNTIFS('02_ツリー'!$E$5:$E$560,$A199,'02_ツリー'!$O$5:$O$560,0)=0))</x:f>
        <x:v>0</x:v>
      </x:c>
      <x:c r="J199" s="12" t="str">
        <x:f>IF($A199="","",IF(AND(B199&gt;0,C199&lt;0),"正負あり",IF(B199&gt;0,"正のみ",IF(C199&lt;0,"負のみ","ゼロ"))))</x:f>
        <x:v>ゼロ</x:v>
      </x:c>
      <x:c r="K199" s="244" t="n">
        <x:f>IF($A199="","",--AND(B199&gt;0,C199&lt;0))</x:f>
        <x:v>0</x:v>
      </x:c>
      <x:c r="L199" s="244" t="n">
        <x:f>IF($A199="","",COUNTIF('02_ツリー'!$E$5:$E$560,$A199))</x:f>
        <x:v>1</x:v>
      </x:c>
      <x:c r="M199" s="244" t="n">
        <x:f>IF($A199="","",--(LEFT(A199,7)="Enable_"))</x:f>
        <x:v>0</x:v>
      </x:c>
      <x:c r="N199" s="12"/>
      <x:c r="O199" s="12"/>
      <x:c r="P199" s="12"/>
      <x:c r="Q199" s="12"/>
      <x:c r="R199" s="12"/>
      <x:c r="S199" s="12"/>
      <x:c r="T199" s="12"/>
      <x:c r="U199" s="12"/>
      <x:c r="V199" s="12"/>
      <x:c r="W199" s="12"/>
      <x:c r="X199" s="12"/>
      <x:c r="Y199" s="12"/>
    </x:row>
    <x:row r="200">
      <x:c r="A200" s="12" t="str">
        <x:f>IFERROR(INDEX('02_ツリー'!$E$5:$E$560,MATCH(ROWS($A$11:A200),'02_ツリー'!$R$5:$R$560,0)),"")</x:f>
        <x:v>p_case</x:v>
      </x:c>
      <x:c r="B200" s="48" t="n">
        <x:f>IF($A200="","",SUMIFS('02_ツリー'!$K$5:$K$560,'02_ツリー'!$E$5:$E$560,$A200,'02_ツリー'!$K$5:$K$560,"&gt;0"))</x:f>
        <x:v>0</x:v>
      </x:c>
      <x:c r="C200" s="48" t="n">
        <x:f>IF($A200="","",SUMIFS('02_ツリー'!$K$5:$K$560,'02_ツリー'!$E$5:$E$560,$A200,'02_ツリー'!$K$5:$K$560,"&lt;0"))</x:f>
        <x:v>0</x:v>
      </x:c>
      <x:c r="D200" s="48" t="n">
        <x:f>IF($A200="","",B200+C200)</x:f>
        <x:v>0</x:v>
      </x:c>
      <x:c r="E200" s="48" t="n">
        <x:f>IF($A200="","",B200-C200)</x:f>
        <x:v>0</x:v>
      </x:c>
      <x:c r="F200" s="48" t="n">
        <x:f>IF($A200="","",SUMIFS('02_ツリー'!$H$5:$H$560,'02_ツリー'!$E$5:$E$560,$A200,'02_ツリー'!$K$5:$K$560,"&gt;0"))</x:f>
        <x:v>0</x:v>
      </x:c>
      <x:c r="G200" s="48" t="n">
        <x:f>IF($A200="","",-SUMIFS('02_ツリー'!$H$5:$H$560,'02_ツリー'!$E$5:$E$560,$A200,'02_ツリー'!$K$5:$K$560,"&lt;0"))</x:f>
        <x:v>0</x:v>
      </x:c>
      <x:c r="H200" s="48" t="n">
        <x:f>IF($A200="","",F200+G200)</x:f>
        <x:v>0</x:v>
      </x:c>
      <x:c r="I200" s="244" t="n">
        <x:f>IF($A200="","",--(COUNTIFS('02_ツリー'!$E$5:$E$560,$A200,'02_ツリー'!$O$5:$O$560,0)=0))</x:f>
        <x:v>1</x:v>
      </x:c>
      <x:c r="J200" s="12" t="str">
        <x:f>IF($A200="","",IF(AND(B200&gt;0,C200&lt;0),"正負あり",IF(B200&gt;0,"正のみ",IF(C200&lt;0,"負のみ","ゼロ"))))</x:f>
        <x:v>ゼロ</x:v>
      </x:c>
      <x:c r="K200" s="244" t="n">
        <x:f>IF($A200="","",--AND(B200&gt;0,C200&lt;0))</x:f>
        <x:v>0</x:v>
      </x:c>
      <x:c r="L200" s="244" t="n">
        <x:f>IF($A200="","",COUNTIF('02_ツリー'!$E$5:$E$560,$A200))</x:f>
        <x:v>1</x:v>
      </x:c>
      <x:c r="M200" s="244" t="n">
        <x:f>IF($A200="","",--(LEFT(A200,7)="Enable_"))</x:f>
        <x:v>0</x:v>
      </x:c>
      <x:c r="N200" s="12"/>
      <x:c r="O200" s="12"/>
      <x:c r="P200" s="12"/>
      <x:c r="Q200" s="12"/>
      <x:c r="R200" s="12"/>
      <x:c r="S200" s="12"/>
      <x:c r="T200" s="12"/>
      <x:c r="U200" s="12"/>
      <x:c r="V200" s="12"/>
      <x:c r="W200" s="12"/>
      <x:c r="X200" s="12"/>
      <x:c r="Y200" s="12"/>
    </x:row>
    <x:row r="201">
      <x:c r="A201" s="12" t="str">
        <x:f>IFERROR(INDEX('02_ツリー'!$E$5:$E$560,MATCH(ROWS($A$11:A201),'02_ツリー'!$R$5:$R$560,0)),"")</x:f>
        <x:v>sigma_y_eff</x:v>
      </x:c>
      <x:c r="B201" s="48" t="n">
        <x:f>IF($A201="","",SUMIFS('02_ツリー'!$K$5:$K$560,'02_ツリー'!$E$5:$E$560,$A201,'02_ツリー'!$K$5:$K$560,"&gt;0"))</x:f>
        <x:v>0</x:v>
      </x:c>
      <x:c r="C201" s="48" t="n">
        <x:f>IF($A201="","",SUMIFS('02_ツリー'!$K$5:$K$560,'02_ツリー'!$E$5:$E$560,$A201,'02_ツリー'!$K$5:$K$560,"&lt;0"))</x:f>
        <x:v>0</x:v>
      </x:c>
      <x:c r="D201" s="48" t="n">
        <x:f>IF($A201="","",B201+C201)</x:f>
        <x:v>0</x:v>
      </x:c>
      <x:c r="E201" s="48" t="n">
        <x:f>IF($A201="","",B201-C201)</x:f>
        <x:v>0</x:v>
      </x:c>
      <x:c r="F201" s="48" t="n">
        <x:f>IF($A201="","",SUMIFS('02_ツリー'!$H$5:$H$560,'02_ツリー'!$E$5:$E$560,$A201,'02_ツリー'!$K$5:$K$560,"&gt;0"))</x:f>
        <x:v>0</x:v>
      </x:c>
      <x:c r="G201" s="48" t="n">
        <x:f>IF($A201="","",-SUMIFS('02_ツリー'!$H$5:$H$560,'02_ツリー'!$E$5:$E$560,$A201,'02_ツリー'!$K$5:$K$560,"&lt;0"))</x:f>
        <x:v>0</x:v>
      </x:c>
      <x:c r="H201" s="48" t="n">
        <x:f>IF($A201="","",F201+G201)</x:f>
        <x:v>0</x:v>
      </x:c>
      <x:c r="I201" s="244" t="n">
        <x:f>IF($A201="","",--(COUNTIFS('02_ツリー'!$E$5:$E$560,$A201,'02_ツリー'!$O$5:$O$560,0)=0))</x:f>
        <x:v>0</x:v>
      </x:c>
      <x:c r="J201" s="12" t="str">
        <x:f>IF($A201="","",IF(AND(B201&gt;0,C201&lt;0),"正負あり",IF(B201&gt;0,"正のみ",IF(C201&lt;0,"負のみ","ゼロ"))))</x:f>
        <x:v>ゼロ</x:v>
      </x:c>
      <x:c r="K201" s="244" t="n">
        <x:f>IF($A201="","",--AND(B201&gt;0,C201&lt;0))</x:f>
        <x:v>0</x:v>
      </x:c>
      <x:c r="L201" s="244" t="n">
        <x:f>IF($A201="","",COUNTIF('02_ツリー'!$E$5:$E$560,$A201))</x:f>
        <x:v>1</x:v>
      </x:c>
      <x:c r="M201" s="244" t="n">
        <x:f>IF($A201="","",--(LEFT(A201,7)="Enable_"))</x:f>
        <x:v>0</x:v>
      </x:c>
      <x:c r="N201" s="12"/>
      <x:c r="O201" s="12"/>
      <x:c r="P201" s="12"/>
      <x:c r="Q201" s="12"/>
      <x:c r="R201" s="12"/>
      <x:c r="S201" s="12"/>
      <x:c r="T201" s="12"/>
      <x:c r="U201" s="12"/>
      <x:c r="V201" s="12"/>
      <x:c r="W201" s="12"/>
      <x:c r="X201" s="12"/>
      <x:c r="Y201" s="12"/>
    </x:row>
    <x:row r="202">
      <x:c r="A202" s="12" t="str">
        <x:f>IFERROR(INDEX('02_ツリー'!$E$5:$E$560,MATCH(ROWS($A$11:A202),'02_ツリー'!$R$5:$R$560,0)),"")</x:f>
        <x:v>sigma_y_ref</x:v>
      </x:c>
      <x:c r="B202" s="48" t="n">
        <x:f>IF($A202="","",SUMIFS('02_ツリー'!$K$5:$K$560,'02_ツリー'!$E$5:$E$560,$A202,'02_ツリー'!$K$5:$K$560,"&gt;0"))</x:f>
        <x:v>0</x:v>
      </x:c>
      <x:c r="C202" s="48" t="n">
        <x:f>IF($A202="","",SUMIFS('02_ツリー'!$K$5:$K$560,'02_ツリー'!$E$5:$E$560,$A202,'02_ツリー'!$K$5:$K$560,"&lt;0"))</x:f>
        <x:v>0</x:v>
      </x:c>
      <x:c r="D202" s="48" t="n">
        <x:f>IF($A202="","",B202+C202)</x:f>
        <x:v>0</x:v>
      </x:c>
      <x:c r="E202" s="48" t="n">
        <x:f>IF($A202="","",B202-C202)</x:f>
        <x:v>0</x:v>
      </x:c>
      <x:c r="F202" s="48" t="n">
        <x:f>IF($A202="","",SUMIFS('02_ツリー'!$H$5:$H$560,'02_ツリー'!$E$5:$E$560,$A202,'02_ツリー'!$K$5:$K$560,"&gt;0"))</x:f>
        <x:v>0</x:v>
      </x:c>
      <x:c r="G202" s="48" t="n">
        <x:f>IF($A202="","",-SUMIFS('02_ツリー'!$H$5:$H$560,'02_ツリー'!$E$5:$E$560,$A202,'02_ツリー'!$K$5:$K$560,"&lt;0"))</x:f>
        <x:v>0</x:v>
      </x:c>
      <x:c r="H202" s="48" t="n">
        <x:f>IF($A202="","",F202+G202)</x:f>
        <x:v>0</x:v>
      </x:c>
      <x:c r="I202" s="244" t="n">
        <x:f>IF($A202="","",--(COUNTIFS('02_ツリー'!$E$5:$E$560,$A202,'02_ツリー'!$O$5:$O$560,0)=0))</x:f>
        <x:v>1</x:v>
      </x:c>
      <x:c r="J202" s="12" t="str">
        <x:f>IF($A202="","",IF(AND(B202&gt;0,C202&lt;0),"正負あり",IF(B202&gt;0,"正のみ",IF(C202&lt;0,"負のみ","ゼロ"))))</x:f>
        <x:v>ゼロ</x:v>
      </x:c>
      <x:c r="K202" s="244" t="n">
        <x:f>IF($A202="","",--AND(B202&gt;0,C202&lt;0))</x:f>
        <x:v>0</x:v>
      </x:c>
      <x:c r="L202" s="244" t="n">
        <x:f>IF($A202="","",COUNTIF('02_ツリー'!$E$5:$E$560,$A202))</x:f>
        <x:v>1</x:v>
      </x:c>
      <x:c r="M202" s="244" t="n">
        <x:f>IF($A202="","",--(LEFT(A202,7)="Enable_"))</x:f>
        <x:v>0</x:v>
      </x:c>
      <x:c r="N202" s="12"/>
      <x:c r="O202" s="12"/>
      <x:c r="P202" s="12"/>
      <x:c r="Q202" s="12"/>
      <x:c r="R202" s="12"/>
      <x:c r="S202" s="12"/>
      <x:c r="T202" s="12"/>
      <x:c r="U202" s="12"/>
      <x:c r="V202" s="12"/>
      <x:c r="W202" s="12"/>
      <x:c r="X202" s="12"/>
      <x:c r="Y202" s="12"/>
    </x:row>
    <x:row r="203">
      <x:c r="A203" s="12" t="str">
        <x:f>IFERROR(INDEX('02_ツリー'!$E$5:$E$560,MATCH(ROWS($A$11:A203),'02_ツリー'!$R$5:$R$560,0)),"")</x:f>
        <x:v>k_temp_case</x:v>
      </x:c>
      <x:c r="B203" s="48" t="n">
        <x:f>IF($A203="","",SUMIFS('02_ツリー'!$K$5:$K$560,'02_ツリー'!$E$5:$E$560,$A203,'02_ツリー'!$K$5:$K$560,"&gt;0"))</x:f>
        <x:v>0</x:v>
      </x:c>
      <x:c r="C203" s="48" t="n">
        <x:f>IF($A203="","",SUMIFS('02_ツリー'!$K$5:$K$560,'02_ツリー'!$E$5:$E$560,$A203,'02_ツリー'!$K$5:$K$560,"&lt;0"))</x:f>
        <x:v>0</x:v>
      </x:c>
      <x:c r="D203" s="48" t="n">
        <x:f>IF($A203="","",B203+C203)</x:f>
        <x:v>0</x:v>
      </x:c>
      <x:c r="E203" s="48" t="n">
        <x:f>IF($A203="","",B203-C203)</x:f>
        <x:v>0</x:v>
      </x:c>
      <x:c r="F203" s="48" t="n">
        <x:f>IF($A203="","",SUMIFS('02_ツリー'!$H$5:$H$560,'02_ツリー'!$E$5:$E$560,$A203,'02_ツリー'!$K$5:$K$560,"&gt;0"))</x:f>
        <x:v>0</x:v>
      </x:c>
      <x:c r="G203" s="48" t="n">
        <x:f>IF($A203="","",-SUMIFS('02_ツリー'!$H$5:$H$560,'02_ツリー'!$E$5:$E$560,$A203,'02_ツリー'!$K$5:$K$560,"&lt;0"))</x:f>
        <x:v>0</x:v>
      </x:c>
      <x:c r="H203" s="48" t="n">
        <x:f>IF($A203="","",F203+G203)</x:f>
        <x:v>0</x:v>
      </x:c>
      <x:c r="I203" s="244" t="n">
        <x:f>IF($A203="","",--(COUNTIFS('02_ツリー'!$E$5:$E$560,$A203,'02_ツリー'!$O$5:$O$560,0)=0))</x:f>
        <x:v>1</x:v>
      </x:c>
      <x:c r="J203" s="12" t="str">
        <x:f>IF($A203="","",IF(AND(B203&gt;0,C203&lt;0),"正負あり",IF(B203&gt;0,"正のみ",IF(C203&lt;0,"負のみ","ゼロ"))))</x:f>
        <x:v>ゼロ</x:v>
      </x:c>
      <x:c r="K203" s="244" t="n">
        <x:f>IF($A203="","",--AND(B203&gt;0,C203&lt;0))</x:f>
        <x:v>0</x:v>
      </x:c>
      <x:c r="L203" s="244" t="n">
        <x:f>IF($A203="","",COUNTIF('02_ツリー'!$E$5:$E$560,$A203))</x:f>
        <x:v>1</x:v>
      </x:c>
      <x:c r="M203" s="244" t="n">
        <x:f>IF($A203="","",--(LEFT(A203,7)="Enable_"))</x:f>
        <x:v>0</x:v>
      </x:c>
      <x:c r="N203" s="12"/>
      <x:c r="O203" s="12"/>
      <x:c r="P203" s="12"/>
      <x:c r="Q203" s="12"/>
      <x:c r="R203" s="12"/>
      <x:c r="S203" s="12"/>
      <x:c r="T203" s="12"/>
      <x:c r="U203" s="12"/>
      <x:c r="V203" s="12"/>
      <x:c r="W203" s="12"/>
      <x:c r="X203" s="12"/>
      <x:c r="Y203" s="12"/>
    </x:row>
    <x:row r="204">
      <x:c r="A204" s="12" t="str">
        <x:f>IFERROR(INDEX('02_ツリー'!$E$5:$E$560,MATCH(ROWS($A$11:A204),'02_ツリー'!$R$5:$R$560,0)),"")</x:f>
        <x:v>k_proc_case</x:v>
      </x:c>
      <x:c r="B204" s="48" t="n">
        <x:f>IF($A204="","",SUMIFS('02_ツリー'!$K$5:$K$560,'02_ツリー'!$E$5:$E$560,$A204,'02_ツリー'!$K$5:$K$560,"&gt;0"))</x:f>
        <x:v>0</x:v>
      </x:c>
      <x:c r="C204" s="48" t="n">
        <x:f>IF($A204="","",SUMIFS('02_ツリー'!$K$5:$K$560,'02_ツリー'!$E$5:$E$560,$A204,'02_ツリー'!$K$5:$K$560,"&lt;0"))</x:f>
        <x:v>0</x:v>
      </x:c>
      <x:c r="D204" s="48" t="n">
        <x:f>IF($A204="","",B204+C204)</x:f>
        <x:v>0</x:v>
      </x:c>
      <x:c r="E204" s="48" t="n">
        <x:f>IF($A204="","",B204-C204)</x:f>
        <x:v>0</x:v>
      </x:c>
      <x:c r="F204" s="48" t="n">
        <x:f>IF($A204="","",SUMIFS('02_ツリー'!$H$5:$H$560,'02_ツリー'!$E$5:$E$560,$A204,'02_ツリー'!$K$5:$K$560,"&gt;0"))</x:f>
        <x:v>0</x:v>
      </x:c>
      <x:c r="G204" s="48" t="n">
        <x:f>IF($A204="","",-SUMIFS('02_ツリー'!$H$5:$H$560,'02_ツリー'!$E$5:$E$560,$A204,'02_ツリー'!$K$5:$K$560,"&lt;0"))</x:f>
        <x:v>0</x:v>
      </x:c>
      <x:c r="H204" s="48" t="n">
        <x:f>IF($A204="","",F204+G204)</x:f>
        <x:v>0</x:v>
      </x:c>
      <x:c r="I204" s="244" t="n">
        <x:f>IF($A204="","",--(COUNTIFS('02_ツリー'!$E$5:$E$560,$A204,'02_ツリー'!$O$5:$O$560,0)=0))</x:f>
        <x:v>1</x:v>
      </x:c>
      <x:c r="J204" s="12" t="str">
        <x:f>IF($A204="","",IF(AND(B204&gt;0,C204&lt;0),"正負あり",IF(B204&gt;0,"正のみ",IF(C204&lt;0,"負のみ","ゼロ"))))</x:f>
        <x:v>ゼロ</x:v>
      </x:c>
      <x:c r="K204" s="244" t="n">
        <x:f>IF($A204="","",--AND(B204&gt;0,C204&lt;0))</x:f>
        <x:v>0</x:v>
      </x:c>
      <x:c r="L204" s="244" t="n">
        <x:f>IF($A204="","",COUNTIF('02_ツリー'!$E$5:$E$560,$A204))</x:f>
        <x:v>1</x:v>
      </x:c>
      <x:c r="M204" s="244" t="n">
        <x:f>IF($A204="","",--(LEFT(A204,7)="Enable_"))</x:f>
        <x:v>0</x:v>
      </x:c>
      <x:c r="N204" s="12"/>
      <x:c r="O204" s="12"/>
      <x:c r="P204" s="12"/>
      <x:c r="Q204" s="12"/>
      <x:c r="R204" s="12"/>
      <x:c r="S204" s="12"/>
      <x:c r="T204" s="12"/>
      <x:c r="U204" s="12"/>
      <x:c r="V204" s="12"/>
      <x:c r="W204" s="12"/>
      <x:c r="X204" s="12"/>
      <x:c r="Y204" s="12"/>
    </x:row>
    <x:row r="205">
      <x:c r="A205" s="12" t="str">
        <x:f>IFERROR(INDEX('02_ツリー'!$E$5:$E$560,MATCH(ROWS($A$11:A205),'02_ツリー'!$R$5:$R$560,0)),"")</x:f>
        <x:v>k_mL_input</x:v>
      </x:c>
      <x:c r="B205" s="48" t="n">
        <x:f>IF($A205="","",SUMIFS('02_ツリー'!$K$5:$K$560,'02_ツリー'!$E$5:$E$560,$A205,'02_ツリー'!$K$5:$K$560,"&gt;0"))</x:f>
        <x:v>0.00004158255865786263</x:v>
      </x:c>
      <x:c r="C205" s="48" t="n">
        <x:f>IF($A205="","",SUMIFS('02_ツリー'!$K$5:$K$560,'02_ツリー'!$E$5:$E$560,$A205,'02_ツリー'!$K$5:$K$560,"&lt;0"))</x:f>
        <x:v>0</x:v>
      </x:c>
      <x:c r="D205" s="48" t="n">
        <x:f>IF($A205="","",B205+C205)</x:f>
        <x:v>0.00004158255865786263</x:v>
      </x:c>
      <x:c r="E205" s="48" t="n">
        <x:f>IF($A205="","",B205-C205)</x:f>
        <x:v>0.00004158255865786263</x:v>
      </x:c>
      <x:c r="F205" s="48" t="n">
        <x:f>IF($A205="","",SUMIFS('02_ツリー'!$H$5:$H$560,'02_ツリー'!$E$5:$E$560,$A205,'02_ツリー'!$K$5:$K$560,"&gt;0"))</x:f>
        <x:v>0.00037207404069033024</x:v>
      </x:c>
      <x:c r="G205" s="48" t="n">
        <x:f>IF($A205="","",-SUMIFS('02_ツリー'!$H$5:$H$560,'02_ツリー'!$E$5:$E$560,$A205,'02_ツリー'!$K$5:$K$560,"&lt;0"))</x:f>
        <x:v>0</x:v>
      </x:c>
      <x:c r="H205" s="48" t="n">
        <x:f>IF($A205="","",F205+G205)</x:f>
        <x:v>0.00037207404069033024</x:v>
      </x:c>
      <x:c r="I205" s="244" t="n">
        <x:f>IF($A205="","",--(COUNTIFS('02_ツリー'!$E$5:$E$560,$A205,'02_ツリー'!$O$5:$O$560,0)=0))</x:f>
        <x:v>1</x:v>
      </x:c>
      <x:c r="J205" s="12" t="str">
        <x:f>IF($A205="","",IF(AND(B205&gt;0,C205&lt;0),"正負あり",IF(B205&gt;0,"正のみ",IF(C205&lt;0,"負のみ","ゼロ"))))</x:f>
        <x:v>正のみ</x:v>
      </x:c>
      <x:c r="K205" s="244" t="n">
        <x:f>IF($A205="","",--AND(B205&gt;0,C205&lt;0))</x:f>
        <x:v>0</x:v>
      </x:c>
      <x:c r="L205" s="244" t="n">
        <x:f>IF($A205="","",COUNTIF('02_ツリー'!$E$5:$E$560,$A205))</x:f>
        <x:v>1</x:v>
      </x:c>
      <x:c r="M205" s="244" t="n">
        <x:f>IF($A205="","",--(LEFT(A205,7)="Enable_"))</x:f>
        <x:v>0</x:v>
      </x:c>
      <x:c r="N205" s="12"/>
      <x:c r="O205" s="12"/>
      <x:c r="P205" s="12"/>
      <x:c r="Q205" s="12"/>
      <x:c r="R205" s="12"/>
      <x:c r="S205" s="12"/>
      <x:c r="T205" s="12"/>
      <x:c r="U205" s="12"/>
      <x:c r="V205" s="12"/>
      <x:c r="W205" s="12"/>
      <x:c r="X205" s="12"/>
      <x:c r="Y205" s="12"/>
    </x:row>
    <x:row r="206">
      <x:c r="A206" s="12" t="str">
        <x:f>IFERROR(INDEX('02_ツリー'!$E$5:$E$560,MATCH(ROWS($A$11:A206),'02_ツリー'!$R$5:$R$560,0)),"")</x:f>
        <x:v>t_base_input</x:v>
      </x:c>
      <x:c r="B206" s="48" t="n">
        <x:f>IF($A206="","",SUMIFS('02_ツリー'!$K$5:$K$560,'02_ツリー'!$E$5:$E$560,$A206,'02_ツリー'!$K$5:$K$560,"&gt;0"))</x:f>
        <x:v>0.009105235952795504</x:v>
      </x:c>
      <x:c r="C206" s="48" t="n">
        <x:f>IF($A206="","",SUMIFS('02_ツリー'!$K$5:$K$560,'02_ツリー'!$E$5:$E$560,$A206,'02_ツリー'!$K$5:$K$560,"&lt;0"))</x:f>
        <x:v>0</x:v>
      </x:c>
      <x:c r="D206" s="48" t="n">
        <x:f>IF($A206="","",B206+C206)</x:f>
        <x:v>0.009105235952795504</x:v>
      </x:c>
      <x:c r="E206" s="48" t="n">
        <x:f>IF($A206="","",B206-C206)</x:f>
        <x:v>0.009105235952795504</x:v>
      </x:c>
      <x:c r="F206" s="48" t="n">
        <x:f>IF($A206="","",SUMIFS('02_ツリー'!$H$5:$H$560,'02_ツリー'!$E$5:$E$560,$A206,'02_ツリー'!$K$5:$K$560,"&gt;0"))</x:f>
        <x:v>0.08147218549657252</x:v>
      </x:c>
      <x:c r="G206" s="48" t="n">
        <x:f>IF($A206="","",-SUMIFS('02_ツリー'!$H$5:$H$560,'02_ツリー'!$E$5:$E$560,$A206,'02_ツリー'!$K$5:$K$560,"&lt;0"))</x:f>
        <x:v>0</x:v>
      </x:c>
      <x:c r="H206" s="48" t="n">
        <x:f>IF($A206="","",F206+G206)</x:f>
        <x:v>0.08147218549657252</x:v>
      </x:c>
      <x:c r="I206" s="244" t="n">
        <x:f>IF($A206="","",--(COUNTIFS('02_ツリー'!$E$5:$E$560,$A206,'02_ツリー'!$O$5:$O$560,0)=0))</x:f>
        <x:v>1</x:v>
      </x:c>
      <x:c r="J206" s="12" t="str">
        <x:f>IF($A206="","",IF(AND(B206&gt;0,C206&lt;0),"正負あり",IF(B206&gt;0,"正のみ",IF(C206&lt;0,"負のみ","ゼロ"))))</x:f>
        <x:v>正のみ</x:v>
      </x:c>
      <x:c r="K206" s="244" t="n">
        <x:f>IF($A206="","",--AND(B206&gt;0,C206&lt;0))</x:f>
        <x:v>0</x:v>
      </x:c>
      <x:c r="L206" s="244" t="n">
        <x:f>IF($A206="","",COUNTIF('02_ツリー'!$E$5:$E$560,$A206))</x:f>
        <x:v>1</x:v>
      </x:c>
      <x:c r="M206" s="244" t="n">
        <x:f>IF($A206="","",--(LEFT(A206,7)="Enable_"))</x:f>
        <x:v>0</x:v>
      </x:c>
      <x:c r="N206" s="12"/>
      <x:c r="O206" s="12"/>
      <x:c r="P206" s="12"/>
      <x:c r="Q206" s="12"/>
      <x:c r="R206" s="12"/>
      <x:c r="S206" s="12"/>
      <x:c r="T206" s="12"/>
      <x:c r="U206" s="12"/>
      <x:c r="V206" s="12"/>
      <x:c r="W206" s="12"/>
      <x:c r="X206" s="12"/>
      <x:c r="Y206" s="12"/>
    </x:row>
    <x:row r="207">
      <x:c r="A207" s="12" t="str">
        <x:f>IFERROR(INDEX('02_ツリー'!$E$5:$E$560,MATCH(ROWS($A$11:A207),'02_ツリー'!$R$5:$R$560,0)),"")</x:f>
        <x:v>m_ctrl_pcb</x:v>
      </x:c>
      <x:c r="B207" s="48" t="n">
        <x:f>IF($A207="","",SUMIFS('02_ツリー'!$K$5:$K$560,'02_ツリー'!$E$5:$E$560,$A207,'02_ツリー'!$K$5:$K$560,"&gt;0"))</x:f>
        <x:v>0.021368287883326016</x:v>
      </x:c>
      <x:c r="C207" s="48" t="n">
        <x:f>IF($A207="","",SUMIFS('02_ツリー'!$K$5:$K$560,'02_ツリー'!$E$5:$E$560,$A207,'02_ツリー'!$K$5:$K$560,"&lt;0"))</x:f>
        <x:v>0</x:v>
      </x:c>
      <x:c r="D207" s="48" t="n">
        <x:f>IF($A207="","",B207+C207)</x:f>
        <x:v>0.021368287883326016</x:v>
      </x:c>
      <x:c r="E207" s="48" t="n">
        <x:f>IF($A207="","",B207-C207)</x:f>
        <x:v>0.021368287883326016</x:v>
      </x:c>
      <x:c r="F207" s="48" t="n">
        <x:f>IF($A207="","",SUMIFS('02_ツリー'!$H$5:$H$560,'02_ツリー'!$E$5:$E$560,$A207,'02_ツリー'!$K$5:$K$560,"&gt;0"))</x:f>
        <x:v>0.1912</x:v>
      </x:c>
      <x:c r="G207" s="48" t="n">
        <x:f>IF($A207="","",-SUMIFS('02_ツリー'!$H$5:$H$560,'02_ツリー'!$E$5:$E$560,$A207,'02_ツリー'!$K$5:$K$560,"&lt;0"))</x:f>
        <x:v>0</x:v>
      </x:c>
      <x:c r="H207" s="48" t="n">
        <x:f>IF($A207="","",F207+G207)</x:f>
        <x:v>0.1912</x:v>
      </x:c>
      <x:c r="I207" s="244" t="n">
        <x:f>IF($A207="","",--(COUNTIFS('02_ツリー'!$E$5:$E$560,$A207,'02_ツリー'!$O$5:$O$560,0)=0))</x:f>
        <x:v>0</x:v>
      </x:c>
      <x:c r="J207" s="12" t="str">
        <x:f>IF($A207="","",IF(AND(B207&gt;0,C207&lt;0),"正負あり",IF(B207&gt;0,"正のみ",IF(C207&lt;0,"負のみ","ゼロ"))))</x:f>
        <x:v>正のみ</x:v>
      </x:c>
      <x:c r="K207" s="244" t="n">
        <x:f>IF($A207="","",--AND(B207&gt;0,C207&lt;0))</x:f>
        <x:v>0</x:v>
      </x:c>
      <x:c r="L207" s="244" t="n">
        <x:f>IF($A207="","",COUNTIF('02_ツリー'!$E$5:$E$560,$A207))</x:f>
        <x:v>1</x:v>
      </x:c>
      <x:c r="M207" s="244" t="n">
        <x:f>IF($A207="","",--(LEFT(A207,7)="Enable_"))</x:f>
        <x:v>0</x:v>
      </x:c>
      <x:c r="N207" s="12"/>
      <x:c r="O207" s="12"/>
      <x:c r="P207" s="12"/>
      <x:c r="Q207" s="12"/>
      <x:c r="R207" s="12"/>
      <x:c r="S207" s="12"/>
      <x:c r="T207" s="12"/>
      <x:c r="U207" s="12"/>
      <x:c r="V207" s="12"/>
      <x:c r="W207" s="12"/>
      <x:c r="X207" s="12"/>
      <x:c r="Y207" s="12"/>
    </x:row>
    <x:row r="208">
      <x:c r="A208" s="12" t="str">
        <x:f>IFERROR(INDEX('02_ツリー'!$E$5:$E$560,MATCH(ROWS($A$11:A208),'02_ツリー'!$R$5:$R$560,0)),"")</x:f>
        <x:v>A_ctrl_pcb</x:v>
      </x:c>
      <x:c r="B208" s="48" t="n">
        <x:f>IF($A208="","",SUMIFS('02_ツリー'!$K$5:$K$560,'02_ツリー'!$E$5:$E$560,$A208,'02_ツリー'!$K$5:$K$560,"&gt;0"))</x:f>
        <x:v>0.010192405099159689</x:v>
      </x:c>
      <x:c r="C208" s="48" t="n">
        <x:f>IF($A208="","",SUMIFS('02_ツリー'!$K$5:$K$560,'02_ツリー'!$E$5:$E$560,$A208,'02_ツリー'!$K$5:$K$560,"&lt;0"))</x:f>
        <x:v>0</x:v>
      </x:c>
      <x:c r="D208" s="48" t="n">
        <x:f>IF($A208="","",B208+C208)</x:f>
        <x:v>0.010192405099159689</x:v>
      </x:c>
      <x:c r="E208" s="48" t="n">
        <x:f>IF($A208="","",B208-C208)</x:f>
        <x:v>0.010192405099159689</x:v>
      </x:c>
      <x:c r="F208" s="48" t="n">
        <x:f>IF($A208="","",SUMIFS('02_ツリー'!$H$5:$H$560,'02_ツリー'!$E$5:$E$560,$A208,'02_ツリー'!$K$5:$K$560,"&gt;0"))</x:f>
        <x:v>0.09119999999999999</x:v>
      </x:c>
      <x:c r="G208" s="48" t="n">
        <x:f>IF($A208="","",-SUMIFS('02_ツリー'!$H$5:$H$560,'02_ツリー'!$E$5:$E$560,$A208,'02_ツリー'!$K$5:$K$560,"&lt;0"))</x:f>
        <x:v>0</x:v>
      </x:c>
      <x:c r="H208" s="48" t="n">
        <x:f>IF($A208="","",F208+G208)</x:f>
        <x:v>0.09119999999999999</x:v>
      </x:c>
      <x:c r="I208" s="244" t="n">
        <x:f>IF($A208="","",--(COUNTIFS('02_ツリー'!$E$5:$E$560,$A208,'02_ツリー'!$O$5:$O$560,0)=0))</x:f>
        <x:v>1</x:v>
      </x:c>
      <x:c r="J208" s="12" t="str">
        <x:f>IF($A208="","",IF(AND(B208&gt;0,C208&lt;0),"正負あり",IF(B208&gt;0,"正のみ",IF(C208&lt;0,"負のみ","ゼロ"))))</x:f>
        <x:v>正のみ</x:v>
      </x:c>
      <x:c r="K208" s="244" t="n">
        <x:f>IF($A208="","",--AND(B208&gt;0,C208&lt;0))</x:f>
        <x:v>0</x:v>
      </x:c>
      <x:c r="L208" s="244" t="n">
        <x:f>IF($A208="","",COUNTIF('02_ツリー'!$E$5:$E$560,$A208))</x:f>
        <x:v>1</x:v>
      </x:c>
      <x:c r="M208" s="244" t="n">
        <x:f>IF($A208="","",--(LEFT(A208,7)="Enable_"))</x:f>
        <x:v>0</x:v>
      </x:c>
      <x:c r="N208" s="12"/>
      <x:c r="O208" s="12"/>
      <x:c r="P208" s="12"/>
      <x:c r="Q208" s="12"/>
      <x:c r="R208" s="12"/>
      <x:c r="S208" s="12"/>
      <x:c r="T208" s="12"/>
      <x:c r="U208" s="12"/>
      <x:c r="V208" s="12"/>
      <x:c r="W208" s="12"/>
      <x:c r="X208" s="12"/>
      <x:c r="Y208" s="12"/>
    </x:row>
    <x:row r="209">
      <x:c r="A209" s="12" t="str">
        <x:f>IFERROR(INDEX('02_ツリー'!$E$5:$E$560,MATCH(ROWS($A$11:A209),'02_ツリー'!$R$5:$R$560,0)),"")</x:f>
        <x:v>t_ctrl_pcb</x:v>
      </x:c>
      <x:c r="B209" s="48" t="n">
        <x:f>IF($A209="","",SUMIFS('02_ツリー'!$K$5:$K$560,'02_ツリー'!$E$5:$E$560,$A209,'02_ツリー'!$K$5:$K$560,"&gt;0"))</x:f>
        <x:v>0.010192405099159689</x:v>
      </x:c>
      <x:c r="C209" s="48" t="n">
        <x:f>IF($A209="","",SUMIFS('02_ツリー'!$K$5:$K$560,'02_ツリー'!$E$5:$E$560,$A209,'02_ツリー'!$K$5:$K$560,"&lt;0"))</x:f>
        <x:v>0</x:v>
      </x:c>
      <x:c r="D209" s="48" t="n">
        <x:f>IF($A209="","",B209+C209)</x:f>
        <x:v>0.010192405099159689</x:v>
      </x:c>
      <x:c r="E209" s="48" t="n">
        <x:f>IF($A209="","",B209-C209)</x:f>
        <x:v>0.010192405099159689</x:v>
      </x:c>
      <x:c r="F209" s="48" t="n">
        <x:f>IF($A209="","",SUMIFS('02_ツリー'!$H$5:$H$560,'02_ツリー'!$E$5:$E$560,$A209,'02_ツリー'!$K$5:$K$560,"&gt;0"))</x:f>
        <x:v>0.09119999999999999</x:v>
      </x:c>
      <x:c r="G209" s="48" t="n">
        <x:f>IF($A209="","",-SUMIFS('02_ツリー'!$H$5:$H$560,'02_ツリー'!$E$5:$E$560,$A209,'02_ツリー'!$K$5:$K$560,"&lt;0"))</x:f>
        <x:v>0</x:v>
      </x:c>
      <x:c r="H209" s="48" t="n">
        <x:f>IF($A209="","",F209+G209)</x:f>
        <x:v>0.09119999999999999</x:v>
      </x:c>
      <x:c r="I209" s="244" t="n">
        <x:f>IF($A209="","",--(COUNTIFS('02_ツリー'!$E$5:$E$560,$A209,'02_ツリー'!$O$5:$O$560,0)=0))</x:f>
        <x:v>1</x:v>
      </x:c>
      <x:c r="J209" s="12" t="str">
        <x:f>IF($A209="","",IF(AND(B209&gt;0,C209&lt;0),"正負あり",IF(B209&gt;0,"正のみ",IF(C209&lt;0,"負のみ","ゼロ"))))</x:f>
        <x:v>正のみ</x:v>
      </x:c>
      <x:c r="K209" s="244" t="n">
        <x:f>IF($A209="","",--AND(B209&gt;0,C209&lt;0))</x:f>
        <x:v>0</x:v>
      </x:c>
      <x:c r="L209" s="244" t="n">
        <x:f>IF($A209="","",COUNTIF('02_ツリー'!$E$5:$E$560,$A209))</x:f>
        <x:v>1</x:v>
      </x:c>
      <x:c r="M209" s="244" t="n">
        <x:f>IF($A209="","",--(LEFT(A209,7)="Enable_"))</x:f>
        <x:v>0</x:v>
      </x:c>
      <x:c r="N209" s="12"/>
      <x:c r="O209" s="12"/>
      <x:c r="P209" s="12"/>
      <x:c r="Q209" s="12"/>
      <x:c r="R209" s="12"/>
      <x:c r="S209" s="12"/>
      <x:c r="T209" s="12"/>
      <x:c r="U209" s="12"/>
      <x:c r="V209" s="12"/>
      <x:c r="W209" s="12"/>
      <x:c r="X209" s="12"/>
      <x:c r="Y209" s="12"/>
    </x:row>
    <x:row r="210">
      <x:c r="A210" s="12" t="str">
        <x:f>IFERROR(INDEX('02_ツリー'!$E$5:$E$560,MATCH(ROWS($A$11:A210),'02_ツリー'!$R$5:$R$560,0)),"")</x:f>
        <x:v>rho_ctrl_pcb</x:v>
      </x:c>
      <x:c r="B210" s="48" t="n">
        <x:f>IF($A210="","",SUMIFS('02_ツリー'!$K$5:$K$560,'02_ツリー'!$E$5:$E$560,$A210,'02_ツリー'!$K$5:$K$560,"&gt;0"))</x:f>
        <x:v>0.010192405099159689</x:v>
      </x:c>
      <x:c r="C210" s="48" t="n">
        <x:f>IF($A210="","",SUMIFS('02_ツリー'!$K$5:$K$560,'02_ツリー'!$E$5:$E$560,$A210,'02_ツリー'!$K$5:$K$560,"&lt;0"))</x:f>
        <x:v>0</x:v>
      </x:c>
      <x:c r="D210" s="48" t="n">
        <x:f>IF($A210="","",B210+C210)</x:f>
        <x:v>0.010192405099159689</x:v>
      </x:c>
      <x:c r="E210" s="48" t="n">
        <x:f>IF($A210="","",B210-C210)</x:f>
        <x:v>0.010192405099159689</x:v>
      </x:c>
      <x:c r="F210" s="48" t="n">
        <x:f>IF($A210="","",SUMIFS('02_ツリー'!$H$5:$H$560,'02_ツリー'!$E$5:$E$560,$A210,'02_ツリー'!$K$5:$K$560,"&gt;0"))</x:f>
        <x:v>0.09119999999999999</x:v>
      </x:c>
      <x:c r="G210" s="48" t="n">
        <x:f>IF($A210="","",-SUMIFS('02_ツリー'!$H$5:$H$560,'02_ツリー'!$E$5:$E$560,$A210,'02_ツリー'!$K$5:$K$560,"&lt;0"))</x:f>
        <x:v>0</x:v>
      </x:c>
      <x:c r="H210" s="48" t="n">
        <x:f>IF($A210="","",F210+G210)</x:f>
        <x:v>0.09119999999999999</x:v>
      </x:c>
      <x:c r="I210" s="244" t="n">
        <x:f>IF($A210="","",--(COUNTIFS('02_ツリー'!$E$5:$E$560,$A210,'02_ツリー'!$O$5:$O$560,0)=0))</x:f>
        <x:v>1</x:v>
      </x:c>
      <x:c r="J210" s="12" t="str">
        <x:f>IF($A210="","",IF(AND(B210&gt;0,C210&lt;0),"正負あり",IF(B210&gt;0,"正のみ",IF(C210&lt;0,"負のみ","ゼロ"))))</x:f>
        <x:v>正のみ</x:v>
      </x:c>
      <x:c r="K210" s="244" t="n">
        <x:f>IF($A210="","",--AND(B210&gt;0,C210&lt;0))</x:f>
        <x:v>0</x:v>
      </x:c>
      <x:c r="L210" s="244" t="n">
        <x:f>IF($A210="","",COUNTIF('02_ツリー'!$E$5:$E$560,$A210))</x:f>
        <x:v>1</x:v>
      </x:c>
      <x:c r="M210" s="244" t="n">
        <x:f>IF($A210="","",--(LEFT(A210,7)="Enable_"))</x:f>
        <x:v>0</x:v>
      </x:c>
      <x:c r="N210" s="12"/>
      <x:c r="O210" s="12"/>
      <x:c r="P210" s="12"/>
      <x:c r="Q210" s="12"/>
      <x:c r="R210" s="12"/>
      <x:c r="S210" s="12"/>
      <x:c r="T210" s="12"/>
      <x:c r="U210" s="12"/>
      <x:c r="V210" s="12"/>
      <x:c r="W210" s="12"/>
      <x:c r="X210" s="12"/>
      <x:c r="Y210" s="12"/>
    </x:row>
    <x:row r="211">
      <x:c r="A211" s="12" t="str">
        <x:f>IFERROR(INDEX('02_ツリー'!$E$5:$E$560,MATCH(ROWS($A$11:A211),'02_ツリー'!$R$5:$R$560,0)),"")</x:f>
        <x:v>m_ctrl_comp</x:v>
      </x:c>
      <x:c r="B211" s="48" t="n">
        <x:f>IF($A211="","",SUMIFS('02_ツリー'!$K$5:$K$560,'02_ツリー'!$E$5:$E$560,$A211,'02_ツリー'!$K$5:$K$560,"&gt;0"))</x:f>
        <x:v>0.011175882784166325</x:v>
      </x:c>
      <x:c r="C211" s="48" t="n">
        <x:f>IF($A211="","",SUMIFS('02_ツリー'!$K$5:$K$560,'02_ツリー'!$E$5:$E$560,$A211,'02_ツリー'!$K$5:$K$560,"&lt;0"))</x:f>
        <x:v>0</x:v>
      </x:c>
      <x:c r="D211" s="48" t="n">
        <x:f>IF($A211="","",B211+C211)</x:f>
        <x:v>0.011175882784166325</x:v>
      </x:c>
      <x:c r="E211" s="48" t="n">
        <x:f>IF($A211="","",B211-C211)</x:f>
        <x:v>0.011175882784166325</x:v>
      </x:c>
      <x:c r="F211" s="48" t="n">
        <x:f>IF($A211="","",SUMIFS('02_ツリー'!$H$5:$H$560,'02_ツリー'!$E$5:$E$560,$A211,'02_ツリー'!$K$5:$K$560,"&gt;0"))</x:f>
        <x:v>0.09999999999999999</x:v>
      </x:c>
      <x:c r="G211" s="48" t="n">
        <x:f>IF($A211="","",-SUMIFS('02_ツリー'!$H$5:$H$560,'02_ツリー'!$E$5:$E$560,$A211,'02_ツリー'!$K$5:$K$560,"&lt;0"))</x:f>
        <x:v>0</x:v>
      </x:c>
      <x:c r="H211" s="48" t="n">
        <x:f>IF($A211="","",F211+G211)</x:f>
        <x:v>0.09999999999999999</x:v>
      </x:c>
      <x:c r="I211" s="244" t="n">
        <x:f>IF($A211="","",--(COUNTIFS('02_ツリー'!$E$5:$E$560,$A211,'02_ツリー'!$O$5:$O$560,0)=0))</x:f>
        <x:v>1</x:v>
      </x:c>
      <x:c r="J211" s="12" t="str">
        <x:f>IF($A211="","",IF(AND(B211&gt;0,C211&lt;0),"正負あり",IF(B211&gt;0,"正のみ",IF(C211&lt;0,"負のみ","ゼロ"))))</x:f>
        <x:v>正のみ</x:v>
      </x:c>
      <x:c r="K211" s="244" t="n">
        <x:f>IF($A211="","",--AND(B211&gt;0,C211&lt;0))</x:f>
        <x:v>0</x:v>
      </x:c>
      <x:c r="L211" s="244" t="n">
        <x:f>IF($A211="","",COUNTIF('02_ツリー'!$E$5:$E$560,$A211))</x:f>
        <x:v>1</x:v>
      </x:c>
      <x:c r="M211" s="244" t="n">
        <x:f>IF($A211="","",--(LEFT(A211,7)="Enable_"))</x:f>
        <x:v>0</x:v>
      </x:c>
      <x:c r="N211" s="12"/>
      <x:c r="O211" s="12"/>
      <x:c r="P211" s="12"/>
      <x:c r="Q211" s="12"/>
      <x:c r="R211" s="12"/>
      <x:c r="S211" s="12"/>
      <x:c r="T211" s="12"/>
      <x:c r="U211" s="12"/>
      <x:c r="V211" s="12"/>
      <x:c r="W211" s="12"/>
      <x:c r="X211" s="12"/>
      <x:c r="Y211" s="12"/>
    </x:row>
    <x:row r="212">
      <x:c r="A212" s="12" t="str">
        <x:f>IFERROR(INDEX('02_ツリー'!$E$5:$E$560,MATCH(ROWS($A$11:A212),'02_ツリー'!$R$5:$R$560,0)),"")</x:f>
        <x:v>m_gate</x:v>
      </x:c>
      <x:c r="B212" s="48" t="n">
        <x:f>IF($A212="","",SUMIFS('02_ツリー'!$K$5:$K$560,'02_ツリー'!$E$5:$E$560,$A212,'02_ツリー'!$K$5:$K$560,"&gt;0"))</x:f>
        <x:v>0.012069953406899632</x:v>
      </x:c>
      <x:c r="C212" s="48" t="n">
        <x:f>IF($A212="","",SUMIFS('02_ツリー'!$K$5:$K$560,'02_ツリー'!$E$5:$E$560,$A212,'02_ツリー'!$K$5:$K$560,"&lt;0"))</x:f>
        <x:v>0</x:v>
      </x:c>
      <x:c r="D212" s="48" t="n">
        <x:f>IF($A212="","",B212+C212)</x:f>
        <x:v>0.012069953406899632</x:v>
      </x:c>
      <x:c r="E212" s="48" t="n">
        <x:f>IF($A212="","",B212-C212)</x:f>
        <x:v>0.012069953406899632</x:v>
      </x:c>
      <x:c r="F212" s="48" t="n">
        <x:f>IF($A212="","",SUMIFS('02_ツリー'!$H$5:$H$560,'02_ツリー'!$E$5:$E$560,$A212,'02_ツリー'!$K$5:$K$560,"&gt;0"))</x:f>
        <x:v>0.10799999999999998</x:v>
      </x:c>
      <x:c r="G212" s="48" t="n">
        <x:f>IF($A212="","",-SUMIFS('02_ツリー'!$H$5:$H$560,'02_ツリー'!$E$5:$E$560,$A212,'02_ツリー'!$K$5:$K$560,"&lt;0"))</x:f>
        <x:v>0</x:v>
      </x:c>
      <x:c r="H212" s="48" t="n">
        <x:f>IF($A212="","",F212+G212)</x:f>
        <x:v>0.10799999999999998</x:v>
      </x:c>
      <x:c r="I212" s="244" t="n">
        <x:f>IF($A212="","",--(COUNTIFS('02_ツリー'!$E$5:$E$560,$A212,'02_ツリー'!$O$5:$O$560,0)=0))</x:f>
        <x:v>0</x:v>
      </x:c>
      <x:c r="J212" s="12" t="str">
        <x:f>IF($A212="","",IF(AND(B212&gt;0,C212&lt;0),"正負あり",IF(B212&gt;0,"正のみ",IF(C212&lt;0,"負のみ","ゼロ"))))</x:f>
        <x:v>正のみ</x:v>
      </x:c>
      <x:c r="K212" s="244" t="n">
        <x:f>IF($A212="","",--AND(B212&gt;0,C212&lt;0))</x:f>
        <x:v>0</x:v>
      </x:c>
      <x:c r="L212" s="244" t="n">
        <x:f>IF($A212="","",COUNTIF('02_ツリー'!$E$5:$E$560,$A212))</x:f>
        <x:v>1</x:v>
      </x:c>
      <x:c r="M212" s="244" t="n">
        <x:f>IF($A212="","",--(LEFT(A212,7)="Enable_"))</x:f>
        <x:v>0</x:v>
      </x:c>
      <x:c r="N212" s="12"/>
      <x:c r="O212" s="12"/>
      <x:c r="P212" s="12"/>
      <x:c r="Q212" s="12"/>
      <x:c r="R212" s="12"/>
      <x:c r="S212" s="12"/>
      <x:c r="T212" s="12"/>
      <x:c r="U212" s="12"/>
      <x:c r="V212" s="12"/>
      <x:c r="W212" s="12"/>
      <x:c r="X212" s="12"/>
      <x:c r="Y212" s="12"/>
    </x:row>
    <x:row r="213">
      <x:c r="A213" s="12" t="str">
        <x:f>IFERROR(INDEX('02_ツリー'!$E$5:$E$560,MATCH(ROWS($A$11:A213),'02_ツリー'!$R$5:$R$560,0)),"")</x:f>
        <x:v>N_gate</x:v>
      </x:c>
      <x:c r="B213" s="48" t="n">
        <x:f>IF($A213="","",SUMIFS('02_ツリー'!$K$5:$K$560,'02_ツリー'!$E$5:$E$560,$A213,'02_ツリー'!$K$5:$K$560,"&gt;0"))</x:f>
        <x:v>0.012069953406899632</x:v>
      </x:c>
      <x:c r="C213" s="48" t="n">
        <x:f>IF($A213="","",SUMIFS('02_ツリー'!$K$5:$K$560,'02_ツリー'!$E$5:$E$560,$A213,'02_ツリー'!$K$5:$K$560,"&lt;0"))</x:f>
        <x:v>0</x:v>
      </x:c>
      <x:c r="D213" s="48" t="n">
        <x:f>IF($A213="","",B213+C213)</x:f>
        <x:v>0.012069953406899632</x:v>
      </x:c>
      <x:c r="E213" s="48" t="n">
        <x:f>IF($A213="","",B213-C213)</x:f>
        <x:v>0.012069953406899632</x:v>
      </x:c>
      <x:c r="F213" s="48" t="n">
        <x:f>IF($A213="","",SUMIFS('02_ツリー'!$H$5:$H$560,'02_ツリー'!$E$5:$E$560,$A213,'02_ツリー'!$K$5:$K$560,"&gt;0"))</x:f>
        <x:v>0.10799999999999998</x:v>
      </x:c>
      <x:c r="G213" s="48" t="n">
        <x:f>IF($A213="","",-SUMIFS('02_ツリー'!$H$5:$H$560,'02_ツリー'!$E$5:$E$560,$A213,'02_ツリー'!$K$5:$K$560,"&lt;0"))</x:f>
        <x:v>0</x:v>
      </x:c>
      <x:c r="H213" s="48" t="n">
        <x:f>IF($A213="","",F213+G213)</x:f>
        <x:v>0.10799999999999998</x:v>
      </x:c>
      <x:c r="I213" s="244" t="n">
        <x:f>IF($A213="","",--(COUNTIFS('02_ツリー'!$E$5:$E$560,$A213,'02_ツリー'!$O$5:$O$560,0)=0))</x:f>
        <x:v>1</x:v>
      </x:c>
      <x:c r="J213" s="12" t="str">
        <x:f>IF($A213="","",IF(AND(B213&gt;0,C213&lt;0),"正負あり",IF(B213&gt;0,"正のみ",IF(C213&lt;0,"負のみ","ゼロ"))))</x:f>
        <x:v>正のみ</x:v>
      </x:c>
      <x:c r="K213" s="244" t="n">
        <x:f>IF($A213="","",--AND(B213&gt;0,C213&lt;0))</x:f>
        <x:v>0</x:v>
      </x:c>
      <x:c r="L213" s="244" t="n">
        <x:f>IF($A213="","",COUNTIF('02_ツリー'!$E$5:$E$560,$A213))</x:f>
        <x:v>1</x:v>
      </x:c>
      <x:c r="M213" s="244" t="n">
        <x:f>IF($A213="","",--(LEFT(A213,7)="Enable_"))</x:f>
        <x:v>0</x:v>
      </x:c>
      <x:c r="N213" s="12"/>
      <x:c r="O213" s="12"/>
      <x:c r="P213" s="12"/>
      <x:c r="Q213" s="12"/>
      <x:c r="R213" s="12"/>
      <x:c r="S213" s="12"/>
      <x:c r="T213" s="12"/>
      <x:c r="U213" s="12"/>
      <x:c r="V213" s="12"/>
      <x:c r="W213" s="12"/>
      <x:c r="X213" s="12"/>
      <x:c r="Y213" s="12"/>
    </x:row>
    <x:row r="214">
      <x:c r="A214" s="12" t="str">
        <x:f>IFERROR(INDEX('02_ツリー'!$E$5:$E$560,MATCH(ROWS($A$11:A214),'02_ツリー'!$R$5:$R$560,0)),"")</x:f>
        <x:v>m_gate_unit</x:v>
      </x:c>
      <x:c r="B214" s="48" t="n">
        <x:f>IF($A214="","",SUMIFS('02_ツリー'!$K$5:$K$560,'02_ツリー'!$E$5:$E$560,$A214,'02_ツリー'!$K$5:$K$560,"&gt;0"))</x:f>
        <x:v>0.012069953406899632</x:v>
      </x:c>
      <x:c r="C214" s="48" t="n">
        <x:f>IF($A214="","",SUMIFS('02_ツリー'!$K$5:$K$560,'02_ツリー'!$E$5:$E$560,$A214,'02_ツリー'!$K$5:$K$560,"&lt;0"))</x:f>
        <x:v>0</x:v>
      </x:c>
      <x:c r="D214" s="48" t="n">
        <x:f>IF($A214="","",B214+C214)</x:f>
        <x:v>0.012069953406899632</x:v>
      </x:c>
      <x:c r="E214" s="48" t="n">
        <x:f>IF($A214="","",B214-C214)</x:f>
        <x:v>0.012069953406899632</x:v>
      </x:c>
      <x:c r="F214" s="48" t="n">
        <x:f>IF($A214="","",SUMIFS('02_ツリー'!$H$5:$H$560,'02_ツリー'!$E$5:$E$560,$A214,'02_ツリー'!$K$5:$K$560,"&gt;0"))</x:f>
        <x:v>0.10799999999999998</x:v>
      </x:c>
      <x:c r="G214" s="48" t="n">
        <x:f>IF($A214="","",-SUMIFS('02_ツリー'!$H$5:$H$560,'02_ツリー'!$E$5:$E$560,$A214,'02_ツリー'!$K$5:$K$560,"&lt;0"))</x:f>
        <x:v>0</x:v>
      </x:c>
      <x:c r="H214" s="48" t="n">
        <x:f>IF($A214="","",F214+G214)</x:f>
        <x:v>0.10799999999999998</x:v>
      </x:c>
      <x:c r="I214" s="244" t="n">
        <x:f>IF($A214="","",--(COUNTIFS('02_ツリー'!$E$5:$E$560,$A214,'02_ツリー'!$O$5:$O$560,0)=0))</x:f>
        <x:v>1</x:v>
      </x:c>
      <x:c r="J214" s="12" t="str">
        <x:f>IF($A214="","",IF(AND(B214&gt;0,C214&lt;0),"正負あり",IF(B214&gt;0,"正のみ",IF(C214&lt;0,"負のみ","ゼロ"))))</x:f>
        <x:v>正のみ</x:v>
      </x:c>
      <x:c r="K214" s="244" t="n">
        <x:f>IF($A214="","",--AND(B214&gt;0,C214&lt;0))</x:f>
        <x:v>0</x:v>
      </x:c>
      <x:c r="L214" s="244" t="n">
        <x:f>IF($A214="","",COUNTIF('02_ツリー'!$E$5:$E$560,$A214))</x:f>
        <x:v>1</x:v>
      </x:c>
      <x:c r="M214" s="244" t="n">
        <x:f>IF($A214="","",--(LEFT(A214,7)="Enable_"))</x:f>
        <x:v>0</x:v>
      </x:c>
      <x:c r="N214" s="12"/>
      <x:c r="O214" s="12"/>
      <x:c r="P214" s="12"/>
      <x:c r="Q214" s="12"/>
      <x:c r="R214" s="12"/>
      <x:c r="S214" s="12"/>
      <x:c r="T214" s="12"/>
      <x:c r="U214" s="12"/>
      <x:c r="V214" s="12"/>
      <x:c r="W214" s="12"/>
      <x:c r="X214" s="12"/>
      <x:c r="Y214" s="12"/>
    </x:row>
    <x:row r="215">
      <x:c r="A215" s="12" t="str">
        <x:f>IFERROR(INDEX('02_ツリー'!$E$5:$E$560,MATCH(ROWS($A$11:A215),'02_ツリー'!$R$5:$R$560,0)),"")</x:f>
        <x:v>m_aux_supply</x:v>
      </x:c>
      <x:c r="B215" s="48" t="n">
        <x:f>IF($A215="","",SUMIFS('02_ツリー'!$K$5:$K$560,'02_ツリー'!$E$5:$E$560,$A215,'02_ツリー'!$K$5:$K$560,"&gt;0"))</x:f>
        <x:v>0.0006282987508496913</x:v>
      </x:c>
      <x:c r="C215" s="48" t="n">
        <x:f>IF($A215="","",SUMIFS('02_ツリー'!$K$5:$K$560,'02_ツリー'!$E$5:$E$560,$A215,'02_ツリー'!$K$5:$K$560,"&lt;0"))</x:f>
        <x:v>0</x:v>
      </x:c>
      <x:c r="D215" s="48" t="n">
        <x:f>IF($A215="","",B215+C215)</x:f>
        <x:v>0.0006282987508496913</x:v>
      </x:c>
      <x:c r="E215" s="48" t="n">
        <x:f>IF($A215="","",B215-C215)</x:f>
        <x:v>0.0006282987508496913</x:v>
      </x:c>
      <x:c r="F215" s="48" t="n">
        <x:f>IF($A215="","",SUMIFS('02_ツリー'!$H$5:$H$560,'02_ツリー'!$E$5:$E$560,$A215,'02_ツリー'!$K$5:$K$560,"&gt;0"))</x:f>
        <x:v>0.005621916075747029</x:v>
      </x:c>
      <x:c r="G215" s="48" t="n">
        <x:f>IF($A215="","",-SUMIFS('02_ツリー'!$H$5:$H$560,'02_ツリー'!$E$5:$E$560,$A215,'02_ツリー'!$K$5:$K$560,"&lt;0"))</x:f>
        <x:v>0</x:v>
      </x:c>
      <x:c r="H215" s="48" t="n">
        <x:f>IF($A215="","",F215+G215)</x:f>
        <x:v>0.005621916075747029</x:v>
      </x:c>
      <x:c r="I215" s="244" t="n">
        <x:f>IF($A215="","",--(COUNTIFS('02_ツリー'!$E$5:$E$560,$A215,'02_ツリー'!$O$5:$O$560,0)=0))</x:f>
        <x:v>1</x:v>
      </x:c>
      <x:c r="J215" s="12" t="str">
        <x:f>IF($A215="","",IF(AND(B215&gt;0,C215&lt;0),"正負あり",IF(B215&gt;0,"正のみ",IF(C215&lt;0,"負のみ","ゼロ"))))</x:f>
        <x:v>正のみ</x:v>
      </x:c>
      <x:c r="K215" s="244" t="n">
        <x:f>IF($A215="","",--AND(B215&gt;0,C215&lt;0))</x:f>
        <x:v>0</x:v>
      </x:c>
      <x:c r="L215" s="244" t="n">
        <x:f>IF($A215="","",COUNTIF('02_ツリー'!$E$5:$E$560,$A215))</x:f>
        <x:v>1</x:v>
      </x:c>
      <x:c r="M215" s="244" t="n">
        <x:f>IF($A215="","",--(LEFT(A215,7)="Enable_"))</x:f>
        <x:v>0</x:v>
      </x:c>
      <x:c r="N215" s="12"/>
      <x:c r="O215" s="12"/>
      <x:c r="P215" s="12"/>
      <x:c r="Q215" s="12"/>
      <x:c r="R215" s="12"/>
      <x:c r="S215" s="12"/>
      <x:c r="T215" s="12"/>
      <x:c r="U215" s="12"/>
      <x:c r="V215" s="12"/>
      <x:c r="W215" s="12"/>
      <x:c r="X215" s="12"/>
      <x:c r="Y215" s="12"/>
    </x:row>
    <x:row r="216">
      <x:c r="A216" s="12" t="str">
        <x:f>IFERROR(INDEX('02_ツリー'!$E$5:$E$560,MATCH(ROWS($A$11:A216),'02_ツリー'!$R$5:$R$560,0)),"")</x:f>
        <x:v>m_isens</x:v>
      </x:c>
      <x:c r="B216" s="48" t="n">
        <x:f>IF($A216="","",SUMIFS('02_ツリー'!$K$5:$K$560,'02_ツリー'!$E$5:$E$560,$A216,'02_ツリー'!$K$5:$K$560,"&gt;0"))</x:f>
        <x:v>0.015087441758624542</x:v>
      </x:c>
      <x:c r="C216" s="48" t="n">
        <x:f>IF($A216="","",SUMIFS('02_ツリー'!$K$5:$K$560,'02_ツリー'!$E$5:$E$560,$A216,'02_ツリー'!$K$5:$K$560,"&lt;0"))</x:f>
        <x:v>0</x:v>
      </x:c>
      <x:c r="D216" s="48" t="n">
        <x:f>IF($A216="","",B216+C216)</x:f>
        <x:v>0.015087441758624542</x:v>
      </x:c>
      <x:c r="E216" s="48" t="n">
        <x:f>IF($A216="","",B216-C216)</x:f>
        <x:v>0.015087441758624542</x:v>
      </x:c>
      <x:c r="F216" s="48" t="n">
        <x:f>IF($A216="","",SUMIFS('02_ツリー'!$H$5:$H$560,'02_ツリー'!$E$5:$E$560,$A216,'02_ツリー'!$K$5:$K$560,"&gt;0"))</x:f>
        <x:v>0.135</x:v>
      </x:c>
      <x:c r="G216" s="48" t="n">
        <x:f>IF($A216="","",-SUMIFS('02_ツリー'!$H$5:$H$560,'02_ツリー'!$E$5:$E$560,$A216,'02_ツリー'!$K$5:$K$560,"&lt;0"))</x:f>
        <x:v>0</x:v>
      </x:c>
      <x:c r="H216" s="48" t="n">
        <x:f>IF($A216="","",F216+G216)</x:f>
        <x:v>0.135</x:v>
      </x:c>
      <x:c r="I216" s="244" t="n">
        <x:f>IF($A216="","",--(COUNTIFS('02_ツリー'!$E$5:$E$560,$A216,'02_ツリー'!$O$5:$O$560,0)=0))</x:f>
        <x:v>0</x:v>
      </x:c>
      <x:c r="J216" s="12" t="str">
        <x:f>IF($A216="","",IF(AND(B216&gt;0,C216&lt;0),"正負あり",IF(B216&gt;0,"正のみ",IF(C216&lt;0,"負のみ","ゼロ"))))</x:f>
        <x:v>正のみ</x:v>
      </x:c>
      <x:c r="K216" s="244" t="n">
        <x:f>IF($A216="","",--AND(B216&gt;0,C216&lt;0))</x:f>
        <x:v>0</x:v>
      </x:c>
      <x:c r="L216" s="244" t="n">
        <x:f>IF($A216="","",COUNTIF('02_ツリー'!$E$5:$E$560,$A216))</x:f>
        <x:v>1</x:v>
      </x:c>
      <x:c r="M216" s="244" t="n">
        <x:f>IF($A216="","",--(LEFT(A216,7)="Enable_"))</x:f>
        <x:v>0</x:v>
      </x:c>
      <x:c r="N216" s="12"/>
      <x:c r="O216" s="12"/>
      <x:c r="P216" s="12"/>
      <x:c r="Q216" s="12"/>
      <x:c r="R216" s="12"/>
      <x:c r="S216" s="12"/>
      <x:c r="T216" s="12"/>
      <x:c r="U216" s="12"/>
      <x:c r="V216" s="12"/>
      <x:c r="W216" s="12"/>
      <x:c r="X216" s="12"/>
      <x:c r="Y216" s="12"/>
    </x:row>
    <x:row r="217">
      <x:c r="A217" s="12" t="str">
        <x:f>IFERROR(INDEX('02_ツリー'!$E$5:$E$560,MATCH(ROWS($A$11:A217),'02_ツリー'!$R$5:$R$560,0)),"")</x:f>
        <x:v>N_isens</x:v>
      </x:c>
      <x:c r="B217" s="48" t="n">
        <x:f>IF($A217="","",SUMIFS('02_ツリー'!$K$5:$K$560,'02_ツリー'!$E$5:$E$560,$A217,'02_ツリー'!$K$5:$K$560,"&gt;0"))</x:f>
        <x:v>0.015087441758624542</x:v>
      </x:c>
      <x:c r="C217" s="48" t="n">
        <x:f>IF($A217="","",SUMIFS('02_ツリー'!$K$5:$K$560,'02_ツリー'!$E$5:$E$560,$A217,'02_ツリー'!$K$5:$K$560,"&lt;0"))</x:f>
        <x:v>0</x:v>
      </x:c>
      <x:c r="D217" s="48" t="n">
        <x:f>IF($A217="","",B217+C217)</x:f>
        <x:v>0.015087441758624542</x:v>
      </x:c>
      <x:c r="E217" s="48" t="n">
        <x:f>IF($A217="","",B217-C217)</x:f>
        <x:v>0.015087441758624542</x:v>
      </x:c>
      <x:c r="F217" s="48" t="n">
        <x:f>IF($A217="","",SUMIFS('02_ツリー'!$H$5:$H$560,'02_ツリー'!$E$5:$E$560,$A217,'02_ツリー'!$K$5:$K$560,"&gt;0"))</x:f>
        <x:v>0.135</x:v>
      </x:c>
      <x:c r="G217" s="48" t="n">
        <x:f>IF($A217="","",-SUMIFS('02_ツリー'!$H$5:$H$560,'02_ツリー'!$E$5:$E$560,$A217,'02_ツリー'!$K$5:$K$560,"&lt;0"))</x:f>
        <x:v>0</x:v>
      </x:c>
      <x:c r="H217" s="48" t="n">
        <x:f>IF($A217="","",F217+G217)</x:f>
        <x:v>0.135</x:v>
      </x:c>
      <x:c r="I217" s="244" t="n">
        <x:f>IF($A217="","",--(COUNTIFS('02_ツリー'!$E$5:$E$560,$A217,'02_ツリー'!$O$5:$O$560,0)=0))</x:f>
        <x:v>1</x:v>
      </x:c>
      <x:c r="J217" s="12" t="str">
        <x:f>IF($A217="","",IF(AND(B217&gt;0,C217&lt;0),"正負あり",IF(B217&gt;0,"正のみ",IF(C217&lt;0,"負のみ","ゼロ"))))</x:f>
        <x:v>正のみ</x:v>
      </x:c>
      <x:c r="K217" s="244" t="n">
        <x:f>IF($A217="","",--AND(B217&gt;0,C217&lt;0))</x:f>
        <x:v>0</x:v>
      </x:c>
      <x:c r="L217" s="244" t="n">
        <x:f>IF($A217="","",COUNTIF('02_ツリー'!$E$5:$E$560,$A217))</x:f>
        <x:v>1</x:v>
      </x:c>
      <x:c r="M217" s="244" t="n">
        <x:f>IF($A217="","",--(LEFT(A217,7)="Enable_"))</x:f>
        <x:v>0</x:v>
      </x:c>
      <x:c r="N217" s="12"/>
      <x:c r="O217" s="12"/>
      <x:c r="P217" s="12"/>
      <x:c r="Q217" s="12"/>
      <x:c r="R217" s="12"/>
      <x:c r="S217" s="12"/>
      <x:c r="T217" s="12"/>
      <x:c r="U217" s="12"/>
      <x:c r="V217" s="12"/>
      <x:c r="W217" s="12"/>
      <x:c r="X217" s="12"/>
      <x:c r="Y217" s="12"/>
    </x:row>
    <x:row r="218">
      <x:c r="A218" s="12" t="str">
        <x:f>IFERROR(INDEX('02_ツリー'!$E$5:$E$560,MATCH(ROWS($A$11:A218),'02_ツリー'!$R$5:$R$560,0)),"")</x:f>
        <x:v>m_isens_unit</x:v>
      </x:c>
      <x:c r="B218" s="48" t="n">
        <x:f>IF($A218="","",SUMIFS('02_ツリー'!$K$5:$K$560,'02_ツリー'!$E$5:$E$560,$A218,'02_ツリー'!$K$5:$K$560,"&gt;0"))</x:f>
        <x:v>0.015087441758624542</x:v>
      </x:c>
      <x:c r="C218" s="48" t="n">
        <x:f>IF($A218="","",SUMIFS('02_ツリー'!$K$5:$K$560,'02_ツリー'!$E$5:$E$560,$A218,'02_ツリー'!$K$5:$K$560,"&lt;0"))</x:f>
        <x:v>0</x:v>
      </x:c>
      <x:c r="D218" s="48" t="n">
        <x:f>IF($A218="","",B218+C218)</x:f>
        <x:v>0.015087441758624542</x:v>
      </x:c>
      <x:c r="E218" s="48" t="n">
        <x:f>IF($A218="","",B218-C218)</x:f>
        <x:v>0.015087441758624542</x:v>
      </x:c>
      <x:c r="F218" s="48" t="n">
        <x:f>IF($A218="","",SUMIFS('02_ツリー'!$H$5:$H$560,'02_ツリー'!$E$5:$E$560,$A218,'02_ツリー'!$K$5:$K$560,"&gt;0"))</x:f>
        <x:v>0.135</x:v>
      </x:c>
      <x:c r="G218" s="48" t="n">
        <x:f>IF($A218="","",-SUMIFS('02_ツリー'!$H$5:$H$560,'02_ツリー'!$E$5:$E$560,$A218,'02_ツリー'!$K$5:$K$560,"&lt;0"))</x:f>
        <x:v>0</x:v>
      </x:c>
      <x:c r="H218" s="48" t="n">
        <x:f>IF($A218="","",F218+G218)</x:f>
        <x:v>0.135</x:v>
      </x:c>
      <x:c r="I218" s="244" t="n">
        <x:f>IF($A218="","",--(COUNTIFS('02_ツリー'!$E$5:$E$560,$A218,'02_ツリー'!$O$5:$O$560,0)=0))</x:f>
        <x:v>1</x:v>
      </x:c>
      <x:c r="J218" s="12" t="str">
        <x:f>IF($A218="","",IF(AND(B218&gt;0,C218&lt;0),"正負あり",IF(B218&gt;0,"正のみ",IF(C218&lt;0,"負のみ","ゼロ"))))</x:f>
        <x:v>正のみ</x:v>
      </x:c>
      <x:c r="K218" s="244" t="n">
        <x:f>IF($A218="","",--AND(B218&gt;0,C218&lt;0))</x:f>
        <x:v>0</x:v>
      </x:c>
      <x:c r="L218" s="244" t="n">
        <x:f>IF($A218="","",COUNTIF('02_ツリー'!$E$5:$E$560,$A218))</x:f>
        <x:v>1</x:v>
      </x:c>
      <x:c r="M218" s="244" t="n">
        <x:f>IF($A218="","",--(LEFT(A218,7)="Enable_"))</x:f>
        <x:v>0</x:v>
      </x:c>
      <x:c r="N218" s="12"/>
      <x:c r="O218" s="12"/>
      <x:c r="P218" s="12"/>
      <x:c r="Q218" s="12"/>
      <x:c r="R218" s="12"/>
      <x:c r="S218" s="12"/>
      <x:c r="T218" s="12"/>
      <x:c r="U218" s="12"/>
      <x:c r="V218" s="12"/>
      <x:c r="W218" s="12"/>
      <x:c r="X218" s="12"/>
      <x:c r="Y218" s="12"/>
    </x:row>
    <x:row r="219">
      <x:c r="A219" s="12" t="str">
        <x:f>IFERROR(INDEX('02_ツリー'!$E$5:$E$560,MATCH(ROWS($A$11:A219),'02_ツリー'!$R$5:$R$560,0)),"")</x:f>
        <x:v>m_vsens</x:v>
      </x:c>
      <x:c r="B219" s="48" t="n">
        <x:f>IF($A219="","",SUMIFS('02_ツリー'!$K$5:$K$560,'02_ツリー'!$E$5:$E$560,$A219,'02_ツリー'!$K$5:$K$560,"&gt;0"))</x:f>
        <x:v>0.005587941392083164</x:v>
      </x:c>
      <x:c r="C219" s="48" t="n">
        <x:f>IF($A219="","",SUMIFS('02_ツリー'!$K$5:$K$560,'02_ツリー'!$E$5:$E$560,$A219,'02_ツリー'!$K$5:$K$560,"&lt;0"))</x:f>
        <x:v>0</x:v>
      </x:c>
      <x:c r="D219" s="48" t="n">
        <x:f>IF($A219="","",B219+C219)</x:f>
        <x:v>0.005587941392083164</x:v>
      </x:c>
      <x:c r="E219" s="48" t="n">
        <x:f>IF($A219="","",B219-C219)</x:f>
        <x:v>0.005587941392083164</x:v>
      </x:c>
      <x:c r="F219" s="48" t="n">
        <x:f>IF($A219="","",SUMIFS('02_ツリー'!$H$5:$H$560,'02_ツリー'!$E$5:$E$560,$A219,'02_ツリー'!$K$5:$K$560,"&gt;0"))</x:f>
        <x:v>0.05</x:v>
      </x:c>
      <x:c r="G219" s="48" t="n">
        <x:f>IF($A219="","",-SUMIFS('02_ツリー'!$H$5:$H$560,'02_ツリー'!$E$5:$E$560,$A219,'02_ツリー'!$K$5:$K$560,"&lt;0"))</x:f>
        <x:v>0</x:v>
      </x:c>
      <x:c r="H219" s="48" t="n">
        <x:f>IF($A219="","",F219+G219)</x:f>
        <x:v>0.05</x:v>
      </x:c>
      <x:c r="I219" s="244" t="n">
        <x:f>IF($A219="","",--(COUNTIFS('02_ツリー'!$E$5:$E$560,$A219,'02_ツリー'!$O$5:$O$560,0)=0))</x:f>
        <x:v>0</x:v>
      </x:c>
      <x:c r="J219" s="12" t="str">
        <x:f>IF($A219="","",IF(AND(B219&gt;0,C219&lt;0),"正負あり",IF(B219&gt;0,"正のみ",IF(C219&lt;0,"負のみ","ゼロ"))))</x:f>
        <x:v>正のみ</x:v>
      </x:c>
      <x:c r="K219" s="244" t="n">
        <x:f>IF($A219="","",--AND(B219&gt;0,C219&lt;0))</x:f>
        <x:v>0</x:v>
      </x:c>
      <x:c r="L219" s="244" t="n">
        <x:f>IF($A219="","",COUNTIF('02_ツリー'!$E$5:$E$560,$A219))</x:f>
        <x:v>1</x:v>
      </x:c>
      <x:c r="M219" s="244" t="n">
        <x:f>IF($A219="","",--(LEFT(A219,7)="Enable_"))</x:f>
        <x:v>0</x:v>
      </x:c>
      <x:c r="N219" s="12"/>
      <x:c r="O219" s="12"/>
      <x:c r="P219" s="12"/>
      <x:c r="Q219" s="12"/>
      <x:c r="R219" s="12"/>
      <x:c r="S219" s="12"/>
      <x:c r="T219" s="12"/>
      <x:c r="U219" s="12"/>
      <x:c r="V219" s="12"/>
      <x:c r="W219" s="12"/>
      <x:c r="X219" s="12"/>
      <x:c r="Y219" s="12"/>
    </x:row>
    <x:row r="220">
      <x:c r="A220" s="12" t="str">
        <x:f>IFERROR(INDEX('02_ツリー'!$E$5:$E$560,MATCH(ROWS($A$11:A220),'02_ツリー'!$R$5:$R$560,0)),"")</x:f>
        <x:v>N_vsens</x:v>
      </x:c>
      <x:c r="B220" s="48" t="n">
        <x:f>IF($A220="","",SUMIFS('02_ツリー'!$K$5:$K$560,'02_ツリー'!$E$5:$E$560,$A220,'02_ツリー'!$K$5:$K$560,"&gt;0"))</x:f>
        <x:v>0.005587941392083164</x:v>
      </x:c>
      <x:c r="C220" s="48" t="n">
        <x:f>IF($A220="","",SUMIFS('02_ツリー'!$K$5:$K$560,'02_ツリー'!$E$5:$E$560,$A220,'02_ツリー'!$K$5:$K$560,"&lt;0"))</x:f>
        <x:v>0</x:v>
      </x:c>
      <x:c r="D220" s="48" t="n">
        <x:f>IF($A220="","",B220+C220)</x:f>
        <x:v>0.005587941392083164</x:v>
      </x:c>
      <x:c r="E220" s="48" t="n">
        <x:f>IF($A220="","",B220-C220)</x:f>
        <x:v>0.005587941392083164</x:v>
      </x:c>
      <x:c r="F220" s="48" t="n">
        <x:f>IF($A220="","",SUMIFS('02_ツリー'!$H$5:$H$560,'02_ツリー'!$E$5:$E$560,$A220,'02_ツリー'!$K$5:$K$560,"&gt;0"))</x:f>
        <x:v>0.05</x:v>
      </x:c>
      <x:c r="G220" s="48" t="n">
        <x:f>IF($A220="","",-SUMIFS('02_ツリー'!$H$5:$H$560,'02_ツリー'!$E$5:$E$560,$A220,'02_ツリー'!$K$5:$K$560,"&lt;0"))</x:f>
        <x:v>0</x:v>
      </x:c>
      <x:c r="H220" s="48" t="n">
        <x:f>IF($A220="","",F220+G220)</x:f>
        <x:v>0.05</x:v>
      </x:c>
      <x:c r="I220" s="244" t="n">
        <x:f>IF($A220="","",--(COUNTIFS('02_ツリー'!$E$5:$E$560,$A220,'02_ツリー'!$O$5:$O$560,0)=0))</x:f>
        <x:v>1</x:v>
      </x:c>
      <x:c r="J220" s="12" t="str">
        <x:f>IF($A220="","",IF(AND(B220&gt;0,C220&lt;0),"正負あり",IF(B220&gt;0,"正のみ",IF(C220&lt;0,"負のみ","ゼロ"))))</x:f>
        <x:v>正のみ</x:v>
      </x:c>
      <x:c r="K220" s="244" t="n">
        <x:f>IF($A220="","",--AND(B220&gt;0,C220&lt;0))</x:f>
        <x:v>0</x:v>
      </x:c>
      <x:c r="L220" s="244" t="n">
        <x:f>IF($A220="","",COUNTIF('02_ツリー'!$E$5:$E$560,$A220))</x:f>
        <x:v>1</x:v>
      </x:c>
      <x:c r="M220" s="244" t="n">
        <x:f>IF($A220="","",--(LEFT(A220,7)="Enable_"))</x:f>
        <x:v>0</x:v>
      </x:c>
      <x:c r="N220" s="12"/>
      <x:c r="O220" s="12"/>
      <x:c r="P220" s="12"/>
      <x:c r="Q220" s="12"/>
      <x:c r="R220" s="12"/>
      <x:c r="S220" s="12"/>
      <x:c r="T220" s="12"/>
      <x:c r="U220" s="12"/>
      <x:c r="V220" s="12"/>
      <x:c r="W220" s="12"/>
      <x:c r="X220" s="12"/>
      <x:c r="Y220" s="12"/>
    </x:row>
    <x:row r="221">
      <x:c r="A221" s="12" t="str">
        <x:f>IFERROR(INDEX('02_ツリー'!$E$5:$E$560,MATCH(ROWS($A$11:A221),'02_ツリー'!$R$5:$R$560,0)),"")</x:f>
        <x:v>m_vsens_unit</x:v>
      </x:c>
      <x:c r="B221" s="48" t="n">
        <x:f>IF($A221="","",SUMIFS('02_ツリー'!$K$5:$K$560,'02_ツリー'!$E$5:$E$560,$A221,'02_ツリー'!$K$5:$K$560,"&gt;0"))</x:f>
        <x:v>0.005587941392083164</x:v>
      </x:c>
      <x:c r="C221" s="48" t="n">
        <x:f>IF($A221="","",SUMIFS('02_ツリー'!$K$5:$K$560,'02_ツリー'!$E$5:$E$560,$A221,'02_ツリー'!$K$5:$K$560,"&lt;0"))</x:f>
        <x:v>0</x:v>
      </x:c>
      <x:c r="D221" s="48" t="n">
        <x:f>IF($A221="","",B221+C221)</x:f>
        <x:v>0.005587941392083164</x:v>
      </x:c>
      <x:c r="E221" s="48" t="n">
        <x:f>IF($A221="","",B221-C221)</x:f>
        <x:v>0.005587941392083164</x:v>
      </x:c>
      <x:c r="F221" s="48" t="n">
        <x:f>IF($A221="","",SUMIFS('02_ツリー'!$H$5:$H$560,'02_ツリー'!$E$5:$E$560,$A221,'02_ツリー'!$K$5:$K$560,"&gt;0"))</x:f>
        <x:v>0.05</x:v>
      </x:c>
      <x:c r="G221" s="48" t="n">
        <x:f>IF($A221="","",-SUMIFS('02_ツリー'!$H$5:$H$560,'02_ツリー'!$E$5:$E$560,$A221,'02_ツリー'!$K$5:$K$560,"&lt;0"))</x:f>
        <x:v>0</x:v>
      </x:c>
      <x:c r="H221" s="48" t="n">
        <x:f>IF($A221="","",F221+G221)</x:f>
        <x:v>0.05</x:v>
      </x:c>
      <x:c r="I221" s="244" t="n">
        <x:f>IF($A221="","",--(COUNTIFS('02_ツリー'!$E$5:$E$560,$A221,'02_ツリー'!$O$5:$O$560,0)=0))</x:f>
        <x:v>1</x:v>
      </x:c>
      <x:c r="J221" s="12" t="str">
        <x:f>IF($A221="","",IF(AND(B221&gt;0,C221&lt;0),"正負あり",IF(B221&gt;0,"正のみ",IF(C221&lt;0,"負のみ","ゼロ"))))</x:f>
        <x:v>正のみ</x:v>
      </x:c>
      <x:c r="K221" s="244" t="n">
        <x:f>IF($A221="","",--AND(B221&gt;0,C221&lt;0))</x:f>
        <x:v>0</x:v>
      </x:c>
      <x:c r="L221" s="244" t="n">
        <x:f>IF($A221="","",COUNTIF('02_ツリー'!$E$5:$E$560,$A221))</x:f>
        <x:v>1</x:v>
      </x:c>
      <x:c r="M221" s="244" t="n">
        <x:f>IF($A221="","",--(LEFT(A221,7)="Enable_"))</x:f>
        <x:v>0</x:v>
      </x:c>
      <x:c r="N221" s="12"/>
      <x:c r="O221" s="12"/>
      <x:c r="P221" s="12"/>
      <x:c r="Q221" s="12"/>
      <x:c r="R221" s="12"/>
      <x:c r="S221" s="12"/>
      <x:c r="T221" s="12"/>
      <x:c r="U221" s="12"/>
      <x:c r="V221" s="12"/>
      <x:c r="W221" s="12"/>
      <x:c r="X221" s="12"/>
      <x:c r="Y221" s="12"/>
    </x:row>
    <x:row r="222">
      <x:c r="A222" s="12" t="str">
        <x:f>IFERROR(INDEX('02_ツリー'!$E$5:$E$560,MATCH(ROWS($A$11:A222),'02_ツリー'!$R$5:$R$560,0)),"")</x:f>
        <x:v>m_tsens</x:v>
      </x:c>
      <x:c r="B222" s="48" t="n">
        <x:f>IF($A222="","",SUMIFS('02_ツリー'!$K$5:$K$560,'02_ツリー'!$E$5:$E$560,$A222,'02_ツリー'!$K$5:$K$560,"&gt;0"))</x:f>
        <x:v>0.004470353113666531</x:v>
      </x:c>
      <x:c r="C222" s="48" t="n">
        <x:f>IF($A222="","",SUMIFS('02_ツリー'!$K$5:$K$560,'02_ツリー'!$E$5:$E$560,$A222,'02_ツリー'!$K$5:$K$560,"&lt;0"))</x:f>
        <x:v>0</x:v>
      </x:c>
      <x:c r="D222" s="48" t="n">
        <x:f>IF($A222="","",B222+C222)</x:f>
        <x:v>0.004470353113666531</x:v>
      </x:c>
      <x:c r="E222" s="48" t="n">
        <x:f>IF($A222="","",B222-C222)</x:f>
        <x:v>0.004470353113666531</x:v>
      </x:c>
      <x:c r="F222" s="48" t="n">
        <x:f>IF($A222="","",SUMIFS('02_ツリー'!$H$5:$H$560,'02_ツリー'!$E$5:$E$560,$A222,'02_ツリー'!$K$5:$K$560,"&gt;0"))</x:f>
        <x:v>0.04</x:v>
      </x:c>
      <x:c r="G222" s="48" t="n">
        <x:f>IF($A222="","",-SUMIFS('02_ツリー'!$H$5:$H$560,'02_ツリー'!$E$5:$E$560,$A222,'02_ツリー'!$K$5:$K$560,"&lt;0"))</x:f>
        <x:v>0</x:v>
      </x:c>
      <x:c r="H222" s="48" t="n">
        <x:f>IF($A222="","",F222+G222)</x:f>
        <x:v>0.04</x:v>
      </x:c>
      <x:c r="I222" s="244" t="n">
        <x:f>IF($A222="","",--(COUNTIFS('02_ツリー'!$E$5:$E$560,$A222,'02_ツリー'!$O$5:$O$560,0)=0))</x:f>
        <x:v>0</x:v>
      </x:c>
      <x:c r="J222" s="12" t="str">
        <x:f>IF($A222="","",IF(AND(B222&gt;0,C222&lt;0),"正負あり",IF(B222&gt;0,"正のみ",IF(C222&lt;0,"負のみ","ゼロ"))))</x:f>
        <x:v>正のみ</x:v>
      </x:c>
      <x:c r="K222" s="244" t="n">
        <x:f>IF($A222="","",--AND(B222&gt;0,C222&lt;0))</x:f>
        <x:v>0</x:v>
      </x:c>
      <x:c r="L222" s="244" t="n">
        <x:f>IF($A222="","",COUNTIF('02_ツリー'!$E$5:$E$560,$A222))</x:f>
        <x:v>1</x:v>
      </x:c>
      <x:c r="M222" s="244" t="n">
        <x:f>IF($A222="","",--(LEFT(A222,7)="Enable_"))</x:f>
        <x:v>0</x:v>
      </x:c>
      <x:c r="N222" s="12"/>
      <x:c r="O222" s="12"/>
      <x:c r="P222" s="12"/>
      <x:c r="Q222" s="12"/>
      <x:c r="R222" s="12"/>
      <x:c r="S222" s="12"/>
      <x:c r="T222" s="12"/>
      <x:c r="U222" s="12"/>
      <x:c r="V222" s="12"/>
      <x:c r="W222" s="12"/>
      <x:c r="X222" s="12"/>
      <x:c r="Y222" s="12"/>
    </x:row>
    <x:row r="223">
      <x:c r="A223" s="12" t="str">
        <x:f>IFERROR(INDEX('02_ツリー'!$E$5:$E$560,MATCH(ROWS($A$11:A223),'02_ツリー'!$R$5:$R$560,0)),"")</x:f>
        <x:v>N_tsens</x:v>
      </x:c>
      <x:c r="B223" s="48" t="n">
        <x:f>IF($A223="","",SUMIFS('02_ツリー'!$K$5:$K$560,'02_ツリー'!$E$5:$E$560,$A223,'02_ツリー'!$K$5:$K$560,"&gt;0"))</x:f>
        <x:v>0.004470353113666531</x:v>
      </x:c>
      <x:c r="C223" s="48" t="n">
        <x:f>IF($A223="","",SUMIFS('02_ツリー'!$K$5:$K$560,'02_ツリー'!$E$5:$E$560,$A223,'02_ツリー'!$K$5:$K$560,"&lt;0"))</x:f>
        <x:v>0</x:v>
      </x:c>
      <x:c r="D223" s="48" t="n">
        <x:f>IF($A223="","",B223+C223)</x:f>
        <x:v>0.004470353113666531</x:v>
      </x:c>
      <x:c r="E223" s="48" t="n">
        <x:f>IF($A223="","",B223-C223)</x:f>
        <x:v>0.004470353113666531</x:v>
      </x:c>
      <x:c r="F223" s="48" t="n">
        <x:f>IF($A223="","",SUMIFS('02_ツリー'!$H$5:$H$560,'02_ツリー'!$E$5:$E$560,$A223,'02_ツリー'!$K$5:$K$560,"&gt;0"))</x:f>
        <x:v>0.04</x:v>
      </x:c>
      <x:c r="G223" s="48" t="n">
        <x:f>IF($A223="","",-SUMIFS('02_ツリー'!$H$5:$H$560,'02_ツリー'!$E$5:$E$560,$A223,'02_ツリー'!$K$5:$K$560,"&lt;0"))</x:f>
        <x:v>0</x:v>
      </x:c>
      <x:c r="H223" s="48" t="n">
        <x:f>IF($A223="","",F223+G223)</x:f>
        <x:v>0.04</x:v>
      </x:c>
      <x:c r="I223" s="244" t="n">
        <x:f>IF($A223="","",--(COUNTIFS('02_ツリー'!$E$5:$E$560,$A223,'02_ツリー'!$O$5:$O$560,0)=0))</x:f>
        <x:v>1</x:v>
      </x:c>
      <x:c r="J223" s="12" t="str">
        <x:f>IF($A223="","",IF(AND(B223&gt;0,C223&lt;0),"正負あり",IF(B223&gt;0,"正のみ",IF(C223&lt;0,"負のみ","ゼロ"))))</x:f>
        <x:v>正のみ</x:v>
      </x:c>
      <x:c r="K223" s="244" t="n">
        <x:f>IF($A223="","",--AND(B223&gt;0,C223&lt;0))</x:f>
        <x:v>0</x:v>
      </x:c>
      <x:c r="L223" s="244" t="n">
        <x:f>IF($A223="","",COUNTIF('02_ツリー'!$E$5:$E$560,$A223))</x:f>
        <x:v>1</x:v>
      </x:c>
      <x:c r="M223" s="244" t="n">
        <x:f>IF($A223="","",--(LEFT(A223,7)="Enable_"))</x:f>
        <x:v>0</x:v>
      </x:c>
      <x:c r="N223" s="12"/>
      <x:c r="O223" s="12"/>
      <x:c r="P223" s="12"/>
      <x:c r="Q223" s="12"/>
      <x:c r="R223" s="12"/>
      <x:c r="S223" s="12"/>
      <x:c r="T223" s="12"/>
      <x:c r="U223" s="12"/>
      <x:c r="V223" s="12"/>
      <x:c r="W223" s="12"/>
      <x:c r="X223" s="12"/>
      <x:c r="Y223" s="12"/>
    </x:row>
    <x:row r="224">
      <x:c r="A224" s="12" t="str">
        <x:f>IFERROR(INDEX('02_ツリー'!$E$5:$E$560,MATCH(ROWS($A$11:A224),'02_ツリー'!$R$5:$R$560,0)),"")</x:f>
        <x:v>m_tsens_unit</x:v>
      </x:c>
      <x:c r="B224" s="48" t="n">
        <x:f>IF($A224="","",SUMIFS('02_ツリー'!$K$5:$K$560,'02_ツリー'!$E$5:$E$560,$A224,'02_ツリー'!$K$5:$K$560,"&gt;0"))</x:f>
        <x:v>0.000004996014240217012</x:v>
      </x:c>
      <x:c r="C224" s="48" t="n">
        <x:f>IF($A224="","",SUMIFS('02_ツリー'!$K$5:$K$560,'02_ツリー'!$E$5:$E$560,$A224,'02_ツリー'!$K$5:$K$560,"&lt;0"))</x:f>
        <x:v>0</x:v>
      </x:c>
      <x:c r="D224" s="48" t="n">
        <x:f>IF($A224="","",B224+C224)</x:f>
        <x:v>0.000004996014240217012</x:v>
      </x:c>
      <x:c r="E224" s="48" t="n">
        <x:f>IF($A224="","",B224-C224)</x:f>
        <x:v>0.000004996014240217012</x:v>
      </x:c>
      <x:c r="F224" s="48" t="n">
        <x:f>IF($A224="","",SUMIFS('02_ツリー'!$H$5:$H$560,'02_ツリー'!$E$5:$E$560,$A224,'02_ツリー'!$K$5:$K$560,"&gt;0"))</x:f>
        <x:v>0.00004470353113666531</x:v>
      </x:c>
      <x:c r="G224" s="48" t="n">
        <x:f>IF($A224="","",-SUMIFS('02_ツリー'!$H$5:$H$560,'02_ツリー'!$E$5:$E$560,$A224,'02_ツリー'!$K$5:$K$560,"&lt;0"))</x:f>
        <x:v>0</x:v>
      </x:c>
      <x:c r="H224" s="48" t="n">
        <x:f>IF($A224="","",F224+G224)</x:f>
        <x:v>0.00004470353113666531</x:v>
      </x:c>
      <x:c r="I224" s="244" t="n">
        <x:f>IF($A224="","",--(COUNTIFS('02_ツリー'!$E$5:$E$560,$A224,'02_ツリー'!$O$5:$O$560,0)=0))</x:f>
        <x:v>1</x:v>
      </x:c>
      <x:c r="J224" s="12" t="str">
        <x:f>IF($A224="","",IF(AND(B224&gt;0,C224&lt;0),"正負あり",IF(B224&gt;0,"正のみ",IF(C224&lt;0,"負のみ","ゼロ"))))</x:f>
        <x:v>正のみ</x:v>
      </x:c>
      <x:c r="K224" s="244" t="n">
        <x:f>IF($A224="","",--AND(B224&gt;0,C224&lt;0))</x:f>
        <x:v>0</x:v>
      </x:c>
      <x:c r="L224" s="244" t="n">
        <x:f>IF($A224="","",COUNTIF('02_ツリー'!$E$5:$E$560,$A224))</x:f>
        <x:v>1</x:v>
      </x:c>
      <x:c r="M224" s="244" t="n">
        <x:f>IF($A224="","",--(LEFT(A224,7)="Enable_"))</x:f>
        <x:v>0</x:v>
      </x:c>
      <x:c r="N224" s="12"/>
      <x:c r="O224" s="12"/>
      <x:c r="P224" s="12"/>
      <x:c r="Q224" s="12"/>
      <x:c r="R224" s="12"/>
      <x:c r="S224" s="12"/>
      <x:c r="T224" s="12"/>
      <x:c r="U224" s="12"/>
      <x:c r="V224" s="12"/>
      <x:c r="W224" s="12"/>
      <x:c r="X224" s="12"/>
      <x:c r="Y224" s="12"/>
    </x:row>
    <x:row r="225">
      <x:c r="A225" s="12" t="str">
        <x:f>IFERROR(INDEX('02_ツリー'!$E$5:$E$560,MATCH(ROWS($A$11:A225),'02_ツリー'!$R$5:$R$560,0)),"")</x:f>
        <x:v>m_sensor_harness</x:v>
      </x:c>
      <x:c r="B225" s="48" t="n">
        <x:f>IF($A225="","",SUMIFS('02_ツリー'!$K$5:$K$560,'02_ツリー'!$E$5:$E$560,$A225,'02_ツリー'!$K$5:$K$560,"&gt;0"))</x:f>
        <x:v>0.006146735531291479</x:v>
      </x:c>
      <x:c r="C225" s="48" t="n">
        <x:f>IF($A225="","",SUMIFS('02_ツリー'!$K$5:$K$560,'02_ツリー'!$E$5:$E$560,$A225,'02_ツリー'!$K$5:$K$560,"&lt;0"))</x:f>
        <x:v>0</x:v>
      </x:c>
      <x:c r="D225" s="48" t="n">
        <x:f>IF($A225="","",B225+C225)</x:f>
        <x:v>0.006146735531291479</x:v>
      </x:c>
      <x:c r="E225" s="48" t="n">
        <x:f>IF($A225="","",B225-C225)</x:f>
        <x:v>0.006146735531291479</x:v>
      </x:c>
      <x:c r="F225" s="48" t="n">
        <x:f>IF($A225="","",SUMIFS('02_ツリー'!$H$5:$H$560,'02_ツリー'!$E$5:$E$560,$A225,'02_ツリー'!$K$5:$K$560,"&gt;0"))</x:f>
        <x:v>0.05499999999999999</x:v>
      </x:c>
      <x:c r="G225" s="48" t="n">
        <x:f>IF($A225="","",-SUMIFS('02_ツリー'!$H$5:$H$560,'02_ツリー'!$E$5:$E$560,$A225,'02_ツリー'!$K$5:$K$560,"&lt;0"))</x:f>
        <x:v>0</x:v>
      </x:c>
      <x:c r="H225" s="48" t="n">
        <x:f>IF($A225="","",F225+G225)</x:f>
        <x:v>0.05499999999999999</x:v>
      </x:c>
      <x:c r="I225" s="244" t="n">
        <x:f>IF($A225="","",--(COUNTIFS('02_ツリー'!$E$5:$E$560,$A225,'02_ツリー'!$O$5:$O$560,0)=0))</x:f>
        <x:v>1</x:v>
      </x:c>
      <x:c r="J225" s="12" t="str">
        <x:f>IF($A225="","",IF(AND(B225&gt;0,C225&lt;0),"正負あり",IF(B225&gt;0,"正のみ",IF(C225&lt;0,"負のみ","ゼロ"))))</x:f>
        <x:v>正のみ</x:v>
      </x:c>
      <x:c r="K225" s="244" t="n">
        <x:f>IF($A225="","",--AND(B225&gt;0,C225&lt;0))</x:f>
        <x:v>0</x:v>
      </x:c>
      <x:c r="L225" s="244" t="n">
        <x:f>IF($A225="","",COUNTIF('02_ツリー'!$E$5:$E$560,$A225))</x:f>
        <x:v>1</x:v>
      </x:c>
      <x:c r="M225" s="244" t="n">
        <x:f>IF($A225="","",--(LEFT(A225,7)="Enable_"))</x:f>
        <x:v>0</x:v>
      </x:c>
      <x:c r="N225" s="12"/>
      <x:c r="O225" s="12"/>
      <x:c r="P225" s="12"/>
      <x:c r="Q225" s="12"/>
      <x:c r="R225" s="12"/>
      <x:c r="S225" s="12"/>
      <x:c r="T225" s="12"/>
      <x:c r="U225" s="12"/>
      <x:c r="V225" s="12"/>
      <x:c r="W225" s="12"/>
      <x:c r="X225" s="12"/>
      <x:c r="Y225" s="12"/>
    </x:row>
    <x:row r="226">
      <x:c r="A226" s="12" t="str">
        <x:f>IFERROR(INDEX('02_ツリー'!$E$5:$E$560,MATCH(ROWS($A$11:A226),'02_ツリー'!$R$5:$R$560,0)),"")</x:f>
        <x:v>m_conn_dc</x:v>
      </x:c>
      <x:c r="B226" s="48" t="n">
        <x:f>IF($A226="","",SUMIFS('02_ツリー'!$K$5:$K$560,'02_ツリー'!$E$5:$E$560,$A226,'02_ツリー'!$K$5:$K$560,"&gt;0"))</x:f>
        <x:v>0.012293471062582958</x:v>
      </x:c>
      <x:c r="C226" s="48" t="n">
        <x:f>IF($A226="","",SUMIFS('02_ツリー'!$K$5:$K$560,'02_ツリー'!$E$5:$E$560,$A226,'02_ツリー'!$K$5:$K$560,"&lt;0"))</x:f>
        <x:v>0</x:v>
      </x:c>
      <x:c r="D226" s="48" t="n">
        <x:f>IF($A226="","",B226+C226)</x:f>
        <x:v>0.012293471062582958</x:v>
      </x:c>
      <x:c r="E226" s="48" t="n">
        <x:f>IF($A226="","",B226-C226)</x:f>
        <x:v>0.012293471062582958</x:v>
      </x:c>
      <x:c r="F226" s="48" t="n">
        <x:f>IF($A226="","",SUMIFS('02_ツリー'!$H$5:$H$560,'02_ツリー'!$E$5:$E$560,$A226,'02_ツリー'!$K$5:$K$560,"&gt;0"))</x:f>
        <x:v>0.10999999999999999</x:v>
      </x:c>
      <x:c r="G226" s="48" t="n">
        <x:f>IF($A226="","",-SUMIFS('02_ツリー'!$H$5:$H$560,'02_ツリー'!$E$5:$E$560,$A226,'02_ツリー'!$K$5:$K$560,"&lt;0"))</x:f>
        <x:v>0</x:v>
      </x:c>
      <x:c r="H226" s="48" t="n">
        <x:f>IF($A226="","",F226+G226)</x:f>
        <x:v>0.10999999999999999</x:v>
      </x:c>
      <x:c r="I226" s="244" t="n">
        <x:f>IF($A226="","",--(COUNTIFS('02_ツリー'!$E$5:$E$560,$A226,'02_ツリー'!$O$5:$O$560,0)=0))</x:f>
        <x:v>0</x:v>
      </x:c>
      <x:c r="J226" s="12" t="str">
        <x:f>IF($A226="","",IF(AND(B226&gt;0,C226&lt;0),"正負あり",IF(B226&gt;0,"正のみ",IF(C226&lt;0,"負のみ","ゼロ"))))</x:f>
        <x:v>正のみ</x:v>
      </x:c>
      <x:c r="K226" s="244" t="n">
        <x:f>IF($A226="","",--AND(B226&gt;0,C226&lt;0))</x:f>
        <x:v>0</x:v>
      </x:c>
      <x:c r="L226" s="244" t="n">
        <x:f>IF($A226="","",COUNTIF('02_ツリー'!$E$5:$E$560,$A226))</x:f>
        <x:v>1</x:v>
      </x:c>
      <x:c r="M226" s="244" t="n">
        <x:f>IF($A226="","",--(LEFT(A226,7)="Enable_"))</x:f>
        <x:v>0</x:v>
      </x:c>
      <x:c r="N226" s="12"/>
      <x:c r="O226" s="12"/>
      <x:c r="P226" s="12"/>
      <x:c r="Q226" s="12"/>
      <x:c r="R226" s="12"/>
      <x:c r="S226" s="12"/>
      <x:c r="T226" s="12"/>
      <x:c r="U226" s="12"/>
      <x:c r="V226" s="12"/>
      <x:c r="W226" s="12"/>
      <x:c r="X226" s="12"/>
      <x:c r="Y226" s="12"/>
    </x:row>
    <x:row r="227">
      <x:c r="A227" s="12" t="str">
        <x:f>IFERROR(INDEX('02_ツリー'!$E$5:$E$560,MATCH(ROWS($A$11:A227),'02_ツリー'!$R$5:$R$560,0)),"")</x:f>
        <x:v>N_conn_dc</x:v>
      </x:c>
      <x:c r="B227" s="48" t="n">
        <x:f>IF($A227="","",SUMIFS('02_ツリー'!$K$5:$K$560,'02_ツリー'!$E$5:$E$560,$A227,'02_ツリー'!$K$5:$K$560,"&gt;0"))</x:f>
        <x:v>0.012293471062582958</x:v>
      </x:c>
      <x:c r="C227" s="48" t="n">
        <x:f>IF($A227="","",SUMIFS('02_ツリー'!$K$5:$K$560,'02_ツリー'!$E$5:$E$560,$A227,'02_ツリー'!$K$5:$K$560,"&lt;0"))</x:f>
        <x:v>0</x:v>
      </x:c>
      <x:c r="D227" s="48" t="n">
        <x:f>IF($A227="","",B227+C227)</x:f>
        <x:v>0.012293471062582958</x:v>
      </x:c>
      <x:c r="E227" s="48" t="n">
        <x:f>IF($A227="","",B227-C227)</x:f>
        <x:v>0.012293471062582958</x:v>
      </x:c>
      <x:c r="F227" s="48" t="n">
        <x:f>IF($A227="","",SUMIFS('02_ツリー'!$H$5:$H$560,'02_ツリー'!$E$5:$E$560,$A227,'02_ツリー'!$K$5:$K$560,"&gt;0"))</x:f>
        <x:v>0.10999999999999999</x:v>
      </x:c>
      <x:c r="G227" s="48" t="n">
        <x:f>IF($A227="","",-SUMIFS('02_ツリー'!$H$5:$H$560,'02_ツリー'!$E$5:$E$560,$A227,'02_ツリー'!$K$5:$K$560,"&lt;0"))</x:f>
        <x:v>0</x:v>
      </x:c>
      <x:c r="H227" s="48" t="n">
        <x:f>IF($A227="","",F227+G227)</x:f>
        <x:v>0.10999999999999999</x:v>
      </x:c>
      <x:c r="I227" s="244" t="n">
        <x:f>IF($A227="","",--(COUNTIFS('02_ツリー'!$E$5:$E$560,$A227,'02_ツリー'!$O$5:$O$560,0)=0))</x:f>
        <x:v>1</x:v>
      </x:c>
      <x:c r="J227" s="12" t="str">
        <x:f>IF($A227="","",IF(AND(B227&gt;0,C227&lt;0),"正負あり",IF(B227&gt;0,"正のみ",IF(C227&lt;0,"負のみ","ゼロ"))))</x:f>
        <x:v>正のみ</x:v>
      </x:c>
      <x:c r="K227" s="244" t="n">
        <x:f>IF($A227="","",--AND(B227&gt;0,C227&lt;0))</x:f>
        <x:v>0</x:v>
      </x:c>
      <x:c r="L227" s="244" t="n">
        <x:f>IF($A227="","",COUNTIF('02_ツリー'!$E$5:$E$560,$A227))</x:f>
        <x:v>1</x:v>
      </x:c>
      <x:c r="M227" s="244" t="n">
        <x:f>IF($A227="","",--(LEFT(A227,7)="Enable_"))</x:f>
        <x:v>0</x:v>
      </x:c>
      <x:c r="N227" s="12"/>
      <x:c r="O227" s="12"/>
      <x:c r="P227" s="12"/>
      <x:c r="Q227" s="12"/>
      <x:c r="R227" s="12"/>
      <x:c r="S227" s="12"/>
      <x:c r="T227" s="12"/>
      <x:c r="U227" s="12"/>
      <x:c r="V227" s="12"/>
      <x:c r="W227" s="12"/>
      <x:c r="X227" s="12"/>
      <x:c r="Y227" s="12"/>
    </x:row>
    <x:row r="228">
      <x:c r="A228" s="12" t="str">
        <x:f>IFERROR(INDEX('02_ツリー'!$E$5:$E$560,MATCH(ROWS($A$11:A228),'02_ツリー'!$R$5:$R$560,0)),"")</x:f>
        <x:v>m_conn_dc_unit</x:v>
      </x:c>
      <x:c r="B228" s="48" t="n">
        <x:f>IF($A228="","",SUMIFS('02_ツリー'!$K$5:$K$560,'02_ツリー'!$E$5:$E$560,$A228,'02_ツリー'!$K$5:$K$560,"&gt;0"))</x:f>
        <x:v>0.012293471062582958</x:v>
      </x:c>
      <x:c r="C228" s="48" t="n">
        <x:f>IF($A228="","",SUMIFS('02_ツリー'!$K$5:$K$560,'02_ツリー'!$E$5:$E$560,$A228,'02_ツリー'!$K$5:$K$560,"&lt;0"))</x:f>
        <x:v>0</x:v>
      </x:c>
      <x:c r="D228" s="48" t="n">
        <x:f>IF($A228="","",B228+C228)</x:f>
        <x:v>0.012293471062582958</x:v>
      </x:c>
      <x:c r="E228" s="48" t="n">
        <x:f>IF($A228="","",B228-C228)</x:f>
        <x:v>0.012293471062582958</x:v>
      </x:c>
      <x:c r="F228" s="48" t="n">
        <x:f>IF($A228="","",SUMIFS('02_ツリー'!$H$5:$H$560,'02_ツリー'!$E$5:$E$560,$A228,'02_ツリー'!$K$5:$K$560,"&gt;0"))</x:f>
        <x:v>0.10999999999999999</x:v>
      </x:c>
      <x:c r="G228" s="48" t="n">
        <x:f>IF($A228="","",-SUMIFS('02_ツリー'!$H$5:$H$560,'02_ツリー'!$E$5:$E$560,$A228,'02_ツリー'!$K$5:$K$560,"&lt;0"))</x:f>
        <x:v>0</x:v>
      </x:c>
      <x:c r="H228" s="48" t="n">
        <x:f>IF($A228="","",F228+G228)</x:f>
        <x:v>0.10999999999999999</x:v>
      </x:c>
      <x:c r="I228" s="244" t="n">
        <x:f>IF($A228="","",--(COUNTIFS('02_ツリー'!$E$5:$E$560,$A228,'02_ツリー'!$O$5:$O$560,0)=0))</x:f>
        <x:v>1</x:v>
      </x:c>
      <x:c r="J228" s="12" t="str">
        <x:f>IF($A228="","",IF(AND(B228&gt;0,C228&lt;0),"正負あり",IF(B228&gt;0,"正のみ",IF(C228&lt;0,"負のみ","ゼロ"))))</x:f>
        <x:v>正のみ</x:v>
      </x:c>
      <x:c r="K228" s="244" t="n">
        <x:f>IF($A228="","",--AND(B228&gt;0,C228&lt;0))</x:f>
        <x:v>0</x:v>
      </x:c>
      <x:c r="L228" s="244" t="n">
        <x:f>IF($A228="","",COUNTIF('02_ツリー'!$E$5:$E$560,$A228))</x:f>
        <x:v>1</x:v>
      </x:c>
      <x:c r="M228" s="244" t="n">
        <x:f>IF($A228="","",--(LEFT(A228,7)="Enable_"))</x:f>
        <x:v>0</x:v>
      </x:c>
      <x:c r="N228" s="12"/>
      <x:c r="O228" s="12"/>
      <x:c r="P228" s="12"/>
      <x:c r="Q228" s="12"/>
      <x:c r="R228" s="12"/>
      <x:c r="S228" s="12"/>
      <x:c r="T228" s="12"/>
      <x:c r="U228" s="12"/>
      <x:c r="V228" s="12"/>
      <x:c r="W228" s="12"/>
      <x:c r="X228" s="12"/>
      <x:c r="Y228" s="12"/>
    </x:row>
    <x:row r="229">
      <x:c r="A229" s="12" t="str">
        <x:f>IFERROR(INDEX('02_ツリー'!$E$5:$E$560,MATCH(ROWS($A$11:A229),'02_ツリー'!$R$5:$R$560,0)),"")</x:f>
        <x:v>m_conn_ac</x:v>
      </x:c>
      <x:c r="B229" s="48" t="n">
        <x:f>IF($A229="","",SUMIFS('02_ツリー'!$K$5:$K$560,'02_ツリー'!$E$5:$E$560,$A229,'02_ツリー'!$K$5:$K$560,"&gt;0"))</x:f>
        <x:v>0.01844020659387444</x:v>
      </x:c>
      <x:c r="C229" s="48" t="n">
        <x:f>IF($A229="","",SUMIFS('02_ツリー'!$K$5:$K$560,'02_ツリー'!$E$5:$E$560,$A229,'02_ツリー'!$K$5:$K$560,"&lt;0"))</x:f>
        <x:v>0</x:v>
      </x:c>
      <x:c r="D229" s="48" t="n">
        <x:f>IF($A229="","",B229+C229)</x:f>
        <x:v>0.01844020659387444</x:v>
      </x:c>
      <x:c r="E229" s="48" t="n">
        <x:f>IF($A229="","",B229-C229)</x:f>
        <x:v>0.01844020659387444</x:v>
      </x:c>
      <x:c r="F229" s="48" t="n">
        <x:f>IF($A229="","",SUMIFS('02_ツリー'!$H$5:$H$560,'02_ツリー'!$E$5:$E$560,$A229,'02_ツリー'!$K$5:$K$560,"&gt;0"))</x:f>
        <x:v>0.165</x:v>
      </x:c>
      <x:c r="G229" s="48" t="n">
        <x:f>IF($A229="","",-SUMIFS('02_ツリー'!$H$5:$H$560,'02_ツリー'!$E$5:$E$560,$A229,'02_ツリー'!$K$5:$K$560,"&lt;0"))</x:f>
        <x:v>0</x:v>
      </x:c>
      <x:c r="H229" s="48" t="n">
        <x:f>IF($A229="","",F229+G229)</x:f>
        <x:v>0.165</x:v>
      </x:c>
      <x:c r="I229" s="244" t="n">
        <x:f>IF($A229="","",--(COUNTIFS('02_ツリー'!$E$5:$E$560,$A229,'02_ツリー'!$O$5:$O$560,0)=0))</x:f>
        <x:v>0</x:v>
      </x:c>
      <x:c r="J229" s="12" t="str">
        <x:f>IF($A229="","",IF(AND(B229&gt;0,C229&lt;0),"正負あり",IF(B229&gt;0,"正のみ",IF(C229&lt;0,"負のみ","ゼロ"))))</x:f>
        <x:v>正のみ</x:v>
      </x:c>
      <x:c r="K229" s="244" t="n">
        <x:f>IF($A229="","",--AND(B229&gt;0,C229&lt;0))</x:f>
        <x:v>0</x:v>
      </x:c>
      <x:c r="L229" s="244" t="n">
        <x:f>IF($A229="","",COUNTIF('02_ツリー'!$E$5:$E$560,$A229))</x:f>
        <x:v>1</x:v>
      </x:c>
      <x:c r="M229" s="244" t="n">
        <x:f>IF($A229="","",--(LEFT(A229,7)="Enable_"))</x:f>
        <x:v>0</x:v>
      </x:c>
      <x:c r="N229" s="12"/>
      <x:c r="O229" s="12"/>
      <x:c r="P229" s="12"/>
      <x:c r="Q229" s="12"/>
      <x:c r="R229" s="12"/>
      <x:c r="S229" s="12"/>
      <x:c r="T229" s="12"/>
      <x:c r="U229" s="12"/>
      <x:c r="V229" s="12"/>
      <x:c r="W229" s="12"/>
      <x:c r="X229" s="12"/>
      <x:c r="Y229" s="12"/>
    </x:row>
    <x:row r="230">
      <x:c r="A230" s="12" t="str">
        <x:f>IFERROR(INDEX('02_ツリー'!$E$5:$E$560,MATCH(ROWS($A$11:A230),'02_ツリー'!$R$5:$R$560,0)),"")</x:f>
        <x:v>N_conn_ac</x:v>
      </x:c>
      <x:c r="B230" s="48" t="n">
        <x:f>IF($A230="","",SUMIFS('02_ツリー'!$K$5:$K$560,'02_ツリー'!$E$5:$E$560,$A230,'02_ツリー'!$K$5:$K$560,"&gt;0"))</x:f>
        <x:v>0.01844020659387444</x:v>
      </x:c>
      <x:c r="C230" s="48" t="n">
        <x:f>IF($A230="","",SUMIFS('02_ツリー'!$K$5:$K$560,'02_ツリー'!$E$5:$E$560,$A230,'02_ツリー'!$K$5:$K$560,"&lt;0"))</x:f>
        <x:v>0</x:v>
      </x:c>
      <x:c r="D230" s="48" t="n">
        <x:f>IF($A230="","",B230+C230)</x:f>
        <x:v>0.01844020659387444</x:v>
      </x:c>
      <x:c r="E230" s="48" t="n">
        <x:f>IF($A230="","",B230-C230)</x:f>
        <x:v>0.01844020659387444</x:v>
      </x:c>
      <x:c r="F230" s="48" t="n">
        <x:f>IF($A230="","",SUMIFS('02_ツリー'!$H$5:$H$560,'02_ツリー'!$E$5:$E$560,$A230,'02_ツリー'!$K$5:$K$560,"&gt;0"))</x:f>
        <x:v>0.165</x:v>
      </x:c>
      <x:c r="G230" s="48" t="n">
        <x:f>IF($A230="","",-SUMIFS('02_ツリー'!$H$5:$H$560,'02_ツリー'!$E$5:$E$560,$A230,'02_ツリー'!$K$5:$K$560,"&lt;0"))</x:f>
        <x:v>0</x:v>
      </x:c>
      <x:c r="H230" s="48" t="n">
        <x:f>IF($A230="","",F230+G230)</x:f>
        <x:v>0.165</x:v>
      </x:c>
      <x:c r="I230" s="244" t="n">
        <x:f>IF($A230="","",--(COUNTIFS('02_ツリー'!$E$5:$E$560,$A230,'02_ツリー'!$O$5:$O$560,0)=0))</x:f>
        <x:v>1</x:v>
      </x:c>
      <x:c r="J230" s="12" t="str">
        <x:f>IF($A230="","",IF(AND(B230&gt;0,C230&lt;0),"正負あり",IF(B230&gt;0,"正のみ",IF(C230&lt;0,"負のみ","ゼロ"))))</x:f>
        <x:v>正のみ</x:v>
      </x:c>
      <x:c r="K230" s="244" t="n">
        <x:f>IF($A230="","",--AND(B230&gt;0,C230&lt;0))</x:f>
        <x:v>0</x:v>
      </x:c>
      <x:c r="L230" s="244" t="n">
        <x:f>IF($A230="","",COUNTIF('02_ツリー'!$E$5:$E$560,$A230))</x:f>
        <x:v>1</x:v>
      </x:c>
      <x:c r="M230" s="244" t="n">
        <x:f>IF($A230="","",--(LEFT(A230,7)="Enable_"))</x:f>
        <x:v>0</x:v>
      </x:c>
      <x:c r="N230" s="12"/>
      <x:c r="O230" s="12"/>
      <x:c r="P230" s="12"/>
      <x:c r="Q230" s="12"/>
      <x:c r="R230" s="12"/>
      <x:c r="S230" s="12"/>
      <x:c r="T230" s="12"/>
      <x:c r="U230" s="12"/>
      <x:c r="V230" s="12"/>
      <x:c r="W230" s="12"/>
      <x:c r="X230" s="12"/>
      <x:c r="Y230" s="12"/>
    </x:row>
    <x:row r="231">
      <x:c r="A231" s="12" t="str">
        <x:f>IFERROR(INDEX('02_ツリー'!$E$5:$E$560,MATCH(ROWS($A$11:A231),'02_ツリー'!$R$5:$R$560,0)),"")</x:f>
        <x:v>m_conn_ac_unit</x:v>
      </x:c>
      <x:c r="B231" s="48" t="n">
        <x:f>IF($A231="","",SUMIFS('02_ツリー'!$K$5:$K$560,'02_ツリー'!$E$5:$E$560,$A231,'02_ツリー'!$K$5:$K$560,"&gt;0"))</x:f>
        <x:v>0.01844020659387444</x:v>
      </x:c>
      <x:c r="C231" s="48" t="n">
        <x:f>IF($A231="","",SUMIFS('02_ツリー'!$K$5:$K$560,'02_ツリー'!$E$5:$E$560,$A231,'02_ツリー'!$K$5:$K$560,"&lt;0"))</x:f>
        <x:v>0</x:v>
      </x:c>
      <x:c r="D231" s="48" t="n">
        <x:f>IF($A231="","",B231+C231)</x:f>
        <x:v>0.01844020659387444</x:v>
      </x:c>
      <x:c r="E231" s="48" t="n">
        <x:f>IF($A231="","",B231-C231)</x:f>
        <x:v>0.01844020659387444</x:v>
      </x:c>
      <x:c r="F231" s="48" t="n">
        <x:f>IF($A231="","",SUMIFS('02_ツリー'!$H$5:$H$560,'02_ツリー'!$E$5:$E$560,$A231,'02_ツリー'!$K$5:$K$560,"&gt;0"))</x:f>
        <x:v>0.165</x:v>
      </x:c>
      <x:c r="G231" s="48" t="n">
        <x:f>IF($A231="","",-SUMIFS('02_ツリー'!$H$5:$H$560,'02_ツリー'!$E$5:$E$560,$A231,'02_ツリー'!$K$5:$K$560,"&lt;0"))</x:f>
        <x:v>0</x:v>
      </x:c>
      <x:c r="H231" s="48" t="n">
        <x:f>IF($A231="","",F231+G231)</x:f>
        <x:v>0.165</x:v>
      </x:c>
      <x:c r="I231" s="244" t="n">
        <x:f>IF($A231="","",--(COUNTIFS('02_ツリー'!$E$5:$E$560,$A231,'02_ツリー'!$O$5:$O$560,0)=0))</x:f>
        <x:v>1</x:v>
      </x:c>
      <x:c r="J231" s="12" t="str">
        <x:f>IF($A231="","",IF(AND(B231&gt;0,C231&lt;0),"正負あり",IF(B231&gt;0,"正のみ",IF(C231&lt;0,"負のみ","ゼロ"))))</x:f>
        <x:v>正のみ</x:v>
      </x:c>
      <x:c r="K231" s="244" t="n">
        <x:f>IF($A231="","",--AND(B231&gt;0,C231&lt;0))</x:f>
        <x:v>0</x:v>
      </x:c>
      <x:c r="L231" s="244" t="n">
        <x:f>IF($A231="","",COUNTIF('02_ツリー'!$E$5:$E$560,$A231))</x:f>
        <x:v>1</x:v>
      </x:c>
      <x:c r="M231" s="244" t="n">
        <x:f>IF($A231="","",--(LEFT(A231,7)="Enable_"))</x:f>
        <x:v>0</x:v>
      </x:c>
      <x:c r="N231" s="12"/>
      <x:c r="O231" s="12"/>
      <x:c r="P231" s="12"/>
      <x:c r="Q231" s="12"/>
      <x:c r="R231" s="12"/>
      <x:c r="S231" s="12"/>
      <x:c r="T231" s="12"/>
      <x:c r="U231" s="12"/>
      <x:c r="V231" s="12"/>
      <x:c r="W231" s="12"/>
      <x:c r="X231" s="12"/>
      <x:c r="Y231" s="12"/>
    </x:row>
    <x:row r="232">
      <x:c r="A232" s="12" t="str">
        <x:f>IFERROR(INDEX('02_ツリー'!$E$5:$E$560,MATCH(ROWS($A$11:A232),'02_ツリー'!$R$5:$R$560,0)),"")</x:f>
        <x:v>m_conn_sig</x:v>
      </x:c>
      <x:c r="B232" s="48" t="n">
        <x:f>IF($A232="","",SUMIFS('02_ツリー'!$K$5:$K$560,'02_ツリー'!$E$5:$E$560,$A232,'02_ツリー'!$K$5:$K$560,"&gt;0"))</x:f>
        <x:v>0.008381912088124744</x:v>
      </x:c>
      <x:c r="C232" s="48" t="n">
        <x:f>IF($A232="","",SUMIFS('02_ツリー'!$K$5:$K$560,'02_ツリー'!$E$5:$E$560,$A232,'02_ツリー'!$K$5:$K$560,"&lt;0"))</x:f>
        <x:v>0</x:v>
      </x:c>
      <x:c r="D232" s="48" t="n">
        <x:f>IF($A232="","",B232+C232)</x:f>
        <x:v>0.008381912088124744</x:v>
      </x:c>
      <x:c r="E232" s="48" t="n">
        <x:f>IF($A232="","",B232-C232)</x:f>
        <x:v>0.008381912088124744</x:v>
      </x:c>
      <x:c r="F232" s="48" t="n">
        <x:f>IF($A232="","",SUMIFS('02_ツリー'!$H$5:$H$560,'02_ツリー'!$E$5:$E$560,$A232,'02_ツリー'!$K$5:$K$560,"&gt;0"))</x:f>
        <x:v>0.07499999999999998</x:v>
      </x:c>
      <x:c r="G232" s="48" t="n">
        <x:f>IF($A232="","",-SUMIFS('02_ツリー'!$H$5:$H$560,'02_ツリー'!$E$5:$E$560,$A232,'02_ツリー'!$K$5:$K$560,"&lt;0"))</x:f>
        <x:v>0</x:v>
      </x:c>
      <x:c r="H232" s="48" t="n">
        <x:f>IF($A232="","",F232+G232)</x:f>
        <x:v>0.07499999999999998</x:v>
      </x:c>
      <x:c r="I232" s="244" t="n">
        <x:f>IF($A232="","",--(COUNTIFS('02_ツリー'!$E$5:$E$560,$A232,'02_ツリー'!$O$5:$O$560,0)=0))</x:f>
        <x:v>1</x:v>
      </x:c>
      <x:c r="J232" s="12" t="str">
        <x:f>IF($A232="","",IF(AND(B232&gt;0,C232&lt;0),"正負あり",IF(B232&gt;0,"正のみ",IF(C232&lt;0,"負のみ","ゼロ"))))</x:f>
        <x:v>正のみ</x:v>
      </x:c>
      <x:c r="K232" s="244" t="n">
        <x:f>IF($A232="","",--AND(B232&gt;0,C232&lt;0))</x:f>
        <x:v>0</x:v>
      </x:c>
      <x:c r="L232" s="244" t="n">
        <x:f>IF($A232="","",COUNTIF('02_ツリー'!$E$5:$E$560,$A232))</x:f>
        <x:v>1</x:v>
      </x:c>
      <x:c r="M232" s="244" t="n">
        <x:f>IF($A232="","",--(LEFT(A232,7)="Enable_"))</x:f>
        <x:v>0</x:v>
      </x:c>
      <x:c r="N232" s="12"/>
      <x:c r="O232" s="12"/>
      <x:c r="P232" s="12"/>
      <x:c r="Q232" s="12"/>
      <x:c r="R232" s="12"/>
      <x:c r="S232" s="12"/>
      <x:c r="T232" s="12"/>
      <x:c r="U232" s="12"/>
      <x:c r="V232" s="12"/>
      <x:c r="W232" s="12"/>
      <x:c r="X232" s="12"/>
      <x:c r="Y232" s="12"/>
    </x:row>
    <x:row r="233">
      <x:c r="A233" s="12" t="str">
        <x:f>IFERROR(INDEX('02_ツリー'!$E$5:$E$560,MATCH(ROWS($A$11:A233),'02_ツリー'!$R$5:$R$560,0)),"")</x:f>
        <x:v>m_conn_support</x:v>
      </x:c>
      <x:c r="B233" s="48" t="n">
        <x:f>IF($A233="","",SUMIFS('02_ツリー'!$K$5:$K$560,'02_ツリー'!$E$5:$E$560,$A233,'02_ツリー'!$K$5:$K$560,"&gt;0"))</x:f>
        <x:v>0.00036720704665595035</x:v>
      </x:c>
      <x:c r="C233" s="48" t="n">
        <x:f>IF($A233="","",SUMIFS('02_ツリー'!$K$5:$K$560,'02_ツリー'!$E$5:$E$560,$A233,'02_ツリー'!$K$5:$K$560,"&lt;0"))</x:f>
        <x:v>0</x:v>
      </x:c>
      <x:c r="D233" s="48" t="n">
        <x:f>IF($A233="","",B233+C233)</x:f>
        <x:v>0.00036720704665595035</x:v>
      </x:c>
      <x:c r="E233" s="48" t="n">
        <x:f>IF($A233="","",B233-C233)</x:f>
        <x:v>0.00036720704665595035</x:v>
      </x:c>
      <x:c r="F233" s="48" t="n">
        <x:f>IF($A233="","",SUMIFS('02_ツリー'!$H$5:$H$560,'02_ツリー'!$E$5:$E$560,$A233,'02_ツリー'!$K$5:$K$560,"&gt;0"))</x:f>
        <x:v>0.0032857095385449</x:v>
      </x:c>
      <x:c r="G233" s="48" t="n">
        <x:f>IF($A233="","",-SUMIFS('02_ツリー'!$H$5:$H$560,'02_ツリー'!$E$5:$E$560,$A233,'02_ツリー'!$K$5:$K$560,"&lt;0"))</x:f>
        <x:v>0</x:v>
      </x:c>
      <x:c r="H233" s="48" t="n">
        <x:f>IF($A233="","",F233+G233)</x:f>
        <x:v>0.0032857095385449</x:v>
      </x:c>
      <x:c r="I233" s="244" t="n">
        <x:f>IF($A233="","",--(COUNTIFS('02_ツリー'!$E$5:$E$560,$A233,'02_ツリー'!$O$5:$O$560,0)=0))</x:f>
        <x:v>1</x:v>
      </x:c>
      <x:c r="J233" s="12" t="str">
        <x:f>IF($A233="","",IF(AND(B233&gt;0,C233&lt;0),"正負あり",IF(B233&gt;0,"正のみ",IF(C233&lt;0,"負のみ","ゼロ"))))</x:f>
        <x:v>正のみ</x:v>
      </x:c>
      <x:c r="K233" s="244" t="n">
        <x:f>IF($A233="","",--AND(B233&gt;0,C233&lt;0))</x:f>
        <x:v>0</x:v>
      </x:c>
      <x:c r="L233" s="244" t="n">
        <x:f>IF($A233="","",COUNTIF('02_ツリー'!$E$5:$E$560,$A233))</x:f>
        <x:v>1</x:v>
      </x:c>
      <x:c r="M233" s="244" t="n">
        <x:f>IF($A233="","",--(LEFT(A233,7)="Enable_"))</x:f>
        <x:v>0</x:v>
      </x:c>
      <x:c r="N233" s="12"/>
      <x:c r="O233" s="12"/>
      <x:c r="P233" s="12"/>
      <x:c r="Q233" s="12"/>
      <x:c r="R233" s="12"/>
      <x:c r="S233" s="12"/>
      <x:c r="T233" s="12"/>
      <x:c r="U233" s="12"/>
      <x:c r="V233" s="12"/>
      <x:c r="W233" s="12"/>
      <x:c r="X233" s="12"/>
      <x:c r="Y233" s="12"/>
    </x:row>
    <x:row r="234">
      <x:c r="A234" s="12" t="str">
        <x:f>IFERROR(INDEX('02_ツリー'!$E$5:$E$560,MATCH(ROWS($A$11:A234),'02_ツリー'!$R$5:$R$560,0)),"")</x:f>
        <x:v>m_fastener</x:v>
      </x:c>
      <x:c r="B234" s="48" t="n">
        <x:f>IF($A234="","",SUMIFS('02_ツリー'!$K$5:$K$560,'02_ツリー'!$E$5:$E$560,$A234,'02_ツリー'!$K$5:$K$560,"&gt;0"))</x:f>
        <x:v>0.01676382417624949</x:v>
      </x:c>
      <x:c r="C234" s="48" t="n">
        <x:f>IF($A234="","",SUMIFS('02_ツリー'!$K$5:$K$560,'02_ツリー'!$E$5:$E$560,$A234,'02_ツリー'!$K$5:$K$560,"&lt;0"))</x:f>
        <x:v>0</x:v>
      </x:c>
      <x:c r="D234" s="48" t="n">
        <x:f>IF($A234="","",B234+C234)</x:f>
        <x:v>0.01676382417624949</x:v>
      </x:c>
      <x:c r="E234" s="48" t="n">
        <x:f>IF($A234="","",B234-C234)</x:f>
        <x:v>0.01676382417624949</x:v>
      </x:c>
      <x:c r="F234" s="48" t="n">
        <x:f>IF($A234="","",SUMIFS('02_ツリー'!$H$5:$H$560,'02_ツリー'!$E$5:$E$560,$A234,'02_ツリー'!$K$5:$K$560,"&gt;0"))</x:f>
        <x:v>0.15000000000000002</x:v>
      </x:c>
      <x:c r="G234" s="48" t="n">
        <x:f>IF($A234="","",-SUMIFS('02_ツリー'!$H$5:$H$560,'02_ツリー'!$E$5:$E$560,$A234,'02_ツリー'!$K$5:$K$560,"&lt;0"))</x:f>
        <x:v>0</x:v>
      </x:c>
      <x:c r="H234" s="48" t="n">
        <x:f>IF($A234="","",F234+G234)</x:f>
        <x:v>0.15000000000000002</x:v>
      </x:c>
      <x:c r="I234" s="244" t="n">
        <x:f>IF($A234="","",--(COUNTIFS('02_ツリー'!$E$5:$E$560,$A234,'02_ツリー'!$O$5:$O$560,0)=0))</x:f>
        <x:v>1</x:v>
      </x:c>
      <x:c r="J234" s="12" t="str">
        <x:f>IF($A234="","",IF(AND(B234&gt;0,C234&lt;0),"正負あり",IF(B234&gt;0,"正のみ",IF(C234&lt;0,"負のみ","ゼロ"))))</x:f>
        <x:v>正のみ</x:v>
      </x:c>
      <x:c r="K234" s="244" t="n">
        <x:f>IF($A234="","",--AND(B234&gt;0,C234&lt;0))</x:f>
        <x:v>0</x:v>
      </x:c>
      <x:c r="L234" s="244" t="n">
        <x:f>IF($A234="","",COUNTIF('02_ツリー'!$E$5:$E$560,$A234))</x:f>
        <x:v>1</x:v>
      </x:c>
      <x:c r="M234" s="244" t="n">
        <x:f>IF($A234="","",--(LEFT(A234,7)="Enable_"))</x:f>
        <x:v>0</x:v>
      </x:c>
      <x:c r="N234" s="12"/>
      <x:c r="O234" s="12"/>
      <x:c r="P234" s="12"/>
      <x:c r="Q234" s="12"/>
      <x:c r="R234" s="12"/>
      <x:c r="S234" s="12"/>
      <x:c r="T234" s="12"/>
      <x:c r="U234" s="12"/>
      <x:c r="V234" s="12"/>
      <x:c r="W234" s="12"/>
      <x:c r="X234" s="12"/>
      <x:c r="Y234" s="12"/>
    </x:row>
    <x:row r="235">
      <x:c r="A235" s="12" t="str">
        <x:f>IFERROR(INDEX('02_ツリー'!$E$5:$E$560,MATCH(ROWS($A$11:A235),'02_ツリー'!$R$5:$R$560,0)),"")</x:f>
        <x:v>m_insulation</x:v>
      </x:c>
      <x:c r="B235" s="48" t="n">
        <x:f>IF($A235="","",SUMIFS('02_ツリー'!$K$5:$K$560,'02_ツリー'!$E$5:$E$560,$A235,'02_ツリー'!$K$5:$K$560,"&gt;0"))</x:f>
        <x:v>0.01676382417624949</x:v>
      </x:c>
      <x:c r="C235" s="48" t="n">
        <x:f>IF($A235="","",SUMIFS('02_ツリー'!$K$5:$K$560,'02_ツリー'!$E$5:$E$560,$A235,'02_ツリー'!$K$5:$K$560,"&lt;0"))</x:f>
        <x:v>0</x:v>
      </x:c>
      <x:c r="D235" s="48" t="n">
        <x:f>IF($A235="","",B235+C235)</x:f>
        <x:v>0.01676382417624949</x:v>
      </x:c>
      <x:c r="E235" s="48" t="n">
        <x:f>IF($A235="","",B235-C235)</x:f>
        <x:v>0.01676382417624949</x:v>
      </x:c>
      <x:c r="F235" s="48" t="n">
        <x:f>IF($A235="","",SUMIFS('02_ツリー'!$H$5:$H$560,'02_ツリー'!$E$5:$E$560,$A235,'02_ツリー'!$K$5:$K$560,"&gt;0"))</x:f>
        <x:v>0.15000000000000002</x:v>
      </x:c>
      <x:c r="G235" s="48" t="n">
        <x:f>IF($A235="","",-SUMIFS('02_ツリー'!$H$5:$H$560,'02_ツリー'!$E$5:$E$560,$A235,'02_ツリー'!$K$5:$K$560,"&lt;0"))</x:f>
        <x:v>0</x:v>
      </x:c>
      <x:c r="H235" s="48" t="n">
        <x:f>IF($A235="","",F235+G235)</x:f>
        <x:v>0.15000000000000002</x:v>
      </x:c>
      <x:c r="I235" s="244" t="n">
        <x:f>IF($A235="","",--(COUNTIFS('02_ツリー'!$E$5:$E$560,$A235,'02_ツリー'!$O$5:$O$560,0)=0))</x:f>
        <x:v>1</x:v>
      </x:c>
      <x:c r="J235" s="12" t="str">
        <x:f>IF($A235="","",IF(AND(B235&gt;0,C235&lt;0),"正負あり",IF(B235&gt;0,"正のみ",IF(C235&lt;0,"負のみ","ゼロ"))))</x:f>
        <x:v>正のみ</x:v>
      </x:c>
      <x:c r="K235" s="244" t="n">
        <x:f>IF($A235="","",--AND(B235&gt;0,C235&lt;0))</x:f>
        <x:v>0</x:v>
      </x:c>
      <x:c r="L235" s="244" t="n">
        <x:f>IF($A235="","",COUNTIF('02_ツリー'!$E$5:$E$560,$A235))</x:f>
        <x:v>1</x:v>
      </x:c>
      <x:c r="M235" s="244" t="n">
        <x:f>IF($A235="","",--(LEFT(A235,7)="Enable_"))</x:f>
        <x:v>0</x:v>
      </x:c>
      <x:c r="N235" s="12"/>
      <x:c r="O235" s="12"/>
      <x:c r="P235" s="12"/>
      <x:c r="Q235" s="12"/>
      <x:c r="R235" s="12"/>
      <x:c r="S235" s="12"/>
      <x:c r="T235" s="12"/>
      <x:c r="U235" s="12"/>
      <x:c r="V235" s="12"/>
      <x:c r="W235" s="12"/>
      <x:c r="X235" s="12"/>
      <x:c r="Y235" s="12"/>
    </x:row>
    <x:row r="236">
      <x:c r="A236" s="12" t="str">
        <x:f>IFERROR(INDEX('02_ツリー'!$E$5:$E$560,MATCH(ROWS($A$11:A236),'02_ツリー'!$R$5:$R$560,0)),"")</x:f>
        <x:v>m_harness</x:v>
      </x:c>
      <x:c r="B236" s="48" t="n">
        <x:f>IF($A236="","",SUMIFS('02_ツリー'!$K$5:$K$560,'02_ツリー'!$E$5:$E$560,$A236,'02_ツリー'!$K$5:$K$560,"&gt;0"))</x:f>
        <x:v>0.022351765568332654</x:v>
      </x:c>
      <x:c r="C236" s="48" t="n">
        <x:f>IF($A236="","",SUMIFS('02_ツリー'!$K$5:$K$560,'02_ツリー'!$E$5:$E$560,$A236,'02_ツリー'!$K$5:$K$560,"&lt;0"))</x:f>
        <x:v>0</x:v>
      </x:c>
      <x:c r="D236" s="48" t="n">
        <x:f>IF($A236="","",B236+C236)</x:f>
        <x:v>0.022351765568332654</x:v>
      </x:c>
      <x:c r="E236" s="48" t="n">
        <x:f>IF($A236="","",B236-C236)</x:f>
        <x:v>0.022351765568332654</x:v>
      </x:c>
      <x:c r="F236" s="48" t="n">
        <x:f>IF($A236="","",SUMIFS('02_ツリー'!$H$5:$H$560,'02_ツリー'!$E$5:$E$560,$A236,'02_ツリー'!$K$5:$K$560,"&gt;0"))</x:f>
        <x:v>0.2</x:v>
      </x:c>
      <x:c r="G236" s="48" t="n">
        <x:f>IF($A236="","",-SUMIFS('02_ツリー'!$H$5:$H$560,'02_ツリー'!$E$5:$E$560,$A236,'02_ツリー'!$K$5:$K$560,"&lt;0"))</x:f>
        <x:v>0</x:v>
      </x:c>
      <x:c r="H236" s="48" t="n">
        <x:f>IF($A236="","",F236+G236)</x:f>
        <x:v>0.2</x:v>
      </x:c>
      <x:c r="I236" s="244" t="n">
        <x:f>IF($A236="","",--(COUNTIFS('02_ツリー'!$E$5:$E$560,$A236,'02_ツリー'!$O$5:$O$560,0)=0))</x:f>
        <x:v>1</x:v>
      </x:c>
      <x:c r="J236" s="12" t="str">
        <x:f>IF($A236="","",IF(AND(B236&gt;0,C236&lt;0),"正負あり",IF(B236&gt;0,"正のみ",IF(C236&lt;0,"負のみ","ゼロ"))))</x:f>
        <x:v>正のみ</x:v>
      </x:c>
      <x:c r="K236" s="244" t="n">
        <x:f>IF($A236="","",--AND(B236&gt;0,C236&lt;0))</x:f>
        <x:v>0</x:v>
      </x:c>
      <x:c r="L236" s="244" t="n">
        <x:f>IF($A236="","",COUNTIF('02_ツリー'!$E$5:$E$560,$A236))</x:f>
        <x:v>1</x:v>
      </x:c>
      <x:c r="M236" s="244" t="n">
        <x:f>IF($A236="","",--(LEFT(A236,7)="Enable_"))</x:f>
        <x:v>0</x:v>
      </x:c>
      <x:c r="N236" s="12"/>
      <x:c r="O236" s="12"/>
      <x:c r="P236" s="12"/>
      <x:c r="Q236" s="12"/>
      <x:c r="R236" s="12"/>
      <x:c r="S236" s="12"/>
      <x:c r="T236" s="12"/>
      <x:c r="U236" s="12"/>
      <x:c r="V236" s="12"/>
      <x:c r="W236" s="12"/>
      <x:c r="X236" s="12"/>
      <x:c r="Y236" s="12"/>
    </x:row>
    <x:row r="237">
      <x:c r="A237" s="12" t="str">
        <x:f>IFERROR(INDEX('02_ツリー'!$E$5:$E$560,MATCH(ROWS($A$11:A237),'02_ツリー'!$R$5:$R$560,0)),"")</x:f>
        <x:v>k_gate_sw</x:v>
      </x:c>
      <x:c r="B237" s="48" t="n">
        <x:f>IF($A237="","",SUMIFS('02_ツリー'!$K$5:$K$560,'02_ツリー'!$E$5:$E$560,$A237,'02_ツリー'!$K$5:$K$560,"&gt;0"))</x:f>
        <x:v>0.007515582271838901</x:v>
      </x:c>
      <x:c r="C237" s="48" t="n">
        <x:f>IF($A237="","",SUMIFS('02_ツリー'!$K$5:$K$560,'02_ツリー'!$E$5:$E$560,$A237,'02_ツリー'!$K$5:$K$560,"&lt;0"))</x:f>
        <x:v>0</x:v>
      </x:c>
      <x:c r="D237" s="48" t="n">
        <x:f>IF($A237="","",B237+C237)</x:f>
        <x:v>0.007515582271838901</x:v>
      </x:c>
      <x:c r="E237" s="48" t="n">
        <x:f>IF($A237="","",B237-C237)</x:f>
        <x:v>0.007515582271838901</x:v>
      </x:c>
      <x:c r="F237" s="48" t="n">
        <x:f>IF($A237="","",SUMIFS('02_ツリー'!$H$5:$H$560,'02_ツリー'!$E$5:$E$560,$A237,'02_ツリー'!$K$5:$K$560,"&gt;0"))</x:f>
        <x:v>0.06724822027023014</x:v>
      </x:c>
      <x:c r="G237" s="48" t="n">
        <x:f>IF($A237="","",-SUMIFS('02_ツリー'!$H$5:$H$560,'02_ツリー'!$E$5:$E$560,$A237,'02_ツリー'!$K$5:$K$560,"&lt;0"))</x:f>
        <x:v>0</x:v>
      </x:c>
      <x:c r="H237" s="48" t="n">
        <x:f>IF($A237="","",F237+G237)</x:f>
        <x:v>0.06724822027023014</x:v>
      </x:c>
      <x:c r="I237" s="244" t="n">
        <x:f>IF($A237="","",--(COUNTIFS('02_ツリー'!$E$5:$E$560,$A237,'02_ツリー'!$O$5:$O$560,0)=0))</x:f>
        <x:v>0</x:v>
      </x:c>
      <x:c r="J237" s="12" t="str">
        <x:f>IF($A237="","",IF(AND(B237&gt;0,C237&lt;0),"正負あり",IF(B237&gt;0,"正のみ",IF(C237&lt;0,"負のみ","ゼロ"))))</x:f>
        <x:v>正のみ</x:v>
      </x:c>
      <x:c r="K237" s="244" t="n">
        <x:f>IF($A237="","",--AND(B237&gt;0,C237&lt;0))</x:f>
        <x:v>0</x:v>
      </x:c>
      <x:c r="L237" s="244" t="n">
        <x:f>IF($A237="","",COUNTIF('02_ツリー'!$E$5:$E$560,$A237))</x:f>
        <x:v>1</x:v>
      </x:c>
      <x:c r="M237" s="244" t="n">
        <x:f>IF($A237="","",--(LEFT(A237,7)="Enable_"))</x:f>
        <x:v>0</x:v>
      </x:c>
      <x:c r="N237" s="12"/>
      <x:c r="O237" s="12"/>
      <x:c r="P237" s="12"/>
      <x:c r="Q237" s="12"/>
      <x:c r="R237" s="12"/>
      <x:c r="S237" s="12"/>
      <x:c r="T237" s="12"/>
      <x:c r="U237" s="12"/>
      <x:c r="V237" s="12"/>
      <x:c r="W237" s="12"/>
      <x:c r="X237" s="12"/>
      <x:c r="Y237" s="12"/>
    </x:row>
    <x:row r="238">
      <x:c r="A238" s="12" t="str">
        <x:f>IFERROR(INDEX('02_ツリー'!$E$5:$E$560,MATCH(ROWS($A$11:A238),'02_ツリー'!$R$5:$R$560,0)),"")</x:f>
        <x:v>t_sw_eff</x:v>
      </x:c>
      <x:c r="B238" s="48" t="n">
        <x:f>IF($A238="","",SUMIFS('02_ツリー'!$K$5:$K$560,'02_ツリー'!$E$5:$E$560,$A238,'02_ツリー'!$K$5:$K$560,"&gt;0"))</x:f>
        <x:v>0.007515582271838901</x:v>
      </x:c>
      <x:c r="C238" s="48" t="n">
        <x:f>IF($A238="","",SUMIFS('02_ツリー'!$K$5:$K$560,'02_ツリー'!$E$5:$E$560,$A238,'02_ツリー'!$K$5:$K$560,"&lt;0"))</x:f>
        <x:v>0</x:v>
      </x:c>
      <x:c r="D238" s="48" t="n">
        <x:f>IF($A238="","",B238+C238)</x:f>
        <x:v>0.007515582271838901</x:v>
      </x:c>
      <x:c r="E238" s="48" t="n">
        <x:f>IF($A238="","",B238-C238)</x:f>
        <x:v>0.007515582271838901</x:v>
      </x:c>
      <x:c r="F238" s="48" t="n">
        <x:f>IF($A238="","",SUMIFS('02_ツリー'!$H$5:$H$560,'02_ツリー'!$E$5:$E$560,$A238,'02_ツリー'!$K$5:$K$560,"&gt;0"))</x:f>
        <x:v>0.06724822027023014</x:v>
      </x:c>
      <x:c r="G238" s="48" t="n">
        <x:f>IF($A238="","",-SUMIFS('02_ツリー'!$H$5:$H$560,'02_ツリー'!$E$5:$E$560,$A238,'02_ツリー'!$K$5:$K$560,"&lt;0"))</x:f>
        <x:v>0</x:v>
      </x:c>
      <x:c r="H238" s="48" t="n">
        <x:f>IF($A238="","",F238+G238)</x:f>
        <x:v>0.06724822027023014</x:v>
      </x:c>
      <x:c r="I238" s="244" t="n">
        <x:f>IF($A238="","",--(COUNTIFS('02_ツリー'!$E$5:$E$560,$A238,'02_ツリー'!$O$5:$O$560,0)=0))</x:f>
        <x:v>0</x:v>
      </x:c>
      <x:c r="J238" s="12" t="str">
        <x:f>IF($A238="","",IF(AND(B238&gt;0,C238&lt;0),"正負あり",IF(B238&gt;0,"正のみ",IF(C238&lt;0,"負のみ","ゼロ"))))</x:f>
        <x:v>正のみ</x:v>
      </x:c>
      <x:c r="K238" s="244" t="n">
        <x:f>IF($A238="","",--AND(B238&gt;0,C238&lt;0))</x:f>
        <x:v>0</x:v>
      </x:c>
      <x:c r="L238" s="244" t="n">
        <x:f>IF($A238="","",COUNTIF('02_ツリー'!$E$5:$E$560,$A238))</x:f>
        <x:v>1</x:v>
      </x:c>
      <x:c r="M238" s="244" t="n">
        <x:f>IF($A238="","",--(LEFT(A238,7)="Enable_"))</x:f>
        <x:v>0</x:v>
      </x:c>
      <x:c r="N238" s="12"/>
      <x:c r="O238" s="12"/>
      <x:c r="P238" s="12"/>
      <x:c r="Q238" s="12"/>
      <x:c r="R238" s="12"/>
      <x:c r="S238" s="12"/>
      <x:c r="T238" s="12"/>
      <x:c r="U238" s="12"/>
      <x:c r="V238" s="12"/>
      <x:c r="W238" s="12"/>
      <x:c r="X238" s="12"/>
      <x:c r="Y238" s="12"/>
    </x:row>
    <x:row r="239">
      <x:c r="A239" s="12" t="str">
        <x:f>IFERROR(INDEX('02_ツリー'!$E$5:$E$560,MATCH(ROWS($A$11:A239),'02_ツリー'!$R$5:$R$560,0)),"")</x:f>
        <x:v>t_on</x:v>
      </x:c>
      <x:c r="B239" s="48" t="n">
        <x:f>IF($A239="","",SUMIFS('02_ツリー'!$K$5:$K$560,'02_ツリー'!$E$5:$E$560,$A239,'02_ツリー'!$K$5:$K$560,"&gt;0"))</x:f>
        <x:v>0.0037577911359194505</x:v>
      </x:c>
      <x:c r="C239" s="48" t="n">
        <x:f>IF($A239="","",SUMIFS('02_ツリー'!$K$5:$K$560,'02_ツリー'!$E$5:$E$560,$A239,'02_ツリー'!$K$5:$K$560,"&lt;0"))</x:f>
        <x:v>-0.006258494359133143</x:v>
      </x:c>
      <x:c r="D239" s="48" t="n">
        <x:f>IF($A239="","",B239+C239)</x:f>
        <x:v>-0.0025007032232136927</x:v>
      </x:c>
      <x:c r="E239" s="48" t="n">
        <x:f>IF($A239="","",B239-C239)</x:f>
        <x:v>0.010016285495052594</x:v>
      </x:c>
      <x:c r="F239" s="48" t="n">
        <x:f>IF($A239="","",SUMIFS('02_ツリー'!$H$5:$H$560,'02_ツリー'!$E$5:$E$560,$A239,'02_ツリー'!$K$5:$K$560,"&gt;0"))</x:f>
        <x:v>0.03362411013511507</x:v>
      </x:c>
      <x:c r="G239" s="48" t="n">
        <x:f>IF($A239="","",-SUMIFS('02_ツリー'!$H$5:$H$560,'02_ツリー'!$E$5:$E$560,$A239,'02_ツリー'!$K$5:$K$560,"&lt;0"))</x:f>
        <x:v>-0.056</x:v>
      </x:c>
      <x:c r="H239" s="48" t="n">
        <x:f>IF($A239="","",F239+G239)</x:f>
        <x:v>-0.02237588986488493</x:v>
      </x:c>
      <x:c r="I239" s="244" t="n">
        <x:f>IF($A239="","",--(COUNTIFS('02_ツリー'!$E$5:$E$560,$A239,'02_ツリー'!$O$5:$O$560,0)=0))</x:f>
        <x:v>0</x:v>
      </x:c>
      <x:c r="J239" s="12" t="str">
        <x:f>IF($A239="","",IF(AND(B239&gt;0,C239&lt;0),"正負あり",IF(B239&gt;0,"正のみ",IF(C239&lt;0,"負のみ","ゼロ"))))</x:f>
        <x:v>正負あり</x:v>
      </x:c>
      <x:c r="K239" s="244" t="n">
        <x:f>IF($A239="","",--AND(B239&gt;0,C239&lt;0))</x:f>
        <x:v>1</x:v>
      </x:c>
      <x:c r="L239" s="244" t="n">
        <x:f>IF($A239="","",COUNTIF('02_ツリー'!$E$5:$E$560,$A239))</x:f>
        <x:v>2</x:v>
      </x:c>
      <x:c r="M239" s="244" t="n">
        <x:f>IF($A239="","",--(LEFT(A239,7)="Enable_"))</x:f>
        <x:v>0</x:v>
      </x:c>
      <x:c r="N239" s="12"/>
      <x:c r="O239" s="12"/>
      <x:c r="P239" s="12"/>
      <x:c r="Q239" s="12"/>
      <x:c r="R239" s="12"/>
      <x:c r="S239" s="12"/>
      <x:c r="T239" s="12"/>
      <x:c r="U239" s="12"/>
      <x:c r="V239" s="12"/>
      <x:c r="W239" s="12"/>
      <x:c r="X239" s="12"/>
      <x:c r="Y239" s="12"/>
    </x:row>
    <x:row r="240">
      <x:c r="A240" s="12" t="str">
        <x:f>IFERROR(INDEX('02_ツリー'!$E$5:$E$560,MATCH(ROWS($A$11:A240),'02_ツリー'!$R$5:$R$560,0)),"")</x:f>
        <x:v>R_g_on</x:v>
      </x:c>
      <x:c r="B240" s="48" t="n">
        <x:f>IF($A240="","",SUMIFS('02_ツリー'!$K$5:$K$560,'02_ツリー'!$E$5:$E$560,$A240,'02_ツリー'!$K$5:$K$560,"&gt;0"))</x:f>
        <x:v>0.0037577911359194505</x:v>
      </x:c>
      <x:c r="C240" s="48" t="n">
        <x:f>IF($A240="","",SUMIFS('02_ツリー'!$K$5:$K$560,'02_ツリー'!$E$5:$E$560,$A240,'02_ツリー'!$K$5:$K$560,"&lt;0"))</x:f>
        <x:v>-0.006258494359133143</x:v>
      </x:c>
      <x:c r="D240" s="48" t="n">
        <x:f>IF($A240="","",B240+C240)</x:f>
        <x:v>-0.0025007032232136927</x:v>
      </x:c>
      <x:c r="E240" s="48" t="n">
        <x:f>IF($A240="","",B240-C240)</x:f>
        <x:v>0.010016285495052594</x:v>
      </x:c>
      <x:c r="F240" s="48" t="n">
        <x:f>IF($A240="","",SUMIFS('02_ツリー'!$H$5:$H$560,'02_ツリー'!$E$5:$E$560,$A240,'02_ツリー'!$K$5:$K$560,"&gt;0"))</x:f>
        <x:v>0.03362411013511507</x:v>
      </x:c>
      <x:c r="G240" s="48" t="n">
        <x:f>IF($A240="","",-SUMIFS('02_ツリー'!$H$5:$H$560,'02_ツリー'!$E$5:$E$560,$A240,'02_ツリー'!$K$5:$K$560,"&lt;0"))</x:f>
        <x:v>-0.056</x:v>
      </x:c>
      <x:c r="H240" s="48" t="n">
        <x:f>IF($A240="","",F240+G240)</x:f>
        <x:v>-0.02237588986488493</x:v>
      </x:c>
      <x:c r="I240" s="244" t="n">
        <x:f>IF($A240="","",--(COUNTIFS('02_ツリー'!$E$5:$E$560,$A240,'02_ツリー'!$O$5:$O$560,0)=0))</x:f>
        <x:v>1</x:v>
      </x:c>
      <x:c r="J240" s="12" t="str">
        <x:f>IF($A240="","",IF(AND(B240&gt;0,C240&lt;0),"正負あり",IF(B240&gt;0,"正のみ",IF(C240&lt;0,"負のみ","ゼロ"))))</x:f>
        <x:v>正負あり</x:v>
      </x:c>
      <x:c r="K240" s="244" t="n">
        <x:f>IF($A240="","",--AND(B240&gt;0,C240&lt;0))</x:f>
        <x:v>1</x:v>
      </x:c>
      <x:c r="L240" s="244" t="n">
        <x:f>IF($A240="","",COUNTIF('02_ツリー'!$E$5:$E$560,$A240))</x:f>
        <x:v>2</x:v>
      </x:c>
      <x:c r="M240" s="244" t="n">
        <x:f>IF($A240="","",--(LEFT(A240,7)="Enable_"))</x:f>
        <x:v>0</x:v>
      </x:c>
      <x:c r="N240" s="12"/>
      <x:c r="O240" s="12"/>
      <x:c r="P240" s="12"/>
      <x:c r="Q240" s="12"/>
      <x:c r="R240" s="12"/>
      <x:c r="S240" s="12"/>
      <x:c r="T240" s="12"/>
      <x:c r="U240" s="12"/>
      <x:c r="V240" s="12"/>
      <x:c r="W240" s="12"/>
      <x:c r="X240" s="12"/>
      <x:c r="Y240" s="12"/>
    </x:row>
    <x:row r="241">
      <x:c r="A241" s="12" t="str">
        <x:f>IFERROR(INDEX('02_ツリー'!$E$5:$E$560,MATCH(ROWS($A$11:A241),'02_ツリー'!$R$5:$R$560,0)),"")</x:f>
        <x:v>t_on_ref</x:v>
      </x:c>
      <x:c r="B241" s="48" t="n">
        <x:f>IF($A241="","",SUMIFS('02_ツリー'!$K$5:$K$560,'02_ツリー'!$E$5:$E$560,$A241,'02_ツリー'!$K$5:$K$560,"&gt;0"))</x:f>
        <x:v>0.0037577911359194505</x:v>
      </x:c>
      <x:c r="C241" s="48" t="n">
        <x:f>IF($A241="","",SUMIFS('02_ツリー'!$K$5:$K$560,'02_ツリー'!$E$5:$E$560,$A241,'02_ツリー'!$K$5:$K$560,"&lt;0"))</x:f>
        <x:v>0</x:v>
      </x:c>
      <x:c r="D241" s="48" t="n">
        <x:f>IF($A241="","",B241+C241)</x:f>
        <x:v>0.0037577911359194505</x:v>
      </x:c>
      <x:c r="E241" s="48" t="n">
        <x:f>IF($A241="","",B241-C241)</x:f>
        <x:v>0.0037577911359194505</x:v>
      </x:c>
      <x:c r="F241" s="48" t="n">
        <x:f>IF($A241="","",SUMIFS('02_ツリー'!$H$5:$H$560,'02_ツリー'!$E$5:$E$560,$A241,'02_ツリー'!$K$5:$K$560,"&gt;0"))</x:f>
        <x:v>0.03362411013511507</x:v>
      </x:c>
      <x:c r="G241" s="48" t="n">
        <x:f>IF($A241="","",-SUMIFS('02_ツリー'!$H$5:$H$560,'02_ツリー'!$E$5:$E$560,$A241,'02_ツリー'!$K$5:$K$560,"&lt;0"))</x:f>
        <x:v>0</x:v>
      </x:c>
      <x:c r="H241" s="48" t="n">
        <x:f>IF($A241="","",F241+G241)</x:f>
        <x:v>0.03362411013511507</x:v>
      </x:c>
      <x:c r="I241" s="244" t="n">
        <x:f>IF($A241="","",--(COUNTIFS('02_ツリー'!$E$5:$E$560,$A241,'02_ツリー'!$O$5:$O$560,0)=0))</x:f>
        <x:v>1</x:v>
      </x:c>
      <x:c r="J241" s="12" t="str">
        <x:f>IF($A241="","",IF(AND(B241&gt;0,C241&lt;0),"正負あり",IF(B241&gt;0,"正のみ",IF(C241&lt;0,"負のみ","ゼロ"))))</x:f>
        <x:v>正のみ</x:v>
      </x:c>
      <x:c r="K241" s="244" t="n">
        <x:f>IF($A241="","",--AND(B241&gt;0,C241&lt;0))</x:f>
        <x:v>0</x:v>
      </x:c>
      <x:c r="L241" s="244" t="n">
        <x:f>IF($A241="","",COUNTIF('02_ツリー'!$E$5:$E$560,$A241))</x:f>
        <x:v>1</x:v>
      </x:c>
      <x:c r="M241" s="244" t="n">
        <x:f>IF($A241="","",--(LEFT(A241,7)="Enable_"))</x:f>
        <x:v>0</x:v>
      </x:c>
      <x:c r="N241" s="12"/>
      <x:c r="O241" s="12"/>
      <x:c r="P241" s="12"/>
      <x:c r="Q241" s="12"/>
      <x:c r="R241" s="12"/>
      <x:c r="S241" s="12"/>
      <x:c r="T241" s="12"/>
      <x:c r="U241" s="12"/>
      <x:c r="V241" s="12"/>
      <x:c r="W241" s="12"/>
      <x:c r="X241" s="12"/>
      <x:c r="Y241" s="12"/>
    </x:row>
    <x:row r="242">
      <x:c r="A242" s="12" t="str">
        <x:f>IFERROR(INDEX('02_ツリー'!$E$5:$E$560,MATCH(ROWS($A$11:A242),'02_ツリー'!$R$5:$R$560,0)),"")</x:f>
        <x:v>t_off</x:v>
      </x:c>
      <x:c r="B242" s="48" t="n">
        <x:f>IF($A242="","",SUMIFS('02_ツリー'!$K$5:$K$560,'02_ツリー'!$E$5:$E$560,$A242,'02_ツリー'!$K$5:$K$560,"&gt;0"))</x:f>
        <x:v>0.0038758485991744886</x:v>
      </x:c>
      <x:c r="C242" s="48" t="n">
        <x:f>IF($A242="","",SUMIFS('02_ツリー'!$K$5:$K$560,'02_ツリー'!$E$5:$E$560,$A242,'02_ツリー'!$K$5:$K$560,"&lt;0"))</x:f>
        <x:v>-0.000006188236369318812</x:v>
      </x:c>
      <x:c r="D242" s="48" t="n">
        <x:f>IF($A242="","",B242+C242)</x:f>
        <x:v>0.0038696603628051696</x:v>
      </x:c>
      <x:c r="E242" s="48" t="n">
        <x:f>IF($A242="","",B242-C242)</x:f>
        <x:v>0.0038820368355438075</x:v>
      </x:c>
      <x:c r="F242" s="48" t="n">
        <x:f>IF($A242="","",SUMIFS('02_ツリー'!$H$5:$H$560,'02_ツリー'!$E$5:$E$560,$A242,'02_ツリー'!$K$5:$K$560,"&gt;0"))</x:f>
        <x:v>0.0346804693108063</x:v>
      </x:c>
      <x:c r="G242" s="48" t="n">
        <x:f>IF($A242="","",-SUMIFS('02_ツリー'!$H$5:$H$560,'02_ツリー'!$E$5:$E$560,$A242,'02_ツリー'!$K$5:$K$560,"&lt;0"))</x:f>
        <x:v>-0.00005537134281764417</x:v>
      </x:c>
      <x:c r="H242" s="48" t="n">
        <x:f>IF($A242="","",F242+G242)</x:f>
        <x:v>0.03462509796798866</x:v>
      </x:c>
      <x:c r="I242" s="244" t="n">
        <x:f>IF($A242="","",--(COUNTIFS('02_ツリー'!$E$5:$E$560,$A242,'02_ツリー'!$O$5:$O$560,0)=0))</x:f>
        <x:v>0</x:v>
      </x:c>
      <x:c r="J242" s="12" t="str">
        <x:f>IF($A242="","",IF(AND(B242&gt;0,C242&lt;0),"正負あり",IF(B242&gt;0,"正のみ",IF(C242&lt;0,"負のみ","ゼロ"))))</x:f>
        <x:v>正負あり</x:v>
      </x:c>
      <x:c r="K242" s="244" t="n">
        <x:f>IF($A242="","",--AND(B242&gt;0,C242&lt;0))</x:f>
        <x:v>1</x:v>
      </x:c>
      <x:c r="L242" s="244" t="n">
        <x:f>IF($A242="","",COUNTIF('02_ツリー'!$E$5:$E$560,$A242))</x:f>
        <x:v>4</x:v>
      </x:c>
      <x:c r="M242" s="244" t="n">
        <x:f>IF($A242="","",--(LEFT(A242,7)="Enable_"))</x:f>
        <x:v>0</x:v>
      </x:c>
      <x:c r="N242" s="12"/>
      <x:c r="O242" s="12"/>
      <x:c r="P242" s="12"/>
      <x:c r="Q242" s="12"/>
      <x:c r="R242" s="12"/>
      <x:c r="S242" s="12"/>
      <x:c r="T242" s="12"/>
      <x:c r="U242" s="12"/>
      <x:c r="V242" s="12"/>
      <x:c r="W242" s="12"/>
      <x:c r="X242" s="12"/>
      <x:c r="Y242" s="12"/>
    </x:row>
    <x:row r="243">
      <x:c r="A243" s="12" t="str">
        <x:f>IFERROR(INDEX('02_ツリー'!$E$5:$E$560,MATCH(ROWS($A$11:A243),'02_ツリー'!$R$5:$R$560,0)),"")</x:f>
        <x:v>R_g_off</x:v>
      </x:c>
      <x:c r="B243" s="48" t="n">
        <x:f>IF($A243="","",SUMIFS('02_ツリー'!$K$5:$K$560,'02_ツリー'!$E$5:$E$560,$A243,'02_ツリー'!$K$5:$K$560,"&gt;0"))</x:f>
        <x:v>0.0037577911359194505</x:v>
      </x:c>
      <x:c r="C243" s="48" t="n">
        <x:f>IF($A243="","",SUMIFS('02_ツリー'!$K$5:$K$560,'02_ツリー'!$E$5:$E$560,$A243,'02_ツリー'!$K$5:$K$560,"&lt;0"))</x:f>
        <x:v>0</x:v>
      </x:c>
      <x:c r="D243" s="48" t="n">
        <x:f>IF($A243="","",B243+C243)</x:f>
        <x:v>0.0037577911359194505</x:v>
      </x:c>
      <x:c r="E243" s="48" t="n">
        <x:f>IF($A243="","",B243-C243)</x:f>
        <x:v>0.0037577911359194505</x:v>
      </x:c>
      <x:c r="F243" s="48" t="n">
        <x:f>IF($A243="","",SUMIFS('02_ツリー'!$H$5:$H$560,'02_ツリー'!$E$5:$E$560,$A243,'02_ツリー'!$K$5:$K$560,"&gt;0"))</x:f>
        <x:v>0.03362411013511507</x:v>
      </x:c>
      <x:c r="G243" s="48" t="n">
        <x:f>IF($A243="","",-SUMIFS('02_ツリー'!$H$5:$H$560,'02_ツリー'!$E$5:$E$560,$A243,'02_ツリー'!$K$5:$K$560,"&lt;0"))</x:f>
        <x:v>0</x:v>
      </x:c>
      <x:c r="H243" s="48" t="n">
        <x:f>IF($A243="","",F243+G243)</x:f>
        <x:v>0.03362411013511507</x:v>
      </x:c>
      <x:c r="I243" s="244" t="n">
        <x:f>IF($A243="","",--(COUNTIFS('02_ツリー'!$E$5:$E$560,$A243,'02_ツリー'!$O$5:$O$560,0)=0))</x:f>
        <x:v>1</x:v>
      </x:c>
      <x:c r="J243" s="12" t="str">
        <x:f>IF($A243="","",IF(AND(B243&gt;0,C243&lt;0),"正負あり",IF(B243&gt;0,"正のみ",IF(C243&lt;0,"負のみ","ゼロ"))))</x:f>
        <x:v>正のみ</x:v>
      </x:c>
      <x:c r="K243" s="244" t="n">
        <x:f>IF($A243="","",--AND(B243&gt;0,C243&lt;0))</x:f>
        <x:v>0</x:v>
      </x:c>
      <x:c r="L243" s="244" t="n">
        <x:f>IF($A243="","",COUNTIF('02_ツリー'!$E$5:$E$560,$A243))</x:f>
        <x:v>1</x:v>
      </x:c>
      <x:c r="M243" s="244" t="n">
        <x:f>IF($A243="","",--(LEFT(A243,7)="Enable_"))</x:f>
        <x:v>0</x:v>
      </x:c>
      <x:c r="N243" s="12"/>
      <x:c r="O243" s="12"/>
      <x:c r="P243" s="12"/>
      <x:c r="Q243" s="12"/>
      <x:c r="R243" s="12"/>
      <x:c r="S243" s="12"/>
      <x:c r="T243" s="12"/>
      <x:c r="U243" s="12"/>
      <x:c r="V243" s="12"/>
      <x:c r="W243" s="12"/>
      <x:c r="X243" s="12"/>
      <x:c r="Y243" s="12"/>
    </x:row>
    <x:row r="244">
      <x:c r="A244" s="12" t="str">
        <x:f>IFERROR(INDEX('02_ツリー'!$E$5:$E$560,MATCH(ROWS($A$11:A244),'02_ツリー'!$R$5:$R$560,0)),"")</x:f>
        <x:v>t_off_ref</x:v>
      </x:c>
      <x:c r="B244" s="48" t="n">
        <x:f>IF($A244="","",SUMIFS('02_ツリー'!$K$5:$K$560,'02_ツリー'!$E$5:$E$560,$A244,'02_ツリー'!$K$5:$K$560,"&gt;0"))</x:f>
        <x:v>0.0037577911359194505</x:v>
      </x:c>
      <x:c r="C244" s="48" t="n">
        <x:f>IF($A244="","",SUMIFS('02_ツリー'!$K$5:$K$560,'02_ツリー'!$E$5:$E$560,$A244,'02_ツリー'!$K$5:$K$560,"&lt;0"))</x:f>
        <x:v>0</x:v>
      </x:c>
      <x:c r="D244" s="48" t="n">
        <x:f>IF($A244="","",B244+C244)</x:f>
        <x:v>0.0037577911359194505</x:v>
      </x:c>
      <x:c r="E244" s="48" t="n">
        <x:f>IF($A244="","",B244-C244)</x:f>
        <x:v>0.0037577911359194505</x:v>
      </x:c>
      <x:c r="F244" s="48" t="n">
        <x:f>IF($A244="","",SUMIFS('02_ツリー'!$H$5:$H$560,'02_ツリー'!$E$5:$E$560,$A244,'02_ツリー'!$K$5:$K$560,"&gt;0"))</x:f>
        <x:v>0.03362411013511507</x:v>
      </x:c>
      <x:c r="G244" s="48" t="n">
        <x:f>IF($A244="","",-SUMIFS('02_ツリー'!$H$5:$H$560,'02_ツリー'!$E$5:$E$560,$A244,'02_ツリー'!$K$5:$K$560,"&lt;0"))</x:f>
        <x:v>0</x:v>
      </x:c>
      <x:c r="H244" s="48" t="n">
        <x:f>IF($A244="","",F244+G244)</x:f>
        <x:v>0.03362411013511507</x:v>
      </x:c>
      <x:c r="I244" s="244" t="n">
        <x:f>IF($A244="","",--(COUNTIFS('02_ツリー'!$E$5:$E$560,$A244,'02_ツリー'!$O$5:$O$560,0)=0))</x:f>
        <x:v>1</x:v>
      </x:c>
      <x:c r="J244" s="12" t="str">
        <x:f>IF($A244="","",IF(AND(B244&gt;0,C244&lt;0),"正負あり",IF(B244&gt;0,"正のみ",IF(C244&lt;0,"負のみ","ゼロ"))))</x:f>
        <x:v>正のみ</x:v>
      </x:c>
      <x:c r="K244" s="244" t="n">
        <x:f>IF($A244="","",--AND(B244&gt;0,C244&lt;0))</x:f>
        <x:v>0</x:v>
      </x:c>
      <x:c r="L244" s="244" t="n">
        <x:f>IF($A244="","",COUNTIF('02_ツリー'!$E$5:$E$560,$A244))</x:f>
        <x:v>1</x:v>
      </x:c>
      <x:c r="M244" s="244" t="n">
        <x:f>IF($A244="","",--(LEFT(A244,7)="Enable_"))</x:f>
        <x:v>0</x:v>
      </x:c>
      <x:c r="N244" s="12"/>
      <x:c r="O244" s="12"/>
      <x:c r="P244" s="12"/>
      <x:c r="Q244" s="12"/>
      <x:c r="R244" s="12"/>
      <x:c r="S244" s="12"/>
      <x:c r="T244" s="12"/>
      <x:c r="U244" s="12"/>
      <x:c r="V244" s="12"/>
      <x:c r="W244" s="12"/>
      <x:c r="X244" s="12"/>
      <x:c r="Y244" s="12"/>
    </x:row>
    <x:row r="245">
      <x:c r="A245" s="12" t="str">
        <x:f>IFERROR(INDEX('02_ツリー'!$E$5:$E$560,MATCH(ROWS($A$11:A245),'02_ツリー'!$R$5:$R$560,0)),"")</x:f>
        <x:v>R_g_ref</x:v>
      </x:c>
      <x:c r="B245" s="48" t="n">
        <x:f>IF($A245="","",SUMIFS('02_ツリー'!$K$5:$K$560,'02_ツリー'!$E$5:$E$560,$A245,'02_ツリー'!$K$5:$K$560,"&gt;0"))</x:f>
        <x:v>0</x:v>
      </x:c>
      <x:c r="C245" s="48" t="n">
        <x:f>IF($A245="","",SUMIFS('02_ツリー'!$K$5:$K$560,'02_ツリー'!$E$5:$E$560,$A245,'02_ツリー'!$K$5:$K$560,"&lt;0"))</x:f>
        <x:v>-0.007515582271838901</x:v>
      </x:c>
      <x:c r="D245" s="48" t="n">
        <x:f>IF($A245="","",B245+C245)</x:f>
        <x:v>-0.007515582271838901</x:v>
      </x:c>
      <x:c r="E245" s="48" t="n">
        <x:f>IF($A245="","",B245-C245)</x:f>
        <x:v>0.007515582271838901</x:v>
      </x:c>
      <x:c r="F245" s="48" t="n">
        <x:f>IF($A245="","",SUMIFS('02_ツリー'!$H$5:$H$560,'02_ツリー'!$E$5:$E$560,$A245,'02_ツリー'!$K$5:$K$560,"&gt;0"))</x:f>
        <x:v>0</x:v>
      </x:c>
      <x:c r="G245" s="48" t="n">
        <x:f>IF($A245="","",-SUMIFS('02_ツリー'!$H$5:$H$560,'02_ツリー'!$E$5:$E$560,$A245,'02_ツリー'!$K$5:$K$560,"&lt;0"))</x:f>
        <x:v>-0.06724822027023014</x:v>
      </x:c>
      <x:c r="H245" s="48" t="n">
        <x:f>IF($A245="","",F245+G245)</x:f>
        <x:v>-0.06724822027023014</x:v>
      </x:c>
      <x:c r="I245" s="244" t="n">
        <x:f>IF($A245="","",--(COUNTIFS('02_ツリー'!$E$5:$E$560,$A245,'02_ツリー'!$O$5:$O$560,0)=0))</x:f>
        <x:v>1</x:v>
      </x:c>
      <x:c r="J245" s="12" t="str">
        <x:f>IF($A245="","",IF(AND(B245&gt;0,C245&lt;0),"正負あり",IF(B245&gt;0,"正のみ",IF(C245&lt;0,"負のみ","ゼロ"))))</x:f>
        <x:v>負のみ</x:v>
      </x:c>
      <x:c r="K245" s="244" t="n">
        <x:f>IF($A245="","",--AND(B245&gt;0,C245&lt;0))</x:f>
        <x:v>0</x:v>
      </x:c>
      <x:c r="L245" s="244" t="n">
        <x:f>IF($A245="","",COUNTIF('02_ツリー'!$E$5:$E$560,$A245))</x:f>
        <x:v>1</x:v>
      </x:c>
      <x:c r="M245" s="244" t="n">
        <x:f>IF($A245="","",--(LEFT(A245,7)="Enable_"))</x:f>
        <x:v>0</x:v>
      </x:c>
      <x:c r="N245" s="12"/>
      <x:c r="O245" s="12"/>
      <x:c r="P245" s="12"/>
      <x:c r="Q245" s="12"/>
      <x:c r="R245" s="12"/>
      <x:c r="S245" s="12"/>
      <x:c r="T245" s="12"/>
      <x:c r="U245" s="12"/>
      <x:c r="V245" s="12"/>
      <x:c r="W245" s="12"/>
      <x:c r="X245" s="12"/>
      <x:c r="Y245" s="12"/>
    </x:row>
    <x:row r="246">
      <x:c r="A246" s="12" t="str">
        <x:f>IFERROR(INDEX('02_ツリー'!$E$5:$E$560,MATCH(ROWS($A$11:A246),'02_ツリー'!$R$5:$R$560,0)),"")</x:f>
        <x:v>k_split_eff</x:v>
      </x:c>
      <x:c r="B246" s="48" t="n">
        <x:f>IF($A246="","",SUMIFS('02_ツリー'!$K$5:$K$560,'02_ツリー'!$E$5:$E$560,$A246,'02_ツリー'!$K$5:$K$560,"&gt;0"))</x:f>
        <x:v>0.007515582271838901</x:v>
      </x:c>
      <x:c r="C246" s="48" t="n">
        <x:f>IF($A246="","",SUMIFS('02_ツリー'!$K$5:$K$560,'02_ツリー'!$E$5:$E$560,$A246,'02_ツリー'!$K$5:$K$560,"&lt;0"))</x:f>
        <x:v>0</x:v>
      </x:c>
      <x:c r="D246" s="48" t="n">
        <x:f>IF($A246="","",B246+C246)</x:f>
        <x:v>0.007515582271838901</x:v>
      </x:c>
      <x:c r="E246" s="48" t="n">
        <x:f>IF($A246="","",B246-C246)</x:f>
        <x:v>0.007515582271838901</x:v>
      </x:c>
      <x:c r="F246" s="48" t="n">
        <x:f>IF($A246="","",SUMIFS('02_ツリー'!$H$5:$H$560,'02_ツリー'!$E$5:$E$560,$A246,'02_ツリー'!$K$5:$K$560,"&gt;0"))</x:f>
        <x:v>0.06724822027023014</x:v>
      </x:c>
      <x:c r="G246" s="48" t="n">
        <x:f>IF($A246="","",-SUMIFS('02_ツリー'!$H$5:$H$560,'02_ツリー'!$E$5:$E$560,$A246,'02_ツリー'!$K$5:$K$560,"&lt;0"))</x:f>
        <x:v>0</x:v>
      </x:c>
      <x:c r="H246" s="48" t="n">
        <x:f>IF($A246="","",F246+G246)</x:f>
        <x:v>0.06724822027023014</x:v>
      </x:c>
      <x:c r="I246" s="244" t="n">
        <x:f>IF($A246="","",--(COUNTIFS('02_ツリー'!$E$5:$E$560,$A246,'02_ツリー'!$O$5:$O$560,0)=0))</x:f>
        <x:v>0</x:v>
      </x:c>
      <x:c r="J246" s="12" t="str">
        <x:f>IF($A246="","",IF(AND(B246&gt;0,C246&lt;0),"正負あり",IF(B246&gt;0,"正のみ",IF(C246&lt;0,"負のみ","ゼロ"))))</x:f>
        <x:v>正のみ</x:v>
      </x:c>
      <x:c r="K246" s="244" t="n">
        <x:f>IF($A246="","",--AND(B246&gt;0,C246&lt;0))</x:f>
        <x:v>0</x:v>
      </x:c>
      <x:c r="L246" s="244" t="n">
        <x:f>IF($A246="","",COUNTIF('02_ツリー'!$E$5:$E$560,$A246))</x:f>
        <x:v>1</x:v>
      </x:c>
      <x:c r="M246" s="244" t="n">
        <x:f>IF($A246="","",--(LEFT(A246,7)="Enable_"))</x:f>
        <x:v>0</x:v>
      </x:c>
      <x:c r="N246" s="12"/>
      <x:c r="O246" s="12"/>
      <x:c r="P246" s="12"/>
      <x:c r="Q246" s="12"/>
      <x:c r="R246" s="12"/>
      <x:c r="S246" s="12"/>
      <x:c r="T246" s="12"/>
      <x:c r="U246" s="12"/>
      <x:c r="V246" s="12"/>
      <x:c r="W246" s="12"/>
      <x:c r="X246" s="12"/>
      <x:c r="Y246" s="12"/>
    </x:row>
    <x:row r="247">
      <x:c r="A247" s="12" t="str">
        <x:f>IFERROR(INDEX('02_ツリー'!$E$5:$E$560,MATCH(ROWS($A$11:A247),'02_ツリー'!$R$5:$R$560,0)),"")</x:f>
        <x:v>Enable_split_Rg</x:v>
      </x:c>
      <x:c r="B247" s="48" t="n">
        <x:f>IF($A247="","",SUMIFS('02_ツリー'!$K$5:$K$560,'02_ツリー'!$E$5:$E$560,$A247,'02_ツリー'!$K$5:$K$560,"&gt;0"))</x:f>
        <x:v>0.0003352764835249898</x:v>
      </x:c>
      <x:c r="C247" s="48" t="n">
        <x:f>IF($A247="","",SUMIFS('02_ツリー'!$K$5:$K$560,'02_ツリー'!$E$5:$E$560,$A247,'02_ツリー'!$K$5:$K$560,"&lt;0"))</x:f>
        <x:v>-0.0007515582271838899</x:v>
      </x:c>
      <x:c r="D247" s="48" t="n">
        <x:f>IF($A247="","",B247+C247)</x:f>
        <x:v>-0.0004162817436589001</x:v>
      </x:c>
      <x:c r="E247" s="48" t="n">
        <x:f>IF($A247="","",B247-C247)</x:f>
        <x:v>0.0010868347107088798</x:v>
      </x:c>
      <x:c r="F247" s="48" t="n">
        <x:f>IF($A247="","",SUMIFS('02_ツリー'!$H$5:$H$560,'02_ツリー'!$E$5:$E$560,$A247,'02_ツリー'!$K$5:$K$560,"&gt;0"))</x:f>
        <x:v>0.003</x:v>
      </x:c>
      <x:c r="G247" s="48" t="n">
        <x:f>IF($A247="","",-SUMIFS('02_ツリー'!$H$5:$H$560,'02_ツリー'!$E$5:$E$560,$A247,'02_ツリー'!$K$5:$K$560,"&lt;0"))</x:f>
        <x:v>-0.006724822027023013</x:v>
      </x:c>
      <x:c r="H247" s="48" t="n">
        <x:f>IF($A247="","",F247+G247)</x:f>
        <x:v>-0.003724822027023013</x:v>
      </x:c>
      <x:c r="I247" s="244" t="n">
        <x:f>IF($A247="","",--(COUNTIFS('02_ツリー'!$E$5:$E$560,$A247,'02_ツリー'!$O$5:$O$560,0)=0))</x:f>
        <x:v>1</x:v>
      </x:c>
      <x:c r="J247" s="12" t="str">
        <x:f>IF($A247="","",IF(AND(B247&gt;0,C247&lt;0),"正負あり",IF(B247&gt;0,"正のみ",IF(C247&lt;0,"負のみ","ゼロ"))))</x:f>
        <x:v>正負あり</x:v>
      </x:c>
      <x:c r="K247" s="244" t="n">
        <x:f>IF($A247="","",--AND(B247&gt;0,C247&lt;0))</x:f>
        <x:v>1</x:v>
      </x:c>
      <x:c r="L247" s="244" t="n">
        <x:f>IF($A247="","",COUNTIF('02_ツリー'!$E$5:$E$560,$A247))</x:f>
        <x:v>2</x:v>
      </x:c>
      <x:c r="M247" s="244" t="n">
        <x:f>IF($A247="","",--(LEFT(A247,7)="Enable_"))</x:f>
        <x:v>1</x:v>
      </x:c>
      <x:c r="N247" s="12"/>
      <x:c r="O247" s="12"/>
      <x:c r="P247" s="12"/>
      <x:c r="Q247" s="12"/>
      <x:c r="R247" s="12"/>
      <x:c r="S247" s="12"/>
      <x:c r="T247" s="12"/>
      <x:c r="U247" s="12"/>
      <x:c r="V247" s="12"/>
      <x:c r="W247" s="12"/>
      <x:c r="X247" s="12"/>
      <x:c r="Y247" s="12"/>
    </x:row>
    <x:row r="248">
      <x:c r="A248" s="12" t="str">
        <x:f>IFERROR(INDEX('02_ツリー'!$E$5:$E$560,MATCH(ROWS($A$11:A248),'02_ツリー'!$R$5:$R$560,0)),"")</x:f>
        <x:v>k_split_sw</x:v>
      </x:c>
      <x:c r="B248" s="48" t="n">
        <x:f>IF($A248="","",SUMIFS('02_ツリー'!$K$5:$K$560,'02_ツリー'!$E$5:$E$560,$A248,'02_ツリー'!$K$5:$K$560,"&gt;0"))</x:f>
        <x:v>0</x:v>
      </x:c>
      <x:c r="C248" s="48" t="n">
        <x:f>IF($A248="","",SUMIFS('02_ツリー'!$K$5:$K$560,'02_ツリー'!$E$5:$E$560,$A248,'02_ツリー'!$K$5:$K$560,"&lt;0"))</x:f>
        <x:v>0</x:v>
      </x:c>
      <x:c r="D248" s="48" t="n">
        <x:f>IF($A248="","",B248+C248)</x:f>
        <x:v>0</x:v>
      </x:c>
      <x:c r="E248" s="48" t="n">
        <x:f>IF($A248="","",B248-C248)</x:f>
        <x:v>0</x:v>
      </x:c>
      <x:c r="F248" s="48" t="n">
        <x:f>IF($A248="","",SUMIFS('02_ツリー'!$H$5:$H$560,'02_ツリー'!$E$5:$E$560,$A248,'02_ツリー'!$K$5:$K$560,"&gt;0"))</x:f>
        <x:v>0</x:v>
      </x:c>
      <x:c r="G248" s="48" t="n">
        <x:f>IF($A248="","",-SUMIFS('02_ツリー'!$H$5:$H$560,'02_ツリー'!$E$5:$E$560,$A248,'02_ツリー'!$K$5:$K$560,"&lt;0"))</x:f>
        <x:v>0</x:v>
      </x:c>
      <x:c r="H248" s="48" t="n">
        <x:f>IF($A248="","",F248+G248)</x:f>
        <x:v>0</x:v>
      </x:c>
      <x:c r="I248" s="244" t="n">
        <x:f>IF($A248="","",--(COUNTIFS('02_ツリー'!$E$5:$E$560,$A248,'02_ツリー'!$O$5:$O$560,0)=0))</x:f>
        <x:v>1</x:v>
      </x:c>
      <x:c r="J248" s="12" t="str">
        <x:f>IF($A248="","",IF(AND(B248&gt;0,C248&lt;0),"正負あり",IF(B248&gt;0,"正のみ",IF(C248&lt;0,"負のみ","ゼロ"))))</x:f>
        <x:v>ゼロ</x:v>
      </x:c>
      <x:c r="K248" s="244" t="n">
        <x:f>IF($A248="","",--AND(B248&gt;0,C248&lt;0))</x:f>
        <x:v>0</x:v>
      </x:c>
      <x:c r="L248" s="244" t="n">
        <x:f>IF($A248="","",COUNTIF('02_ツリー'!$E$5:$E$560,$A248))</x:f>
        <x:v>1</x:v>
      </x:c>
      <x:c r="M248" s="244" t="n">
        <x:f>IF($A248="","",--(LEFT(A248,7)="Enable_"))</x:f>
        <x:v>0</x:v>
      </x:c>
      <x:c r="N248" s="12"/>
      <x:c r="O248" s="12"/>
      <x:c r="P248" s="12"/>
      <x:c r="Q248" s="12"/>
      <x:c r="R248" s="12"/>
      <x:c r="S248" s="12"/>
      <x:c r="T248" s="12"/>
      <x:c r="U248" s="12"/>
      <x:c r="V248" s="12"/>
      <x:c r="W248" s="12"/>
      <x:c r="X248" s="12"/>
      <x:c r="Y248" s="12"/>
    </x:row>
    <x:row r="249">
      <x:c r="A249" s="12" t="str">
        <x:f>IFERROR(INDEX('02_ツリー'!$E$5:$E$560,MATCH(ROWS($A$11:A249),'02_ツリー'!$R$5:$R$560,0)),"")</x:f>
        <x:v>M_slew_emi</x:v>
      </x:c>
      <x:c r="B249" s="48" t="n">
        <x:f>IF($A249="","",SUMIFS('02_ツリー'!$K$5:$K$560,'02_ツリー'!$E$5:$E$560,$A249,'02_ツリー'!$K$5:$K$560,"&gt;0"))</x:f>
        <x:v>0.008940706227333062</x:v>
      </x:c>
      <x:c r="C249" s="48" t="n">
        <x:f>IF($A249="","",SUMIFS('02_ツリー'!$K$5:$K$560,'02_ツリー'!$E$5:$E$560,$A249,'02_ツリー'!$K$5:$K$560,"&lt;0"))</x:f>
        <x:v>0</x:v>
      </x:c>
      <x:c r="D249" s="48" t="n">
        <x:f>IF($A249="","",B249+C249)</x:f>
        <x:v>0.008940706227333062</x:v>
      </x:c>
      <x:c r="E249" s="48" t="n">
        <x:f>IF($A249="","",B249-C249)</x:f>
        <x:v>0.008940706227333062</x:v>
      </x:c>
      <x:c r="F249" s="48" t="n">
        <x:f>IF($A249="","",SUMIFS('02_ツリー'!$H$5:$H$560,'02_ツリー'!$E$5:$E$560,$A249,'02_ツリー'!$K$5:$K$560,"&gt;0"))</x:f>
        <x:v>0.08</x:v>
      </x:c>
      <x:c r="G249" s="48" t="n">
        <x:f>IF($A249="","",-SUMIFS('02_ツリー'!$H$5:$H$560,'02_ツリー'!$E$5:$E$560,$A249,'02_ツリー'!$K$5:$K$560,"&lt;0"))</x:f>
        <x:v>0</x:v>
      </x:c>
      <x:c r="H249" s="48" t="n">
        <x:f>IF($A249="","",F249+G249)</x:f>
        <x:v>0.08</x:v>
      </x:c>
      <x:c r="I249" s="244" t="n">
        <x:f>IF($A249="","",--(COUNTIFS('02_ツリー'!$E$5:$E$560,$A249,'02_ツリー'!$O$5:$O$560,0)=0))</x:f>
        <x:v>0</x:v>
      </x:c>
      <x:c r="J249" s="12" t="str">
        <x:f>IF($A249="","",IF(AND(B249&gt;0,C249&lt;0),"正負あり",IF(B249&gt;0,"正のみ",IF(C249&lt;0,"負のみ","ゼロ"))))</x:f>
        <x:v>正のみ</x:v>
      </x:c>
      <x:c r="K249" s="244" t="n">
        <x:f>IF($A249="","",--AND(B249&gt;0,C249&lt;0))</x:f>
        <x:v>0</x:v>
      </x:c>
      <x:c r="L249" s="244" t="n">
        <x:f>IF($A249="","",COUNTIF('02_ツリー'!$E$5:$E$560,$A249))</x:f>
        <x:v>1</x:v>
      </x:c>
      <x:c r="M249" s="244" t="n">
        <x:f>IF($A249="","",--(LEFT(A249,7)="Enable_"))</x:f>
        <x:v>0</x:v>
      </x:c>
      <x:c r="N249" s="12"/>
      <x:c r="O249" s="12"/>
      <x:c r="P249" s="12"/>
      <x:c r="Q249" s="12"/>
      <x:c r="R249" s="12"/>
      <x:c r="S249" s="12"/>
      <x:c r="T249" s="12"/>
      <x:c r="U249" s="12"/>
      <x:c r="V249" s="12"/>
      <x:c r="W249" s="12"/>
      <x:c r="X249" s="12"/>
      <x:c r="Y249" s="12"/>
    </x:row>
    <x:row r="250">
      <x:c r="A250" s="12" t="str">
        <x:f>IFERROR(INDEX('02_ツリー'!$E$5:$E$560,MATCH(ROWS($A$11:A250),'02_ツリー'!$R$5:$R$560,0)),"")</x:f>
        <x:v>dvdt</x:v>
      </x:c>
      <x:c r="B250" s="48" t="n">
        <x:f>IF($A250="","",SUMIFS('02_ツリー'!$K$5:$K$560,'02_ツリー'!$E$5:$E$560,$A250,'02_ツリー'!$K$5:$K$560,"&gt;0"))</x:f>
        <x:v>0.006258494359133143</x:v>
      </x:c>
      <x:c r="C250" s="48" t="n">
        <x:f>IF($A250="","",SUMIFS('02_ツリー'!$K$5:$K$560,'02_ツリー'!$E$5:$E$560,$A250,'02_ツリー'!$K$5:$K$560,"&lt;0"))</x:f>
        <x:v>0</x:v>
      </x:c>
      <x:c r="D250" s="48" t="n">
        <x:f>IF($A250="","",B250+C250)</x:f>
        <x:v>0.006258494359133143</x:v>
      </x:c>
      <x:c r="E250" s="48" t="n">
        <x:f>IF($A250="","",B250-C250)</x:f>
        <x:v>0.006258494359133143</x:v>
      </x:c>
      <x:c r="F250" s="48" t="n">
        <x:f>IF($A250="","",SUMIFS('02_ツリー'!$H$5:$H$560,'02_ツリー'!$E$5:$E$560,$A250,'02_ツリー'!$K$5:$K$560,"&gt;0"))</x:f>
        <x:v>0.056</x:v>
      </x:c>
      <x:c r="G250" s="48" t="n">
        <x:f>IF($A250="","",-SUMIFS('02_ツリー'!$H$5:$H$560,'02_ツリー'!$E$5:$E$560,$A250,'02_ツリー'!$K$5:$K$560,"&lt;0"))</x:f>
        <x:v>0</x:v>
      </x:c>
      <x:c r="H250" s="48" t="n">
        <x:f>IF($A250="","",F250+G250)</x:f>
        <x:v>0.056</x:v>
      </x:c>
      <x:c r="I250" s="244" t="n">
        <x:f>IF($A250="","",--(COUNTIFS('02_ツリー'!$E$5:$E$560,$A250,'02_ツリー'!$O$5:$O$560,0)=0))</x:f>
        <x:v>0</x:v>
      </x:c>
      <x:c r="J250" s="12" t="str">
        <x:f>IF($A250="","",IF(AND(B250&gt;0,C250&lt;0),"正負あり",IF(B250&gt;0,"正のみ",IF(C250&lt;0,"負のみ","ゼロ"))))</x:f>
        <x:v>正のみ</x:v>
      </x:c>
      <x:c r="K250" s="244" t="n">
        <x:f>IF($A250="","",--AND(B250&gt;0,C250&lt;0))</x:f>
        <x:v>0</x:v>
      </x:c>
      <x:c r="L250" s="244" t="n">
        <x:f>IF($A250="","",COUNTIF('02_ツリー'!$E$5:$E$560,$A250))</x:f>
        <x:v>1</x:v>
      </x:c>
      <x:c r="M250" s="244" t="n">
        <x:f>IF($A250="","",--(LEFT(A250,7)="Enable_"))</x:f>
        <x:v>0</x:v>
      </x:c>
      <x:c r="N250" s="12"/>
      <x:c r="O250" s="12"/>
      <x:c r="P250" s="12"/>
      <x:c r="Q250" s="12"/>
      <x:c r="R250" s="12"/>
      <x:c r="S250" s="12"/>
      <x:c r="T250" s="12"/>
      <x:c r="U250" s="12"/>
      <x:c r="V250" s="12"/>
      <x:c r="W250" s="12"/>
      <x:c r="X250" s="12"/>
      <x:c r="Y250" s="12"/>
    </x:row>
    <x:row r="251">
      <x:c r="A251" s="12" t="str">
        <x:f>IFERROR(INDEX('02_ツリー'!$E$5:$E$560,MATCH(ROWS($A$11:A251),'02_ツリー'!$R$5:$R$560,0)),"")</x:f>
        <x:v>m_slew_emi_ref</x:v>
      </x:c>
      <x:c r="B251" s="48" t="n">
        <x:f>IF($A251="","",SUMIFS('02_ツリー'!$K$5:$K$560,'02_ツリー'!$E$5:$E$560,$A251,'02_ツリー'!$K$5:$K$560,"&gt;0"))</x:f>
        <x:v>0.008940706227333062</x:v>
      </x:c>
      <x:c r="C251" s="48" t="n">
        <x:f>IF($A251="","",SUMIFS('02_ツリー'!$K$5:$K$560,'02_ツリー'!$E$5:$E$560,$A251,'02_ツリー'!$K$5:$K$560,"&lt;0"))</x:f>
        <x:v>0</x:v>
      </x:c>
      <x:c r="D251" s="48" t="n">
        <x:f>IF($A251="","",B251+C251)</x:f>
        <x:v>0.008940706227333062</x:v>
      </x:c>
      <x:c r="E251" s="48" t="n">
        <x:f>IF($A251="","",B251-C251)</x:f>
        <x:v>0.008940706227333062</x:v>
      </x:c>
      <x:c r="F251" s="48" t="n">
        <x:f>IF($A251="","",SUMIFS('02_ツリー'!$H$5:$H$560,'02_ツリー'!$E$5:$E$560,$A251,'02_ツリー'!$K$5:$K$560,"&gt;0"))</x:f>
        <x:v>0.08</x:v>
      </x:c>
      <x:c r="G251" s="48" t="n">
        <x:f>IF($A251="","",-SUMIFS('02_ツリー'!$H$5:$H$560,'02_ツリー'!$E$5:$E$560,$A251,'02_ツリー'!$K$5:$K$560,"&lt;0"))</x:f>
        <x:v>0</x:v>
      </x:c>
      <x:c r="H251" s="48" t="n">
        <x:f>IF($A251="","",F251+G251)</x:f>
        <x:v>0.08</x:v>
      </x:c>
      <x:c r="I251" s="244" t="n">
        <x:f>IF($A251="","",--(COUNTIFS('02_ツリー'!$E$5:$E$560,$A251,'02_ツリー'!$O$5:$O$560,0)=0))</x:f>
        <x:v>1</x:v>
      </x:c>
      <x:c r="J251" s="12" t="str">
        <x:f>IF($A251="","",IF(AND(B251&gt;0,C251&lt;0),"正負あり",IF(B251&gt;0,"正のみ",IF(C251&lt;0,"負のみ","ゼロ"))))</x:f>
        <x:v>正のみ</x:v>
      </x:c>
      <x:c r="K251" s="244" t="n">
        <x:f>IF($A251="","",--AND(B251&gt;0,C251&lt;0))</x:f>
        <x:v>0</x:v>
      </x:c>
      <x:c r="L251" s="244" t="n">
        <x:f>IF($A251="","",COUNTIF('02_ツリー'!$E$5:$E$560,$A251))</x:f>
        <x:v>1</x:v>
      </x:c>
      <x:c r="M251" s="244" t="n">
        <x:f>IF($A251="","",--(LEFT(A251,7)="Enable_"))</x:f>
        <x:v>0</x:v>
      </x:c>
      <x:c r="N251" s="12"/>
      <x:c r="O251" s="12"/>
      <x:c r="P251" s="12"/>
      <x:c r="Q251" s="12"/>
      <x:c r="R251" s="12"/>
      <x:c r="S251" s="12"/>
      <x:c r="T251" s="12"/>
      <x:c r="U251" s="12"/>
      <x:c r="V251" s="12"/>
      <x:c r="W251" s="12"/>
      <x:c r="X251" s="12"/>
      <x:c r="Y251" s="12"/>
    </x:row>
    <x:row r="252">
      <x:c r="A252" s="12" t="str">
        <x:f>IFERROR(INDEX('02_ツリー'!$E$5:$E$560,MATCH(ROWS($A$11:A252),'02_ツリー'!$R$5:$R$560,0)),"")</x:f>
        <x:v>a_slew_emi</x:v>
      </x:c>
      <x:c r="B252" s="48" t="n">
        <x:f>IF($A252="","",SUMIFS('02_ツリー'!$K$5:$K$560,'02_ツリー'!$E$5:$E$560,$A252,'02_ツリー'!$K$5:$K$560,"&gt;0"))</x:f>
        <x:v>0</x:v>
      </x:c>
      <x:c r="C252" s="48" t="n">
        <x:f>IF($A252="","",SUMIFS('02_ツリー'!$K$5:$K$560,'02_ツリー'!$E$5:$E$560,$A252,'02_ツリー'!$K$5:$K$560,"&lt;0"))</x:f>
        <x:v>0</x:v>
      </x:c>
      <x:c r="D252" s="48" t="n">
        <x:f>IF($A252="","",B252+C252)</x:f>
        <x:v>0</x:v>
      </x:c>
      <x:c r="E252" s="48" t="n">
        <x:f>IF($A252="","",B252-C252)</x:f>
        <x:v>0</x:v>
      </x:c>
      <x:c r="F252" s="48" t="n">
        <x:f>IF($A252="","",SUMIFS('02_ツリー'!$H$5:$H$560,'02_ツリー'!$E$5:$E$560,$A252,'02_ツリー'!$K$5:$K$560,"&gt;0"))</x:f>
        <x:v>0</x:v>
      </x:c>
      <x:c r="G252" s="48" t="n">
        <x:f>IF($A252="","",-SUMIFS('02_ツリー'!$H$5:$H$560,'02_ツリー'!$E$5:$E$560,$A252,'02_ツリー'!$K$5:$K$560,"&lt;0"))</x:f>
        <x:v>0</x:v>
      </x:c>
      <x:c r="H252" s="48" t="n">
        <x:f>IF($A252="","",F252+G252)</x:f>
        <x:v>0</x:v>
      </x:c>
      <x:c r="I252" s="244" t="n">
        <x:f>IF($A252="","",--(COUNTIFS('02_ツリー'!$E$5:$E$560,$A252,'02_ツリー'!$O$5:$O$560,0)=0))</x:f>
        <x:v>1</x:v>
      </x:c>
      <x:c r="J252" s="12" t="str">
        <x:f>IF($A252="","",IF(AND(B252&gt;0,C252&lt;0),"正負あり",IF(B252&gt;0,"正のみ",IF(C252&lt;0,"負のみ","ゼロ"))))</x:f>
        <x:v>ゼロ</x:v>
      </x:c>
      <x:c r="K252" s="244" t="n">
        <x:f>IF($A252="","",--AND(B252&gt;0,C252&lt;0))</x:f>
        <x:v>0</x:v>
      </x:c>
      <x:c r="L252" s="244" t="n">
        <x:f>IF($A252="","",COUNTIF('02_ツリー'!$E$5:$E$560,$A252))</x:f>
        <x:v>1</x:v>
      </x:c>
      <x:c r="M252" s="244" t="n">
        <x:f>IF($A252="","",--(LEFT(A252,7)="Enable_"))</x:f>
        <x:v>0</x:v>
      </x:c>
      <x:c r="N252" s="12"/>
      <x:c r="O252" s="12"/>
      <x:c r="P252" s="12"/>
      <x:c r="Q252" s="12"/>
      <x:c r="R252" s="12"/>
      <x:c r="S252" s="12"/>
      <x:c r="T252" s="12"/>
      <x:c r="U252" s="12"/>
      <x:c r="V252" s="12"/>
      <x:c r="W252" s="12"/>
      <x:c r="X252" s="12"/>
      <x:c r="Y252" s="12"/>
    </x:row>
    <x:row r="253">
      <x:c r="A253" s="12" t="str">
        <x:f>IFERROR(INDEX('02_ツリー'!$E$5:$E$560,MATCH(ROWS($A$11:A253),'02_ツリー'!$R$5:$R$560,0)),"")</x:f>
        <x:v>P_dead</x:v>
      </x:c>
      <x:c r="B253" s="48" t="n">
        <x:f>IF($A253="","",SUMIFS('02_ツリー'!$K$5:$K$560,'02_ツリー'!$E$5:$E$560,$A253,'02_ツリー'!$K$5:$K$560,"&gt;0"))</x:f>
        <x:v>0.000047825742253301605</x:v>
      </x:c>
      <x:c r="C253" s="48" t="n">
        <x:f>IF($A253="","",SUMIFS('02_ツリー'!$K$5:$K$560,'02_ツリー'!$E$5:$E$560,$A253,'02_ツリー'!$K$5:$K$560,"&lt;0"))</x:f>
        <x:v>0</x:v>
      </x:c>
      <x:c r="D253" s="48" t="n">
        <x:f>IF($A253="","",B253+C253)</x:f>
        <x:v>0.000047825742253301605</x:v>
      </x:c>
      <x:c r="E253" s="48" t="n">
        <x:f>IF($A253="","",B253-C253)</x:f>
        <x:v>0.000047825742253301605</x:v>
      </x:c>
      <x:c r="F253" s="48" t="n">
        <x:f>IF($A253="","",SUMIFS('02_ツリー'!$H$5:$H$560,'02_ツリー'!$E$5:$E$560,$A253,'02_ツリー'!$K$5:$K$560,"&gt;0"))</x:f>
        <x:v>0.00042793704244160257</x:v>
      </x:c>
      <x:c r="G253" s="48" t="n">
        <x:f>IF($A253="","",-SUMIFS('02_ツリー'!$H$5:$H$560,'02_ツリー'!$E$5:$E$560,$A253,'02_ツリー'!$K$5:$K$560,"&lt;0"))</x:f>
        <x:v>0</x:v>
      </x:c>
      <x:c r="H253" s="48" t="n">
        <x:f>IF($A253="","",F253+G253)</x:f>
        <x:v>0.00042793704244160257</x:v>
      </x:c>
      <x:c r="I253" s="244" t="n">
        <x:f>IF($A253="","",--(COUNTIFS('02_ツリー'!$E$5:$E$560,$A253,'02_ツリー'!$O$5:$O$560,0)=0))</x:f>
        <x:v>0</x:v>
      </x:c>
      <x:c r="J253" s="12" t="str">
        <x:f>IF($A253="","",IF(AND(B253&gt;0,C253&lt;0),"正負あり",IF(B253&gt;0,"正のみ",IF(C253&lt;0,"負のみ","ゼロ"))))</x:f>
        <x:v>正のみ</x:v>
      </x:c>
      <x:c r="K253" s="244" t="n">
        <x:f>IF($A253="","",--AND(B253&gt;0,C253&lt;0))</x:f>
        <x:v>0</x:v>
      </x:c>
      <x:c r="L253" s="244" t="n">
        <x:f>IF($A253="","",COUNTIF('02_ツリー'!$E$5:$E$560,$A253))</x:f>
        <x:v>1</x:v>
      </x:c>
      <x:c r="M253" s="244" t="n">
        <x:f>IF($A253="","",--(LEFT(A253,7)="Enable_"))</x:f>
        <x:v>0</x:v>
      </x:c>
      <x:c r="N253" s="12"/>
      <x:c r="O253" s="12"/>
      <x:c r="P253" s="12"/>
      <x:c r="Q253" s="12"/>
      <x:c r="R253" s="12"/>
      <x:c r="S253" s="12"/>
      <x:c r="T253" s="12"/>
      <x:c r="U253" s="12"/>
      <x:c r="V253" s="12"/>
      <x:c r="W253" s="12"/>
      <x:c r="X253" s="12"/>
      <x:c r="Y253" s="12"/>
    </x:row>
    <x:row r="254">
      <x:c r="A254" s="12" t="str">
        <x:f>IFERROR(INDEX('02_ツリー'!$E$5:$E$560,MATCH(ROWS($A$11:A254),'02_ツリー'!$R$5:$R$560,0)),"")</x:f>
        <x:v>t_dead_eff</x:v>
      </x:c>
      <x:c r="B254" s="48" t="n">
        <x:f>IF($A254="","",SUMIFS('02_ツリー'!$K$5:$K$560,'02_ツリー'!$E$5:$E$560,$A254,'02_ツリー'!$K$5:$K$560,"&gt;0"))</x:f>
        <x:v>0.000047825742253301605</x:v>
      </x:c>
      <x:c r="C254" s="48" t="n">
        <x:f>IF($A254="","",SUMIFS('02_ツリー'!$K$5:$K$560,'02_ツリー'!$E$5:$E$560,$A254,'02_ツリー'!$K$5:$K$560,"&lt;0"))</x:f>
        <x:v>0</x:v>
      </x:c>
      <x:c r="D254" s="48" t="n">
        <x:f>IF($A254="","",B254+C254)</x:f>
        <x:v>0.000047825742253301605</x:v>
      </x:c>
      <x:c r="E254" s="48" t="n">
        <x:f>IF($A254="","",B254-C254)</x:f>
        <x:v>0.000047825742253301605</x:v>
      </x:c>
      <x:c r="F254" s="48" t="n">
        <x:f>IF($A254="","",SUMIFS('02_ツリー'!$H$5:$H$560,'02_ツリー'!$E$5:$E$560,$A254,'02_ツリー'!$K$5:$K$560,"&gt;0"))</x:f>
        <x:v>0.00042793704244160257</x:v>
      </x:c>
      <x:c r="G254" s="48" t="n">
        <x:f>IF($A254="","",-SUMIFS('02_ツリー'!$H$5:$H$560,'02_ツリー'!$E$5:$E$560,$A254,'02_ツリー'!$K$5:$K$560,"&lt;0"))</x:f>
        <x:v>0</x:v>
      </x:c>
      <x:c r="H254" s="48" t="n">
        <x:f>IF($A254="","",F254+G254)</x:f>
        <x:v>0.00042793704244160257</x:v>
      </x:c>
      <x:c r="I254" s="244" t="n">
        <x:f>IF($A254="","",--(COUNTIFS('02_ツリー'!$E$5:$E$560,$A254,'02_ツリー'!$O$5:$O$560,0)=0))</x:f>
        <x:v>0</x:v>
      </x:c>
      <x:c r="J254" s="12" t="str">
        <x:f>IF($A254="","",IF(AND(B254&gt;0,C254&lt;0),"正負あり",IF(B254&gt;0,"正のみ",IF(C254&lt;0,"負のみ","ゼロ"))))</x:f>
        <x:v>正のみ</x:v>
      </x:c>
      <x:c r="K254" s="244" t="n">
        <x:f>IF($A254="","",--AND(B254&gt;0,C254&lt;0))</x:f>
        <x:v>0</x:v>
      </x:c>
      <x:c r="L254" s="244" t="n">
        <x:f>IF($A254="","",COUNTIF('02_ツリー'!$E$5:$E$560,$A254))</x:f>
        <x:v>1</x:v>
      </x:c>
      <x:c r="M254" s="244" t="n">
        <x:f>IF($A254="","",--(LEFT(A254,7)="Enable_"))</x:f>
        <x:v>0</x:v>
      </x:c>
      <x:c r="N254" s="12"/>
      <x:c r="O254" s="12"/>
      <x:c r="P254" s="12"/>
      <x:c r="Q254" s="12"/>
      <x:c r="R254" s="12"/>
      <x:c r="S254" s="12"/>
      <x:c r="T254" s="12"/>
      <x:c r="U254" s="12"/>
      <x:c r="V254" s="12"/>
      <x:c r="W254" s="12"/>
      <x:c r="X254" s="12"/>
      <x:c r="Y254" s="12"/>
    </x:row>
    <x:row r="255">
      <x:c r="A255" s="12" t="str">
        <x:f>IFERROR(INDEX('02_ツリー'!$E$5:$E$560,MATCH(ROWS($A$11:A255),'02_ツリー'!$R$5:$R$560,0)),"")</x:f>
        <x:v>t_dead</x:v>
      </x:c>
      <x:c r="B255" s="48" t="n">
        <x:f>IF($A255="","",SUMIFS('02_ツリー'!$K$5:$K$560,'02_ツリー'!$E$5:$E$560,$A255,'02_ツリー'!$K$5:$K$560,"&gt;0"))</x:f>
        <x:v>0.000047825742253301605</x:v>
      </x:c>
      <x:c r="C255" s="48" t="n">
        <x:f>IF($A255="","",SUMIFS('02_ツリー'!$K$5:$K$560,'02_ツリー'!$E$5:$E$560,$A255,'02_ツリー'!$K$5:$K$560,"&lt;0"))</x:f>
        <x:v>0</x:v>
      </x:c>
      <x:c r="D255" s="48" t="n">
        <x:f>IF($A255="","",B255+C255)</x:f>
        <x:v>0.000047825742253301605</x:v>
      </x:c>
      <x:c r="E255" s="48" t="n">
        <x:f>IF($A255="","",B255-C255)</x:f>
        <x:v>0.000047825742253301605</x:v>
      </x:c>
      <x:c r="F255" s="48" t="n">
        <x:f>IF($A255="","",SUMIFS('02_ツリー'!$H$5:$H$560,'02_ツリー'!$E$5:$E$560,$A255,'02_ツリー'!$K$5:$K$560,"&gt;0"))</x:f>
        <x:v>0.00042793704244160257</x:v>
      </x:c>
      <x:c r="G255" s="48" t="n">
        <x:f>IF($A255="","",-SUMIFS('02_ツリー'!$H$5:$H$560,'02_ツリー'!$E$5:$E$560,$A255,'02_ツリー'!$K$5:$K$560,"&lt;0"))</x:f>
        <x:v>0</x:v>
      </x:c>
      <x:c r="H255" s="48" t="n">
        <x:f>IF($A255="","",F255+G255)</x:f>
        <x:v>0.00042793704244160257</x:v>
      </x:c>
      <x:c r="I255" s="244" t="n">
        <x:f>IF($A255="","",--(COUNTIFS('02_ツリー'!$E$5:$E$560,$A255,'02_ツリー'!$O$5:$O$560,0)=0))</x:f>
        <x:v>1</x:v>
      </x:c>
      <x:c r="J255" s="12" t="str">
        <x:f>IF($A255="","",IF(AND(B255&gt;0,C255&lt;0),"正負あり",IF(B255&gt;0,"正のみ",IF(C255&lt;0,"負のみ","ゼロ"))))</x:f>
        <x:v>正のみ</x:v>
      </x:c>
      <x:c r="K255" s="244" t="n">
        <x:f>IF($A255="","",--AND(B255&gt;0,C255&lt;0))</x:f>
        <x:v>0</x:v>
      </x:c>
      <x:c r="L255" s="244" t="n">
        <x:f>IF($A255="","",COUNTIF('02_ツリー'!$E$5:$E$560,$A255))</x:f>
        <x:v>1</x:v>
      </x:c>
      <x:c r="M255" s="244" t="n">
        <x:f>IF($A255="","",--(LEFT(A255,7)="Enable_"))</x:f>
        <x:v>0</x:v>
      </x:c>
      <x:c r="N255" s="12"/>
      <x:c r="O255" s="12"/>
      <x:c r="P255" s="12"/>
      <x:c r="Q255" s="12"/>
      <x:c r="R255" s="12"/>
      <x:c r="S255" s="12"/>
      <x:c r="T255" s="12"/>
      <x:c r="U255" s="12"/>
      <x:c r="V255" s="12"/>
      <x:c r="W255" s="12"/>
      <x:c r="X255" s="12"/>
      <x:c r="Y255" s="12"/>
    </x:row>
    <x:row r="256">
      <x:c r="A256" s="12" t="str">
        <x:f>IFERROR(INDEX('02_ツリー'!$E$5:$E$560,MATCH(ROWS($A$11:A256),'02_ツリー'!$R$5:$R$560,0)),"")</x:f>
        <x:v>k_dead_eff</x:v>
      </x:c>
      <x:c r="B256" s="48" t="n">
        <x:f>IF($A256="","",SUMIFS('02_ツリー'!$K$5:$K$560,'02_ツリー'!$E$5:$E$560,$A256,'02_ツリー'!$K$5:$K$560,"&gt;0"))</x:f>
        <x:v>0.000047825742253301605</x:v>
      </x:c>
      <x:c r="C256" s="48" t="n">
        <x:f>IF($A256="","",SUMIFS('02_ツリー'!$K$5:$K$560,'02_ツリー'!$E$5:$E$560,$A256,'02_ツリー'!$K$5:$K$560,"&lt;0"))</x:f>
        <x:v>0</x:v>
      </x:c>
      <x:c r="D256" s="48" t="n">
        <x:f>IF($A256="","",B256+C256)</x:f>
        <x:v>0.000047825742253301605</x:v>
      </x:c>
      <x:c r="E256" s="48" t="n">
        <x:f>IF($A256="","",B256-C256)</x:f>
        <x:v>0.000047825742253301605</x:v>
      </x:c>
      <x:c r="F256" s="48" t="n">
        <x:f>IF($A256="","",SUMIFS('02_ツリー'!$H$5:$H$560,'02_ツリー'!$E$5:$E$560,$A256,'02_ツリー'!$K$5:$K$560,"&gt;0"))</x:f>
        <x:v>0.00042793704244160257</x:v>
      </x:c>
      <x:c r="G256" s="48" t="n">
        <x:f>IF($A256="","",-SUMIFS('02_ツリー'!$H$5:$H$560,'02_ツリー'!$E$5:$E$560,$A256,'02_ツリー'!$K$5:$K$560,"&lt;0"))</x:f>
        <x:v>0</x:v>
      </x:c>
      <x:c r="H256" s="48" t="n">
        <x:f>IF($A256="","",F256+G256)</x:f>
        <x:v>0.00042793704244160257</x:v>
      </x:c>
      <x:c r="I256" s="244" t="n">
        <x:f>IF($A256="","",--(COUNTIFS('02_ツリー'!$E$5:$E$560,$A256,'02_ツリー'!$O$5:$O$560,0)=0))</x:f>
        <x:v>0</x:v>
      </x:c>
      <x:c r="J256" s="12" t="str">
        <x:f>IF($A256="","",IF(AND(B256&gt;0,C256&lt;0),"正負あり",IF(B256&gt;0,"正のみ",IF(C256&lt;0,"負のみ","ゼロ"))))</x:f>
        <x:v>正のみ</x:v>
      </x:c>
      <x:c r="K256" s="244" t="n">
        <x:f>IF($A256="","",--AND(B256&gt;0,C256&lt;0))</x:f>
        <x:v>0</x:v>
      </x:c>
      <x:c r="L256" s="244" t="n">
        <x:f>IF($A256="","",COUNTIF('02_ツリー'!$E$5:$E$560,$A256))</x:f>
        <x:v>1</x:v>
      </x:c>
      <x:c r="M256" s="244" t="n">
        <x:f>IF($A256="","",--(LEFT(A256,7)="Enable_"))</x:f>
        <x:v>0</x:v>
      </x:c>
      <x:c r="N256" s="12"/>
      <x:c r="O256" s="12"/>
      <x:c r="P256" s="12"/>
      <x:c r="Q256" s="12"/>
      <x:c r="R256" s="12"/>
      <x:c r="S256" s="12"/>
      <x:c r="T256" s="12"/>
      <x:c r="U256" s="12"/>
      <x:c r="V256" s="12"/>
      <x:c r="W256" s="12"/>
      <x:c r="X256" s="12"/>
      <x:c r="Y256" s="12"/>
    </x:row>
    <x:row r="257">
      <x:c r="A257" s="12" t="str">
        <x:f>IFERROR(INDEX('02_ツリー'!$E$5:$E$560,MATCH(ROWS($A$11:A257),'02_ツリー'!$R$5:$R$560,0)),"")</x:f>
        <x:v>Enable_adaptive_DT</x:v>
      </x:c>
      <x:c r="B257" s="48" t="n">
        <x:f>IF($A257="","",SUMIFS('02_ツリー'!$K$5:$K$560,'02_ツリー'!$E$5:$E$560,$A257,'02_ツリー'!$K$5:$K$560,"&gt;0"))</x:f>
        <x:v>0.0016763824176249489</x:v>
      </x:c>
      <x:c r="C257" s="48" t="n">
        <x:f>IF($A257="","",SUMIFS('02_ツリー'!$K$5:$K$560,'02_ツリー'!$E$5:$E$560,$A257,'02_ツリー'!$K$5:$K$560,"&lt;0"))</x:f>
        <x:v>-0.000026304158239315884</x:v>
      </x:c>
      <x:c r="D257" s="48" t="n">
        <x:f>IF($A257="","",B257+C257)</x:f>
        <x:v>0.001650078259385633</x:v>
      </x:c>
      <x:c r="E257" s="48" t="n">
        <x:f>IF($A257="","",B257-C257)</x:f>
        <x:v>0.0017026865758642648</x:v>
      </x:c>
      <x:c r="F257" s="48" t="n">
        <x:f>IF($A257="","",SUMIFS('02_ツリー'!$H$5:$H$560,'02_ツリー'!$E$5:$E$560,$A257,'02_ツリー'!$K$5:$K$560,"&gt;0"))</x:f>
        <x:v>0.015</x:v>
      </x:c>
      <x:c r="G257" s="48" t="n">
        <x:f>IF($A257="","",-SUMIFS('02_ツリー'!$H$5:$H$560,'02_ツリー'!$E$5:$E$560,$A257,'02_ツリー'!$K$5:$K$560,"&lt;0"))</x:f>
        <x:v>-0.00023536537334288142</x:v>
      </x:c>
      <x:c r="H257" s="48" t="n">
        <x:f>IF($A257="","",F257+G257)</x:f>
        <x:v>0.014764634626657117</x:v>
      </x:c>
      <x:c r="I257" s="244" t="n">
        <x:f>IF($A257="","",--(COUNTIFS('02_ツリー'!$E$5:$E$560,$A257,'02_ツリー'!$O$5:$O$560,0)=0))</x:f>
        <x:v>1</x:v>
      </x:c>
      <x:c r="J257" s="12" t="str">
        <x:f>IF($A257="","",IF(AND(B257&gt;0,C257&lt;0),"正負あり",IF(B257&gt;0,"正のみ",IF(C257&lt;0,"負のみ","ゼロ"))))</x:f>
        <x:v>正負あり</x:v>
      </x:c>
      <x:c r="K257" s="244" t="n">
        <x:f>IF($A257="","",--AND(B257&gt;0,C257&lt;0))</x:f>
        <x:v>1</x:v>
      </x:c>
      <x:c r="L257" s="244" t="n">
        <x:f>IF($A257="","",COUNTIF('02_ツリー'!$E$5:$E$560,$A257))</x:f>
        <x:v>2</x:v>
      </x:c>
      <x:c r="M257" s="244" t="n">
        <x:f>IF($A257="","",--(LEFT(A257,7)="Enable_"))</x:f>
        <x:v>1</x:v>
      </x:c>
      <x:c r="N257" s="12"/>
      <x:c r="O257" s="12"/>
      <x:c r="P257" s="12"/>
      <x:c r="Q257" s="12"/>
      <x:c r="R257" s="12"/>
      <x:c r="S257" s="12"/>
      <x:c r="T257" s="12"/>
      <x:c r="U257" s="12"/>
      <x:c r="V257" s="12"/>
      <x:c r="W257" s="12"/>
      <x:c r="X257" s="12"/>
      <x:c r="Y257" s="12"/>
    </x:row>
    <x:row r="258">
      <x:c r="A258" s="12" t="str">
        <x:f>IFERROR(INDEX('02_ツリー'!$E$5:$E$560,MATCH(ROWS($A$11:A258),'02_ツリー'!$R$5:$R$560,0)),"")</x:f>
        <x:v>k_adapt_dead</x:v>
      </x:c>
      <x:c r="B258" s="48" t="n">
        <x:f>IF($A258="","",SUMIFS('02_ツリー'!$K$5:$K$560,'02_ツリー'!$E$5:$E$560,$A258,'02_ツリー'!$K$5:$K$560,"&gt;0"))</x:f>
        <x:v>0</x:v>
      </x:c>
      <x:c r="C258" s="48" t="n">
        <x:f>IF($A258="","",SUMIFS('02_ツリー'!$K$5:$K$560,'02_ツリー'!$E$5:$E$560,$A258,'02_ツリー'!$K$5:$K$560,"&lt;0"))</x:f>
        <x:v>0</x:v>
      </x:c>
      <x:c r="D258" s="48" t="n">
        <x:f>IF($A258="","",B258+C258)</x:f>
        <x:v>0</x:v>
      </x:c>
      <x:c r="E258" s="48" t="n">
        <x:f>IF($A258="","",B258-C258)</x:f>
        <x:v>0</x:v>
      </x:c>
      <x:c r="F258" s="48" t="n">
        <x:f>IF($A258="","",SUMIFS('02_ツリー'!$H$5:$H$560,'02_ツリー'!$E$5:$E$560,$A258,'02_ツリー'!$K$5:$K$560,"&gt;0"))</x:f>
        <x:v>0</x:v>
      </x:c>
      <x:c r="G258" s="48" t="n">
        <x:f>IF($A258="","",-SUMIFS('02_ツリー'!$H$5:$H$560,'02_ツリー'!$E$5:$E$560,$A258,'02_ツリー'!$K$5:$K$560,"&lt;0"))</x:f>
        <x:v>0</x:v>
      </x:c>
      <x:c r="H258" s="48" t="n">
        <x:f>IF($A258="","",F258+G258)</x:f>
        <x:v>0</x:v>
      </x:c>
      <x:c r="I258" s="244" t="n">
        <x:f>IF($A258="","",--(COUNTIFS('02_ツリー'!$E$5:$E$560,$A258,'02_ツリー'!$O$5:$O$560,0)=0))</x:f>
        <x:v>1</x:v>
      </x:c>
      <x:c r="J258" s="12" t="str">
        <x:f>IF($A258="","",IF(AND(B258&gt;0,C258&lt;0),"正負あり",IF(B258&gt;0,"正のみ",IF(C258&lt;0,"負のみ","ゼロ"))))</x:f>
        <x:v>ゼロ</x:v>
      </x:c>
      <x:c r="K258" s="244" t="n">
        <x:f>IF($A258="","",--AND(B258&gt;0,C258&lt;0))</x:f>
        <x:v>0</x:v>
      </x:c>
      <x:c r="L258" s="244" t="n">
        <x:f>IF($A258="","",COUNTIF('02_ツリー'!$E$5:$E$560,$A258))</x:f>
        <x:v>1</x:v>
      </x:c>
      <x:c r="M258" s="244" t="n">
        <x:f>IF($A258="","",--(LEFT(A258,7)="Enable_"))</x:f>
        <x:v>0</x:v>
      </x:c>
      <x:c r="N258" s="12"/>
      <x:c r="O258" s="12"/>
      <x:c r="P258" s="12"/>
      <x:c r="Q258" s="12"/>
      <x:c r="R258" s="12"/>
      <x:c r="S258" s="12"/>
      <x:c r="T258" s="12"/>
      <x:c r="U258" s="12"/>
      <x:c r="V258" s="12"/>
      <x:c r="W258" s="12"/>
      <x:c r="X258" s="12"/>
      <x:c r="Y258" s="12"/>
    </x:row>
    <x:row r="259">
      <x:c r="A259" s="12" t="str">
        <x:f>IFERROR(INDEX('02_ツリー'!$E$5:$E$560,MATCH(ROWS($A$11:A259),'02_ツリー'!$R$5:$R$560,0)),"")</x:f>
        <x:v>V_dead_drop</x:v>
      </x:c>
      <x:c r="B259" s="48" t="n">
        <x:f>IF($A259="","",SUMIFS('02_ツリー'!$K$5:$K$560,'02_ツリー'!$E$5:$E$560,$A259,'02_ツリー'!$K$5:$K$560,"&gt;0"))</x:f>
        <x:v>0.000047825742253301605</x:v>
      </x:c>
      <x:c r="C259" s="48" t="n">
        <x:f>IF($A259="","",SUMIFS('02_ツリー'!$K$5:$K$560,'02_ツリー'!$E$5:$E$560,$A259,'02_ツリー'!$K$5:$K$560,"&lt;0"))</x:f>
        <x:v>0</x:v>
      </x:c>
      <x:c r="D259" s="48" t="n">
        <x:f>IF($A259="","",B259+C259)</x:f>
        <x:v>0.000047825742253301605</x:v>
      </x:c>
      <x:c r="E259" s="48" t="n">
        <x:f>IF($A259="","",B259-C259)</x:f>
        <x:v>0.000047825742253301605</x:v>
      </x:c>
      <x:c r="F259" s="48" t="n">
        <x:f>IF($A259="","",SUMIFS('02_ツリー'!$H$5:$H$560,'02_ツリー'!$E$5:$E$560,$A259,'02_ツリー'!$K$5:$K$560,"&gt;0"))</x:f>
        <x:v>0.00042793704244160257</x:v>
      </x:c>
      <x:c r="G259" s="48" t="n">
        <x:f>IF($A259="","",-SUMIFS('02_ツリー'!$H$5:$H$560,'02_ツリー'!$E$5:$E$560,$A259,'02_ツリー'!$K$5:$K$560,"&lt;0"))</x:f>
        <x:v>0</x:v>
      </x:c>
      <x:c r="H259" s="48" t="n">
        <x:f>IF($A259="","",F259+G259)</x:f>
        <x:v>0.00042793704244160257</x:v>
      </x:c>
      <x:c r="I259" s="244" t="n">
        <x:f>IF($A259="","",--(COUNTIFS('02_ツリー'!$E$5:$E$560,$A259,'02_ツリー'!$O$5:$O$560,0)=0))</x:f>
        <x:v>1</x:v>
      </x:c>
      <x:c r="J259" s="12" t="str">
        <x:f>IF($A259="","",IF(AND(B259&gt;0,C259&lt;0),"正負あり",IF(B259&gt;0,"正のみ",IF(C259&lt;0,"負のみ","ゼロ"))))</x:f>
        <x:v>正のみ</x:v>
      </x:c>
      <x:c r="K259" s="244" t="n">
        <x:f>IF($A259="","",--AND(B259&gt;0,C259&lt;0))</x:f>
        <x:v>0</x:v>
      </x:c>
      <x:c r="L259" s="244" t="n">
        <x:f>IF($A259="","",COUNTIF('02_ツリー'!$E$5:$E$560,$A259))</x:f>
        <x:v>1</x:v>
      </x:c>
      <x:c r="M259" s="244" t="n">
        <x:f>IF($A259="","",--(LEFT(A259,7)="Enable_"))</x:f>
        <x:v>0</x:v>
      </x:c>
      <x:c r="N259" s="12"/>
      <x:c r="O259" s="12"/>
      <x:c r="P259" s="12"/>
      <x:c r="Q259" s="12"/>
      <x:c r="R259" s="12"/>
      <x:c r="S259" s="12"/>
      <x:c r="T259" s="12"/>
      <x:c r="U259" s="12"/>
      <x:c r="V259" s="12"/>
      <x:c r="W259" s="12"/>
      <x:c r="X259" s="12"/>
      <x:c r="Y259" s="12"/>
    </x:row>
    <x:row r="260">
      <x:c r="A260" s="12" t="str">
        <x:f>IFERROR(INDEX('02_ツリー'!$E$5:$E$560,MATCH(ROWS($A$11:A260),'02_ツリー'!$R$5:$R$560,0)),"")</x:f>
        <x:v>k_vgs_ron</x:v>
      </x:c>
      <x:c r="B260" s="48" t="n">
        <x:f>IF($A260="","",SUMIFS('02_ツリー'!$K$5:$K$560,'02_ツリー'!$E$5:$E$560,$A260,'02_ツリー'!$K$5:$K$560,"&gt;0"))</x:f>
        <x:v>0.00006437034150358829</x:v>
      </x:c>
      <x:c r="C260" s="48" t="n">
        <x:f>IF($A260="","",SUMIFS('02_ツリー'!$K$5:$K$560,'02_ツリー'!$E$5:$E$560,$A260,'02_ツリー'!$K$5:$K$560,"&lt;0"))</x:f>
        <x:v>0</x:v>
      </x:c>
      <x:c r="D260" s="48" t="n">
        <x:f>IF($A260="","",B260+C260)</x:f>
        <x:v>0.00006437034150358829</x:v>
      </x:c>
      <x:c r="E260" s="48" t="n">
        <x:f>IF($A260="","",B260-C260)</x:f>
        <x:v>0.00006437034150358829</x:v>
      </x:c>
      <x:c r="F260" s="48" t="n">
        <x:f>IF($A260="","",SUMIFS('02_ツリー'!$H$5:$H$560,'02_ツリー'!$E$5:$E$560,$A260,'02_ツリー'!$K$5:$K$560,"&gt;0"))</x:f>
        <x:v>0.0005759754530960755</x:v>
      </x:c>
      <x:c r="G260" s="48" t="n">
        <x:f>IF($A260="","",-SUMIFS('02_ツリー'!$H$5:$H$560,'02_ツリー'!$E$5:$E$560,$A260,'02_ツリー'!$K$5:$K$560,"&lt;0"))</x:f>
        <x:v>0</x:v>
      </x:c>
      <x:c r="H260" s="48" t="n">
        <x:f>IF($A260="","",F260+G260)</x:f>
        <x:v>0.0005759754530960755</x:v>
      </x:c>
      <x:c r="I260" s="244" t="n">
        <x:f>IF($A260="","",--(COUNTIFS('02_ツリー'!$E$5:$E$560,$A260,'02_ツリー'!$O$5:$O$560,0)=0))</x:f>
        <x:v>0</x:v>
      </x:c>
      <x:c r="J260" s="12" t="str">
        <x:f>IF($A260="","",IF(AND(B260&gt;0,C260&lt;0),"正負あり",IF(B260&gt;0,"正のみ",IF(C260&lt;0,"負のみ","ゼロ"))))</x:f>
        <x:v>正のみ</x:v>
      </x:c>
      <x:c r="K260" s="244" t="n">
        <x:f>IF($A260="","",--AND(B260&gt;0,C260&lt;0))</x:f>
        <x:v>0</x:v>
      </x:c>
      <x:c r="L260" s="244" t="n">
        <x:f>IF($A260="","",COUNTIF('02_ツリー'!$E$5:$E$560,$A260))</x:f>
        <x:v>1</x:v>
      </x:c>
      <x:c r="M260" s="244" t="n">
        <x:f>IF($A260="","",--(LEFT(A260,7)="Enable_"))</x:f>
        <x:v>0</x:v>
      </x:c>
      <x:c r="N260" s="12"/>
      <x:c r="O260" s="12"/>
      <x:c r="P260" s="12"/>
      <x:c r="Q260" s="12"/>
      <x:c r="R260" s="12"/>
      <x:c r="S260" s="12"/>
      <x:c r="T260" s="12"/>
      <x:c r="U260" s="12"/>
      <x:c r="V260" s="12"/>
      <x:c r="W260" s="12"/>
      <x:c r="X260" s="12"/>
      <x:c r="Y260" s="12"/>
    </x:row>
    <x:row r="261">
      <x:c r="A261" s="12" t="str">
        <x:f>IFERROR(INDEX('02_ツリー'!$E$5:$E$560,MATCH(ROWS($A$11:A261),'02_ツリー'!$R$5:$R$560,0)),"")</x:f>
        <x:v>Vgs_on</x:v>
      </x:c>
      <x:c r="B261" s="48" t="n">
        <x:f>IF($A261="","",SUMIFS('02_ツリー'!$K$5:$K$560,'02_ツリー'!$E$5:$E$560,$A261,'02_ツリー'!$K$5:$K$560,"&gt;0"))</x:f>
        <x:v>8.793670023504881e-7</x:v>
      </x:c>
      <x:c r="C261" s="48" t="n">
        <x:f>IF($A261="","",SUMIFS('02_ツリー'!$K$5:$K$560,'02_ツリー'!$E$5:$E$560,$A261,'02_ツリー'!$K$5:$K$560,"&lt;0"))</x:f>
        <x:v>-0.0000450592390525118</x:v>
      </x:c>
      <x:c r="D261" s="48" t="n">
        <x:f>IF($A261="","",B261+C261)</x:f>
        <x:v>-0.00004417987205016131</x:v>
      </x:c>
      <x:c r="E261" s="48" t="n">
        <x:f>IF($A261="","",B261-C261)</x:f>
        <x:v>0.00004593860605486229</x:v>
      </x:c>
      <x:c r="F261" s="48" t="n">
        <x:f>IF($A261="","",SUMIFS('02_ツリー'!$H$5:$H$560,'02_ツリー'!$E$5:$E$560,$A261,'02_ツリー'!$K$5:$K$560,"&gt;0"))</x:f>
        <x:v>0.000007868434371881122</x:v>
      </x:c>
      <x:c r="G261" s="48" t="n">
        <x:f>IF($A261="","",-SUMIFS('02_ツリー'!$H$5:$H$560,'02_ツリー'!$E$5:$E$560,$A261,'02_ツリー'!$K$5:$K$560,"&lt;0"))</x:f>
        <x:v>-0.0004031828171672528</x:v>
      </x:c>
      <x:c r="H261" s="48" t="n">
        <x:f>IF($A261="","",F261+G261)</x:f>
        <x:v>-0.00039531438279537164</x:v>
      </x:c>
      <x:c r="I261" s="244" t="n">
        <x:f>IF($A261="","",--(COUNTIFS('02_ツリー'!$E$5:$E$560,$A261,'02_ツリー'!$O$5:$O$560,0)=0))</x:f>
        <x:v>1</x:v>
      </x:c>
      <x:c r="J261" s="12" t="str">
        <x:f>IF($A261="","",IF(AND(B261&gt;0,C261&lt;0),"正負あり",IF(B261&gt;0,"正のみ",IF(C261&lt;0,"負のみ","ゼロ"))))</x:f>
        <x:v>正負あり</x:v>
      </x:c>
      <x:c r="K261" s="244" t="n">
        <x:f>IF($A261="","",--AND(B261&gt;0,C261&lt;0))</x:f>
        <x:v>1</x:v>
      </x:c>
      <x:c r="L261" s="244" t="n">
        <x:f>IF($A261="","",COUNTIF('02_ツリー'!$E$5:$E$560,$A261))</x:f>
        <x:v>2</x:v>
      </x:c>
      <x:c r="M261" s="244" t="n">
        <x:f>IF($A261="","",--(LEFT(A261,7)="Enable_"))</x:f>
        <x:v>0</x:v>
      </x:c>
      <x:c r="N261" s="12"/>
      <x:c r="O261" s="12"/>
      <x:c r="P261" s="12"/>
      <x:c r="Q261" s="12"/>
      <x:c r="R261" s="12"/>
      <x:c r="S261" s="12"/>
      <x:c r="T261" s="12"/>
      <x:c r="U261" s="12"/>
      <x:c r="V261" s="12"/>
      <x:c r="W261" s="12"/>
      <x:c r="X261" s="12"/>
      <x:c r="Y261" s="12"/>
    </x:row>
    <x:row r="262">
      <x:c r="A262" s="12" t="str">
        <x:f>IFERROR(INDEX('02_ツリー'!$E$5:$E$560,MATCH(ROWS($A$11:A262),'02_ツリー'!$R$5:$R$560,0)),"")</x:f>
        <x:v>Vgs_ref</x:v>
      </x:c>
      <x:c r="B262" s="48" t="n">
        <x:f>IF($A262="","",SUMIFS('02_ツリー'!$K$5:$K$560,'02_ツリー'!$E$5:$E$560,$A262,'02_ツリー'!$K$5:$K$560,"&gt;0"))</x:f>
        <x:v>0.0000450592390525118</x:v>
      </x:c>
      <x:c r="C262" s="48" t="n">
        <x:f>IF($A262="","",SUMIFS('02_ツリー'!$K$5:$K$560,'02_ツリー'!$E$5:$E$560,$A262,'02_ツリー'!$K$5:$K$560,"&lt;0"))</x:f>
        <x:v>0</x:v>
      </x:c>
      <x:c r="D262" s="48" t="n">
        <x:f>IF($A262="","",B262+C262)</x:f>
        <x:v>0.0000450592390525118</x:v>
      </x:c>
      <x:c r="E262" s="48" t="n">
        <x:f>IF($A262="","",B262-C262)</x:f>
        <x:v>0.0000450592390525118</x:v>
      </x:c>
      <x:c r="F262" s="48" t="n">
        <x:f>IF($A262="","",SUMIFS('02_ツリー'!$H$5:$H$560,'02_ツリー'!$E$5:$E$560,$A262,'02_ツリー'!$K$5:$K$560,"&gt;0"))</x:f>
        <x:v>0.0004031828171672528</x:v>
      </x:c>
      <x:c r="G262" s="48" t="n">
        <x:f>IF($A262="","",-SUMIFS('02_ツリー'!$H$5:$H$560,'02_ツリー'!$E$5:$E$560,$A262,'02_ツリー'!$K$5:$K$560,"&lt;0"))</x:f>
        <x:v>0</x:v>
      </x:c>
      <x:c r="H262" s="48" t="n">
        <x:f>IF($A262="","",F262+G262)</x:f>
        <x:v>0.0004031828171672528</x:v>
      </x:c>
      <x:c r="I262" s="244" t="n">
        <x:f>IF($A262="","",--(COUNTIFS('02_ツリー'!$E$5:$E$560,$A262,'02_ツリー'!$O$5:$O$560,0)=0))</x:f>
        <x:v>1</x:v>
      </x:c>
      <x:c r="J262" s="12" t="str">
        <x:f>IF($A262="","",IF(AND(B262&gt;0,C262&lt;0),"正負あり",IF(B262&gt;0,"正のみ",IF(C262&lt;0,"負のみ","ゼロ"))))</x:f>
        <x:v>正のみ</x:v>
      </x:c>
      <x:c r="K262" s="244" t="n">
        <x:f>IF($A262="","",--AND(B262&gt;0,C262&lt;0))</x:f>
        <x:v>0</x:v>
      </x:c>
      <x:c r="L262" s="244" t="n">
        <x:f>IF($A262="","",COUNTIF('02_ツリー'!$E$5:$E$560,$A262))</x:f>
        <x:v>1</x:v>
      </x:c>
      <x:c r="M262" s="244" t="n">
        <x:f>IF($A262="","",--(LEFT(A262,7)="Enable_"))</x:f>
        <x:v>0</x:v>
      </x:c>
      <x:c r="N262" s="12"/>
      <x:c r="O262" s="12"/>
      <x:c r="P262" s="12"/>
      <x:c r="Q262" s="12"/>
      <x:c r="R262" s="12"/>
      <x:c r="S262" s="12"/>
      <x:c r="T262" s="12"/>
      <x:c r="U262" s="12"/>
      <x:c r="V262" s="12"/>
      <x:c r="W262" s="12"/>
      <x:c r="X262" s="12"/>
      <x:c r="Y262" s="12"/>
    </x:row>
    <x:row r="263">
      <x:c r="A263" s="12" t="str">
        <x:f>IFERROR(INDEX('02_ツリー'!$E$5:$E$560,MATCH(ROWS($A$11:A263),'02_ツリー'!$R$5:$R$560,0)),"")</x:f>
        <x:v>a_vgs_ron</x:v>
      </x:c>
      <x:c r="B263" s="48" t="n">
        <x:f>IF($A263="","",SUMIFS('02_ツリー'!$K$5:$K$560,'02_ツリー'!$E$5:$E$560,$A263,'02_ツリー'!$K$5:$K$560,"&gt;0"))</x:f>
        <x:v>0</x:v>
      </x:c>
      <x:c r="C263" s="48" t="n">
        <x:f>IF($A263="","",SUMIFS('02_ツリー'!$K$5:$K$560,'02_ツリー'!$E$5:$E$560,$A263,'02_ツリー'!$K$5:$K$560,"&lt;0"))</x:f>
        <x:v>0</x:v>
      </x:c>
      <x:c r="D263" s="48" t="n">
        <x:f>IF($A263="","",B263+C263)</x:f>
        <x:v>0</x:v>
      </x:c>
      <x:c r="E263" s="48" t="n">
        <x:f>IF($A263="","",B263-C263)</x:f>
        <x:v>0</x:v>
      </x:c>
      <x:c r="F263" s="48" t="n">
        <x:f>IF($A263="","",SUMIFS('02_ツリー'!$H$5:$H$560,'02_ツリー'!$E$5:$E$560,$A263,'02_ツリー'!$K$5:$K$560,"&gt;0"))</x:f>
        <x:v>0</x:v>
      </x:c>
      <x:c r="G263" s="48" t="n">
        <x:f>IF($A263="","",-SUMIFS('02_ツリー'!$H$5:$H$560,'02_ツリー'!$E$5:$E$560,$A263,'02_ツリー'!$K$5:$K$560,"&lt;0"))</x:f>
        <x:v>0</x:v>
      </x:c>
      <x:c r="H263" s="48" t="n">
        <x:f>IF($A263="","",F263+G263)</x:f>
        <x:v>0</x:v>
      </x:c>
      <x:c r="I263" s="244" t="n">
        <x:f>IF($A263="","",--(COUNTIFS('02_ツリー'!$E$5:$E$560,$A263,'02_ツリー'!$O$5:$O$560,0)=0))</x:f>
        <x:v>1</x:v>
      </x:c>
      <x:c r="J263" s="12" t="str">
        <x:f>IF($A263="","",IF(AND(B263&gt;0,C263&lt;0),"正負あり",IF(B263&gt;0,"正のみ",IF(C263&lt;0,"負のみ","ゼロ"))))</x:f>
        <x:v>ゼロ</x:v>
      </x:c>
      <x:c r="K263" s="244" t="n">
        <x:f>IF($A263="","",--AND(B263&gt;0,C263&lt;0))</x:f>
        <x:v>0</x:v>
      </x:c>
      <x:c r="L263" s="244" t="n">
        <x:f>IF($A263="","",COUNTIF('02_ツリー'!$E$5:$E$560,$A263))</x:f>
        <x:v>1</x:v>
      </x:c>
      <x:c r="M263" s="244" t="n">
        <x:f>IF($A263="","",--(LEFT(A263,7)="Enable_"))</x:f>
        <x:v>0</x:v>
      </x:c>
      <x:c r="N263" s="12"/>
      <x:c r="O263" s="12"/>
      <x:c r="P263" s="12"/>
      <x:c r="Q263" s="12"/>
      <x:c r="R263" s="12"/>
      <x:c r="S263" s="12"/>
      <x:c r="T263" s="12"/>
      <x:c r="U263" s="12"/>
      <x:c r="V263" s="12"/>
      <x:c r="W263" s="12"/>
      <x:c r="X263" s="12"/>
      <x:c r="Y263" s="12"/>
    </x:row>
    <x:row r="264">
      <x:c r="A264" s="12" t="str">
        <x:f>IFERROR(INDEX('02_ツリー'!$E$5:$E$560,MATCH(ROWS($A$11:A264),'02_ツリー'!$R$5:$R$560,0)),"")</x:f>
        <x:v>P_gate</x:v>
      </x:c>
      <x:c r="B264" s="48" t="n">
        <x:f>IF($A264="","",SUMIFS('02_ツリー'!$K$5:$K$560,'02_ツリー'!$E$5:$E$560,$A264,'02_ツリー'!$K$5:$K$560,"&gt;0"))</x:f>
        <x:v>0.0008121267971130641</x:v>
      </x:c>
      <x:c r="C264" s="48" t="n">
        <x:f>IF($A264="","",SUMIFS('02_ツリー'!$K$5:$K$560,'02_ツリー'!$E$5:$E$560,$A264,'02_ツリー'!$K$5:$K$560,"&lt;0"))</x:f>
        <x:v>0</x:v>
      </x:c>
      <x:c r="D264" s="48" t="n">
        <x:f>IF($A264="","",B264+C264)</x:f>
        <x:v>0.0008121267971130641</x:v>
      </x:c>
      <x:c r="E264" s="48" t="n">
        <x:f>IF($A264="","",B264-C264)</x:f>
        <x:v>0.0008121267971130641</x:v>
      </x:c>
      <x:c r="F264" s="48" t="n">
        <x:f>IF($A264="","",SUMIFS('02_ツリー'!$H$5:$H$560,'02_ツリー'!$E$5:$E$560,$A264,'02_ツリー'!$K$5:$K$560,"&gt;0"))</x:f>
        <x:v>0.007266779840100527</x:v>
      </x:c>
      <x:c r="G264" s="48" t="n">
        <x:f>IF($A264="","",-SUMIFS('02_ツリー'!$H$5:$H$560,'02_ツリー'!$E$5:$E$560,$A264,'02_ツリー'!$K$5:$K$560,"&lt;0"))</x:f>
        <x:v>0</x:v>
      </x:c>
      <x:c r="H264" s="48" t="n">
        <x:f>IF($A264="","",F264+G264)</x:f>
        <x:v>0.007266779840100527</x:v>
      </x:c>
      <x:c r="I264" s="244" t="n">
        <x:f>IF($A264="","",--(COUNTIFS('02_ツリー'!$E$5:$E$560,$A264,'02_ツリー'!$O$5:$O$560,0)=0))</x:f>
        <x:v>0</x:v>
      </x:c>
      <x:c r="J264" s="12" t="str">
        <x:f>IF($A264="","",IF(AND(B264&gt;0,C264&lt;0),"正負あり",IF(B264&gt;0,"正のみ",IF(C264&lt;0,"負のみ","ゼロ"))))</x:f>
        <x:v>正のみ</x:v>
      </x:c>
      <x:c r="K264" s="244" t="n">
        <x:f>IF($A264="","",--AND(B264&gt;0,C264&lt;0))</x:f>
        <x:v>0</x:v>
      </x:c>
      <x:c r="L264" s="244" t="n">
        <x:f>IF($A264="","",COUNTIF('02_ツリー'!$E$5:$E$560,$A264))</x:f>
        <x:v>2</x:v>
      </x:c>
      <x:c r="M264" s="244" t="n">
        <x:f>IF($A264="","",--(LEFT(A264,7)="Enable_"))</x:f>
        <x:v>0</x:v>
      </x:c>
      <x:c r="N264" s="12"/>
      <x:c r="O264" s="12"/>
      <x:c r="P264" s="12"/>
      <x:c r="Q264" s="12"/>
      <x:c r="R264" s="12"/>
      <x:c r="S264" s="12"/>
      <x:c r="T264" s="12"/>
      <x:c r="U264" s="12"/>
      <x:c r="V264" s="12"/>
      <x:c r="W264" s="12"/>
      <x:c r="X264" s="12"/>
      <x:c r="Y264" s="12"/>
    </x:row>
    <x:row r="265">
      <x:c r="A265" s="12" t="str">
        <x:f>IFERROR(INDEX('02_ツリー'!$E$5:$E$560,MATCH(ROWS($A$11:A265),'02_ツリー'!$R$5:$R$560,0)),"")</x:f>
        <x:v>Q_g</x:v>
      </x:c>
      <x:c r="B265" s="48" t="n">
        <x:f>IF($A265="","",SUMIFS('02_ツリー'!$K$5:$K$560,'02_ツリー'!$E$5:$E$560,$A265,'02_ツリー'!$K$5:$K$560,"&gt;0"))</x:f>
        <x:v>0.0000010259281694089028</x:v>
      </x:c>
      <x:c r="C265" s="48" t="n">
        <x:f>IF($A265="","",SUMIFS('02_ツリー'!$K$5:$K$560,'02_ツリー'!$E$5:$E$560,$A265,'02_ツリー'!$K$5:$K$560,"&lt;0"))</x:f>
        <x:v>0</x:v>
      </x:c>
      <x:c r="D265" s="48" t="n">
        <x:f>IF($A265="","",B265+C265)</x:f>
        <x:v>0.0000010259281694089028</x:v>
      </x:c>
      <x:c r="E265" s="48" t="n">
        <x:f>IF($A265="","",B265-C265)</x:f>
        <x:v>0.0000010259281694089028</x:v>
      </x:c>
      <x:c r="F265" s="48" t="n">
        <x:f>IF($A265="","",SUMIFS('02_ツリー'!$H$5:$H$560,'02_ツリー'!$E$5:$E$560,$A265,'02_ツリー'!$K$5:$K$560,"&gt;0"))</x:f>
        <x:v>0.000009179840100527975</x:v>
      </x:c>
      <x:c r="G265" s="48" t="n">
        <x:f>IF($A265="","",-SUMIFS('02_ツリー'!$H$5:$H$560,'02_ツリー'!$E$5:$E$560,$A265,'02_ツリー'!$K$5:$K$560,"&lt;0"))</x:f>
        <x:v>0</x:v>
      </x:c>
      <x:c r="H265" s="48" t="n">
        <x:f>IF($A265="","",F265+G265)</x:f>
        <x:v>0.000009179840100527975</x:v>
      </x:c>
      <x:c r="I265" s="244" t="n">
        <x:f>IF($A265="","",--(COUNTIFS('02_ツリー'!$E$5:$E$560,$A265,'02_ツリー'!$O$5:$O$560,0)=0))</x:f>
        <x:v>1</x:v>
      </x:c>
      <x:c r="J265" s="12" t="str">
        <x:f>IF($A265="","",IF(AND(B265&gt;0,C265&lt;0),"正負あり",IF(B265&gt;0,"正のみ",IF(C265&lt;0,"負のみ","ゼロ"))))</x:f>
        <x:v>正のみ</x:v>
      </x:c>
      <x:c r="K265" s="244" t="n">
        <x:f>IF($A265="","",--AND(B265&gt;0,C265&lt;0))</x:f>
        <x:v>0</x:v>
      </x:c>
      <x:c r="L265" s="244" t="n">
        <x:f>IF($A265="","",COUNTIF('02_ツリー'!$E$5:$E$560,$A265))</x:f>
        <x:v>1</x:v>
      </x:c>
      <x:c r="M265" s="244" t="n">
        <x:f>IF($A265="","",--(LEFT(A265,7)="Enable_"))</x:f>
        <x:v>0</x:v>
      </x:c>
      <x:c r="N265" s="12"/>
      <x:c r="O265" s="12"/>
      <x:c r="P265" s="12"/>
      <x:c r="Q265" s="12"/>
      <x:c r="R265" s="12"/>
      <x:c r="S265" s="12"/>
      <x:c r="T265" s="12"/>
      <x:c r="U265" s="12"/>
      <x:c r="V265" s="12"/>
      <x:c r="W265" s="12"/>
      <x:c r="X265" s="12"/>
      <x:c r="Y265" s="12"/>
    </x:row>
    <x:row r="266">
      <x:c r="A266" s="12" t="str">
        <x:f>IFERROR(INDEX('02_ツリー'!$E$5:$E$560,MATCH(ROWS($A$11:A266),'02_ツリー'!$R$5:$R$560,0)),"")</x:f>
        <x:v>Vgs_off</x:v>
      </x:c>
      <x:c r="B266" s="48" t="n">
        <x:f>IF($A266="","",SUMIFS('02_ツリー'!$K$5:$K$560,'02_ツリー'!$E$5:$E$560,$A266,'02_ツリー'!$K$5:$K$560,"&gt;0"))</x:f>
        <x:v>0.0013411059340999593</x:v>
      </x:c>
      <x:c r="C266" s="48" t="n">
        <x:f>IF($A266="","",SUMIFS('02_ツリー'!$K$5:$K$560,'02_ツリー'!$E$5:$E$560,$A266,'02_ツリー'!$K$5:$K$560,"&lt;0"))</x:f>
        <x:v>-1.4656116705841468e-7</x:v>
      </x:c>
      <x:c r="D266" s="48" t="n">
        <x:f>IF($A266="","",B266+C266)</x:f>
        <x:v>0.0013409593729329008</x:v>
      </x:c>
      <x:c r="E266" s="48" t="n">
        <x:f>IF($A266="","",B266-C266)</x:f>
        <x:v>0.0013412524952670177</x:v>
      </x:c>
      <x:c r="F266" s="48" t="n">
        <x:f>IF($A266="","",SUMIFS('02_ツリー'!$H$5:$H$560,'02_ツリー'!$E$5:$E$560,$A266,'02_ツリー'!$K$5:$K$560,"&gt;0"))</x:f>
        <x:v>0.012</x:v>
      </x:c>
      <x:c r="G266" s="48" t="n">
        <x:f>IF($A266="","",-SUMIFS('02_ツリー'!$H$5:$H$560,'02_ツリー'!$E$5:$E$560,$A266,'02_ツリー'!$K$5:$K$560,"&lt;0"))</x:f>
        <x:v>-0.0000013114057286468535</x:v>
      </x:c>
      <x:c r="H266" s="48" t="n">
        <x:f>IF($A266="","",F266+G266)</x:f>
        <x:v>0.011998688594271353</x:v>
      </x:c>
      <x:c r="I266" s="244" t="n">
        <x:f>IF($A266="","",--(COUNTIFS('02_ツリー'!$E$5:$E$560,$A266,'02_ツリー'!$O$5:$O$560,0)=0))</x:f>
        <x:v>1</x:v>
      </x:c>
      <x:c r="J266" s="12" t="str">
        <x:f>IF($A266="","",IF(AND(B266&gt;0,C266&lt;0),"正負あり",IF(B266&gt;0,"正のみ",IF(C266&lt;0,"負のみ","ゼロ"))))</x:f>
        <x:v>正負あり</x:v>
      </x:c>
      <x:c r="K266" s="244" t="n">
        <x:f>IF($A266="","",--AND(B266&gt;0,C266&lt;0))</x:f>
        <x:v>1</x:v>
      </x:c>
      <x:c r="L266" s="244" t="n">
        <x:f>IF($A266="","",COUNTIF('02_ツリー'!$E$5:$E$560,$A266))</x:f>
        <x:v>2</x:v>
      </x:c>
      <x:c r="M266" s="244" t="n">
        <x:f>IF($A266="","",--(LEFT(A266,7)="Enable_"))</x:f>
        <x:v>0</x:v>
      </x:c>
      <x:c r="N266" s="12"/>
      <x:c r="O266" s="12"/>
      <x:c r="P266" s="12"/>
      <x:c r="Q266" s="12"/>
      <x:c r="R266" s="12"/>
      <x:c r="S266" s="12"/>
      <x:c r="T266" s="12"/>
      <x:c r="U266" s="12"/>
      <x:c r="V266" s="12"/>
      <x:c r="W266" s="12"/>
      <x:c r="X266" s="12"/>
      <x:c r="Y266" s="12"/>
    </x:row>
    <x:row r="267">
      <x:c r="A267" s="12" t="str">
        <x:f>IFERROR(INDEX('02_ツリー'!$E$5:$E$560,MATCH(ROWS($A$11:A267),'02_ツリー'!$R$5:$R$560,0)),"")</x:f>
        <x:v>M_gate_supply</x:v>
      </x:c>
      <x:c r="B267" s="48" t="n">
        <x:f>IF($A267="","",SUMIFS('02_ツリー'!$K$5:$K$560,'02_ツリー'!$E$5:$E$560,$A267,'02_ツリー'!$K$5:$K$560,"&gt;0"))</x:f>
        <x:v>0.0021522068030436145</x:v>
      </x:c>
      <x:c r="C267" s="48" t="n">
        <x:f>IF($A267="","",SUMIFS('02_ツリー'!$K$5:$K$560,'02_ツリー'!$E$5:$E$560,$A267,'02_ツリー'!$K$5:$K$560,"&lt;0"))</x:f>
        <x:v>0</x:v>
      </x:c>
      <x:c r="D267" s="48" t="n">
        <x:f>IF($A267="","",B267+C267)</x:f>
        <x:v>0.0021522068030436145</x:v>
      </x:c>
      <x:c r="E267" s="48" t="n">
        <x:f>IF($A267="","",B267-C267)</x:f>
        <x:v>0.0021522068030436145</x:v>
      </x:c>
      <x:c r="F267" s="48" t="n">
        <x:f>IF($A267="","",SUMIFS('02_ツリー'!$H$5:$H$560,'02_ツリー'!$E$5:$E$560,$A267,'02_ツリー'!$K$5:$K$560,"&gt;0"))</x:f>
        <x:v>0.0192576</x:v>
      </x:c>
      <x:c r="G267" s="48" t="n">
        <x:f>IF($A267="","",-SUMIFS('02_ツリー'!$H$5:$H$560,'02_ツリー'!$E$5:$E$560,$A267,'02_ツリー'!$K$5:$K$560,"&lt;0"))</x:f>
        <x:v>0</x:v>
      </x:c>
      <x:c r="H267" s="48" t="n">
        <x:f>IF($A267="","",F267+G267)</x:f>
        <x:v>0.0192576</x:v>
      </x:c>
      <x:c r="I267" s="244" t="n">
        <x:f>IF($A267="","",--(COUNTIFS('02_ツリー'!$E$5:$E$560,$A267,'02_ツリー'!$O$5:$O$560,0)=0))</x:f>
        <x:v>0</x:v>
      </x:c>
      <x:c r="J267" s="12" t="str">
        <x:f>IF($A267="","",IF(AND(B267&gt;0,C267&lt;0),"正負あり",IF(B267&gt;0,"正のみ",IF(C267&lt;0,"負のみ","ゼロ"))))</x:f>
        <x:v>正のみ</x:v>
      </x:c>
      <x:c r="K267" s="244" t="n">
        <x:f>IF($A267="","",--AND(B267&gt;0,C267&lt;0))</x:f>
        <x:v>0</x:v>
      </x:c>
      <x:c r="L267" s="244" t="n">
        <x:f>IF($A267="","",COUNTIF('02_ツリー'!$E$5:$E$560,$A267))</x:f>
        <x:v>1</x:v>
      </x:c>
      <x:c r="M267" s="244" t="n">
        <x:f>IF($A267="","",--(LEFT(A267,7)="Enable_"))</x:f>
        <x:v>0</x:v>
      </x:c>
      <x:c r="N267" s="12"/>
      <x:c r="O267" s="12"/>
      <x:c r="P267" s="12"/>
      <x:c r="Q267" s="12"/>
      <x:c r="R267" s="12"/>
      <x:c r="S267" s="12"/>
      <x:c r="T267" s="12"/>
      <x:c r="U267" s="12"/>
      <x:c r="V267" s="12"/>
      <x:c r="W267" s="12"/>
      <x:c r="X267" s="12"/>
      <x:c r="Y267" s="12"/>
    </x:row>
    <x:row r="268">
      <x:c r="A268" s="12" t="str">
        <x:f>IFERROR(INDEX('02_ツリー'!$E$5:$E$560,MATCH(ROWS($A$11:A268),'02_ツリー'!$R$5:$R$560,0)),"")</x:f>
        <x:v>k_mgate</x:v>
      </x:c>
      <x:c r="B268" s="48" t="n">
        <x:f>IF($A268="","",SUMIFS('02_ツリー'!$K$5:$K$560,'02_ツリー'!$E$5:$E$560,$A268,'02_ツリー'!$K$5:$K$560,"&gt;0"))</x:f>
        <x:v>0.0008111008689436551</x:v>
      </x:c>
      <x:c r="C268" s="48" t="n">
        <x:f>IF($A268="","",SUMIFS('02_ツリー'!$K$5:$K$560,'02_ツリー'!$E$5:$E$560,$A268,'02_ツリー'!$K$5:$K$560,"&lt;0"))</x:f>
        <x:v>0</x:v>
      </x:c>
      <x:c r="D268" s="48" t="n">
        <x:f>IF($A268="","",B268+C268)</x:f>
        <x:v>0.0008111008689436551</x:v>
      </x:c>
      <x:c r="E268" s="48" t="n">
        <x:f>IF($A268="","",B268-C268)</x:f>
        <x:v>0.0008111008689436551</x:v>
      </x:c>
      <x:c r="F268" s="48" t="n">
        <x:f>IF($A268="","",SUMIFS('02_ツリー'!$H$5:$H$560,'02_ツリー'!$E$5:$E$560,$A268,'02_ツリー'!$K$5:$K$560,"&gt;0"))</x:f>
        <x:v>0.007257599999999999</x:v>
      </x:c>
      <x:c r="G268" s="48" t="n">
        <x:f>IF($A268="","",-SUMIFS('02_ツリー'!$H$5:$H$560,'02_ツリー'!$E$5:$E$560,$A268,'02_ツリー'!$K$5:$K$560,"&lt;0"))</x:f>
        <x:v>0</x:v>
      </x:c>
      <x:c r="H268" s="48" t="n">
        <x:f>IF($A268="","",F268+G268)</x:f>
        <x:v>0.007257599999999999</x:v>
      </x:c>
      <x:c r="I268" s="244" t="n">
        <x:f>IF($A268="","",--(COUNTIFS('02_ツリー'!$E$5:$E$560,$A268,'02_ツリー'!$O$5:$O$560,0)=0))</x:f>
        <x:v>1</x:v>
      </x:c>
      <x:c r="J268" s="12" t="str">
        <x:f>IF($A268="","",IF(AND(B268&gt;0,C268&lt;0),"正負あり",IF(B268&gt;0,"正のみ",IF(C268&lt;0,"負のみ","ゼロ"))))</x:f>
        <x:v>正のみ</x:v>
      </x:c>
      <x:c r="K268" s="244" t="n">
        <x:f>IF($A268="","",--AND(B268&gt;0,C268&lt;0))</x:f>
        <x:v>0</x:v>
      </x:c>
      <x:c r="L268" s="244" t="n">
        <x:f>IF($A268="","",COUNTIF('02_ツリー'!$E$5:$E$560,$A268))</x:f>
        <x:v>1</x:v>
      </x:c>
      <x:c r="M268" s="244" t="n">
        <x:f>IF($A268="","",--(LEFT(A268,7)="Enable_"))</x:f>
        <x:v>0</x:v>
      </x:c>
      <x:c r="N268" s="12"/>
      <x:c r="O268" s="12"/>
      <x:c r="P268" s="12"/>
      <x:c r="Q268" s="12"/>
      <x:c r="R268" s="12"/>
      <x:c r="S268" s="12"/>
      <x:c r="T268" s="12"/>
      <x:c r="U268" s="12"/>
      <x:c r="V268" s="12"/>
      <x:c r="W268" s="12"/>
      <x:c r="X268" s="12"/>
      <x:c r="Y268" s="12"/>
    </x:row>
    <x:row r="269">
      <x:c r="A269" s="12" t="str">
        <x:f>IFERROR(INDEX('02_ツリー'!$E$5:$E$560,MATCH(ROWS($A$11:A269),'02_ツリー'!$R$5:$R$560,0)),"")</x:f>
        <x:v>k_mneg</x:v>
      </x:c>
      <x:c r="B269" s="48" t="n">
        <x:f>IF($A269="","",SUMIFS('02_ツリー'!$K$5:$K$560,'02_ツリー'!$E$5:$E$560,$A269,'02_ツリー'!$K$5:$K$560,"&gt;0"))</x:f>
        <x:v>0.0013411059340999593</x:v>
      </x:c>
      <x:c r="C269" s="48" t="n">
        <x:f>IF($A269="","",SUMIFS('02_ツリー'!$K$5:$K$560,'02_ツリー'!$E$5:$E$560,$A269,'02_ツリー'!$K$5:$K$560,"&lt;0"))</x:f>
        <x:v>0</x:v>
      </x:c>
      <x:c r="D269" s="48" t="n">
        <x:f>IF($A269="","",B269+C269)</x:f>
        <x:v>0.0013411059340999593</x:v>
      </x:c>
      <x:c r="E269" s="48" t="n">
        <x:f>IF($A269="","",B269-C269)</x:f>
        <x:v>0.0013411059340999593</x:v>
      </x:c>
      <x:c r="F269" s="48" t="n">
        <x:f>IF($A269="","",SUMIFS('02_ツリー'!$H$5:$H$560,'02_ツリー'!$E$5:$E$560,$A269,'02_ツリー'!$K$5:$K$560,"&gt;0"))</x:f>
        <x:v>0.012</x:v>
      </x:c>
      <x:c r="G269" s="48" t="n">
        <x:f>IF($A269="","",-SUMIFS('02_ツリー'!$H$5:$H$560,'02_ツリー'!$E$5:$E$560,$A269,'02_ツリー'!$K$5:$K$560,"&lt;0"))</x:f>
        <x:v>0</x:v>
      </x:c>
      <x:c r="H269" s="48" t="n">
        <x:f>IF($A269="","",F269+G269)</x:f>
        <x:v>0.012</x:v>
      </x:c>
      <x:c r="I269" s="244" t="n">
        <x:f>IF($A269="","",--(COUNTIFS('02_ツリー'!$E$5:$E$560,$A269,'02_ツリー'!$O$5:$O$560,0)=0))</x:f>
        <x:v>1</x:v>
      </x:c>
      <x:c r="J269" s="12" t="str">
        <x:f>IF($A269="","",IF(AND(B269&gt;0,C269&lt;0),"正負あり",IF(B269&gt;0,"正のみ",IF(C269&lt;0,"負のみ","ゼロ"))))</x:f>
        <x:v>正のみ</x:v>
      </x:c>
      <x:c r="K269" s="244" t="n">
        <x:f>IF($A269="","",--AND(B269&gt;0,C269&lt;0))</x:f>
        <x:v>0</x:v>
      </x:c>
      <x:c r="L269" s="244" t="n">
        <x:f>IF($A269="","",COUNTIF('02_ツリー'!$E$5:$E$560,$A269))</x:f>
        <x:v>1</x:v>
      </x:c>
      <x:c r="M269" s="244" t="n">
        <x:f>IF($A269="","",--(LEFT(A269,7)="Enable_"))</x:f>
        <x:v>0</x:v>
      </x:c>
      <x:c r="N269" s="12"/>
      <x:c r="O269" s="12"/>
      <x:c r="P269" s="12"/>
      <x:c r="Q269" s="12"/>
      <x:c r="R269" s="12"/>
      <x:c r="S269" s="12"/>
      <x:c r="T269" s="12"/>
      <x:c r="U269" s="12"/>
      <x:c r="V269" s="12"/>
      <x:c r="W269" s="12"/>
      <x:c r="X269" s="12"/>
      <x:c r="Y269" s="12"/>
    </x:row>
    <x:row r="270">
      <x:c r="A270" s="12" t="str">
        <x:f>IFERROR(INDEX('02_ツリー'!$E$5:$E$560,MATCH(ROWS($A$11:A270),'02_ツリー'!$R$5:$R$560,0)),"")</x:f>
        <x:v>M_gate_option</x:v>
      </x:c>
      <x:c r="B270" s="48" t="n">
        <x:f>IF($A270="","",SUMIFS('02_ツリー'!$K$5:$K$560,'02_ツリー'!$E$5:$E$560,$A270,'02_ツリー'!$K$5:$K$560,"&gt;0"))</x:f>
        <x:v>0</x:v>
      </x:c>
      <x:c r="C270" s="48" t="n">
        <x:f>IF($A270="","",SUMIFS('02_ツリー'!$K$5:$K$560,'02_ツリー'!$E$5:$E$560,$A270,'02_ツリー'!$K$5:$K$560,"&lt;0"))</x:f>
        <x:v>0</x:v>
      </x:c>
      <x:c r="D270" s="48" t="n">
        <x:f>IF($A270="","",B270+C270)</x:f>
        <x:v>0</x:v>
      </x:c>
      <x:c r="E270" s="48" t="n">
        <x:f>IF($A270="","",B270-C270)</x:f>
        <x:v>0</x:v>
      </x:c>
      <x:c r="F270" s="48" t="n">
        <x:f>IF($A270="","",SUMIFS('02_ツリー'!$H$5:$H$560,'02_ツリー'!$E$5:$E$560,$A270,'02_ツリー'!$K$5:$K$560,"&gt;0"))</x:f>
        <x:v>0</x:v>
      </x:c>
      <x:c r="G270" s="48" t="n">
        <x:f>IF($A270="","",-SUMIFS('02_ツリー'!$H$5:$H$560,'02_ツリー'!$E$5:$E$560,$A270,'02_ツリー'!$K$5:$K$560,"&lt;0"))</x:f>
        <x:v>0</x:v>
      </x:c>
      <x:c r="H270" s="48" t="n">
        <x:f>IF($A270="","",F270+G270)</x:f>
        <x:v>0</x:v>
      </x:c>
      <x:c r="I270" s="244" t="n">
        <x:f>IF($A270="","",--(COUNTIFS('02_ツリー'!$E$5:$E$560,$A270,'02_ツリー'!$O$5:$O$560,0)=0))</x:f>
        <x:v>0</x:v>
      </x:c>
      <x:c r="J270" s="12" t="str">
        <x:f>IF($A270="","",IF(AND(B270&gt;0,C270&lt;0),"正負あり",IF(B270&gt;0,"正のみ",IF(C270&lt;0,"負のみ","ゼロ"))))</x:f>
        <x:v>ゼロ</x:v>
      </x:c>
      <x:c r="K270" s="244" t="n">
        <x:f>IF($A270="","",--AND(B270&gt;0,C270&lt;0))</x:f>
        <x:v>0</x:v>
      </x:c>
      <x:c r="L270" s="244" t="n">
        <x:f>IF($A270="","",COUNTIF('02_ツリー'!$E$5:$E$560,$A270))</x:f>
        <x:v>1</x:v>
      </x:c>
      <x:c r="M270" s="244" t="n">
        <x:f>IF($A270="","",--(LEFT(A270,7)="Enable_"))</x:f>
        <x:v>0</x:v>
      </x:c>
      <x:c r="N270" s="12"/>
      <x:c r="O270" s="12"/>
      <x:c r="P270" s="12"/>
      <x:c r="Q270" s="12"/>
      <x:c r="R270" s="12"/>
      <x:c r="S270" s="12"/>
      <x:c r="T270" s="12"/>
      <x:c r="U270" s="12"/>
      <x:c r="V270" s="12"/>
      <x:c r="W270" s="12"/>
      <x:c r="X270" s="12"/>
      <x:c r="Y270" s="12"/>
    </x:row>
    <x:row r="271">
      <x:c r="A271" s="12" t="str">
        <x:f>IFERROR(INDEX('02_ツリー'!$E$5:$E$560,MATCH(ROWS($A$11:A271),'02_ツリー'!$R$5:$R$560,0)),"")</x:f>
        <x:v>M_lowL_layout</x:v>
      </x:c>
      <x:c r="B271" s="48" t="n">
        <x:f>IF($A271="","",SUMIFS('02_ツリー'!$K$5:$K$560,'02_ツリー'!$E$5:$E$560,$A271,'02_ツリー'!$K$5:$K$560,"&gt;0"))</x:f>
        <x:v>0.005587941392083164</x:v>
      </x:c>
      <x:c r="C271" s="48" t="n">
        <x:f>IF($A271="","",SUMIFS('02_ツリー'!$K$5:$K$560,'02_ツリー'!$E$5:$E$560,$A271,'02_ツリー'!$K$5:$K$560,"&lt;0"))</x:f>
        <x:v>0</x:v>
      </x:c>
      <x:c r="D271" s="48" t="n">
        <x:f>IF($A271="","",B271+C271)</x:f>
        <x:v>0.005587941392083164</x:v>
      </x:c>
      <x:c r="E271" s="48" t="n">
        <x:f>IF($A271="","",B271-C271)</x:f>
        <x:v>0.005587941392083164</x:v>
      </x:c>
      <x:c r="F271" s="48" t="n">
        <x:f>IF($A271="","",SUMIFS('02_ツリー'!$H$5:$H$560,'02_ツリー'!$E$5:$E$560,$A271,'02_ツリー'!$K$5:$K$560,"&gt;0"))</x:f>
        <x:v>0.05</x:v>
      </x:c>
      <x:c r="G271" s="48" t="n">
        <x:f>IF($A271="","",-SUMIFS('02_ツリー'!$H$5:$H$560,'02_ツリー'!$E$5:$E$560,$A271,'02_ツリー'!$K$5:$K$560,"&lt;0"))</x:f>
        <x:v>0</x:v>
      </x:c>
      <x:c r="H271" s="48" t="n">
        <x:f>IF($A271="","",F271+G271)</x:f>
        <x:v>0.05</x:v>
      </x:c>
      <x:c r="I271" s="244" t="n">
        <x:f>IF($A271="","",--(COUNTIFS('02_ツリー'!$E$5:$E$560,$A271,'02_ツリー'!$O$5:$O$560,0)=0))</x:f>
        <x:v>0</x:v>
      </x:c>
      <x:c r="J271" s="12" t="str">
        <x:f>IF($A271="","",IF(AND(B271&gt;0,C271&lt;0),"正負あり",IF(B271&gt;0,"正のみ",IF(C271&lt;0,"負のみ","ゼロ"))))</x:f>
        <x:v>正のみ</x:v>
      </x:c>
      <x:c r="K271" s="244" t="n">
        <x:f>IF($A271="","",--AND(B271&gt;0,C271&lt;0))</x:f>
        <x:v>0</x:v>
      </x:c>
      <x:c r="L271" s="244" t="n">
        <x:f>IF($A271="","",COUNTIF('02_ツリー'!$E$5:$E$560,$A271))</x:f>
        <x:v>1</x:v>
      </x:c>
      <x:c r="M271" s="244" t="n">
        <x:f>IF($A271="","",--(LEFT(A271,7)="Enable_"))</x:f>
        <x:v>0</x:v>
      </x:c>
      <x:c r="N271" s="12"/>
      <x:c r="O271" s="12"/>
      <x:c r="P271" s="12"/>
      <x:c r="Q271" s="12"/>
      <x:c r="R271" s="12"/>
      <x:c r="S271" s="12"/>
      <x:c r="T271" s="12"/>
      <x:c r="U271" s="12"/>
      <x:c r="V271" s="12"/>
      <x:c r="W271" s="12"/>
      <x:c r="X271" s="12"/>
      <x:c r="Y271" s="12"/>
    </x:row>
    <x:row r="272">
      <x:c r="A272" s="12" t="str">
        <x:f>IFERROR(INDEX('02_ツリー'!$E$5:$E$560,MATCH(ROWS($A$11:A272),'02_ツリー'!$R$5:$R$560,0)),"")</x:f>
        <x:v>L_stray</x:v>
      </x:c>
      <x:c r="B272" s="48" t="n">
        <x:f>IF($A272="","",SUMIFS('02_ツリー'!$K$5:$K$560,'02_ツリー'!$E$5:$E$560,$A272,'02_ツリー'!$K$5:$K$560,"&gt;0"))</x:f>
        <x:v>0.000006188236369318812</x:v>
      </x:c>
      <x:c r="C272" s="48" t="n">
        <x:f>IF($A272="","",SUMIFS('02_ツリー'!$K$5:$K$560,'02_ツリー'!$E$5:$E$560,$A272,'02_ツリー'!$K$5:$K$560,"&lt;0"))</x:f>
        <x:v>-0.005705998855338202</x:v>
      </x:c>
      <x:c r="D272" s="48" t="n">
        <x:f>IF($A272="","",B272+C272)</x:f>
        <x:v>-0.005699810618968883</x:v>
      </x:c>
      <x:c r="E272" s="48" t="n">
        <x:f>IF($A272="","",B272-C272)</x:f>
        <x:v>0.0057121870917075206</x:v>
      </x:c>
      <x:c r="F272" s="48" t="n">
        <x:f>IF($A272="","",SUMIFS('02_ツリー'!$H$5:$H$560,'02_ツリー'!$E$5:$E$560,$A272,'02_ツリー'!$K$5:$K$560,"&gt;0"))</x:f>
        <x:v>0.00005537134281764417</x:v>
      </x:c>
      <x:c r="G272" s="48" t="n">
        <x:f>IF($A272="","",-SUMIFS('02_ツリー'!$H$5:$H$560,'02_ツリー'!$E$5:$E$560,$A272,'02_ツリー'!$K$5:$K$560,"&lt;0"))</x:f>
        <x:v>-0.051056359175691235</x:v>
      </x:c>
      <x:c r="H272" s="48" t="n">
        <x:f>IF($A272="","",F272+G272)</x:f>
        <x:v>-0.051000987832873594</x:v>
      </x:c>
      <x:c r="I272" s="244" t="n">
        <x:f>IF($A272="","",--(COUNTIFS('02_ツリー'!$E$5:$E$560,$A272,'02_ツリー'!$O$5:$O$560,0)=0))</x:f>
        <x:v>1</x:v>
      </x:c>
      <x:c r="J272" s="12" t="str">
        <x:f>IF($A272="","",IF(AND(B272&gt;0,C272&lt;0),"正負あり",IF(B272&gt;0,"正のみ",IF(C272&lt;0,"負のみ","ゼロ"))))</x:f>
        <x:v>正負あり</x:v>
      </x:c>
      <x:c r="K272" s="244" t="n">
        <x:f>IF($A272="","",--AND(B272&gt;0,C272&lt;0))</x:f>
        <x:v>1</x:v>
      </x:c>
      <x:c r="L272" s="244" t="n">
        <x:f>IF($A272="","",COUNTIF('02_ツリー'!$E$5:$E$560,$A272))</x:f>
        <x:v>4</x:v>
      </x:c>
      <x:c r="M272" s="244" t="n">
        <x:f>IF($A272="","",--(LEFT(A272,7)="Enable_"))</x:f>
        <x:v>0</x:v>
      </x:c>
      <x:c r="N272" s="12"/>
      <x:c r="O272" s="12"/>
      <x:c r="P272" s="12"/>
      <x:c r="Q272" s="12"/>
      <x:c r="R272" s="12"/>
      <x:c r="S272" s="12"/>
      <x:c r="T272" s="12"/>
      <x:c r="U272" s="12"/>
      <x:c r="V272" s="12"/>
      <x:c r="W272" s="12"/>
      <x:c r="X272" s="12"/>
      <x:c r="Y272" s="12"/>
    </x:row>
    <x:row r="273">
      <x:c r="A273" s="12" t="str">
        <x:f>IFERROR(INDEX('02_ツリー'!$E$5:$E$560,MATCH(ROWS($A$11:A273),'02_ツリー'!$R$5:$R$560,0)),"")</x:f>
        <x:v>L_stray_ref</x:v>
      </x:c>
      <x:c r="B273" s="48" t="n">
        <x:f>IF($A273="","",SUMIFS('02_ツリー'!$K$5:$K$560,'02_ツリー'!$E$5:$E$560,$A273,'02_ツリー'!$K$5:$K$560,"&gt;0"))</x:f>
        <x:v>0.005587941392083164</x:v>
      </x:c>
      <x:c r="C273" s="48" t="n">
        <x:f>IF($A273="","",SUMIFS('02_ツリー'!$K$5:$K$560,'02_ツリー'!$E$5:$E$560,$A273,'02_ツリー'!$K$5:$K$560,"&lt;0"))</x:f>
        <x:v>0</x:v>
      </x:c>
      <x:c r="D273" s="48" t="n">
        <x:f>IF($A273="","",B273+C273)</x:f>
        <x:v>0.005587941392083164</x:v>
      </x:c>
      <x:c r="E273" s="48" t="n">
        <x:f>IF($A273="","",B273-C273)</x:f>
        <x:v>0.005587941392083164</x:v>
      </x:c>
      <x:c r="F273" s="48" t="n">
        <x:f>IF($A273="","",SUMIFS('02_ツリー'!$H$5:$H$560,'02_ツリー'!$E$5:$E$560,$A273,'02_ツリー'!$K$5:$K$560,"&gt;0"))</x:f>
        <x:v>0.05</x:v>
      </x:c>
      <x:c r="G273" s="48" t="n">
        <x:f>IF($A273="","",-SUMIFS('02_ツリー'!$H$5:$H$560,'02_ツリー'!$E$5:$E$560,$A273,'02_ツリー'!$K$5:$K$560,"&lt;0"))</x:f>
        <x:v>0</x:v>
      </x:c>
      <x:c r="H273" s="48" t="n">
        <x:f>IF($A273="","",F273+G273)</x:f>
        <x:v>0.05</x:v>
      </x:c>
      <x:c r="I273" s="244" t="n">
        <x:f>IF($A273="","",--(COUNTIFS('02_ツリー'!$E$5:$E$560,$A273,'02_ツリー'!$O$5:$O$560,0)=0))</x:f>
        <x:v>1</x:v>
      </x:c>
      <x:c r="J273" s="12" t="str">
        <x:f>IF($A273="","",IF(AND(B273&gt;0,C273&lt;0),"正負あり",IF(B273&gt;0,"正のみ",IF(C273&lt;0,"負のみ","ゼロ"))))</x:f>
        <x:v>正のみ</x:v>
      </x:c>
      <x:c r="K273" s="244" t="n">
        <x:f>IF($A273="","",--AND(B273&gt;0,C273&lt;0))</x:f>
        <x:v>0</x:v>
      </x:c>
      <x:c r="L273" s="244" t="n">
        <x:f>IF($A273="","",COUNTIF('02_ツリー'!$E$5:$E$560,$A273))</x:f>
        <x:v>1</x:v>
      </x:c>
      <x:c r="M273" s="244" t="n">
        <x:f>IF($A273="","",--(LEFT(A273,7)="Enable_"))</x:f>
        <x:v>0</x:v>
      </x:c>
      <x:c r="N273" s="12"/>
      <x:c r="O273" s="12"/>
      <x:c r="P273" s="12"/>
      <x:c r="Q273" s="12"/>
      <x:c r="R273" s="12"/>
      <x:c r="S273" s="12"/>
      <x:c r="T273" s="12"/>
      <x:c r="U273" s="12"/>
      <x:c r="V273" s="12"/>
      <x:c r="W273" s="12"/>
      <x:c r="X273" s="12"/>
      <x:c r="Y273" s="12"/>
    </x:row>
    <x:row r="274">
      <x:c r="A274" s="12" t="str">
        <x:f>IFERROR(INDEX('02_ツリー'!$E$5:$E$560,MATCH(ROWS($A$11:A274),'02_ツリー'!$R$5:$R$560,0)),"")</x:f>
        <x:v>m_lowL_ref</x:v>
      </x:c>
      <x:c r="B274" s="48" t="n">
        <x:f>IF($A274="","",SUMIFS('02_ツリー'!$K$5:$K$560,'02_ツリー'!$E$5:$E$560,$A274,'02_ツリー'!$K$5:$K$560,"&gt;0"))</x:f>
        <x:v>0.005587941392083164</x:v>
      </x:c>
      <x:c r="C274" s="48" t="n">
        <x:f>IF($A274="","",SUMIFS('02_ツリー'!$K$5:$K$560,'02_ツリー'!$E$5:$E$560,$A274,'02_ツリー'!$K$5:$K$560,"&lt;0"))</x:f>
        <x:v>0</x:v>
      </x:c>
      <x:c r="D274" s="48" t="n">
        <x:f>IF($A274="","",B274+C274)</x:f>
        <x:v>0.005587941392083164</x:v>
      </x:c>
      <x:c r="E274" s="48" t="n">
        <x:f>IF($A274="","",B274-C274)</x:f>
        <x:v>0.005587941392083164</x:v>
      </x:c>
      <x:c r="F274" s="48" t="n">
        <x:f>IF($A274="","",SUMIFS('02_ツリー'!$H$5:$H$560,'02_ツリー'!$E$5:$E$560,$A274,'02_ツリー'!$K$5:$K$560,"&gt;0"))</x:f>
        <x:v>0.05</x:v>
      </x:c>
      <x:c r="G274" s="48" t="n">
        <x:f>IF($A274="","",-SUMIFS('02_ツリー'!$H$5:$H$560,'02_ツリー'!$E$5:$E$560,$A274,'02_ツリー'!$K$5:$K$560,"&lt;0"))</x:f>
        <x:v>0</x:v>
      </x:c>
      <x:c r="H274" s="48" t="n">
        <x:f>IF($A274="","",F274+G274)</x:f>
        <x:v>0.05</x:v>
      </x:c>
      <x:c r="I274" s="244" t="n">
        <x:f>IF($A274="","",--(COUNTIFS('02_ツリー'!$E$5:$E$560,$A274,'02_ツリー'!$O$5:$O$560,0)=0))</x:f>
        <x:v>1</x:v>
      </x:c>
      <x:c r="J274" s="12" t="str">
        <x:f>IF($A274="","",IF(AND(B274&gt;0,C274&lt;0),"正負あり",IF(B274&gt;0,"正のみ",IF(C274&lt;0,"負のみ","ゼロ"))))</x:f>
        <x:v>正のみ</x:v>
      </x:c>
      <x:c r="K274" s="244" t="n">
        <x:f>IF($A274="","",--AND(B274&gt;0,C274&lt;0))</x:f>
        <x:v>0</x:v>
      </x:c>
      <x:c r="L274" s="244" t="n">
        <x:f>IF($A274="","",COUNTIF('02_ツリー'!$E$5:$E$560,$A274))</x:f>
        <x:v>1</x:v>
      </x:c>
      <x:c r="M274" s="244" t="n">
        <x:f>IF($A274="","",--(LEFT(A274,7)="Enable_"))</x:f>
        <x:v>0</x:v>
      </x:c>
      <x:c r="N274" s="12"/>
      <x:c r="O274" s="12"/>
      <x:c r="P274" s="12"/>
      <x:c r="Q274" s="12"/>
      <x:c r="R274" s="12"/>
      <x:c r="S274" s="12"/>
      <x:c r="T274" s="12"/>
      <x:c r="U274" s="12"/>
      <x:c r="V274" s="12"/>
      <x:c r="W274" s="12"/>
      <x:c r="X274" s="12"/>
      <x:c r="Y274" s="12"/>
    </x:row>
    <x:row r="275">
      <x:c r="A275" s="12" t="str">
        <x:f>IFERROR(INDEX('02_ツリー'!$E$5:$E$560,MATCH(ROWS($A$11:A275),'02_ツリー'!$R$5:$R$560,0)),"")</x:f>
        <x:v>V_overshoot_eff</x:v>
      </x:c>
      <x:c r="B275" s="48" t="n">
        <x:f>IF($A275="","",SUMIFS('02_ツリー'!$K$5:$K$560,'02_ツリー'!$E$5:$E$560,$A275,'02_ツリー'!$K$5:$K$560,"&gt;0"))</x:f>
        <x:v>0.000006188236369318812</x:v>
      </x:c>
      <x:c r="C275" s="48" t="n">
        <x:f>IF($A275="","",SUMIFS('02_ツリー'!$K$5:$K$560,'02_ツリー'!$E$5:$E$560,$A275,'02_ツリー'!$K$5:$K$560,"&lt;0"))</x:f>
        <x:v>-0.00011805746325503786</x:v>
      </x:c>
      <x:c r="D275" s="48" t="n">
        <x:f>IF($A275="","",B275+C275)</x:f>
        <x:v>-0.00011186922688571904</x:v>
      </x:c>
      <x:c r="E275" s="48" t="n">
        <x:f>IF($A275="","",B275-C275)</x:f>
        <x:v>0.00012424569962435667</x:v>
      </x:c>
      <x:c r="F275" s="48" t="n">
        <x:f>IF($A275="","",SUMIFS('02_ツリー'!$H$5:$H$560,'02_ツリー'!$E$5:$E$560,$A275,'02_ツリー'!$K$5:$K$560,"&gt;0"))</x:f>
        <x:v>0.00005537134281764417</x:v>
      </x:c>
      <x:c r="G275" s="48" t="n">
        <x:f>IF($A275="","",-SUMIFS('02_ツリー'!$H$5:$H$560,'02_ツリー'!$E$5:$E$560,$A275,'02_ツリー'!$K$5:$K$560,"&lt;0"))</x:f>
        <x:v>-0.0010563591756912333</x:v>
      </x:c>
      <x:c r="H275" s="48" t="n">
        <x:f>IF($A275="","",F275+G275)</x:f>
        <x:v>-0.0010009878328735892</x:v>
      </x:c>
      <x:c r="I275" s="244" t="n">
        <x:f>IF($A275="","",--(COUNTIFS('02_ツリー'!$E$5:$E$560,$A275,'02_ツリー'!$O$5:$O$560,0)=0))</x:f>
        <x:v>0</x:v>
      </x:c>
      <x:c r="J275" s="12" t="str">
        <x:f>IF($A275="","",IF(AND(B275&gt;0,C275&lt;0),"正負あり",IF(B275&gt;0,"正のみ",IF(C275&lt;0,"負のみ","ゼロ"))))</x:f>
        <x:v>正負あり</x:v>
      </x:c>
      <x:c r="K275" s="244" t="n">
        <x:f>IF($A275="","",--AND(B275&gt;0,C275&lt;0))</x:f>
        <x:v>1</x:v>
      </x:c>
      <x:c r="L275" s="244" t="n">
        <x:f>IF($A275="","",COUNTIF('02_ツリー'!$E$5:$E$560,$A275))</x:f>
        <x:v>3</x:v>
      </x:c>
      <x:c r="M275" s="244" t="n">
        <x:f>IF($A275="","",--(LEFT(A275,7)="Enable_"))</x:f>
        <x:v>0</x:v>
      </x:c>
      <x:c r="N275" s="12"/>
      <x:c r="O275" s="12"/>
      <x:c r="P275" s="12"/>
      <x:c r="Q275" s="12"/>
      <x:c r="R275" s="12"/>
      <x:c r="S275" s="12"/>
      <x:c r="T275" s="12"/>
      <x:c r="U275" s="12"/>
      <x:c r="V275" s="12"/>
      <x:c r="W275" s="12"/>
      <x:c r="X275" s="12"/>
      <x:c r="Y275" s="12"/>
    </x:row>
    <x:row r="276">
      <x:c r="A276" s="12" t="str">
        <x:f>IFERROR(INDEX('02_ツリー'!$E$5:$E$560,MATCH(ROWS($A$11:A276),'02_ツリー'!$R$5:$R$560,0)),"")</x:f>
        <x:v>P_snub</x:v>
      </x:c>
      <x:c r="B276" s="48" t="n">
        <x:f>IF($A276="","",SUMIFS('02_ツリー'!$K$5:$K$560,'02_ツリー'!$E$5:$E$560,$A276,'02_ツリー'!$K$5:$K$560,"&gt;0"))</x:f>
        <x:v>0</x:v>
      </x:c>
      <x:c r="C276" s="48" t="n">
        <x:f>IF($A276="","",SUMIFS('02_ツリー'!$K$5:$K$560,'02_ツリー'!$E$5:$E$560,$A276,'02_ツリー'!$K$5:$K$560,"&lt;0"))</x:f>
        <x:v>0</x:v>
      </x:c>
      <x:c r="D276" s="48" t="n">
        <x:f>IF($A276="","",B276+C276)</x:f>
        <x:v>0</x:v>
      </x:c>
      <x:c r="E276" s="48" t="n">
        <x:f>IF($A276="","",B276-C276)</x:f>
        <x:v>0</x:v>
      </x:c>
      <x:c r="F276" s="48" t="n">
        <x:f>IF($A276="","",SUMIFS('02_ツリー'!$H$5:$H$560,'02_ツリー'!$E$5:$E$560,$A276,'02_ツリー'!$K$5:$K$560,"&gt;0"))</x:f>
        <x:v>0</x:v>
      </x:c>
      <x:c r="G276" s="48" t="n">
        <x:f>IF($A276="","",-SUMIFS('02_ツリー'!$H$5:$H$560,'02_ツリー'!$E$5:$E$560,$A276,'02_ツリー'!$K$5:$K$560,"&lt;0"))</x:f>
        <x:v>0</x:v>
      </x:c>
      <x:c r="H276" s="48" t="n">
        <x:f>IF($A276="","",F276+G276)</x:f>
        <x:v>0</x:v>
      </x:c>
      <x:c r="I276" s="244" t="n">
        <x:f>IF($A276="","",--(COUNTIFS('02_ツリー'!$E$5:$E$560,$A276,'02_ツリー'!$O$5:$O$560,0)=0))</x:f>
        <x:v>0</x:v>
      </x:c>
      <x:c r="J276" s="12" t="str">
        <x:f>IF($A276="","",IF(AND(B276&gt;0,C276&lt;0),"正負あり",IF(B276&gt;0,"正のみ",IF(C276&lt;0,"負のみ","ゼロ"))))</x:f>
        <x:v>ゼロ</x:v>
      </x:c>
      <x:c r="K276" s="244" t="n">
        <x:f>IF($A276="","",--AND(B276&gt;0,C276&lt;0))</x:f>
        <x:v>0</x:v>
      </x:c>
      <x:c r="L276" s="244" t="n">
        <x:f>IF($A276="","",COUNTIF('02_ツリー'!$E$5:$E$560,$A276))</x:f>
        <x:v>1</x:v>
      </x:c>
      <x:c r="M276" s="244" t="n">
        <x:f>IF($A276="","",--(LEFT(A276,7)="Enable_"))</x:f>
        <x:v>0</x:v>
      </x:c>
      <x:c r="N276" s="12"/>
      <x:c r="O276" s="12"/>
      <x:c r="P276" s="12"/>
      <x:c r="Q276" s="12"/>
      <x:c r="R276" s="12"/>
      <x:c r="S276" s="12"/>
      <x:c r="T276" s="12"/>
      <x:c r="U276" s="12"/>
      <x:c r="V276" s="12"/>
      <x:c r="W276" s="12"/>
      <x:c r="X276" s="12"/>
      <x:c r="Y276" s="12"/>
    </x:row>
    <x:row r="277">
      <x:c r="A277" s="12" t="str">
        <x:f>IFERROR(INDEX('02_ツリー'!$E$5:$E$560,MATCH(ROWS($A$11:A277),'02_ツリー'!$R$5:$R$560,0)),"")</x:f>
        <x:v>Enable_snubber</x:v>
      </x:c>
      <x:c r="B277" s="48" t="n">
        <x:f>IF($A277="","",SUMIFS('02_ツリー'!$K$5:$K$560,'02_ツリー'!$E$5:$E$560,$A277,'02_ツリー'!$K$5:$K$560,"&gt;0"))</x:f>
        <x:v>0.004080885151069738</x:v>
      </x:c>
      <x:c r="C277" s="48" t="n">
        <x:f>IF($A277="","",SUMIFS('02_ツリー'!$K$5:$K$560,'02_ツリー'!$E$5:$E$560,$A277,'02_ツリー'!$K$5:$K$560,"&lt;0"))</x:f>
        <x:v>-0.0000040223536400572274</x:v>
      </x:c>
      <x:c r="D277" s="48" t="n">
        <x:f>IF($A277="","",B277+C277)</x:f>
        <x:v>0.00407686279742968</x:v>
      </x:c>
      <x:c r="E277" s="48" t="n">
        <x:f>IF($A277="","",B277-C277)</x:f>
        <x:v>0.004084907504709795</x:v>
      </x:c>
      <x:c r="F277" s="48" t="n">
        <x:f>IF($A277="","",SUMIFS('02_ツリー'!$H$5:$H$560,'02_ツリー'!$E$5:$E$560,$A277,'02_ツリー'!$K$5:$K$560,"&gt;0"))</x:f>
        <x:v>0.036515103369296434</x:v>
      </x:c>
      <x:c r="G277" s="48" t="n">
        <x:f>IF($A277="","",-SUMIFS('02_ツリー'!$H$5:$H$560,'02_ツリー'!$E$5:$E$560,$A277,'02_ツリー'!$K$5:$K$560,"&lt;0"))</x:f>
        <x:v>-0.0000359913728314687</x:v>
      </x:c>
      <x:c r="H277" s="48" t="n">
        <x:f>IF($A277="","",F277+G277)</x:f>
        <x:v>0.03647911199646497</x:v>
      </x:c>
      <x:c r="I277" s="244" t="n">
        <x:f>IF($A277="","",--(COUNTIFS('02_ツリー'!$E$5:$E$560,$A277,'02_ツリー'!$O$5:$O$560,0)=0))</x:f>
        <x:v>1</x:v>
      </x:c>
      <x:c r="J277" s="12" t="str">
        <x:f>IF($A277="","",IF(AND(B277&gt;0,C277&lt;0),"正負あり",IF(B277&gt;0,"正のみ",IF(C277&lt;0,"負のみ","ゼロ"))))</x:f>
        <x:v>正負あり</x:v>
      </x:c>
      <x:c r="K277" s="244" t="n">
        <x:f>IF($A277="","",--AND(B277&gt;0,C277&lt;0))</x:f>
        <x:v>1</x:v>
      </x:c>
      <x:c r="L277" s="244" t="n">
        <x:f>IF($A277="","",COUNTIF('02_ツリー'!$E$5:$E$560,$A277))</x:f>
        <x:v>5</x:v>
      </x:c>
      <x:c r="M277" s="244" t="n">
        <x:f>IF($A277="","",--(LEFT(A277,7)="Enable_"))</x:f>
        <x:v>1</x:v>
      </x:c>
      <x:c r="N277" s="12"/>
      <x:c r="O277" s="12"/>
      <x:c r="P277" s="12"/>
      <x:c r="Q277" s="12"/>
      <x:c r="R277" s="12"/>
      <x:c r="S277" s="12"/>
      <x:c r="T277" s="12"/>
      <x:c r="U277" s="12"/>
      <x:c r="V277" s="12"/>
      <x:c r="W277" s="12"/>
      <x:c r="X277" s="12"/>
      <x:c r="Y277" s="12"/>
    </x:row>
    <x:row r="278">
      <x:c r="A278" s="12" t="str">
        <x:f>IFERROR(INDEX('02_ツリー'!$E$5:$E$560,MATCH(ROWS($A$11:A278),'02_ツリー'!$R$5:$R$560,0)),"")</x:f>
        <x:v>C_snub</x:v>
      </x:c>
      <x:c r="B278" s="48" t="n">
        <x:f>IF($A278="","",SUMIFS('02_ツリー'!$K$5:$K$560,'02_ツリー'!$E$5:$E$560,$A278,'02_ツリー'!$K$5:$K$560,"&gt;0"))</x:f>
        <x:v>0</x:v>
      </x:c>
      <x:c r="C278" s="48" t="n">
        <x:f>IF($A278="","",SUMIFS('02_ツリー'!$K$5:$K$560,'02_ツリー'!$E$5:$E$560,$A278,'02_ツリー'!$K$5:$K$560,"&lt;0"))</x:f>
        <x:v>0</x:v>
      </x:c>
      <x:c r="D278" s="48" t="n">
        <x:f>IF($A278="","",B278+C278)</x:f>
        <x:v>0</x:v>
      </x:c>
      <x:c r="E278" s="48" t="n">
        <x:f>IF($A278="","",B278-C278)</x:f>
        <x:v>0</x:v>
      </x:c>
      <x:c r="F278" s="48" t="n">
        <x:f>IF($A278="","",SUMIFS('02_ツリー'!$H$5:$H$560,'02_ツリー'!$E$5:$E$560,$A278,'02_ツリー'!$K$5:$K$560,"&gt;0"))</x:f>
        <x:v>0</x:v>
      </x:c>
      <x:c r="G278" s="48" t="n">
        <x:f>IF($A278="","",-SUMIFS('02_ツリー'!$H$5:$H$560,'02_ツリー'!$E$5:$E$560,$A278,'02_ツリー'!$K$5:$K$560,"&lt;0"))</x:f>
        <x:v>0</x:v>
      </x:c>
      <x:c r="H278" s="48" t="n">
        <x:f>IF($A278="","",F278+G278)</x:f>
        <x:v>0</x:v>
      </x:c>
      <x:c r="I278" s="244" t="n">
        <x:f>IF($A278="","",--(COUNTIFS('02_ツリー'!$E$5:$E$560,$A278,'02_ツリー'!$O$5:$O$560,0)=0))</x:f>
        <x:v>1</x:v>
      </x:c>
      <x:c r="J278" s="12" t="str">
        <x:f>IF($A278="","",IF(AND(B278&gt;0,C278&lt;0),"正負あり",IF(B278&gt;0,"正のみ",IF(C278&lt;0,"負のみ","ゼロ"))))</x:f>
        <x:v>ゼロ</x:v>
      </x:c>
      <x:c r="K278" s="244" t="n">
        <x:f>IF($A278="","",--AND(B278&gt;0,C278&lt;0))</x:f>
        <x:v>0</x:v>
      </x:c>
      <x:c r="L278" s="244" t="n">
        <x:f>IF($A278="","",COUNTIF('02_ツリー'!$E$5:$E$560,$A278))</x:f>
        <x:v>1</x:v>
      </x:c>
      <x:c r="M278" s="244" t="n">
        <x:f>IF($A278="","",--(LEFT(A278,7)="Enable_"))</x:f>
        <x:v>0</x:v>
      </x:c>
      <x:c r="N278" s="12"/>
      <x:c r="O278" s="12"/>
      <x:c r="P278" s="12"/>
      <x:c r="Q278" s="12"/>
      <x:c r="R278" s="12"/>
      <x:c r="S278" s="12"/>
      <x:c r="T278" s="12"/>
      <x:c r="U278" s="12"/>
      <x:c r="V278" s="12"/>
      <x:c r="W278" s="12"/>
      <x:c r="X278" s="12"/>
      <x:c r="Y278" s="12"/>
    </x:row>
    <x:row r="279">
      <x:c r="A279" s="12" t="str">
        <x:f>IFERROR(INDEX('02_ツリー'!$E$5:$E$560,MATCH(ROWS($A$11:A279),'02_ツリー'!$R$5:$R$560,0)),"")</x:f>
        <x:v>M_snub</x:v>
      </x:c>
      <x:c r="B279" s="48" t="n">
        <x:f>IF($A279="","",SUMIFS('02_ツリー'!$K$5:$K$560,'02_ツリー'!$E$5:$E$560,$A279,'02_ツリー'!$K$5:$K$560,"&gt;0"))</x:f>
        <x:v>0</x:v>
      </x:c>
      <x:c r="C279" s="48" t="n">
        <x:f>IF($A279="","",SUMIFS('02_ツリー'!$K$5:$K$560,'02_ツリー'!$E$5:$E$560,$A279,'02_ツリー'!$K$5:$K$560,"&lt;0"))</x:f>
        <x:v>0</x:v>
      </x:c>
      <x:c r="D279" s="48" t="n">
        <x:f>IF($A279="","",B279+C279)</x:f>
        <x:v>0</x:v>
      </x:c>
      <x:c r="E279" s="48" t="n">
        <x:f>IF($A279="","",B279-C279)</x:f>
        <x:v>0</x:v>
      </x:c>
      <x:c r="F279" s="48" t="n">
        <x:f>IF($A279="","",SUMIFS('02_ツリー'!$H$5:$H$560,'02_ツリー'!$E$5:$E$560,$A279,'02_ツリー'!$K$5:$K$560,"&gt;0"))</x:f>
        <x:v>0</x:v>
      </x:c>
      <x:c r="G279" s="48" t="n">
        <x:f>IF($A279="","",-SUMIFS('02_ツリー'!$H$5:$H$560,'02_ツリー'!$E$5:$E$560,$A279,'02_ツリー'!$K$5:$K$560,"&lt;0"))</x:f>
        <x:v>0</x:v>
      </x:c>
      <x:c r="H279" s="48" t="n">
        <x:f>IF($A279="","",F279+G279)</x:f>
        <x:v>0</x:v>
      </x:c>
      <x:c r="I279" s="244" t="n">
        <x:f>IF($A279="","",--(COUNTIFS('02_ツリー'!$E$5:$E$560,$A279,'02_ツリー'!$O$5:$O$560,0)=0))</x:f>
        <x:v>0</x:v>
      </x:c>
      <x:c r="J279" s="12" t="str">
        <x:f>IF($A279="","",IF(AND(B279&gt;0,C279&lt;0),"正負あり",IF(B279&gt;0,"正のみ",IF(C279&lt;0,"負のみ","ゼロ"))))</x:f>
        <x:v>ゼロ</x:v>
      </x:c>
      <x:c r="K279" s="244" t="n">
        <x:f>IF($A279="","",--AND(B279&gt;0,C279&lt;0))</x:f>
        <x:v>0</x:v>
      </x:c>
      <x:c r="L279" s="244" t="n">
        <x:f>IF($A279="","",COUNTIF('02_ツリー'!$E$5:$E$560,$A279))</x:f>
        <x:v>2</x:v>
      </x:c>
      <x:c r="M279" s="244" t="n">
        <x:f>IF($A279="","",--(LEFT(A279,7)="Enable_"))</x:f>
        <x:v>0</x:v>
      </x:c>
      <x:c r="N279" s="12"/>
      <x:c r="O279" s="12"/>
      <x:c r="P279" s="12"/>
      <x:c r="Q279" s="12"/>
      <x:c r="R279" s="12"/>
      <x:c r="S279" s="12"/>
      <x:c r="T279" s="12"/>
      <x:c r="U279" s="12"/>
      <x:c r="V279" s="12"/>
      <x:c r="W279" s="12"/>
      <x:c r="X279" s="12"/>
      <x:c r="Y279" s="12"/>
    </x:row>
    <x:row r="280">
      <x:c r="A280" s="12" t="str">
        <x:f>IFERROR(INDEX('02_ツリー'!$E$5:$E$560,MATCH(ROWS($A$11:A280),'02_ツリー'!$R$5:$R$560,0)),"")</x:f>
        <x:v>k_pwm_sw</x:v>
      </x:c>
      <x:c r="B280" s="48" t="n">
        <x:f>IF($A280="","",SUMIFS('02_ツリー'!$K$5:$K$560,'02_ツリー'!$E$5:$E$560,$A280,'02_ツリー'!$K$5:$K$560,"&gt;0"))</x:f>
        <x:v>0.007515582271838901</x:v>
      </x:c>
      <x:c r="C280" s="48" t="n">
        <x:f>IF($A280="","",SUMIFS('02_ツリー'!$K$5:$K$560,'02_ツリー'!$E$5:$E$560,$A280,'02_ツリー'!$K$5:$K$560,"&lt;0"))</x:f>
        <x:v>0</x:v>
      </x:c>
      <x:c r="D280" s="48" t="n">
        <x:f>IF($A280="","",B280+C280)</x:f>
        <x:v>0.007515582271838901</x:v>
      </x:c>
      <x:c r="E280" s="48" t="n">
        <x:f>IF($A280="","",B280-C280)</x:f>
        <x:v>0.007515582271838901</x:v>
      </x:c>
      <x:c r="F280" s="48" t="n">
        <x:f>IF($A280="","",SUMIFS('02_ツリー'!$H$5:$H$560,'02_ツリー'!$E$5:$E$560,$A280,'02_ツリー'!$K$5:$K$560,"&gt;0"))</x:f>
        <x:v>0.06724822027023014</x:v>
      </x:c>
      <x:c r="G280" s="48" t="n">
        <x:f>IF($A280="","",-SUMIFS('02_ツリー'!$H$5:$H$560,'02_ツリー'!$E$5:$E$560,$A280,'02_ツリー'!$K$5:$K$560,"&lt;0"))</x:f>
        <x:v>0</x:v>
      </x:c>
      <x:c r="H280" s="48" t="n">
        <x:f>IF($A280="","",F280+G280)</x:f>
        <x:v>0.06724822027023014</x:v>
      </x:c>
      <x:c r="I280" s="244" t="n">
        <x:f>IF($A280="","",--(COUNTIFS('02_ツリー'!$E$5:$E$560,$A280,'02_ツリー'!$O$5:$O$560,0)=0))</x:f>
        <x:v>0</x:v>
      </x:c>
      <x:c r="J280" s="12" t="str">
        <x:f>IF($A280="","",IF(AND(B280&gt;0,C280&lt;0),"正負あり",IF(B280&gt;0,"正のみ",IF(C280&lt;0,"負のみ","ゼロ"))))</x:f>
        <x:v>正のみ</x:v>
      </x:c>
      <x:c r="K280" s="244" t="n">
        <x:f>IF($A280="","",--AND(B280&gt;0,C280&lt;0))</x:f>
        <x:v>0</x:v>
      </x:c>
      <x:c r="L280" s="244" t="n">
        <x:f>IF($A280="","",COUNTIF('02_ツリー'!$E$5:$E$560,$A280))</x:f>
        <x:v>1</x:v>
      </x:c>
      <x:c r="M280" s="244" t="n">
        <x:f>IF($A280="","",--(LEFT(A280,7)="Enable_"))</x:f>
        <x:v>0</x:v>
      </x:c>
      <x:c r="N280" s="12"/>
      <x:c r="O280" s="12"/>
      <x:c r="P280" s="12"/>
      <x:c r="Q280" s="12"/>
      <x:c r="R280" s="12"/>
      <x:c r="S280" s="12"/>
      <x:c r="T280" s="12"/>
      <x:c r="U280" s="12"/>
      <x:c r="V280" s="12"/>
      <x:c r="W280" s="12"/>
      <x:c r="X280" s="12"/>
      <x:c r="Y280" s="12"/>
    </x:row>
    <x:row r="281">
      <x:c r="A281" s="12" t="str">
        <x:f>IFERROR(INDEX('02_ツリー'!$E$5:$E$560,MATCH(ROWS($A$11:A281),'02_ツリー'!$R$5:$R$560,0)),"")</x:f>
        <x:v>k_DPWM</x:v>
      </x:c>
      <x:c r="B281" s="48" t="n">
        <x:f>IF($A281="","",SUMIFS('02_ツリー'!$K$5:$K$560,'02_ツリー'!$E$5:$E$560,$A281,'02_ツリー'!$K$5:$K$560,"&gt;0"))</x:f>
        <x:v>0.007515582271838901</x:v>
      </x:c>
      <x:c r="C281" s="48" t="n">
        <x:f>IF($A281="","",SUMIFS('02_ツリー'!$K$5:$K$560,'02_ツリー'!$E$5:$E$560,$A281,'02_ツリー'!$K$5:$K$560,"&lt;0"))</x:f>
        <x:v>0</x:v>
      </x:c>
      <x:c r="D281" s="48" t="n">
        <x:f>IF($A281="","",B281+C281)</x:f>
        <x:v>0.007515582271838901</x:v>
      </x:c>
      <x:c r="E281" s="48" t="n">
        <x:f>IF($A281="","",B281-C281)</x:f>
        <x:v>0.007515582271838901</x:v>
      </x:c>
      <x:c r="F281" s="48" t="n">
        <x:f>IF($A281="","",SUMIFS('02_ツリー'!$H$5:$H$560,'02_ツリー'!$E$5:$E$560,$A281,'02_ツリー'!$K$5:$K$560,"&gt;0"))</x:f>
        <x:v>0.06724822027023014</x:v>
      </x:c>
      <x:c r="G281" s="48" t="n">
        <x:f>IF($A281="","",-SUMIFS('02_ツリー'!$H$5:$H$560,'02_ツリー'!$E$5:$E$560,$A281,'02_ツリー'!$K$5:$K$560,"&lt;0"))</x:f>
        <x:v>0</x:v>
      </x:c>
      <x:c r="H281" s="48" t="n">
        <x:f>IF($A281="","",F281+G281)</x:f>
        <x:v>0.06724822027023014</x:v>
      </x:c>
      <x:c r="I281" s="244" t="n">
        <x:f>IF($A281="","",--(COUNTIFS('02_ツリー'!$E$5:$E$560,$A281,'02_ツリー'!$O$5:$O$560,0)=0))</x:f>
        <x:v>0</x:v>
      </x:c>
      <x:c r="J281" s="12" t="str">
        <x:f>IF($A281="","",IF(AND(B281&gt;0,C281&lt;0),"正負あり",IF(B281&gt;0,"正のみ",IF(C281&lt;0,"負のみ","ゼロ"))))</x:f>
        <x:v>正のみ</x:v>
      </x:c>
      <x:c r="K281" s="244" t="n">
        <x:f>IF($A281="","",--AND(B281&gt;0,C281&lt;0))</x:f>
        <x:v>0</x:v>
      </x:c>
      <x:c r="L281" s="244" t="n">
        <x:f>IF($A281="","",COUNTIF('02_ツリー'!$E$5:$E$560,$A281))</x:f>
        <x:v>1</x:v>
      </x:c>
      <x:c r="M281" s="244" t="n">
        <x:f>IF($A281="","",--(LEFT(A281,7)="Enable_"))</x:f>
        <x:v>0</x:v>
      </x:c>
      <x:c r="N281" s="12"/>
      <x:c r="O281" s="12"/>
      <x:c r="P281" s="12"/>
      <x:c r="Q281" s="12"/>
      <x:c r="R281" s="12"/>
      <x:c r="S281" s="12"/>
      <x:c r="T281" s="12"/>
      <x:c r="U281" s="12"/>
      <x:c r="V281" s="12"/>
      <x:c r="W281" s="12"/>
      <x:c r="X281" s="12"/>
      <x:c r="Y281" s="12"/>
    </x:row>
    <x:row r="282">
      <x:c r="A282" s="12" t="str">
        <x:f>IFERROR(INDEX('02_ツリー'!$E$5:$E$560,MATCH(ROWS($A$11:A282),'02_ツリー'!$R$5:$R$560,0)),"")</x:f>
        <x:v>Enable_DPWM</x:v>
      </x:c>
      <x:c r="B282" s="48" t="n">
        <x:f>IF($A282="","",SUMIFS('02_ツリー'!$K$5:$K$560,'02_ツリー'!$E$5:$E$560,$A282,'02_ツリー'!$K$5:$K$560,"&gt;0"))</x:f>
        <x:v>0.002793970696041582</x:v>
      </x:c>
      <x:c r="C282" s="48" t="n">
        <x:f>IF($A282="","",SUMIFS('02_ツリー'!$K$5:$K$560,'02_ツリー'!$E$5:$E$560,$A282,'02_ツリー'!$K$5:$K$560,"&lt;0"))</x:f>
        <x:v>-0.002480142149706837</x:v>
      </x:c>
      <x:c r="D282" s="48" t="n">
        <x:f>IF($A282="","",B282+C282)</x:f>
        <x:v>0.00031382854633474474</x:v>
      </x:c>
      <x:c r="E282" s="48" t="n">
        <x:f>IF($A282="","",B282-C282)</x:f>
        <x:v>0.005274112845748418</x:v>
      </x:c>
      <x:c r="F282" s="48" t="n">
        <x:f>IF($A282="","",SUMIFS('02_ツリー'!$H$5:$H$560,'02_ツリー'!$E$5:$E$560,$A282,'02_ツリー'!$K$5:$K$560,"&gt;0"))</x:f>
        <x:v>0.025</x:v>
      </x:c>
      <x:c r="G282" s="48" t="n">
        <x:f>IF($A282="","",-SUMIFS('02_ツリー'!$H$5:$H$560,'02_ツリー'!$E$5:$E$560,$A282,'02_ツリー'!$K$5:$K$560,"&lt;0"))</x:f>
        <x:v>-0.022191912689175947</x:v>
      </x:c>
      <x:c r="H282" s="48" t="n">
        <x:f>IF($A282="","",F282+G282)</x:f>
        <x:v>0.0028080873108240548</x:v>
      </x:c>
      <x:c r="I282" s="244" t="n">
        <x:f>IF($A282="","",--(COUNTIFS('02_ツリー'!$E$5:$E$560,$A282,'02_ツリー'!$O$5:$O$560,0)=0))</x:f>
        <x:v>1</x:v>
      </x:c>
      <x:c r="J282" s="12" t="str">
        <x:f>IF($A282="","",IF(AND(B282&gt;0,C282&lt;0),"正負あり",IF(B282&gt;0,"正のみ",IF(C282&lt;0,"負のみ","ゼロ"))))</x:f>
        <x:v>正負あり</x:v>
      </x:c>
      <x:c r="K282" s="244" t="n">
        <x:f>IF($A282="","",--AND(B282&gt;0,C282&lt;0))</x:f>
        <x:v>1</x:v>
      </x:c>
      <x:c r="L282" s="244" t="n">
        <x:f>IF($A282="","",COUNTIF('02_ツリー'!$E$5:$E$560,$A282))</x:f>
        <x:v>2</x:v>
      </x:c>
      <x:c r="M282" s="244" t="n">
        <x:f>IF($A282="","",--(LEFT(A282,7)="Enable_"))</x:f>
        <x:v>1</x:v>
      </x:c>
      <x:c r="N282" s="12"/>
      <x:c r="O282" s="12"/>
      <x:c r="P282" s="12"/>
      <x:c r="Q282" s="12"/>
      <x:c r="R282" s="12"/>
      <x:c r="S282" s="12"/>
      <x:c r="T282" s="12"/>
      <x:c r="U282" s="12"/>
      <x:c r="V282" s="12"/>
      <x:c r="W282" s="12"/>
      <x:c r="X282" s="12"/>
      <x:c r="Y282" s="12"/>
    </x:row>
    <x:row r="283">
      <x:c r="A283" s="12" t="str">
        <x:f>IFERROR(INDEX('02_ツリー'!$E$5:$E$560,MATCH(ROWS($A$11:A283),'02_ツリー'!$R$5:$R$560,0)),"")</x:f>
        <x:v>k_dpwm_sw</x:v>
      </x:c>
      <x:c r="B283" s="48" t="n">
        <x:f>IF($A283="","",SUMIFS('02_ツリー'!$K$5:$K$560,'02_ツリー'!$E$5:$E$560,$A283,'02_ツリー'!$K$5:$K$560,"&gt;0"))</x:f>
        <x:v>0</x:v>
      </x:c>
      <x:c r="C283" s="48" t="n">
        <x:f>IF($A283="","",SUMIFS('02_ツリー'!$K$5:$K$560,'02_ツリー'!$E$5:$E$560,$A283,'02_ツリー'!$K$5:$K$560,"&lt;0"))</x:f>
        <x:v>0</x:v>
      </x:c>
      <x:c r="D283" s="48" t="n">
        <x:f>IF($A283="","",B283+C283)</x:f>
        <x:v>0</x:v>
      </x:c>
      <x:c r="E283" s="48" t="n">
        <x:f>IF($A283="","",B283-C283)</x:f>
        <x:v>0</x:v>
      </x:c>
      <x:c r="F283" s="48" t="n">
        <x:f>IF($A283="","",SUMIFS('02_ツリー'!$H$5:$H$560,'02_ツリー'!$E$5:$E$560,$A283,'02_ツリー'!$K$5:$K$560,"&gt;0"))</x:f>
        <x:v>0</x:v>
      </x:c>
      <x:c r="G283" s="48" t="n">
        <x:f>IF($A283="","",-SUMIFS('02_ツリー'!$H$5:$H$560,'02_ツリー'!$E$5:$E$560,$A283,'02_ツリー'!$K$5:$K$560,"&lt;0"))</x:f>
        <x:v>0</x:v>
      </x:c>
      <x:c r="H283" s="48" t="n">
        <x:f>IF($A283="","",F283+G283)</x:f>
        <x:v>0</x:v>
      </x:c>
      <x:c r="I283" s="244" t="n">
        <x:f>IF($A283="","",--(COUNTIFS('02_ツリー'!$E$5:$E$560,$A283,'02_ツリー'!$O$5:$O$560,0)=0))</x:f>
        <x:v>1</x:v>
      </x:c>
      <x:c r="J283" s="12" t="str">
        <x:f>IF($A283="","",IF(AND(B283&gt;0,C283&lt;0),"正負あり",IF(B283&gt;0,"正のみ",IF(C283&lt;0,"負のみ","ゼロ"))))</x:f>
        <x:v>ゼロ</x:v>
      </x:c>
      <x:c r="K283" s="244" t="n">
        <x:f>IF($A283="","",--AND(B283&gt;0,C283&lt;0))</x:f>
        <x:v>0</x:v>
      </x:c>
      <x:c r="L283" s="244" t="n">
        <x:f>IF($A283="","",COUNTIF('02_ツリー'!$E$5:$E$560,$A283))</x:f>
        <x:v>1</x:v>
      </x:c>
      <x:c r="M283" s="244" t="n">
        <x:f>IF($A283="","",--(LEFT(A283,7)="Enable_"))</x:f>
        <x:v>0</x:v>
      </x:c>
      <x:c r="N283" s="12"/>
      <x:c r="O283" s="12"/>
      <x:c r="P283" s="12"/>
      <x:c r="Q283" s="12"/>
      <x:c r="R283" s="12"/>
      <x:c r="S283" s="12"/>
      <x:c r="T283" s="12"/>
      <x:c r="U283" s="12"/>
      <x:c r="V283" s="12"/>
      <x:c r="W283" s="12"/>
      <x:c r="X283" s="12"/>
      <x:c r="Y283" s="12"/>
    </x:row>
    <x:row r="284">
      <x:c r="A284" s="12" t="str">
        <x:f>IFERROR(INDEX('02_ツリー'!$E$5:$E$560,MATCH(ROWS($A$11:A284),'02_ツリー'!$R$5:$R$560,0)),"")</x:f>
        <x:v>k_CM_PWM</x:v>
      </x:c>
      <x:c r="B284" s="48" t="n">
        <x:f>IF($A284="","",SUMIFS('02_ツリー'!$K$5:$K$560,'02_ツリー'!$E$5:$E$560,$A284,'02_ツリー'!$K$5:$K$560,"&gt;0"))</x:f>
        <x:v>0.007515582271838901</x:v>
      </x:c>
      <x:c r="C284" s="48" t="n">
        <x:f>IF($A284="","",SUMIFS('02_ツリー'!$K$5:$K$560,'02_ツリー'!$E$5:$E$560,$A284,'02_ツリー'!$K$5:$K$560,"&lt;0"))</x:f>
        <x:v>0</x:v>
      </x:c>
      <x:c r="D284" s="48" t="n">
        <x:f>IF($A284="","",B284+C284)</x:f>
        <x:v>0.007515582271838901</x:v>
      </x:c>
      <x:c r="E284" s="48" t="n">
        <x:f>IF($A284="","",B284-C284)</x:f>
        <x:v>0.007515582271838901</x:v>
      </x:c>
      <x:c r="F284" s="48" t="n">
        <x:f>IF($A284="","",SUMIFS('02_ツリー'!$H$5:$H$560,'02_ツリー'!$E$5:$E$560,$A284,'02_ツリー'!$K$5:$K$560,"&gt;0"))</x:f>
        <x:v>0.06724822027023014</x:v>
      </x:c>
      <x:c r="G284" s="48" t="n">
        <x:f>IF($A284="","",-SUMIFS('02_ツリー'!$H$5:$H$560,'02_ツリー'!$E$5:$E$560,$A284,'02_ツリー'!$K$5:$K$560,"&lt;0"))</x:f>
        <x:v>0</x:v>
      </x:c>
      <x:c r="H284" s="48" t="n">
        <x:f>IF($A284="","",F284+G284)</x:f>
        <x:v>0.06724822027023014</x:v>
      </x:c>
      <x:c r="I284" s="244" t="n">
        <x:f>IF($A284="","",--(COUNTIFS('02_ツリー'!$E$5:$E$560,$A284,'02_ツリー'!$O$5:$O$560,0)=0))</x:f>
        <x:v>0</x:v>
      </x:c>
      <x:c r="J284" s="12" t="str">
        <x:f>IF($A284="","",IF(AND(B284&gt;0,C284&lt;0),"正負あり",IF(B284&gt;0,"正のみ",IF(C284&lt;0,"負のみ","ゼロ"))))</x:f>
        <x:v>正のみ</x:v>
      </x:c>
      <x:c r="K284" s="244" t="n">
        <x:f>IF($A284="","",--AND(B284&gt;0,C284&lt;0))</x:f>
        <x:v>0</x:v>
      </x:c>
      <x:c r="L284" s="244" t="n">
        <x:f>IF($A284="","",COUNTIF('02_ツリー'!$E$5:$E$560,$A284))</x:f>
        <x:v>1</x:v>
      </x:c>
      <x:c r="M284" s="244" t="n">
        <x:f>IF($A284="","",--(LEFT(A284,7)="Enable_"))</x:f>
        <x:v>0</x:v>
      </x:c>
      <x:c r="N284" s="12"/>
      <x:c r="O284" s="12"/>
      <x:c r="P284" s="12"/>
      <x:c r="Q284" s="12"/>
      <x:c r="R284" s="12"/>
      <x:c r="S284" s="12"/>
      <x:c r="T284" s="12"/>
      <x:c r="U284" s="12"/>
      <x:c r="V284" s="12"/>
      <x:c r="W284" s="12"/>
      <x:c r="X284" s="12"/>
      <x:c r="Y284" s="12"/>
    </x:row>
    <x:row r="285">
      <x:c r="A285" s="12" t="str">
        <x:f>IFERROR(INDEX('02_ツリー'!$E$5:$E$560,MATCH(ROWS($A$11:A285),'02_ツリー'!$R$5:$R$560,0)),"")</x:f>
        <x:v>Enable_CM_PWM</x:v>
      </x:c>
      <x:c r="B285" s="48" t="n">
        <x:f>IF($A285="","",SUMIFS('02_ツリー'!$K$5:$K$560,'02_ツリー'!$E$5:$E$560,$A285,'02_ツリー'!$K$5:$K$560,"&gt;0"))</x:f>
        <x:v>0.001160040720955429</x:v>
      </x:c>
      <x:c r="C285" s="48" t="n">
        <x:f>IF($A285="","",SUMIFS('02_ツリー'!$K$5:$K$560,'02_ツリー'!$E$5:$E$560,$A285,'02_ツリー'!$K$5:$K$560,"&lt;0"))</x:f>
        <x:v>-0.013411059340999591</x:v>
      </x:c>
      <x:c r="D285" s="48" t="n">
        <x:f>IF($A285="","",B285+C285)</x:f>
        <x:v>-0.012251018620044163</x:v>
      </x:c>
      <x:c r="E285" s="48" t="n">
        <x:f>IF($A285="","",B285-C285)</x:f>
        <x:v>0.01457110006195502</x:v>
      </x:c>
      <x:c r="F285" s="48" t="n">
        <x:f>IF($A285="","",SUMIFS('02_ツリー'!$H$5:$H$560,'02_ツリー'!$E$5:$E$560,$A285,'02_ツリー'!$K$5:$K$560,"&gt;0"))</x:f>
        <x:v>0.010379857621618417</x:v>
      </x:c>
      <x:c r="G285" s="48" t="n">
        <x:f>IF($A285="","",-SUMIFS('02_ツリー'!$H$5:$H$560,'02_ツリー'!$E$5:$E$560,$A285,'02_ツリー'!$K$5:$K$560,"&lt;0"))</x:f>
        <x:v>-0.12</x:v>
      </x:c>
      <x:c r="H285" s="48" t="n">
        <x:f>IF($A285="","",F285+G285)</x:f>
        <x:v>-0.10962014237838158</x:v>
      </x:c>
      <x:c r="I285" s="244" t="n">
        <x:f>IF($A285="","",--(COUNTIFS('02_ツリー'!$E$5:$E$560,$A285,'02_ツリー'!$O$5:$O$560,0)=0))</x:f>
        <x:v>1</x:v>
      </x:c>
      <x:c r="J285" s="12" t="str">
        <x:f>IF($A285="","",IF(AND(B285&gt;0,C285&lt;0),"正負あり",IF(B285&gt;0,"正のみ",IF(C285&lt;0,"負のみ","ゼロ"))))</x:f>
        <x:v>正負あり</x:v>
      </x:c>
      <x:c r="K285" s="244" t="n">
        <x:f>IF($A285="","",--AND(B285&gt;0,C285&lt;0))</x:f>
        <x:v>1</x:v>
      </x:c>
      <x:c r="L285" s="244" t="n">
        <x:f>IF($A285="","",COUNTIF('02_ツリー'!$E$5:$E$560,$A285))</x:f>
        <x:v>3</x:v>
      </x:c>
      <x:c r="M285" s="244" t="n">
        <x:f>IF($A285="","",--(LEFT(A285,7)="Enable_"))</x:f>
        <x:v>1</x:v>
      </x:c>
      <x:c r="N285" s="12"/>
      <x:c r="O285" s="12"/>
      <x:c r="P285" s="12"/>
      <x:c r="Q285" s="12"/>
      <x:c r="R285" s="12"/>
      <x:c r="S285" s="12"/>
      <x:c r="T285" s="12"/>
      <x:c r="U285" s="12"/>
      <x:c r="V285" s="12"/>
      <x:c r="W285" s="12"/>
      <x:c r="X285" s="12"/>
      <x:c r="Y285" s="12"/>
    </x:row>
    <x:row r="286">
      <x:c r="A286" s="12" t="str">
        <x:f>IFERROR(INDEX('02_ツリー'!$E$5:$E$560,MATCH(ROWS($A$11:A286),'02_ツリー'!$R$5:$R$560,0)),"")</x:f>
        <x:v>k_cmpwm_sw</x:v>
      </x:c>
      <x:c r="B286" s="48" t="n">
        <x:f>IF($A286="","",SUMIFS('02_ツリー'!$K$5:$K$560,'02_ツリー'!$E$5:$E$560,$A286,'02_ツリー'!$K$5:$K$560,"&gt;0"))</x:f>
        <x:v>0</x:v>
      </x:c>
      <x:c r="C286" s="48" t="n">
        <x:f>IF($A286="","",SUMIFS('02_ツリー'!$K$5:$K$560,'02_ツリー'!$E$5:$E$560,$A286,'02_ツリー'!$K$5:$K$560,"&lt;0"))</x:f>
        <x:v>0</x:v>
      </x:c>
      <x:c r="D286" s="48" t="n">
        <x:f>IF($A286="","",B286+C286)</x:f>
        <x:v>0</x:v>
      </x:c>
      <x:c r="E286" s="48" t="n">
        <x:f>IF($A286="","",B286-C286)</x:f>
        <x:v>0</x:v>
      </x:c>
      <x:c r="F286" s="48" t="n">
        <x:f>IF($A286="","",SUMIFS('02_ツリー'!$H$5:$H$560,'02_ツリー'!$E$5:$E$560,$A286,'02_ツリー'!$K$5:$K$560,"&gt;0"))</x:f>
        <x:v>0</x:v>
      </x:c>
      <x:c r="G286" s="48" t="n">
        <x:f>IF($A286="","",-SUMIFS('02_ツリー'!$H$5:$H$560,'02_ツリー'!$E$5:$E$560,$A286,'02_ツリー'!$K$5:$K$560,"&lt;0"))</x:f>
        <x:v>0</x:v>
      </x:c>
      <x:c r="H286" s="48" t="n">
        <x:f>IF($A286="","",F286+G286)</x:f>
        <x:v>0</x:v>
      </x:c>
      <x:c r="I286" s="244" t="n">
        <x:f>IF($A286="","",--(COUNTIFS('02_ツリー'!$E$5:$E$560,$A286,'02_ツリー'!$O$5:$O$560,0)=0))</x:f>
        <x:v>1</x:v>
      </x:c>
      <x:c r="J286" s="12" t="str">
        <x:f>IF($A286="","",IF(AND(B286&gt;0,C286&lt;0),"正負あり",IF(B286&gt;0,"正のみ",IF(C286&lt;0,"負のみ","ゼロ"))))</x:f>
        <x:v>ゼロ</x:v>
      </x:c>
      <x:c r="K286" s="244" t="n">
        <x:f>IF($A286="","",--AND(B286&gt;0,C286&lt;0))</x:f>
        <x:v>0</x:v>
      </x:c>
      <x:c r="L286" s="244" t="n">
        <x:f>IF($A286="","",COUNTIF('02_ツリー'!$E$5:$E$560,$A286))</x:f>
        <x:v>1</x:v>
      </x:c>
      <x:c r="M286" s="244" t="n">
        <x:f>IF($A286="","",--(LEFT(A286,7)="Enable_"))</x:f>
        <x:v>0</x:v>
      </x:c>
      <x:c r="N286" s="12"/>
      <x:c r="O286" s="12"/>
      <x:c r="P286" s="12"/>
      <x:c r="Q286" s="12"/>
      <x:c r="R286" s="12"/>
      <x:c r="S286" s="12"/>
      <x:c r="T286" s="12"/>
      <x:c r="U286" s="12"/>
      <x:c r="V286" s="12"/>
      <x:c r="W286" s="12"/>
      <x:c r="X286" s="12"/>
      <x:c r="Y286" s="12"/>
    </x:row>
    <x:row r="287">
      <x:c r="A287" s="12" t="str">
        <x:f>IFERROR(INDEX('02_ツリー'!$E$5:$E$560,MATCH(ROWS($A$11:A287),'02_ツリー'!$R$5:$R$560,0)),"")</x:f>
        <x:v>M_DPWM_penalty</x:v>
      </x:c>
      <x:c r="B287" s="48" t="n">
        <x:f>IF($A287="","",SUMIFS('02_ツリー'!$K$5:$K$560,'02_ツリー'!$E$5:$E$560,$A287,'02_ツリー'!$K$5:$K$560,"&gt;0"))</x:f>
        <x:v>0</x:v>
      </x:c>
      <x:c r="C287" s="48" t="n">
        <x:f>IF($A287="","",SUMIFS('02_ツリー'!$K$5:$K$560,'02_ツリー'!$E$5:$E$560,$A287,'02_ツリー'!$K$5:$K$560,"&lt;0"))</x:f>
        <x:v>0</x:v>
      </x:c>
      <x:c r="D287" s="48" t="n">
        <x:f>IF($A287="","",B287+C287)</x:f>
        <x:v>0</x:v>
      </x:c>
      <x:c r="E287" s="48" t="n">
        <x:f>IF($A287="","",B287-C287)</x:f>
        <x:v>0</x:v>
      </x:c>
      <x:c r="F287" s="48" t="n">
        <x:f>IF($A287="","",SUMIFS('02_ツリー'!$H$5:$H$560,'02_ツリー'!$E$5:$E$560,$A287,'02_ツリー'!$K$5:$K$560,"&gt;0"))</x:f>
        <x:v>0</x:v>
      </x:c>
      <x:c r="G287" s="48" t="n">
        <x:f>IF($A287="","",-SUMIFS('02_ツリー'!$H$5:$H$560,'02_ツリー'!$E$5:$E$560,$A287,'02_ツリー'!$K$5:$K$560,"&lt;0"))</x:f>
        <x:v>0</x:v>
      </x:c>
      <x:c r="H287" s="48" t="n">
        <x:f>IF($A287="","",F287+G287)</x:f>
        <x:v>0</x:v>
      </x:c>
      <x:c r="I287" s="244" t="n">
        <x:f>IF($A287="","",--(COUNTIFS('02_ツリー'!$E$5:$E$560,$A287,'02_ツリー'!$O$5:$O$560,0)=0))</x:f>
        <x:v>0</x:v>
      </x:c>
      <x:c r="J287" s="12" t="str">
        <x:f>IF($A287="","",IF(AND(B287&gt;0,C287&lt;0),"正負あり",IF(B287&gt;0,"正のみ",IF(C287&lt;0,"負のみ","ゼロ"))))</x:f>
        <x:v>ゼロ</x:v>
      </x:c>
      <x:c r="K287" s="244" t="n">
        <x:f>IF($A287="","",--AND(B287&gt;0,C287&lt;0))</x:f>
        <x:v>0</x:v>
      </x:c>
      <x:c r="L287" s="244" t="n">
        <x:f>IF($A287="","",COUNTIF('02_ツリー'!$E$5:$E$560,$A287))</x:f>
        <x:v>2</x:v>
      </x:c>
      <x:c r="M287" s="244" t="n">
        <x:f>IF($A287="","",--(LEFT(A287,7)="Enable_"))</x:f>
        <x:v>0</x:v>
      </x:c>
      <x:c r="N287" s="12"/>
      <x:c r="O287" s="12"/>
      <x:c r="P287" s="12"/>
      <x:c r="Q287" s="12"/>
      <x:c r="R287" s="12"/>
      <x:c r="S287" s="12"/>
      <x:c r="T287" s="12"/>
      <x:c r="U287" s="12"/>
      <x:c r="V287" s="12"/>
      <x:c r="W287" s="12"/>
      <x:c r="X287" s="12"/>
      <x:c r="Y287" s="12"/>
    </x:row>
    <x:row r="288">
      <x:c r="A288" s="12" t="str">
        <x:f>IFERROR(INDEX('02_ツリー'!$E$5:$E$560,MATCH(ROWS($A$11:A288),'02_ツリー'!$R$5:$R$560,0)),"")</x:f>
        <x:v>M_CM_filter</x:v>
      </x:c>
      <x:c r="B288" s="48" t="n">
        <x:f>IF($A288="","",SUMIFS('02_ツリー'!$K$5:$K$560,'02_ツリー'!$E$5:$E$560,$A288,'02_ツリー'!$K$5:$K$560,"&gt;0"))</x:f>
        <x:v>0.022351765568332658</x:v>
      </x:c>
      <x:c r="C288" s="48" t="n">
        <x:f>IF($A288="","",SUMIFS('02_ツリー'!$K$5:$K$560,'02_ツリー'!$E$5:$E$560,$A288,'02_ツリー'!$K$5:$K$560,"&lt;0"))</x:f>
        <x:v>0</x:v>
      </x:c>
      <x:c r="D288" s="48" t="n">
        <x:f>IF($A288="","",B288+C288)</x:f>
        <x:v>0.022351765568332658</x:v>
      </x:c>
      <x:c r="E288" s="48" t="n">
        <x:f>IF($A288="","",B288-C288)</x:f>
        <x:v>0.022351765568332658</x:v>
      </x:c>
      <x:c r="F288" s="48" t="n">
        <x:f>IF($A288="","",SUMIFS('02_ツリー'!$H$5:$H$560,'02_ツリー'!$E$5:$E$560,$A288,'02_ツリー'!$K$5:$K$560,"&gt;0"))</x:f>
        <x:v>0.20000000000000004</x:v>
      </x:c>
      <x:c r="G288" s="48" t="n">
        <x:f>IF($A288="","",-SUMIFS('02_ツリー'!$H$5:$H$560,'02_ツリー'!$E$5:$E$560,$A288,'02_ツリー'!$K$5:$K$560,"&lt;0"))</x:f>
        <x:v>0</x:v>
      </x:c>
      <x:c r="H288" s="48" t="n">
        <x:f>IF($A288="","",F288+G288)</x:f>
        <x:v>0.20000000000000004</x:v>
      </x:c>
      <x:c r="I288" s="244" t="n">
        <x:f>IF($A288="","",--(COUNTIFS('02_ツリー'!$E$5:$E$560,$A288,'02_ツリー'!$O$5:$O$560,0)=0))</x:f>
        <x:v>0</x:v>
      </x:c>
      <x:c r="J288" s="12" t="str">
        <x:f>IF($A288="","",IF(AND(B288&gt;0,C288&lt;0),"正負あり",IF(B288&gt;0,"正のみ",IF(C288&lt;0,"負のみ","ゼロ"))))</x:f>
        <x:v>正のみ</x:v>
      </x:c>
      <x:c r="K288" s="244" t="n">
        <x:f>IF($A288="","",--AND(B288&gt;0,C288&lt;0))</x:f>
        <x:v>0</x:v>
      </x:c>
      <x:c r="L288" s="244" t="n">
        <x:f>IF($A288="","",COUNTIF('02_ツリー'!$E$5:$E$560,$A288))</x:f>
        <x:v>1</x:v>
      </x:c>
      <x:c r="M288" s="244" t="n">
        <x:f>IF($A288="","",--(LEFT(A288,7)="Enable_"))</x:f>
        <x:v>0</x:v>
      </x:c>
      <x:c r="N288" s="12"/>
      <x:c r="O288" s="12"/>
      <x:c r="P288" s="12"/>
      <x:c r="Q288" s="12"/>
      <x:c r="R288" s="12"/>
      <x:c r="S288" s="12"/>
      <x:c r="T288" s="12"/>
      <x:c r="U288" s="12"/>
      <x:c r="V288" s="12"/>
      <x:c r="W288" s="12"/>
      <x:c r="X288" s="12"/>
      <x:c r="Y288" s="12"/>
    </x:row>
    <x:row r="289">
      <x:c r="A289" s="12" t="str">
        <x:f>IFERROR(INDEX('02_ツリー'!$E$5:$E$560,MATCH(ROWS($A$11:A289),'02_ツリー'!$R$5:$R$560,0)),"")</x:f>
        <x:v>m_CM_filter_base</x:v>
      </x:c>
      <x:c r="B289" s="48" t="n">
        <x:f>IF($A289="","",SUMIFS('02_ツリー'!$K$5:$K$560,'02_ツリー'!$E$5:$E$560,$A289,'02_ツリー'!$K$5:$K$560,"&gt;0"))</x:f>
        <x:v>0.022351765568332658</x:v>
      </x:c>
      <x:c r="C289" s="48" t="n">
        <x:f>IF($A289="","",SUMIFS('02_ツリー'!$K$5:$K$560,'02_ツリー'!$E$5:$E$560,$A289,'02_ツリー'!$K$5:$K$560,"&lt;0"))</x:f>
        <x:v>0</x:v>
      </x:c>
      <x:c r="D289" s="48" t="n">
        <x:f>IF($A289="","",B289+C289)</x:f>
        <x:v>0.022351765568332658</x:v>
      </x:c>
      <x:c r="E289" s="48" t="n">
        <x:f>IF($A289="","",B289-C289)</x:f>
        <x:v>0.022351765568332658</x:v>
      </x:c>
      <x:c r="F289" s="48" t="n">
        <x:f>IF($A289="","",SUMIFS('02_ツリー'!$H$5:$H$560,'02_ツリー'!$E$5:$E$560,$A289,'02_ツリー'!$K$5:$K$560,"&gt;0"))</x:f>
        <x:v>0.20000000000000004</x:v>
      </x:c>
      <x:c r="G289" s="48" t="n">
        <x:f>IF($A289="","",-SUMIFS('02_ツリー'!$H$5:$H$560,'02_ツリー'!$E$5:$E$560,$A289,'02_ツリー'!$K$5:$K$560,"&lt;0"))</x:f>
        <x:v>0</x:v>
      </x:c>
      <x:c r="H289" s="48" t="n">
        <x:f>IF($A289="","",F289+G289)</x:f>
        <x:v>0.20000000000000004</x:v>
      </x:c>
      <x:c r="I289" s="244" t="n">
        <x:f>IF($A289="","",--(COUNTIFS('02_ツリー'!$E$5:$E$560,$A289,'02_ツリー'!$O$5:$O$560,0)=0))</x:f>
        <x:v>1</x:v>
      </x:c>
      <x:c r="J289" s="12" t="str">
        <x:f>IF($A289="","",IF(AND(B289&gt;0,C289&lt;0),"正負あり",IF(B289&gt;0,"正のみ",IF(C289&lt;0,"負のみ","ゼロ"))))</x:f>
        <x:v>正のみ</x:v>
      </x:c>
      <x:c r="K289" s="244" t="n">
        <x:f>IF($A289="","",--AND(B289&gt;0,C289&lt;0))</x:f>
        <x:v>0</x:v>
      </x:c>
      <x:c r="L289" s="244" t="n">
        <x:f>IF($A289="","",COUNTIF('02_ツリー'!$E$5:$E$560,$A289))</x:f>
        <x:v>1</x:v>
      </x:c>
      <x:c r="M289" s="244" t="n">
        <x:f>IF($A289="","",--(LEFT(A289,7)="Enable_"))</x:f>
        <x:v>0</x:v>
      </x:c>
      <x:c r="N289" s="12"/>
      <x:c r="O289" s="12"/>
      <x:c r="P289" s="12"/>
      <x:c r="Q289" s="12"/>
      <x:c r="R289" s="12"/>
      <x:c r="S289" s="12"/>
      <x:c r="T289" s="12"/>
      <x:c r="U289" s="12"/>
      <x:c r="V289" s="12"/>
      <x:c r="W289" s="12"/>
      <x:c r="X289" s="12"/>
      <x:c r="Y289" s="12"/>
    </x:row>
    <x:row r="290">
      <x:c r="A290" s="12" t="str">
        <x:f>IFERROR(INDEX('02_ツリー'!$E$5:$E$560,MATCH(ROWS($A$11:A290),'02_ツリー'!$R$5:$R$560,0)),"")</x:f>
        <x:v>k_cm_filter_reduce</x:v>
      </x:c>
      <x:c r="B290" s="48" t="n">
        <x:f>IF($A290="","",SUMIFS('02_ツリー'!$K$5:$K$560,'02_ツリー'!$E$5:$E$560,$A290,'02_ツリー'!$K$5:$K$560,"&gt;0"))</x:f>
        <x:v>0</x:v>
      </x:c>
      <x:c r="C290" s="48" t="n">
        <x:f>IF($A290="","",SUMIFS('02_ツリー'!$K$5:$K$560,'02_ツリー'!$E$5:$E$560,$A290,'02_ツリー'!$K$5:$K$560,"&lt;0"))</x:f>
        <x:v>0</x:v>
      </x:c>
      <x:c r="D290" s="48" t="n">
        <x:f>IF($A290="","",B290+C290)</x:f>
        <x:v>0</x:v>
      </x:c>
      <x:c r="E290" s="48" t="n">
        <x:f>IF($A290="","",B290-C290)</x:f>
        <x:v>0</x:v>
      </x:c>
      <x:c r="F290" s="48" t="n">
        <x:f>IF($A290="","",SUMIFS('02_ツリー'!$H$5:$H$560,'02_ツリー'!$E$5:$E$560,$A290,'02_ツリー'!$K$5:$K$560,"&gt;0"))</x:f>
        <x:v>0</x:v>
      </x:c>
      <x:c r="G290" s="48" t="n">
        <x:f>IF($A290="","",-SUMIFS('02_ツリー'!$H$5:$H$560,'02_ツリー'!$E$5:$E$560,$A290,'02_ツリー'!$K$5:$K$560,"&lt;0"))</x:f>
        <x:v>0</x:v>
      </x:c>
      <x:c r="H290" s="48" t="n">
        <x:f>IF($A290="","",F290+G290)</x:f>
        <x:v>0</x:v>
      </x:c>
      <x:c r="I290" s="244" t="n">
        <x:f>IF($A290="","",--(COUNTIFS('02_ツリー'!$E$5:$E$560,$A290,'02_ツリー'!$O$5:$O$560,0)=0))</x:f>
        <x:v>1</x:v>
      </x:c>
      <x:c r="J290" s="12" t="str">
        <x:f>IF($A290="","",IF(AND(B290&gt;0,C290&lt;0),"正負あり",IF(B290&gt;0,"正のみ",IF(C290&lt;0,"負のみ","ゼロ"))))</x:f>
        <x:v>ゼロ</x:v>
      </x:c>
      <x:c r="K290" s="244" t="n">
        <x:f>IF($A290="","",--AND(B290&gt;0,C290&lt;0))</x:f>
        <x:v>0</x:v>
      </x:c>
      <x:c r="L290" s="244" t="n">
        <x:f>IF($A290="","",COUNTIF('02_ツリー'!$E$5:$E$560,$A290))</x:f>
        <x:v>1</x:v>
      </x:c>
      <x:c r="M290" s="244" t="n">
        <x:f>IF($A290="","",--(LEFT(A290,7)="Enable_"))</x:f>
        <x:v>0</x:v>
      </x:c>
      <x:c r="N290" s="12"/>
      <x:c r="O290" s="12"/>
      <x:c r="P290" s="12"/>
      <x:c r="Q290" s="12"/>
      <x:c r="R290" s="12"/>
      <x:c r="S290" s="12"/>
      <x:c r="T290" s="12"/>
      <x:c r="U290" s="12"/>
      <x:c r="V290" s="12"/>
      <x:c r="W290" s="12"/>
      <x:c r="X290" s="12"/>
      <x:c r="Y290" s="12"/>
    </x:row>
    <x:row r="291">
      <x:c r="A291" s="12" t="str">
        <x:f>IFERROR(INDEX('02_ツリー'!$E$5:$E$560,MATCH(ROWS($A$11:A291),'02_ツリー'!$R$5:$R$560,0)),"")</x:f>
        <x:v>M_PWM_option</x:v>
      </x:c>
      <x:c r="B291" s="48" t="n">
        <x:f>IF($A291="","",SUMIFS('02_ツリー'!$K$5:$K$560,'02_ツリー'!$E$5:$E$560,$A291,'02_ツリー'!$K$5:$K$560,"&gt;0"))</x:f>
        <x:v>0</x:v>
      </x:c>
      <x:c r="C291" s="48" t="n">
        <x:f>IF($A291="","",SUMIFS('02_ツリー'!$K$5:$K$560,'02_ツリー'!$E$5:$E$560,$A291,'02_ツリー'!$K$5:$K$560,"&lt;0"))</x:f>
        <x:v>0</x:v>
      </x:c>
      <x:c r="D291" s="48" t="n">
        <x:f>IF($A291="","",B291+C291)</x:f>
        <x:v>0</x:v>
      </x:c>
      <x:c r="E291" s="48" t="n">
        <x:f>IF($A291="","",B291-C291)</x:f>
        <x:v>0</x:v>
      </x:c>
      <x:c r="F291" s="48" t="n">
        <x:f>IF($A291="","",SUMIFS('02_ツリー'!$H$5:$H$560,'02_ツリー'!$E$5:$E$560,$A291,'02_ツリー'!$K$5:$K$560,"&gt;0"))</x:f>
        <x:v>0</x:v>
      </x:c>
      <x:c r="G291" s="48" t="n">
        <x:f>IF($A291="","",-SUMIFS('02_ツリー'!$H$5:$H$560,'02_ツリー'!$E$5:$E$560,$A291,'02_ツリー'!$K$5:$K$560,"&lt;0"))</x:f>
        <x:v>0</x:v>
      </x:c>
      <x:c r="H291" s="48" t="n">
        <x:f>IF($A291="","",F291+G291)</x:f>
        <x:v>0</x:v>
      </x:c>
      <x:c r="I291" s="244" t="n">
        <x:f>IF($A291="","",--(COUNTIFS('02_ツリー'!$E$5:$E$560,$A291,'02_ツリー'!$O$5:$O$560,0)=0))</x:f>
        <x:v>0</x:v>
      </x:c>
      <x:c r="J291" s="12" t="str">
        <x:f>IF($A291="","",IF(AND(B291&gt;0,C291&lt;0),"正負あり",IF(B291&gt;0,"正のみ",IF(C291&lt;0,"負のみ","ゼロ"))))</x:f>
        <x:v>ゼロ</x:v>
      </x:c>
      <x:c r="K291" s="244" t="n">
        <x:f>IF($A291="","",--AND(B291&gt;0,C291&lt;0))</x:f>
        <x:v>0</x:v>
      </x:c>
      <x:c r="L291" s="244" t="n">
        <x:f>IF($A291="","",COUNTIF('02_ツリー'!$E$5:$E$560,$A291))</x:f>
        <x:v>1</x:v>
      </x:c>
      <x:c r="M291" s="244" t="n">
        <x:f>IF($A291="","",--(LEFT(A291,7)="Enable_"))</x:f>
        <x:v>0</x:v>
      </x:c>
      <x:c r="N291" s="12"/>
      <x:c r="O291" s="12"/>
      <x:c r="P291" s="12"/>
      <x:c r="Q291" s="12"/>
      <x:c r="R291" s="12"/>
      <x:c r="S291" s="12"/>
      <x:c r="T291" s="12"/>
      <x:c r="U291" s="12"/>
      <x:c r="V291" s="12"/>
      <x:c r="W291" s="12"/>
      <x:c r="X291" s="12"/>
      <x:c r="Y291" s="12"/>
    </x:row>
    <x:row r="292">
      <x:c r="A292" s="12" t="str">
        <x:f>IFERROR(INDEX('02_ツリー'!$E$5:$E$560,MATCH(ROWS($A$11:A292),'02_ツリー'!$R$5:$R$560,0)),"")</x:f>
        <x:v>m_cmpwm_ctrl</x:v>
      </x:c>
      <x:c r="B292" s="48" t="n">
        <x:f>IF($A292="","",SUMIFS('02_ツリー'!$K$5:$K$560,'02_ツリー'!$E$5:$E$560,$A292,'02_ツリー'!$K$5:$K$560,"&gt;0"))</x:f>
        <x:v>0</x:v>
      </x:c>
      <x:c r="C292" s="48" t="n">
        <x:f>IF($A292="","",SUMIFS('02_ツリー'!$K$5:$K$560,'02_ツリー'!$E$5:$E$560,$A292,'02_ツリー'!$K$5:$K$560,"&lt;0"))</x:f>
        <x:v>0</x:v>
      </x:c>
      <x:c r="D292" s="48" t="n">
        <x:f>IF($A292="","",B292+C292)</x:f>
        <x:v>0</x:v>
      </x:c>
      <x:c r="E292" s="48" t="n">
        <x:f>IF($A292="","",B292-C292)</x:f>
        <x:v>0</x:v>
      </x:c>
      <x:c r="F292" s="48" t="n">
        <x:f>IF($A292="","",SUMIFS('02_ツリー'!$H$5:$H$560,'02_ツリー'!$E$5:$E$560,$A292,'02_ツリー'!$K$5:$K$560,"&gt;0"))</x:f>
        <x:v>0</x:v>
      </x:c>
      <x:c r="G292" s="48" t="n">
        <x:f>IF($A292="","",-SUMIFS('02_ツリー'!$H$5:$H$560,'02_ツリー'!$E$5:$E$560,$A292,'02_ツリー'!$K$5:$K$560,"&lt;0"))</x:f>
        <x:v>0</x:v>
      </x:c>
      <x:c r="H292" s="48" t="n">
        <x:f>IF($A292="","",F292+G292)</x:f>
        <x:v>0</x:v>
      </x:c>
      <x:c r="I292" s="244" t="n">
        <x:f>IF($A292="","",--(COUNTIFS('02_ツリー'!$E$5:$E$560,$A292,'02_ツリー'!$O$5:$O$560,0)=0))</x:f>
        <x:v>1</x:v>
      </x:c>
      <x:c r="J292" s="12" t="str">
        <x:f>IF($A292="","",IF(AND(B292&gt;0,C292&lt;0),"正負あり",IF(B292&gt;0,"正のみ",IF(C292&lt;0,"負のみ","ゼロ"))))</x:f>
        <x:v>ゼロ</x:v>
      </x:c>
      <x:c r="K292" s="244" t="n">
        <x:f>IF($A292="","",--AND(B292&gt;0,C292&lt;0))</x:f>
        <x:v>0</x:v>
      </x:c>
      <x:c r="L292" s="244" t="n">
        <x:f>IF($A292="","",COUNTIF('02_ツリー'!$E$5:$E$560,$A292))</x:f>
        <x:v>1</x:v>
      </x:c>
      <x:c r="M292" s="244" t="n">
        <x:f>IF($A292="","",--(LEFT(A292,7)="Enable_"))</x:f>
        <x:v>0</x:v>
      </x:c>
      <x:c r="N292" s="12"/>
      <x:c r="O292" s="12"/>
      <x:c r="P292" s="12"/>
      <x:c r="Q292" s="12"/>
      <x:c r="R292" s="12"/>
      <x:c r="S292" s="12"/>
      <x:c r="T292" s="12"/>
      <x:c r="U292" s="12"/>
      <x:c r="V292" s="12"/>
      <x:c r="W292" s="12"/>
      <x:c r="X292" s="12"/>
      <x:c r="Y292" s="12"/>
    </x:row>
    <x:row r="293">
      <x:c r="A293" s="12" t="str">
        <x:f>IFERROR(INDEX('02_ツリー'!$E$5:$E$560,MATCH(ROWS($A$11:A293),'02_ツリー'!$R$5:$R$560,0)),"")</x:f>
        <x:v>M_cap_margin</x:v>
      </x:c>
      <x:c r="B293" s="48" t="n">
        <x:f>IF($A293="","",SUMIFS('02_ツリー'!$K$5:$K$560,'02_ツリー'!$E$5:$E$560,$A293,'02_ツリー'!$K$5:$K$560,"&gt;0"))</x:f>
        <x:v>0.03782017725129284</x:v>
      </x:c>
      <x:c r="C293" s="48" t="n">
        <x:f>IF($A293="","",SUMIFS('02_ツリー'!$K$5:$K$560,'02_ツリー'!$E$5:$E$560,$A293,'02_ツリー'!$K$5:$K$560,"&lt;0"))</x:f>
        <x:v>0</x:v>
      </x:c>
      <x:c r="D293" s="48" t="n">
        <x:f>IF($A293="","",B293+C293)</x:f>
        <x:v>0.03782017725129284</x:v>
      </x:c>
      <x:c r="E293" s="48" t="n">
        <x:f>IF($A293="","",B293-C293)</x:f>
        <x:v>0.03782017725129284</x:v>
      </x:c>
      <x:c r="F293" s="48" t="n">
        <x:f>IF($A293="","",SUMIFS('02_ツリー'!$H$5:$H$560,'02_ツリー'!$E$5:$E$560,$A293,'02_ツリー'!$K$5:$K$560,"&gt;0"))</x:f>
        <x:v>0.33840885755240196</x:v>
      </x:c>
      <x:c r="G293" s="48" t="n">
        <x:f>IF($A293="","",-SUMIFS('02_ツリー'!$H$5:$H$560,'02_ツリー'!$E$5:$E$560,$A293,'02_ツリー'!$K$5:$K$560,"&lt;0"))</x:f>
        <x:v>0</x:v>
      </x:c>
      <x:c r="H293" s="48" t="n">
        <x:f>IF($A293="","",F293+G293)</x:f>
        <x:v>0.33840885755240196</x:v>
      </x:c>
      <x:c r="I293" s="244" t="n">
        <x:f>IF($A293="","",--(COUNTIFS('02_ツリー'!$E$5:$E$560,$A293,'02_ツリー'!$O$5:$O$560,0)=0))</x:f>
        <x:v>0</x:v>
      </x:c>
      <x:c r="J293" s="12" t="str">
        <x:f>IF($A293="","",IF(AND(B293&gt;0,C293&lt;0),"正負あり",IF(B293&gt;0,"正のみ",IF(C293&lt;0,"負のみ","ゼロ"))))</x:f>
        <x:v>正のみ</x:v>
      </x:c>
      <x:c r="K293" s="244" t="n">
        <x:f>IF($A293="","",--AND(B293&gt;0,C293&lt;0))</x:f>
        <x:v>0</x:v>
      </x:c>
      <x:c r="L293" s="244" t="n">
        <x:f>IF($A293="","",COUNTIF('02_ツリー'!$E$5:$E$560,$A293))</x:f>
        <x:v>1</x:v>
      </x:c>
      <x:c r="M293" s="244" t="n">
        <x:f>IF($A293="","",--(LEFT(A293,7)="Enable_"))</x:f>
        <x:v>0</x:v>
      </x:c>
      <x:c r="N293" s="12"/>
      <x:c r="O293" s="12"/>
      <x:c r="P293" s="12"/>
      <x:c r="Q293" s="12"/>
      <x:c r="R293" s="12"/>
      <x:c r="S293" s="12"/>
      <x:c r="T293" s="12"/>
      <x:c r="U293" s="12"/>
      <x:c r="V293" s="12"/>
      <x:c r="W293" s="12"/>
      <x:c r="X293" s="12"/>
      <x:c r="Y293" s="12"/>
    </x:row>
    <x:row r="294">
      <x:c r="A294" s="12" t="str">
        <x:f>IFERROR(INDEX('02_ツリー'!$E$5:$E$560,MATCH(ROWS($A$11:A294),'02_ツリー'!$R$5:$R$560,0)),"")</x:f>
        <x:v>N_cap_req</x:v>
      </x:c>
      <x:c r="B294" s="48" t="n">
        <x:f>IF($A294="","",SUMIFS('02_ツリー'!$K$5:$K$560,'02_ツリー'!$E$5:$E$560,$A294,'02_ツリー'!$K$5:$K$560,"&gt;0"))</x:f>
        <x:v>0.1638755377544182</x:v>
      </x:c>
      <x:c r="C294" s="48" t="n">
        <x:f>IF($A294="","",SUMIFS('02_ツリー'!$K$5:$K$560,'02_ツリー'!$E$5:$E$560,$A294,'02_ツリー'!$K$5:$K$560,"&lt;0"))</x:f>
        <x:v>0</x:v>
      </x:c>
      <x:c r="D294" s="48" t="n">
        <x:f>IF($A294="","",B294+C294)</x:f>
        <x:v>0.1638755377544182</x:v>
      </x:c>
      <x:c r="E294" s="48" t="n">
        <x:f>IF($A294="","",B294-C294)</x:f>
        <x:v>0.1638755377544182</x:v>
      </x:c>
      <x:c r="F294" s="48" t="n">
        <x:f>IF($A294="","",SUMIFS('02_ツリー'!$H$5:$H$560,'02_ツリー'!$E$5:$E$560,$A294,'02_ツリー'!$K$5:$K$560,"&gt;0"))</x:f>
        <x:v>1.466331930275722</x:v>
      </x:c>
      <x:c r="G294" s="48" t="n">
        <x:f>IF($A294="","",-SUMIFS('02_ツリー'!$H$5:$H$560,'02_ツリー'!$E$5:$E$560,$A294,'02_ツリー'!$K$5:$K$560,"&lt;0"))</x:f>
        <x:v>0</x:v>
      </x:c>
      <x:c r="H294" s="48" t="n">
        <x:f>IF($A294="","",F294+G294)</x:f>
        <x:v>1.466331930275722</x:v>
      </x:c>
      <x:c r="I294" s="244" t="n">
        <x:f>IF($A294="","",--(COUNTIFS('02_ツリー'!$E$5:$E$560,$A294,'02_ツリー'!$O$5:$O$560,0)=0))</x:f>
        <x:v>0</x:v>
      </x:c>
      <x:c r="J294" s="12" t="str">
        <x:f>IF($A294="","",IF(AND(B294&gt;0,C294&lt;0),"正負あり",IF(B294&gt;0,"正のみ",IF(C294&lt;0,"負のみ","ゼロ"))))</x:f>
        <x:v>正のみ</x:v>
      </x:c>
      <x:c r="K294" s="244" t="n">
        <x:f>IF($A294="","",--AND(B294&gt;0,C294&lt;0))</x:f>
        <x:v>0</x:v>
      </x:c>
      <x:c r="L294" s="244" t="n">
        <x:f>IF($A294="","",COUNTIF('02_ツリー'!$E$5:$E$560,$A294))</x:f>
        <x:v>1</x:v>
      </x:c>
      <x:c r="M294" s="244" t="n">
        <x:f>IF($A294="","",--(LEFT(A294,7)="Enable_"))</x:f>
        <x:v>0</x:v>
      </x:c>
      <x:c r="N294" s="12"/>
      <x:c r="O294" s="12"/>
      <x:c r="P294" s="12"/>
      <x:c r="Q294" s="12"/>
      <x:c r="R294" s="12"/>
      <x:c r="S294" s="12"/>
      <x:c r="T294" s="12"/>
      <x:c r="U294" s="12"/>
      <x:c r="V294" s="12"/>
      <x:c r="W294" s="12"/>
      <x:c r="X294" s="12"/>
      <x:c r="Y294" s="12"/>
    </x:row>
    <x:row r="295">
      <x:c r="A295" s="12" t="str">
        <x:f>IFERROR(INDEX('02_ツリー'!$E$5:$E$560,MATCH(ROWS($A$11:A295),'02_ツリー'!$R$5:$R$560,0)),"")</x:f>
        <x:v>N_cap_ripple</x:v>
      </x:c>
      <x:c r="B295" s="48" t="n">
        <x:f>IF($A295="","",SUMIFS('02_ツリー'!$K$5:$K$560,'02_ツリー'!$E$5:$E$560,$A295,'02_ツリー'!$K$5:$K$560,"&gt;0"))</x:f>
        <x:v>0.1638755377544182</x:v>
      </x:c>
      <x:c r="C295" s="48" t="n">
        <x:f>IF($A295="","",SUMIFS('02_ツリー'!$K$5:$K$560,'02_ツリー'!$E$5:$E$560,$A295,'02_ツリー'!$K$5:$K$560,"&lt;0"))</x:f>
        <x:v>0</x:v>
      </x:c>
      <x:c r="D295" s="48" t="n">
        <x:f>IF($A295="","",B295+C295)</x:f>
        <x:v>0.1638755377544182</x:v>
      </x:c>
      <x:c r="E295" s="48" t="n">
        <x:f>IF($A295="","",B295-C295)</x:f>
        <x:v>0.1638755377544182</x:v>
      </x:c>
      <x:c r="F295" s="48" t="n">
        <x:f>IF($A295="","",SUMIFS('02_ツリー'!$H$5:$H$560,'02_ツリー'!$E$5:$E$560,$A295,'02_ツリー'!$K$5:$K$560,"&gt;0"))</x:f>
        <x:v>1.466331930275722</x:v>
      </x:c>
      <x:c r="G295" s="48" t="n">
        <x:f>IF($A295="","",-SUMIFS('02_ツリー'!$H$5:$H$560,'02_ツリー'!$E$5:$E$560,$A295,'02_ツリー'!$K$5:$K$560,"&lt;0"))</x:f>
        <x:v>0</x:v>
      </x:c>
      <x:c r="H295" s="48" t="n">
        <x:f>IF($A295="","",F295+G295)</x:f>
        <x:v>1.466331930275722</x:v>
      </x:c>
      <x:c r="I295" s="244" t="n">
        <x:f>IF($A295="","",--(COUNTIFS('02_ツリー'!$E$5:$E$560,$A295,'02_ツリー'!$O$5:$O$560,0)=0))</x:f>
        <x:v>0</x:v>
      </x:c>
      <x:c r="J295" s="12" t="str">
        <x:f>IF($A295="","",IF(AND(B295&gt;0,C295&lt;0),"正負あり",IF(B295&gt;0,"正のみ",IF(C295&lt;0,"負のみ","ゼロ"))))</x:f>
        <x:v>正のみ</x:v>
      </x:c>
      <x:c r="K295" s="244" t="n">
        <x:f>IF($A295="","",--AND(B295&gt;0,C295&lt;0))</x:f>
        <x:v>0</x:v>
      </x:c>
      <x:c r="L295" s="244" t="n">
        <x:f>IF($A295="","",COUNTIF('02_ツリー'!$E$5:$E$560,$A295))</x:f>
        <x:v>1</x:v>
      </x:c>
      <x:c r="M295" s="244" t="n">
        <x:f>IF($A295="","",--(LEFT(A295,7)="Enable_"))</x:f>
        <x:v>0</x:v>
      </x:c>
      <x:c r="N295" s="12"/>
      <x:c r="O295" s="12"/>
      <x:c r="P295" s="12"/>
      <x:c r="Q295" s="12"/>
      <x:c r="R295" s="12"/>
      <x:c r="S295" s="12"/>
      <x:c r="T295" s="12"/>
      <x:c r="U295" s="12"/>
      <x:c r="V295" s="12"/>
      <x:c r="W295" s="12"/>
      <x:c r="X295" s="12"/>
      <x:c r="Y295" s="12"/>
    </x:row>
    <x:row r="296">
      <x:c r="A296" s="12" t="str">
        <x:f>IFERROR(INDEX('02_ツリー'!$E$5:$E$560,MATCH(ROWS($A$11:A296),'02_ツリー'!$R$5:$R$560,0)),"")</x:f>
        <x:v>I_C_rms</x:v>
      </x:c>
      <x:c r="B296" s="48" t="n">
        <x:f>IF($A296="","",SUMIFS('02_ツリー'!$K$5:$K$560,'02_ツリー'!$E$5:$E$560,$A296,'02_ツリー'!$K$5:$K$560,"&gt;0"))</x:f>
        <x:v>0.1638755377544182</x:v>
      </x:c>
      <x:c r="C296" s="48" t="n">
        <x:f>IF($A296="","",SUMIFS('02_ツリー'!$K$5:$K$560,'02_ツリー'!$E$5:$E$560,$A296,'02_ツリー'!$K$5:$K$560,"&lt;0"))</x:f>
        <x:v>0</x:v>
      </x:c>
      <x:c r="D296" s="48" t="n">
        <x:f>IF($A296="","",B296+C296)</x:f>
        <x:v>0.1638755377544182</x:v>
      </x:c>
      <x:c r="E296" s="48" t="n">
        <x:f>IF($A296="","",B296-C296)</x:f>
        <x:v>0.1638755377544182</x:v>
      </x:c>
      <x:c r="F296" s="48" t="n">
        <x:f>IF($A296="","",SUMIFS('02_ツリー'!$H$5:$H$560,'02_ツリー'!$E$5:$E$560,$A296,'02_ツリー'!$K$5:$K$560,"&gt;0"))</x:f>
        <x:v>1.466331930275722</x:v>
      </x:c>
      <x:c r="G296" s="48" t="n">
        <x:f>IF($A296="","",-SUMIFS('02_ツリー'!$H$5:$H$560,'02_ツリー'!$E$5:$E$560,$A296,'02_ツリー'!$K$5:$K$560,"&lt;0"))</x:f>
        <x:v>0</x:v>
      </x:c>
      <x:c r="H296" s="48" t="n">
        <x:f>IF($A296="","",F296+G296)</x:f>
        <x:v>1.466331930275722</x:v>
      </x:c>
      <x:c r="I296" s="244" t="n">
        <x:f>IF($A296="","",--(COUNTIFS('02_ツリー'!$E$5:$E$560,$A296,'02_ツリー'!$O$5:$O$560,0)=0))</x:f>
        <x:v>0</x:v>
      </x:c>
      <x:c r="J296" s="12" t="str">
        <x:f>IF($A296="","",IF(AND(B296&gt;0,C296&lt;0),"正負あり",IF(B296&gt;0,"正のみ",IF(C296&lt;0,"負のみ","ゼロ"))))</x:f>
        <x:v>正のみ</x:v>
      </x:c>
      <x:c r="K296" s="244" t="n">
        <x:f>IF($A296="","",--AND(B296&gt;0,C296&lt;0))</x:f>
        <x:v>0</x:v>
      </x:c>
      <x:c r="L296" s="244" t="n">
        <x:f>IF($A296="","",COUNTIF('02_ツリー'!$E$5:$E$560,$A296))</x:f>
        <x:v>1</x:v>
      </x:c>
      <x:c r="M296" s="244" t="n">
        <x:f>IF($A296="","",--(LEFT(A296,7)="Enable_"))</x:f>
        <x:v>0</x:v>
      </x:c>
      <x:c r="N296" s="12"/>
      <x:c r="O296" s="12"/>
      <x:c r="P296" s="12"/>
      <x:c r="Q296" s="12"/>
      <x:c r="R296" s="12"/>
      <x:c r="S296" s="12"/>
      <x:c r="T296" s="12"/>
      <x:c r="U296" s="12"/>
      <x:c r="V296" s="12"/>
      <x:c r="W296" s="12"/>
      <x:c r="X296" s="12"/>
      <x:c r="Y296" s="12"/>
    </x:row>
    <x:row r="297">
      <x:c r="A297" s="12" t="str">
        <x:f>IFERROR(INDEX('02_ツリー'!$E$5:$E$560,MATCH(ROWS($A$11:A297),'02_ツリー'!$R$5:$R$560,0)),"")</x:f>
        <x:v>k_Icap_ripple</x:v>
      </x:c>
      <x:c r="B297" s="48" t="n">
        <x:f>IF($A297="","",SUMIFS('02_ツリー'!$K$5:$K$560,'02_ツリー'!$E$5:$E$560,$A297,'02_ツリー'!$K$5:$K$560,"&gt;0"))</x:f>
        <x:v>0.1638755377544182</x:v>
      </x:c>
      <x:c r="C297" s="48" t="n">
        <x:f>IF($A297="","",SUMIFS('02_ツリー'!$K$5:$K$560,'02_ツリー'!$E$5:$E$560,$A297,'02_ツリー'!$K$5:$K$560,"&lt;0"))</x:f>
        <x:v>0</x:v>
      </x:c>
      <x:c r="D297" s="48" t="n">
        <x:f>IF($A297="","",B297+C297)</x:f>
        <x:v>0.1638755377544182</x:v>
      </x:c>
      <x:c r="E297" s="48" t="n">
        <x:f>IF($A297="","",B297-C297)</x:f>
        <x:v>0.1638755377544182</x:v>
      </x:c>
      <x:c r="F297" s="48" t="n">
        <x:f>IF($A297="","",SUMIFS('02_ツリー'!$H$5:$H$560,'02_ツリー'!$E$5:$E$560,$A297,'02_ツリー'!$K$5:$K$560,"&gt;0"))</x:f>
        <x:v>1.466331930275722</x:v>
      </x:c>
      <x:c r="G297" s="48" t="n">
        <x:f>IF($A297="","",-SUMIFS('02_ツリー'!$H$5:$H$560,'02_ツリー'!$E$5:$E$560,$A297,'02_ツリー'!$K$5:$K$560,"&lt;0"))</x:f>
        <x:v>0</x:v>
      </x:c>
      <x:c r="H297" s="48" t="n">
        <x:f>IF($A297="","",F297+G297)</x:f>
        <x:v>1.466331930275722</x:v>
      </x:c>
      <x:c r="I297" s="244" t="n">
        <x:f>IF($A297="","",--(COUNTIFS('02_ツリー'!$E$5:$E$560,$A297,'02_ツリー'!$O$5:$O$560,0)=0))</x:f>
        <x:v>1</x:v>
      </x:c>
      <x:c r="J297" s="12" t="str">
        <x:f>IF($A297="","",IF(AND(B297&gt;0,C297&lt;0),"正負あり",IF(B297&gt;0,"正のみ",IF(C297&lt;0,"負のみ","ゼロ"))))</x:f>
        <x:v>正のみ</x:v>
      </x:c>
      <x:c r="K297" s="244" t="n">
        <x:f>IF($A297="","",--AND(B297&gt;0,C297&lt;0))</x:f>
        <x:v>0</x:v>
      </x:c>
      <x:c r="L297" s="244" t="n">
        <x:f>IF($A297="","",COUNTIF('02_ツリー'!$E$5:$E$560,$A297))</x:f>
        <x:v>1</x:v>
      </x:c>
      <x:c r="M297" s="244" t="n">
        <x:f>IF($A297="","",--(LEFT(A297,7)="Enable_"))</x:f>
        <x:v>0</x:v>
      </x:c>
      <x:c r="N297" s="12"/>
      <x:c r="O297" s="12"/>
      <x:c r="P297" s="12"/>
      <x:c r="Q297" s="12"/>
      <x:c r="R297" s="12"/>
      <x:c r="S297" s="12"/>
      <x:c r="T297" s="12"/>
      <x:c r="U297" s="12"/>
      <x:c r="V297" s="12"/>
      <x:c r="W297" s="12"/>
      <x:c r="X297" s="12"/>
      <x:c r="Y297" s="12"/>
    </x:row>
    <x:row r="298">
      <x:c r="A298" s="12" t="str">
        <x:f>IFERROR(INDEX('02_ツリー'!$E$5:$E$560,MATCH(ROWS($A$11:A298),'02_ツリー'!$R$5:$R$560,0)),"")</x:f>
        <x:v>I_cap_unit_rating</x:v>
      </x:c>
      <x:c r="B298" s="48" t="n">
        <x:f>IF($A298="","",SUMIFS('02_ツリー'!$K$5:$K$560,'02_ツリー'!$E$5:$E$560,$A298,'02_ツリー'!$K$5:$K$560,"&gt;0"))</x:f>
        <x:v>0.08519240021791488</x:v>
      </x:c>
      <x:c r="C298" s="48" t="n">
        <x:f>IF($A298="","",SUMIFS('02_ツリー'!$K$5:$K$560,'02_ツリー'!$E$5:$E$560,$A298,'02_ツリー'!$K$5:$K$560,"&lt;0"))</x:f>
        <x:v>-0.1638755377544182</x:v>
      </x:c>
      <x:c r="D298" s="48" t="n">
        <x:f>IF($A298="","",B298+C298)</x:f>
        <x:v>-0.07868313753650333</x:v>
      </x:c>
      <x:c r="E298" s="48" t="n">
        <x:f>IF($A298="","",B298-C298)</x:f>
        <x:v>0.2490679379723331</x:v>
      </x:c>
      <x:c r="F298" s="48" t="n">
        <x:f>IF($A298="","",SUMIFS('02_ツリー'!$H$5:$H$560,'02_ツリー'!$E$5:$E$560,$A298,'02_ツリー'!$K$5:$K$560,"&gt;0"))</x:f>
        <x:v>0.7622878824267293</x:v>
      </x:c>
      <x:c r="G298" s="48" t="n">
        <x:f>IF($A298="","",-SUMIFS('02_ツリー'!$H$5:$H$560,'02_ツリー'!$E$5:$E$560,$A298,'02_ツリー'!$K$5:$K$560,"&lt;0"))</x:f>
        <x:v>-1.466331930275722</x:v>
      </x:c>
      <x:c r="H298" s="48" t="n">
        <x:f>IF($A298="","",F298+G298)</x:f>
        <x:v>-0.7040440478489928</x:v>
      </x:c>
      <x:c r="I298" s="244" t="n">
        <x:f>IF($A298="","",--(COUNTIFS('02_ツリー'!$E$5:$E$560,$A298,'02_ツリー'!$O$5:$O$560,0)=0))</x:f>
        <x:v>1</x:v>
      </x:c>
      <x:c r="J298" s="12" t="str">
        <x:f>IF($A298="","",IF(AND(B298&gt;0,C298&lt;0),"正負あり",IF(B298&gt;0,"正のみ",IF(C298&lt;0,"負のみ","ゼロ"))))</x:f>
        <x:v>正負あり</x:v>
      </x:c>
      <x:c r="K298" s="244" t="n">
        <x:f>IF($A298="","",--AND(B298&gt;0,C298&lt;0))</x:f>
        <x:v>1</x:v>
      </x:c>
      <x:c r="L298" s="244" t="n">
        <x:f>IF($A298="","",COUNTIF('02_ツリー'!$E$5:$E$560,$A298))</x:f>
        <x:v>2</x:v>
      </x:c>
      <x:c r="M298" s="244" t="n">
        <x:f>IF($A298="","",--(LEFT(A298,7)="Enable_"))</x:f>
        <x:v>0</x:v>
      </x:c>
      <x:c r="N298" s="12"/>
      <x:c r="O298" s="12"/>
      <x:c r="P298" s="12"/>
      <x:c r="Q298" s="12"/>
      <x:c r="R298" s="12"/>
      <x:c r="S298" s="12"/>
      <x:c r="T298" s="12"/>
      <x:c r="U298" s="12"/>
      <x:c r="V298" s="12"/>
      <x:c r="W298" s="12"/>
      <x:c r="X298" s="12"/>
      <x:c r="Y298" s="12"/>
    </x:row>
    <x:row r="299">
      <x:c r="A299" s="12" t="str">
        <x:f>IFERROR(INDEX('02_ツリー'!$E$5:$E$560,MATCH(ROWS($A$11:A299),'02_ツリー'!$R$5:$R$560,0)),"")</x:f>
        <x:v>k_life_cap</x:v>
      </x:c>
      <x:c r="B299" s="48" t="n">
        <x:f>IF($A299="","",SUMIFS('02_ツリー'!$K$5:$K$560,'02_ツリー'!$E$5:$E$560,$A299,'02_ツリー'!$K$5:$K$560,"&gt;0"))</x:f>
        <x:v>0.1638755377544182</x:v>
      </x:c>
      <x:c r="C299" s="48" t="n">
        <x:f>IF($A299="","",SUMIFS('02_ツリー'!$K$5:$K$560,'02_ツリー'!$E$5:$E$560,$A299,'02_ツリー'!$K$5:$K$560,"&lt;0"))</x:f>
        <x:v>0</x:v>
      </x:c>
      <x:c r="D299" s="48" t="n">
        <x:f>IF($A299="","",B299+C299)</x:f>
        <x:v>0.1638755377544182</x:v>
      </x:c>
      <x:c r="E299" s="48" t="n">
        <x:f>IF($A299="","",B299-C299)</x:f>
        <x:v>0.1638755377544182</x:v>
      </x:c>
      <x:c r="F299" s="48" t="n">
        <x:f>IF($A299="","",SUMIFS('02_ツリー'!$H$5:$H$560,'02_ツリー'!$E$5:$E$560,$A299,'02_ツリー'!$K$5:$K$560,"&gt;0"))</x:f>
        <x:v>1.466331930275722</x:v>
      </x:c>
      <x:c r="G299" s="48" t="n">
        <x:f>IF($A299="","",-SUMIFS('02_ツリー'!$H$5:$H$560,'02_ツリー'!$E$5:$E$560,$A299,'02_ツリー'!$K$5:$K$560,"&lt;0"))</x:f>
        <x:v>0</x:v>
      </x:c>
      <x:c r="H299" s="48" t="n">
        <x:f>IF($A299="","",F299+G299)</x:f>
        <x:v>1.466331930275722</x:v>
      </x:c>
      <x:c r="I299" s="244" t="n">
        <x:f>IF($A299="","",--(COUNTIFS('02_ツリー'!$E$5:$E$560,$A299,'02_ツリー'!$O$5:$O$560,0)=0))</x:f>
        <x:v>0</x:v>
      </x:c>
      <x:c r="J299" s="12" t="str">
        <x:f>IF($A299="","",IF(AND(B299&gt;0,C299&lt;0),"正負あり",IF(B299&gt;0,"正のみ",IF(C299&lt;0,"負のみ","ゼロ"))))</x:f>
        <x:v>正のみ</x:v>
      </x:c>
      <x:c r="K299" s="244" t="n">
        <x:f>IF($A299="","",--AND(B299&gt;0,C299&lt;0))</x:f>
        <x:v>0</x:v>
      </x:c>
      <x:c r="L299" s="244" t="n">
        <x:f>IF($A299="","",COUNTIF('02_ツリー'!$E$5:$E$560,$A299))</x:f>
        <x:v>1</x:v>
      </x:c>
      <x:c r="M299" s="244" t="n">
        <x:f>IF($A299="","",--(LEFT(A299,7)="Enable_"))</x:f>
        <x:v>0</x:v>
      </x:c>
      <x:c r="N299" s="12"/>
      <x:c r="O299" s="12"/>
      <x:c r="P299" s="12"/>
      <x:c r="Q299" s="12"/>
      <x:c r="R299" s="12"/>
      <x:c r="S299" s="12"/>
      <x:c r="T299" s="12"/>
      <x:c r="U299" s="12"/>
      <x:c r="V299" s="12"/>
      <x:c r="W299" s="12"/>
      <x:c r="X299" s="12"/>
      <x:c r="Y299" s="12"/>
    </x:row>
    <x:row r="300">
      <x:c r="A300" s="12" t="str">
        <x:f>IFERROR(INDEX('02_ツリー'!$E$5:$E$560,MATCH(ROWS($A$11:A300),'02_ツリー'!$R$5:$R$560,0)),"")</x:f>
        <x:v>life_cap</x:v>
      </x:c>
      <x:c r="B300" s="48" t="n">
        <x:f>IF($A300="","",SUMIFS('02_ツリー'!$K$5:$K$560,'02_ツリー'!$E$5:$E$560,$A300,'02_ツリー'!$K$5:$K$560,"&gt;0"))</x:f>
        <x:v>0</x:v>
      </x:c>
      <x:c r="C300" s="48" t="n">
        <x:f>IF($A300="","",SUMIFS('02_ツリー'!$K$5:$K$560,'02_ツリー'!$E$5:$E$560,$A300,'02_ツリー'!$K$5:$K$560,"&lt;0"))</x:f>
        <x:v>-0.1638755377544182</x:v>
      </x:c>
      <x:c r="D300" s="48" t="n">
        <x:f>IF($A300="","",B300+C300)</x:f>
        <x:v>-0.1638755377544182</x:v>
      </x:c>
      <x:c r="E300" s="48" t="n">
        <x:f>IF($A300="","",B300-C300)</x:f>
        <x:v>0.1638755377544182</x:v>
      </x:c>
      <x:c r="F300" s="48" t="n">
        <x:f>IF($A300="","",SUMIFS('02_ツリー'!$H$5:$H$560,'02_ツリー'!$E$5:$E$560,$A300,'02_ツリー'!$K$5:$K$560,"&gt;0"))</x:f>
        <x:v>0</x:v>
      </x:c>
      <x:c r="G300" s="48" t="n">
        <x:f>IF($A300="","",-SUMIFS('02_ツリー'!$H$5:$H$560,'02_ツリー'!$E$5:$E$560,$A300,'02_ツリー'!$K$5:$K$560,"&lt;0"))</x:f>
        <x:v>-1.466331930275722</x:v>
      </x:c>
      <x:c r="H300" s="48" t="n">
        <x:f>IF($A300="","",F300+G300)</x:f>
        <x:v>-1.466331930275722</x:v>
      </x:c>
      <x:c r="I300" s="244" t="n">
        <x:f>IF($A300="","",--(COUNTIFS('02_ツリー'!$E$5:$E$560,$A300,'02_ツリー'!$O$5:$O$560,0)=0))</x:f>
        <x:v>0</x:v>
      </x:c>
      <x:c r="J300" s="12" t="str">
        <x:f>IF($A300="","",IF(AND(B300&gt;0,C300&lt;0),"正負あり",IF(B300&gt;0,"正のみ",IF(C300&lt;0,"負のみ","ゼロ"))))</x:f>
        <x:v>負のみ</x:v>
      </x:c>
      <x:c r="K300" s="244" t="n">
        <x:f>IF($A300="","",--AND(B300&gt;0,C300&lt;0))</x:f>
        <x:v>0</x:v>
      </x:c>
      <x:c r="L300" s="244" t="n">
        <x:f>IF($A300="","",COUNTIF('02_ツリー'!$E$5:$E$560,$A300))</x:f>
        <x:v>1</x:v>
      </x:c>
      <x:c r="M300" s="244" t="n">
        <x:f>IF($A300="","",--(LEFT(A300,7)="Enable_"))</x:f>
        <x:v>0</x:v>
      </x:c>
      <x:c r="N300" s="12"/>
      <x:c r="O300" s="12"/>
      <x:c r="P300" s="12"/>
      <x:c r="Q300" s="12"/>
      <x:c r="R300" s="12"/>
      <x:c r="S300" s="12"/>
      <x:c r="T300" s="12"/>
      <x:c r="U300" s="12"/>
      <x:c r="V300" s="12"/>
      <x:c r="W300" s="12"/>
      <x:c r="X300" s="12"/>
      <x:c r="Y300" s="12"/>
    </x:row>
    <x:row r="301">
      <x:c r="A301" s="12" t="str">
        <x:f>IFERROR(INDEX('02_ツリー'!$E$5:$E$560,MATCH(ROWS($A$11:A301),'02_ツリー'!$R$5:$R$560,0)),"")</x:f>
        <x:v>T_cap_hot</x:v>
      </x:c>
      <x:c r="B301" s="48" t="n">
        <x:f>IF($A301="","",SUMIFS('02_ツリー'!$K$5:$K$560,'02_ツリー'!$E$5:$E$560,$A301,'02_ツリー'!$K$5:$K$560,"&gt;0"))</x:f>
        <x:v>0.5537506014164467</x:v>
      </x:c>
      <x:c r="C301" s="48" t="n">
        <x:f>IF($A301="","",SUMIFS('02_ツリー'!$K$5:$K$560,'02_ツリー'!$E$5:$E$560,$A301,'02_ツリー'!$K$5:$K$560,"&lt;0"))</x:f>
        <x:v>0</x:v>
      </x:c>
      <x:c r="D301" s="48" t="n">
        <x:f>IF($A301="","",B301+C301)</x:f>
        <x:v>0.5537506014164467</x:v>
      </x:c>
      <x:c r="E301" s="48" t="n">
        <x:f>IF($A301="","",B301-C301)</x:f>
        <x:v>0.5537506014164467</x:v>
      </x:c>
      <x:c r="F301" s="48" t="n">
        <x:f>IF($A301="","",SUMIFS('02_ツリー'!$H$5:$H$560,'02_ツリー'!$E$5:$E$560,$A301,'02_ツリー'!$K$5:$K$560,"&gt;0"))</x:f>
        <x:v>4.95487123577374</x:v>
      </x:c>
      <x:c r="G301" s="48" t="n">
        <x:f>IF($A301="","",-SUMIFS('02_ツリー'!$H$5:$H$560,'02_ツリー'!$E$5:$E$560,$A301,'02_ツリー'!$K$5:$K$560,"&lt;0"))</x:f>
        <x:v>0</x:v>
      </x:c>
      <x:c r="H301" s="48" t="n">
        <x:f>IF($A301="","",F301+G301)</x:f>
        <x:v>4.95487123577374</x:v>
      </x:c>
      <x:c r="I301" s="244" t="n">
        <x:f>IF($A301="","",--(COUNTIFS('02_ツリー'!$E$5:$E$560,$A301,'02_ツリー'!$O$5:$O$560,0)=0))</x:f>
        <x:v>0</x:v>
      </x:c>
      <x:c r="J301" s="12" t="str">
        <x:f>IF($A301="","",IF(AND(B301&gt;0,C301&lt;0),"正負あり",IF(B301&gt;0,"正のみ",IF(C301&lt;0,"負のみ","ゼロ"))))</x:f>
        <x:v>正のみ</x:v>
      </x:c>
      <x:c r="K301" s="244" t="n">
        <x:f>IF($A301="","",--AND(B301&gt;0,C301&lt;0))</x:f>
        <x:v>0</x:v>
      </x:c>
      <x:c r="L301" s="244" t="n">
        <x:f>IF($A301="","",COUNTIF('02_ツリー'!$E$5:$E$560,$A301))</x:f>
        <x:v>1</x:v>
      </x:c>
      <x:c r="M301" s="244" t="n">
        <x:f>IF($A301="","",--(LEFT(A301,7)="Enable_"))</x:f>
        <x:v>0</x:v>
      </x:c>
      <x:c r="N301" s="12"/>
      <x:c r="O301" s="12"/>
      <x:c r="P301" s="12"/>
      <x:c r="Q301" s="12"/>
      <x:c r="R301" s="12"/>
      <x:c r="S301" s="12"/>
      <x:c r="T301" s="12"/>
      <x:c r="U301" s="12"/>
      <x:c r="V301" s="12"/>
      <x:c r="W301" s="12"/>
      <x:c r="X301" s="12"/>
      <x:c r="Y301" s="12"/>
    </x:row>
    <x:row r="302">
      <x:c r="A302" s="12" t="str">
        <x:f>IFERROR(INDEX('02_ツリー'!$E$5:$E$560,MATCH(ROWS($A$11:A302),'02_ツリー'!$R$5:$R$560,0)),"")</x:f>
        <x:v>ESR_cap</x:v>
      </x:c>
      <x:c r="B302" s="48" t="n">
        <x:f>IF($A302="","",SUMIFS('02_ツリー'!$K$5:$K$560,'02_ツリー'!$E$5:$E$560,$A302,'02_ツリー'!$K$5:$K$560,"&gt;0"))</x:f>
        <x:v>0.04259620010895744</x:v>
      </x:c>
      <x:c r="C302" s="48" t="n">
        <x:f>IF($A302="","",SUMIFS('02_ツリー'!$K$5:$K$560,'02_ツリー'!$E$5:$E$560,$A302,'02_ツリー'!$K$5:$K$560,"&lt;0"))</x:f>
        <x:v>0</x:v>
      </x:c>
      <x:c r="D302" s="48" t="n">
        <x:f>IF($A302="","",B302+C302)</x:f>
        <x:v>0.04259620010895744</x:v>
      </x:c>
      <x:c r="E302" s="48" t="n">
        <x:f>IF($A302="","",B302-C302)</x:f>
        <x:v>0.04259620010895744</x:v>
      </x:c>
      <x:c r="F302" s="48" t="n">
        <x:f>IF($A302="","",SUMIFS('02_ツリー'!$H$5:$H$560,'02_ツリー'!$E$5:$E$560,$A302,'02_ツリー'!$K$5:$K$560,"&gt;0"))</x:f>
        <x:v>0.38114394121336465</x:v>
      </x:c>
      <x:c r="G302" s="48" t="n">
        <x:f>IF($A302="","",-SUMIFS('02_ツリー'!$H$5:$H$560,'02_ツリー'!$E$5:$E$560,$A302,'02_ツリー'!$K$5:$K$560,"&lt;0"))</x:f>
        <x:v>0</x:v>
      </x:c>
      <x:c r="H302" s="48" t="n">
        <x:f>IF($A302="","",F302+G302)</x:f>
        <x:v>0.38114394121336465</x:v>
      </x:c>
      <x:c r="I302" s="244" t="n">
        <x:f>IF($A302="","",--(COUNTIFS('02_ツリー'!$E$5:$E$560,$A302,'02_ツリー'!$O$5:$O$560,0)=0))</x:f>
        <x:v>1</x:v>
      </x:c>
      <x:c r="J302" s="12" t="str">
        <x:f>IF($A302="","",IF(AND(B302&gt;0,C302&lt;0),"正負あり",IF(B302&gt;0,"正のみ",IF(C302&lt;0,"負のみ","ゼロ"))))</x:f>
        <x:v>正のみ</x:v>
      </x:c>
      <x:c r="K302" s="244" t="n">
        <x:f>IF($A302="","",--AND(B302&gt;0,C302&lt;0))</x:f>
        <x:v>0</x:v>
      </x:c>
      <x:c r="L302" s="244" t="n">
        <x:f>IF($A302="","",COUNTIF('02_ツリー'!$E$5:$E$560,$A302))</x:f>
        <x:v>1</x:v>
      </x:c>
      <x:c r="M302" s="244" t="n">
        <x:f>IF($A302="","",--(LEFT(A302,7)="Enable_"))</x:f>
        <x:v>0</x:v>
      </x:c>
      <x:c r="N302" s="12"/>
      <x:c r="O302" s="12"/>
      <x:c r="P302" s="12"/>
      <x:c r="Q302" s="12"/>
      <x:c r="R302" s="12"/>
      <x:c r="S302" s="12"/>
      <x:c r="T302" s="12"/>
      <x:c r="U302" s="12"/>
      <x:c r="V302" s="12"/>
      <x:c r="W302" s="12"/>
      <x:c r="X302" s="12"/>
      <x:c r="Y302" s="12"/>
    </x:row>
    <x:row r="303">
      <x:c r="A303" s="12" t="str">
        <x:f>IFERROR(INDEX('02_ツリー'!$E$5:$E$560,MATCH(ROWS($A$11:A303),'02_ツリー'!$R$5:$R$560,0)),"")</x:f>
        <x:v>Rth_cap</x:v>
      </x:c>
      <x:c r="B303" s="48" t="n">
        <x:f>IF($A303="","",SUMIFS('02_ツリー'!$K$5:$K$560,'02_ツリー'!$E$5:$E$560,$A303,'02_ツリー'!$K$5:$K$560,"&gt;0"))</x:f>
        <x:v>0.04259620010895744</x:v>
      </x:c>
      <x:c r="C303" s="48" t="n">
        <x:f>IF($A303="","",SUMIFS('02_ツリー'!$K$5:$K$560,'02_ツリー'!$E$5:$E$560,$A303,'02_ツリー'!$K$5:$K$560,"&lt;0"))</x:f>
        <x:v>0</x:v>
      </x:c>
      <x:c r="D303" s="48" t="n">
        <x:f>IF($A303="","",B303+C303)</x:f>
        <x:v>0.04259620010895744</x:v>
      </x:c>
      <x:c r="E303" s="48" t="n">
        <x:f>IF($A303="","",B303-C303)</x:f>
        <x:v>0.04259620010895744</x:v>
      </x:c>
      <x:c r="F303" s="48" t="n">
        <x:f>IF($A303="","",SUMIFS('02_ツリー'!$H$5:$H$560,'02_ツリー'!$E$5:$E$560,$A303,'02_ツリー'!$K$5:$K$560,"&gt;0"))</x:f>
        <x:v>0.38114394121336465</x:v>
      </x:c>
      <x:c r="G303" s="48" t="n">
        <x:f>IF($A303="","",-SUMIFS('02_ツリー'!$H$5:$H$560,'02_ツリー'!$E$5:$E$560,$A303,'02_ツリー'!$K$5:$K$560,"&lt;0"))</x:f>
        <x:v>0</x:v>
      </x:c>
      <x:c r="H303" s="48" t="n">
        <x:f>IF($A303="","",F303+G303)</x:f>
        <x:v>0.38114394121336465</x:v>
      </x:c>
      <x:c r="I303" s="244" t="n">
        <x:f>IF($A303="","",--(COUNTIFS('02_ツリー'!$E$5:$E$560,$A303,'02_ツリー'!$O$5:$O$560,0)=0))</x:f>
        <x:v>1</x:v>
      </x:c>
      <x:c r="J303" s="12" t="str">
        <x:f>IF($A303="","",IF(AND(B303&gt;0,C303&lt;0),"正負あり",IF(B303&gt;0,"正のみ",IF(C303&lt;0,"負のみ","ゼロ"))))</x:f>
        <x:v>正のみ</x:v>
      </x:c>
      <x:c r="K303" s="244" t="n">
        <x:f>IF($A303="","",--AND(B303&gt;0,C303&lt;0))</x:f>
        <x:v>0</x:v>
      </x:c>
      <x:c r="L303" s="244" t="n">
        <x:f>IF($A303="","",COUNTIF('02_ツリー'!$E$5:$E$560,$A303))</x:f>
        <x:v>1</x:v>
      </x:c>
      <x:c r="M303" s="244" t="n">
        <x:f>IF($A303="","",--(LEFT(A303,7)="Enable_"))</x:f>
        <x:v>0</x:v>
      </x:c>
      <x:c r="N303" s="12"/>
      <x:c r="O303" s="12"/>
      <x:c r="P303" s="12"/>
      <x:c r="Q303" s="12"/>
      <x:c r="R303" s="12"/>
      <x:c r="S303" s="12"/>
      <x:c r="T303" s="12"/>
      <x:c r="U303" s="12"/>
      <x:c r="V303" s="12"/>
      <x:c r="W303" s="12"/>
      <x:c r="X303" s="12"/>
      <x:c r="Y303" s="12"/>
    </x:row>
    <x:row r="304">
      <x:c r="A304" s="12" t="str">
        <x:f>IFERROR(INDEX('02_ツリー'!$E$5:$E$560,MATCH(ROWS($A$11:A304),'02_ツリー'!$R$5:$R$560,0)),"")</x:f>
        <x:v>T_cap_life_ref</x:v>
      </x:c>
      <x:c r="B304" s="48" t="n">
        <x:f>IF($A304="","",SUMIFS('02_ツリー'!$K$5:$K$560,'02_ツリー'!$E$5:$E$560,$A304,'02_ツリー'!$K$5:$K$560,"&gt;0"))</x:f>
        <x:v>0</x:v>
      </x:c>
      <x:c r="C304" s="48" t="n">
        <x:f>IF($A304="","",SUMIFS('02_ツリー'!$K$5:$K$560,'02_ツリー'!$E$5:$E$560,$A304,'02_ツリー'!$K$5:$K$560,"&lt;0"))</x:f>
        <x:v>-0.9655138691363687</x:v>
      </x:c>
      <x:c r="D304" s="48" t="n">
        <x:f>IF($A304="","",B304+C304)</x:f>
        <x:v>-0.9655138691363687</x:v>
      </x:c>
      <x:c r="E304" s="48" t="n">
        <x:f>IF($A304="","",B304-C304)</x:f>
        <x:v>0.9655138691363687</x:v>
      </x:c>
      <x:c r="F304" s="48" t="n">
        <x:f>IF($A304="","",SUMIFS('02_ツリー'!$H$5:$H$560,'02_ツリー'!$E$5:$E$560,$A304,'02_ツリー'!$K$5:$K$560,"&gt;0"))</x:f>
        <x:v>0</x:v>
      </x:c>
      <x:c r="G304" s="48" t="n">
        <x:f>IF($A304="","",-SUMIFS('02_ツリー'!$H$5:$H$560,'02_ツリー'!$E$5:$E$560,$A304,'02_ツリー'!$K$5:$K$560,"&lt;0"))</x:f>
        <x:v>-8.639262667502932</x:v>
      </x:c>
      <x:c r="H304" s="48" t="n">
        <x:f>IF($A304="","",F304+G304)</x:f>
        <x:v>-8.639262667502932</x:v>
      </x:c>
      <x:c r="I304" s="244" t="n">
        <x:f>IF($A304="","",--(COUNTIFS('02_ツリー'!$E$5:$E$560,$A304,'02_ツリー'!$O$5:$O$560,0)=0))</x:f>
        <x:v>1</x:v>
      </x:c>
      <x:c r="J304" s="12" t="str">
        <x:f>IF($A304="","",IF(AND(B304&gt;0,C304&lt;0),"正負あり",IF(B304&gt;0,"正のみ",IF(C304&lt;0,"負のみ","ゼロ"))))</x:f>
        <x:v>負のみ</x:v>
      </x:c>
      <x:c r="K304" s="244" t="n">
        <x:f>IF($A304="","",--AND(B304&gt;0,C304&lt;0))</x:f>
        <x:v>0</x:v>
      </x:c>
      <x:c r="L304" s="244" t="n">
        <x:f>IF($A304="","",COUNTIF('02_ツリー'!$E$5:$E$560,$A304))</x:f>
        <x:v>1</x:v>
      </x:c>
      <x:c r="M304" s="244" t="n">
        <x:f>IF($A304="","",--(LEFT(A304,7)="Enable_"))</x:f>
        <x:v>0</x:v>
      </x:c>
      <x:c r="N304" s="12"/>
      <x:c r="O304" s="12"/>
      <x:c r="P304" s="12"/>
      <x:c r="Q304" s="12"/>
      <x:c r="R304" s="12"/>
      <x:c r="S304" s="12"/>
      <x:c r="T304" s="12"/>
      <x:c r="U304" s="12"/>
      <x:c r="V304" s="12"/>
      <x:c r="W304" s="12"/>
      <x:c r="X304" s="12"/>
      <x:c r="Y304" s="12"/>
    </x:row>
    <x:row r="305">
      <x:c r="A305" s="12" t="str">
        <x:f>IFERROR(INDEX('02_ツリー'!$E$5:$E$560,MATCH(ROWS($A$11:A305),'02_ツリー'!$R$5:$R$560,0)),"")</x:f>
        <x:v>life_cap_ref</x:v>
      </x:c>
      <x:c r="B305" s="48" t="n">
        <x:f>IF($A305="","",SUMIFS('02_ツリー'!$K$5:$K$560,'02_ツリー'!$E$5:$E$560,$A305,'02_ツリー'!$K$5:$K$560,"&gt;0"))</x:f>
        <x:v>0</x:v>
      </x:c>
      <x:c r="C305" s="48" t="n">
        <x:f>IF($A305="","",SUMIFS('02_ツリー'!$K$5:$K$560,'02_ツリー'!$E$5:$E$560,$A305,'02_ツリー'!$K$5:$K$560,"&lt;0"))</x:f>
        <x:v>-0.1638755377544182</x:v>
      </x:c>
      <x:c r="D305" s="48" t="n">
        <x:f>IF($A305="","",B305+C305)</x:f>
        <x:v>-0.1638755377544182</x:v>
      </x:c>
      <x:c r="E305" s="48" t="n">
        <x:f>IF($A305="","",B305-C305)</x:f>
        <x:v>0.1638755377544182</x:v>
      </x:c>
      <x:c r="F305" s="48" t="n">
        <x:f>IF($A305="","",SUMIFS('02_ツリー'!$H$5:$H$560,'02_ツリー'!$E$5:$E$560,$A305,'02_ツリー'!$K$5:$K$560,"&gt;0"))</x:f>
        <x:v>0</x:v>
      </x:c>
      <x:c r="G305" s="48" t="n">
        <x:f>IF($A305="","",-SUMIFS('02_ツリー'!$H$5:$H$560,'02_ツリー'!$E$5:$E$560,$A305,'02_ツリー'!$K$5:$K$560,"&lt;0"))</x:f>
        <x:v>-1.466331930275722</x:v>
      </x:c>
      <x:c r="H305" s="48" t="n">
        <x:f>IF($A305="","",F305+G305)</x:f>
        <x:v>-1.466331930275722</x:v>
      </x:c>
      <x:c r="I305" s="244" t="n">
        <x:f>IF($A305="","",--(COUNTIFS('02_ツリー'!$E$5:$E$560,$A305,'02_ツリー'!$O$5:$O$560,0)=0))</x:f>
        <x:v>1</x:v>
      </x:c>
      <x:c r="J305" s="12" t="str">
        <x:f>IF($A305="","",IF(AND(B305&gt;0,C305&lt;0),"正負あり",IF(B305&gt;0,"正のみ",IF(C305&lt;0,"負のみ","ゼロ"))))</x:f>
        <x:v>負のみ</x:v>
      </x:c>
      <x:c r="K305" s="244" t="n">
        <x:f>IF($A305="","",--AND(B305&gt;0,C305&lt;0))</x:f>
        <x:v>0</x:v>
      </x:c>
      <x:c r="L305" s="244" t="n">
        <x:f>IF($A305="","",COUNTIF('02_ツリー'!$E$5:$E$560,$A305))</x:f>
        <x:v>1</x:v>
      </x:c>
      <x:c r="M305" s="244" t="n">
        <x:f>IF($A305="","",--(LEFT(A305,7)="Enable_"))</x:f>
        <x:v>0</x:v>
      </x:c>
      <x:c r="N305" s="12"/>
      <x:c r="O305" s="12"/>
      <x:c r="P305" s="12"/>
      <x:c r="Q305" s="12"/>
      <x:c r="R305" s="12"/>
      <x:c r="S305" s="12"/>
      <x:c r="T305" s="12"/>
      <x:c r="U305" s="12"/>
      <x:c r="V305" s="12"/>
      <x:c r="W305" s="12"/>
      <x:c r="X305" s="12"/>
      <x:c r="Y305" s="12"/>
    </x:row>
    <x:row r="306">
      <x:c r="A306" s="12" t="str">
        <x:f>IFERROR(INDEX('02_ツリー'!$E$5:$E$560,MATCH(ROWS($A$11:A306),'02_ツリー'!$R$5:$R$560,0)),"")</x:f>
        <x:v>life_cap_req</x:v>
      </x:c>
      <x:c r="B306" s="48" t="n">
        <x:f>IF($A306="","",SUMIFS('02_ツリー'!$K$5:$K$560,'02_ツリー'!$E$5:$E$560,$A306,'02_ツリー'!$K$5:$K$560,"&gt;0"))</x:f>
        <x:v>0.1638755377544182</x:v>
      </x:c>
      <x:c r="C306" s="48" t="n">
        <x:f>IF($A306="","",SUMIFS('02_ツリー'!$K$5:$K$560,'02_ツリー'!$E$5:$E$560,$A306,'02_ツリー'!$K$5:$K$560,"&lt;0"))</x:f>
        <x:v>0</x:v>
      </x:c>
      <x:c r="D306" s="48" t="n">
        <x:f>IF($A306="","",B306+C306)</x:f>
        <x:v>0.1638755377544182</x:v>
      </x:c>
      <x:c r="E306" s="48" t="n">
        <x:f>IF($A306="","",B306-C306)</x:f>
        <x:v>0.1638755377544182</x:v>
      </x:c>
      <x:c r="F306" s="48" t="n">
        <x:f>IF($A306="","",SUMIFS('02_ツリー'!$H$5:$H$560,'02_ツリー'!$E$5:$E$560,$A306,'02_ツリー'!$K$5:$K$560,"&gt;0"))</x:f>
        <x:v>1.466331930275722</x:v>
      </x:c>
      <x:c r="G306" s="48" t="n">
        <x:f>IF($A306="","",-SUMIFS('02_ツリー'!$H$5:$H$560,'02_ツリー'!$E$5:$E$560,$A306,'02_ツリー'!$K$5:$K$560,"&lt;0"))</x:f>
        <x:v>0</x:v>
      </x:c>
      <x:c r="H306" s="48" t="n">
        <x:f>IF($A306="","",F306+G306)</x:f>
        <x:v>1.466331930275722</x:v>
      </x:c>
      <x:c r="I306" s="244" t="n">
        <x:f>IF($A306="","",--(COUNTIFS('02_ツリー'!$E$5:$E$560,$A306,'02_ツリー'!$O$5:$O$560,0)=0))</x:f>
        <x:v>1</x:v>
      </x:c>
      <x:c r="J306" s="12" t="str">
        <x:f>IF($A306="","",IF(AND(B306&gt;0,C306&lt;0),"正負あり",IF(B306&gt;0,"正のみ",IF(C306&lt;0,"負のみ","ゼロ"))))</x:f>
        <x:v>正のみ</x:v>
      </x:c>
      <x:c r="K306" s="244" t="n">
        <x:f>IF($A306="","",--AND(B306&gt;0,C306&lt;0))</x:f>
        <x:v>0</x:v>
      </x:c>
      <x:c r="L306" s="244" t="n">
        <x:f>IF($A306="","",COUNTIF('02_ツリー'!$E$5:$E$560,$A306))</x:f>
        <x:v>1</x:v>
      </x:c>
      <x:c r="M306" s="244" t="n">
        <x:f>IF($A306="","",--(LEFT(A306,7)="Enable_"))</x:f>
        <x:v>0</x:v>
      </x:c>
      <x:c r="N306" s="12"/>
      <x:c r="O306" s="12"/>
      <x:c r="P306" s="12"/>
      <x:c r="Q306" s="12"/>
      <x:c r="R306" s="12"/>
      <x:c r="S306" s="12"/>
      <x:c r="T306" s="12"/>
      <x:c r="U306" s="12"/>
      <x:c r="V306" s="12"/>
      <x:c r="W306" s="12"/>
      <x:c r="X306" s="12"/>
      <x:c r="Y306" s="12"/>
    </x:row>
    <x:row r="307">
      <x:c r="A307" s="12" t="str">
        <x:f>IFERROR(INDEX('02_ツリー'!$E$5:$E$560,MATCH(ROWS($A$11:A307),'02_ツリー'!$R$5:$R$560,0)),"")</x:f>
        <x:v>N_cap_energy</x:v>
      </x:c>
      <x:c r="B307" s="48" t="n">
        <x:f>IF($A307="","",SUMIFS('02_ツリー'!$K$5:$K$560,'02_ツリー'!$E$5:$E$560,$A307,'02_ツリー'!$K$5:$K$560,"&gt;0"))</x:f>
        <x:v>0</x:v>
      </x:c>
      <x:c r="C307" s="48" t="n">
        <x:f>IF($A307="","",SUMIFS('02_ツリー'!$K$5:$K$560,'02_ツリー'!$E$5:$E$560,$A307,'02_ツリー'!$K$5:$K$560,"&lt;0"))</x:f>
        <x:v>-0.12605536050312538</x:v>
      </x:c>
      <x:c r="D307" s="48" t="n">
        <x:f>IF($A307="","",B307+C307)</x:f>
        <x:v>-0.12605536050312538</x:v>
      </x:c>
      <x:c r="E307" s="48" t="n">
        <x:f>IF($A307="","",B307-C307)</x:f>
        <x:v>0.12605536050312538</x:v>
      </x:c>
      <x:c r="F307" s="48" t="n">
        <x:f>IF($A307="","",SUMIFS('02_ツリー'!$H$5:$H$560,'02_ツリー'!$E$5:$E$560,$A307,'02_ツリー'!$K$5:$K$560,"&gt;0"))</x:f>
        <x:v>0</x:v>
      </x:c>
      <x:c r="G307" s="48" t="n">
        <x:f>IF($A307="","",-SUMIFS('02_ツリー'!$H$5:$H$560,'02_ツリー'!$E$5:$E$560,$A307,'02_ツリー'!$K$5:$K$560,"&lt;0"))</x:f>
        <x:v>-1.1279230727233203</x:v>
      </x:c>
      <x:c r="H307" s="48" t="n">
        <x:f>IF($A307="","",F307+G307)</x:f>
        <x:v>-1.1279230727233203</x:v>
      </x:c>
      <x:c r="I307" s="244" t="n">
        <x:f>IF($A307="","",--(COUNTIFS('02_ツリー'!$E$5:$E$560,$A307,'02_ツリー'!$O$5:$O$560,0)=0))</x:f>
        <x:v>0</x:v>
      </x:c>
      <x:c r="J307" s="12" t="str">
        <x:f>IF($A307="","",IF(AND(B307&gt;0,C307&lt;0),"正負あり",IF(B307&gt;0,"正のみ",IF(C307&lt;0,"負のみ","ゼロ"))))</x:f>
        <x:v>負のみ</x:v>
      </x:c>
      <x:c r="K307" s="244" t="n">
        <x:f>IF($A307="","",--AND(B307&gt;0,C307&lt;0))</x:f>
        <x:v>0</x:v>
      </x:c>
      <x:c r="L307" s="244" t="n">
        <x:f>IF($A307="","",COUNTIF('02_ツリー'!$E$5:$E$560,$A307))</x:f>
        <x:v>1</x:v>
      </x:c>
      <x:c r="M307" s="244" t="n">
        <x:f>IF($A307="","",--(LEFT(A307,7)="Enable_"))</x:f>
        <x:v>0</x:v>
      </x:c>
      <x:c r="N307" s="12"/>
      <x:c r="O307" s="12"/>
      <x:c r="P307" s="12"/>
      <x:c r="Q307" s="12"/>
      <x:c r="R307" s="12"/>
      <x:c r="S307" s="12"/>
      <x:c r="T307" s="12"/>
      <x:c r="U307" s="12"/>
      <x:c r="V307" s="12"/>
      <x:c r="W307" s="12"/>
      <x:c r="X307" s="12"/>
      <x:c r="Y307" s="12"/>
    </x:row>
    <x:row r="308">
      <x:c r="A308" s="12" t="str">
        <x:f>IFERROR(INDEX('02_ツリー'!$E$5:$E$560,MATCH(ROWS($A$11:A308),'02_ツリー'!$R$5:$R$560,0)),"")</x:f>
        <x:v>m_cap_unit</x:v>
      </x:c>
      <x:c r="B308" s="48" t="n">
        <x:f>IF($A308="","",SUMIFS('02_ツリー'!$K$5:$K$560,'02_ツリー'!$E$5:$E$560,$A308,'02_ツリー'!$K$5:$K$560,"&gt;0"))</x:f>
        <x:v>0.1638755377544182</x:v>
      </x:c>
      <x:c r="C308" s="48" t="n">
        <x:f>IF($A308="","",SUMIFS('02_ツリー'!$K$5:$K$560,'02_ツリー'!$E$5:$E$560,$A308,'02_ツリー'!$K$5:$K$560,"&lt;0"))</x:f>
        <x:v>0</x:v>
      </x:c>
      <x:c r="D308" s="48" t="n">
        <x:f>IF($A308="","",B308+C308)</x:f>
        <x:v>0.1638755377544182</x:v>
      </x:c>
      <x:c r="E308" s="48" t="n">
        <x:f>IF($A308="","",B308-C308)</x:f>
        <x:v>0.1638755377544182</x:v>
      </x:c>
      <x:c r="F308" s="48" t="n">
        <x:f>IF($A308="","",SUMIFS('02_ツリー'!$H$5:$H$560,'02_ツリー'!$E$5:$E$560,$A308,'02_ツリー'!$K$5:$K$560,"&gt;0"))</x:f>
        <x:v>1.4663319302757223</x:v>
      </x:c>
      <x:c r="G308" s="48" t="n">
        <x:f>IF($A308="","",-SUMIFS('02_ツリー'!$H$5:$H$560,'02_ツリー'!$E$5:$E$560,$A308,'02_ツリー'!$K$5:$K$560,"&lt;0"))</x:f>
        <x:v>0</x:v>
      </x:c>
      <x:c r="H308" s="48" t="n">
        <x:f>IF($A308="","",F308+G308)</x:f>
        <x:v>1.4663319302757223</x:v>
      </x:c>
      <x:c r="I308" s="244" t="n">
        <x:f>IF($A308="","",--(COUNTIFS('02_ツリー'!$E$5:$E$560,$A308,'02_ツリー'!$O$5:$O$560,0)=0))</x:f>
        <x:v>1</x:v>
      </x:c>
      <x:c r="J308" s="12" t="str">
        <x:f>IF($A308="","",IF(AND(B308&gt;0,C308&lt;0),"正負あり",IF(B308&gt;0,"正のみ",IF(C308&lt;0,"負のみ","ゼロ"))))</x:f>
        <x:v>正のみ</x:v>
      </x:c>
      <x:c r="K308" s="244" t="n">
        <x:f>IF($A308="","",--AND(B308&gt;0,C308&lt;0))</x:f>
        <x:v>0</x:v>
      </x:c>
      <x:c r="L308" s="244" t="n">
        <x:f>IF($A308="","",COUNTIF('02_ツリー'!$E$5:$E$560,$A308))</x:f>
        <x:v>2</x:v>
      </x:c>
      <x:c r="M308" s="244" t="n">
        <x:f>IF($A308="","",--(LEFT(A308,7)="Enable_"))</x:f>
        <x:v>0</x:v>
      </x:c>
      <x:c r="N308" s="12"/>
      <x:c r="O308" s="12"/>
      <x:c r="P308" s="12"/>
      <x:c r="Q308" s="12"/>
      <x:c r="R308" s="12"/>
      <x:c r="S308" s="12"/>
      <x:c r="T308" s="12"/>
      <x:c r="U308" s="12"/>
      <x:c r="V308" s="12"/>
      <x:c r="W308" s="12"/>
      <x:c r="X308" s="12"/>
      <x:c r="Y308" s="12"/>
    </x:row>
    <x:row r="309">
      <x:c r="A309" s="12" t="str">
        <x:f>IFERROR(INDEX('02_ツリー'!$E$5:$E$560,MATCH(ROWS($A$11:A309),'02_ツリー'!$R$5:$R$560,0)),"")</x:f>
        <x:v>V_slew_ref</x:v>
      </x:c>
      <x:c r="B309" s="48" t="n">
        <x:f>IF($A309="","",SUMIFS('02_ツリー'!$K$5:$K$560,'02_ツリー'!$E$5:$E$560,$A309,'02_ツリー'!$K$5:$K$560,"&gt;0"))</x:f>
        <x:v>0</x:v>
      </x:c>
      <x:c r="C309" s="48" t="n">
        <x:f>IF($A309="","",SUMIFS('02_ツリー'!$K$5:$K$560,'02_ツリー'!$E$5:$E$560,$A309,'02_ツリー'!$K$5:$K$560,"&lt;0"))</x:f>
        <x:v>-0.006258494359133143</x:v>
      </x:c>
      <x:c r="D309" s="48" t="n">
        <x:f>IF($A309="","",B309+C309)</x:f>
        <x:v>-0.006258494359133143</x:v>
      </x:c>
      <x:c r="E309" s="48" t="n">
        <x:f>IF($A309="","",B309-C309)</x:f>
        <x:v>0.006258494359133143</x:v>
      </x:c>
      <x:c r="F309" s="48" t="n">
        <x:f>IF($A309="","",SUMIFS('02_ツリー'!$H$5:$H$560,'02_ツリー'!$E$5:$E$560,$A309,'02_ツリー'!$K$5:$K$560,"&gt;0"))</x:f>
        <x:v>0</x:v>
      </x:c>
      <x:c r="G309" s="48" t="n">
        <x:f>IF($A309="","",-SUMIFS('02_ツリー'!$H$5:$H$560,'02_ツリー'!$E$5:$E$560,$A309,'02_ツリー'!$K$5:$K$560,"&lt;0"))</x:f>
        <x:v>-0.056</x:v>
      </x:c>
      <x:c r="H309" s="48" t="n">
        <x:f>IF($A309="","",F309+G309)</x:f>
        <x:v>-0.056</x:v>
      </x:c>
      <x:c r="I309" s="244" t="n">
        <x:f>IF($A309="","",--(COUNTIFS('02_ツリー'!$E$5:$E$560,$A309,'02_ツリー'!$O$5:$O$560,0)=0))</x:f>
        <x:v>1</x:v>
      </x:c>
      <x:c r="J309" s="12" t="str">
        <x:f>IF($A309="","",IF(AND(B309&gt;0,C309&lt;0),"正負あり",IF(B309&gt;0,"正のみ",IF(C309&lt;0,"負のみ","ゼロ"))))</x:f>
        <x:v>負のみ</x:v>
      </x:c>
      <x:c r="K309" s="244" t="n">
        <x:f>IF($A309="","",--AND(B309&gt;0,C309&lt;0))</x:f>
        <x:v>0</x:v>
      </x:c>
      <x:c r="L309" s="244" t="n">
        <x:f>IF($A309="","",COUNTIF('02_ツリー'!$E$5:$E$560,$A309))</x:f>
        <x:v>1</x:v>
      </x:c>
      <x:c r="M309" s="244" t="n">
        <x:f>IF($A309="","",--(LEFT(A309,7)="Enable_"))</x:f>
        <x:v>0</x:v>
      </x:c>
      <x:c r="N309" s="12"/>
      <x:c r="O309" s="12"/>
      <x:c r="P309" s="12"/>
      <x:c r="Q309" s="12"/>
      <x:c r="R309" s="12"/>
      <x:c r="S309" s="12"/>
      <x:c r="T309" s="12"/>
      <x:c r="U309" s="12"/>
      <x:c r="V309" s="12"/>
      <x:c r="W309" s="12"/>
      <x:c r="X309" s="12"/>
      <x:c r="Y309" s="12"/>
    </x:row>
    <x:row r="310">
      <x:c r="A310" s="12" t="str">
        <x:f>IFERROR(INDEX('02_ツリー'!$E$5:$E$560,MATCH(ROWS($A$11:A310),'02_ツリー'!$R$5:$R$560,0)),"")</x:f>
        <x:v>m_split_Rg</x:v>
      </x:c>
      <x:c r="B310" s="48" t="n">
        <x:f>IF($A310="","",SUMIFS('02_ツリー'!$K$5:$K$560,'02_ツリー'!$E$5:$E$560,$A310,'02_ツリー'!$K$5:$K$560,"&gt;0"))</x:f>
        <x:v>0</x:v>
      </x:c>
      <x:c r="C310" s="48" t="n">
        <x:f>IF($A310="","",SUMIFS('02_ツリー'!$K$5:$K$560,'02_ツリー'!$E$5:$E$560,$A310,'02_ツリー'!$K$5:$K$560,"&lt;0"))</x:f>
        <x:v>0</x:v>
      </x:c>
      <x:c r="D310" s="48" t="n">
        <x:f>IF($A310="","",B310+C310)</x:f>
        <x:v>0</x:v>
      </x:c>
      <x:c r="E310" s="48" t="n">
        <x:f>IF($A310="","",B310-C310)</x:f>
        <x:v>0</x:v>
      </x:c>
      <x:c r="F310" s="48" t="n">
        <x:f>IF($A310="","",SUMIFS('02_ツリー'!$H$5:$H$560,'02_ツリー'!$E$5:$E$560,$A310,'02_ツリー'!$K$5:$K$560,"&gt;0"))</x:f>
        <x:v>0</x:v>
      </x:c>
      <x:c r="G310" s="48" t="n">
        <x:f>IF($A310="","",-SUMIFS('02_ツリー'!$H$5:$H$560,'02_ツリー'!$E$5:$E$560,$A310,'02_ツリー'!$K$5:$K$560,"&lt;0"))</x:f>
        <x:v>0</x:v>
      </x:c>
      <x:c r="H310" s="48" t="n">
        <x:f>IF($A310="","",F310+G310)</x:f>
        <x:v>0</x:v>
      </x:c>
      <x:c r="I310" s="244" t="n">
        <x:f>IF($A310="","",--(COUNTIFS('02_ツリー'!$E$5:$E$560,$A310,'02_ツリー'!$O$5:$O$560,0)=0))</x:f>
        <x:v>1</x:v>
      </x:c>
      <x:c r="J310" s="12" t="str">
        <x:f>IF($A310="","",IF(AND(B310&gt;0,C310&lt;0),"正負あり",IF(B310&gt;0,"正のみ",IF(C310&lt;0,"負のみ","ゼロ"))))</x:f>
        <x:v>ゼロ</x:v>
      </x:c>
      <x:c r="K310" s="244" t="n">
        <x:f>IF($A310="","",--AND(B310&gt;0,C310&lt;0))</x:f>
        <x:v>0</x:v>
      </x:c>
      <x:c r="L310" s="244" t="n">
        <x:f>IF($A310="","",COUNTIF('02_ツリー'!$E$5:$E$560,$A310))</x:f>
        <x:v>1</x:v>
      </x:c>
      <x:c r="M310" s="244" t="n">
        <x:f>IF($A310="","",--(LEFT(A310,7)="Enable_"))</x:f>
        <x:v>0</x:v>
      </x:c>
      <x:c r="N310" s="12"/>
      <x:c r="O310" s="12"/>
      <x:c r="P310" s="12"/>
      <x:c r="Q310" s="12"/>
      <x:c r="R310" s="12"/>
      <x:c r="S310" s="12"/>
      <x:c r="T310" s="12"/>
      <x:c r="U310" s="12"/>
      <x:c r="V310" s="12"/>
      <x:c r="W310" s="12"/>
      <x:c r="X310" s="12"/>
      <x:c r="Y310" s="12"/>
    </x:row>
    <x:row r="311">
      <x:c r="A311" s="12" t="str">
        <x:f>IFERROR(INDEX('02_ツリー'!$E$5:$E$560,MATCH(ROWS($A$11:A311),'02_ツリー'!$R$5:$R$560,0)),"")</x:f>
        <x:v>m_adapt_DT</x:v>
      </x:c>
      <x:c r="B311" s="48" t="n">
        <x:f>IF($A311="","",SUMIFS('02_ツリー'!$K$5:$K$560,'02_ツリー'!$E$5:$E$560,$A311,'02_ツリー'!$K$5:$K$560,"&gt;0"))</x:f>
        <x:v>0</x:v>
      </x:c>
      <x:c r="C311" s="48" t="n">
        <x:f>IF($A311="","",SUMIFS('02_ツリー'!$K$5:$K$560,'02_ツリー'!$E$5:$E$560,$A311,'02_ツリー'!$K$5:$K$560,"&lt;0"))</x:f>
        <x:v>0</x:v>
      </x:c>
      <x:c r="D311" s="48" t="n">
        <x:f>IF($A311="","",B311+C311)</x:f>
        <x:v>0</x:v>
      </x:c>
      <x:c r="E311" s="48" t="n">
        <x:f>IF($A311="","",B311-C311)</x:f>
        <x:v>0</x:v>
      </x:c>
      <x:c r="F311" s="48" t="n">
        <x:f>IF($A311="","",SUMIFS('02_ツリー'!$H$5:$H$560,'02_ツリー'!$E$5:$E$560,$A311,'02_ツリー'!$K$5:$K$560,"&gt;0"))</x:f>
        <x:v>0</x:v>
      </x:c>
      <x:c r="G311" s="48" t="n">
        <x:f>IF($A311="","",-SUMIFS('02_ツリー'!$H$5:$H$560,'02_ツリー'!$E$5:$E$560,$A311,'02_ツリー'!$K$5:$K$560,"&lt;0"))</x:f>
        <x:v>0</x:v>
      </x:c>
      <x:c r="H311" s="48" t="n">
        <x:f>IF($A311="","",F311+G311)</x:f>
        <x:v>0</x:v>
      </x:c>
      <x:c r="I311" s="244" t="n">
        <x:f>IF($A311="","",--(COUNTIFS('02_ツリー'!$E$5:$E$560,$A311,'02_ツリー'!$O$5:$O$560,0)=0))</x:f>
        <x:v>1</x:v>
      </x:c>
      <x:c r="J311" s="12" t="str">
        <x:f>IF($A311="","",IF(AND(B311&gt;0,C311&lt;0),"正負あり",IF(B311&gt;0,"正のみ",IF(C311&lt;0,"負のみ","ゼロ"))))</x:f>
        <x:v>ゼロ</x:v>
      </x:c>
      <x:c r="K311" s="244" t="n">
        <x:f>IF($A311="","",--AND(B311&gt;0,C311&lt;0))</x:f>
        <x:v>0</x:v>
      </x:c>
      <x:c r="L311" s="244" t="n">
        <x:f>IF($A311="","",COUNTIF('02_ツリー'!$E$5:$E$560,$A311))</x:f>
        <x:v>1</x:v>
      </x:c>
      <x:c r="M311" s="244" t="n">
        <x:f>IF($A311="","",--(LEFT(A311,7)="Enable_"))</x:f>
        <x:v>0</x:v>
      </x:c>
      <x:c r="N311" s="12"/>
      <x:c r="O311" s="12"/>
      <x:c r="P311" s="12"/>
      <x:c r="Q311" s="12"/>
      <x:c r="R311" s="12"/>
      <x:c r="S311" s="12"/>
      <x:c r="T311" s="12"/>
      <x:c r="U311" s="12"/>
      <x:c r="V311" s="12"/>
      <x:c r="W311" s="12"/>
      <x:c r="X311" s="12"/>
      <x:c r="Y311" s="12"/>
    </x:row>
    <x:row r="312">
      <x:c r="A312" s="12" t="str">
        <x:f>IFERROR(INDEX('02_ツリー'!$E$5:$E$560,MATCH(ROWS($A$11:A312),'02_ツリー'!$R$5:$R$560,0)),"")</x:f>
        <x:v>L_loop_eff</x:v>
      </x:c>
      <x:c r="B312" s="48" t="n">
        <x:f>IF($A312="","",SUMIFS('02_ツリー'!$K$5:$K$560,'02_ツリー'!$E$5:$E$560,$A312,'02_ツリー'!$K$5:$K$560,"&gt;0"))</x:f>
        <x:v>0.000006188236369318812</x:v>
      </x:c>
      <x:c r="C312" s="48" t="n">
        <x:f>IF($A312="","",SUMIFS('02_ツリー'!$K$5:$K$560,'02_ツリー'!$E$5:$E$560,$A312,'02_ツリー'!$K$5:$K$560,"&lt;0"))</x:f>
        <x:v>-0.00011805746325503786</x:v>
      </x:c>
      <x:c r="D312" s="48" t="n">
        <x:f>IF($A312="","",B312+C312)</x:f>
        <x:v>-0.00011186922688571904</x:v>
      </x:c>
      <x:c r="E312" s="48" t="n">
        <x:f>IF($A312="","",B312-C312)</x:f>
        <x:v>0.00012424569962435667</x:v>
      </x:c>
      <x:c r="F312" s="48" t="n">
        <x:f>IF($A312="","",SUMIFS('02_ツリー'!$H$5:$H$560,'02_ツリー'!$E$5:$E$560,$A312,'02_ツリー'!$K$5:$K$560,"&gt;0"))</x:f>
        <x:v>0.00005537134281764417</x:v>
      </x:c>
      <x:c r="G312" s="48" t="n">
        <x:f>IF($A312="","",-SUMIFS('02_ツリー'!$H$5:$H$560,'02_ツリー'!$E$5:$E$560,$A312,'02_ツリー'!$K$5:$K$560,"&lt;0"))</x:f>
        <x:v>-0.0010563591756912333</x:v>
      </x:c>
      <x:c r="H312" s="48" t="n">
        <x:f>IF($A312="","",F312+G312)</x:f>
        <x:v>-0.0010009878328735892</x:v>
      </x:c>
      <x:c r="I312" s="244" t="n">
        <x:f>IF($A312="","",--(COUNTIFS('02_ツリー'!$E$5:$E$560,$A312,'02_ツリー'!$O$5:$O$560,0)=0))</x:f>
        <x:v>0</x:v>
      </x:c>
      <x:c r="J312" s="12" t="str">
        <x:f>IF($A312="","",IF(AND(B312&gt;0,C312&lt;0),"正負あり",IF(B312&gt;0,"正のみ",IF(C312&lt;0,"負のみ","ゼロ"))))</x:f>
        <x:v>正負あり</x:v>
      </x:c>
      <x:c r="K312" s="244" t="n">
        <x:f>IF($A312="","",--AND(B312&gt;0,C312&lt;0))</x:f>
        <x:v>1</x:v>
      </x:c>
      <x:c r="L312" s="244" t="n">
        <x:f>IF($A312="","",COUNTIF('02_ツリー'!$E$5:$E$560,$A312))</x:f>
        <x:v>3</x:v>
      </x:c>
      <x:c r="M312" s="244" t="n">
        <x:f>IF($A312="","",--(LEFT(A312,7)="Enable_"))</x:f>
        <x:v>0</x:v>
      </x:c>
      <x:c r="N312" s="12"/>
      <x:c r="O312" s="12"/>
      <x:c r="P312" s="12"/>
      <x:c r="Q312" s="12"/>
      <x:c r="R312" s="12"/>
      <x:c r="S312" s="12"/>
      <x:c r="T312" s="12"/>
      <x:c r="U312" s="12"/>
      <x:c r="V312" s="12"/>
      <x:c r="W312" s="12"/>
      <x:c r="X312" s="12"/>
      <x:c r="Y312" s="12"/>
    </x:row>
    <x:row r="313">
      <x:c r="A313" s="12" t="str">
        <x:f>IFERROR(INDEX('02_ツリー'!$E$5:$E$560,MATCH(ROWS($A$11:A313),'02_ツリー'!$R$5:$R$560,0)),"")</x:f>
        <x:v>di_dt</x:v>
      </x:c>
      <x:c r="B313" s="48" t="n">
        <x:f>IF($A313="","",SUMIFS('02_ツリー'!$K$5:$K$560,'02_ツリー'!$E$5:$E$560,$A313,'02_ツリー'!$K$5:$K$560,"&gt;0"))</x:f>
        <x:v>0.000006188236369318812</x:v>
      </x:c>
      <x:c r="C313" s="48" t="n">
        <x:f>IF($A313="","",SUMIFS('02_ツリー'!$K$5:$K$560,'02_ツリー'!$E$5:$E$560,$A313,'02_ツリー'!$K$5:$K$560,"&lt;0"))</x:f>
        <x:v>-0.00011805746325503786</x:v>
      </x:c>
      <x:c r="D313" s="48" t="n">
        <x:f>IF($A313="","",B313+C313)</x:f>
        <x:v>-0.00011186922688571904</x:v>
      </x:c>
      <x:c r="E313" s="48" t="n">
        <x:f>IF($A313="","",B313-C313)</x:f>
        <x:v>0.00012424569962435667</x:v>
      </x:c>
      <x:c r="F313" s="48" t="n">
        <x:f>IF($A313="","",SUMIFS('02_ツリー'!$H$5:$H$560,'02_ツリー'!$E$5:$E$560,$A313,'02_ツリー'!$K$5:$K$560,"&gt;0"))</x:f>
        <x:v>0.00005537134281764417</x:v>
      </x:c>
      <x:c r="G313" s="48" t="n">
        <x:f>IF($A313="","",-SUMIFS('02_ツリー'!$H$5:$H$560,'02_ツリー'!$E$5:$E$560,$A313,'02_ツリー'!$K$5:$K$560,"&lt;0"))</x:f>
        <x:v>-0.0010563591756912333</x:v>
      </x:c>
      <x:c r="H313" s="48" t="n">
        <x:f>IF($A313="","",F313+G313)</x:f>
        <x:v>-0.0010009878328735892</x:v>
      </x:c>
      <x:c r="I313" s="244" t="n">
        <x:f>IF($A313="","",--(COUNTIFS('02_ツリー'!$E$5:$E$560,$A313,'02_ツリー'!$O$5:$O$560,0)=0))</x:f>
        <x:v>0</x:v>
      </x:c>
      <x:c r="J313" s="12" t="str">
        <x:f>IF($A313="","",IF(AND(B313&gt;0,C313&lt;0),"正負あり",IF(B313&gt;0,"正のみ",IF(C313&lt;0,"負のみ","ゼロ"))))</x:f>
        <x:v>正負あり</x:v>
      </x:c>
      <x:c r="K313" s="244" t="n">
        <x:f>IF($A313="","",--AND(B313&gt;0,C313&lt;0))</x:f>
        <x:v>1</x:v>
      </x:c>
      <x:c r="L313" s="244" t="n">
        <x:f>IF($A313="","",COUNTIF('02_ツリー'!$E$5:$E$560,$A313))</x:f>
        <x:v>3</x:v>
      </x:c>
      <x:c r="M313" s="244" t="n">
        <x:f>IF($A313="","",--(LEFT(A313,7)="Enable_"))</x:f>
        <x:v>0</x:v>
      </x:c>
      <x:c r="N313" s="12"/>
      <x:c r="O313" s="12"/>
      <x:c r="P313" s="12"/>
      <x:c r="Q313" s="12"/>
      <x:c r="R313" s="12"/>
      <x:c r="S313" s="12"/>
      <x:c r="T313" s="12"/>
      <x:c r="U313" s="12"/>
      <x:c r="V313" s="12"/>
      <x:c r="W313" s="12"/>
      <x:c r="X313" s="12"/>
      <x:c r="Y313" s="12"/>
    </x:row>
    <x:row r="314">
      <x:c r="A314" s="12" t="str">
        <x:f>IFERROR(INDEX('02_ツリー'!$E$5:$E$560,MATCH(ROWS($A$11:A314),'02_ツリー'!$R$5:$R$560,0)),"")</x:f>
        <x:v>k_snub_eff</x:v>
      </x:c>
      <x:c r="B314" s="48" t="n">
        <x:f>IF($A314="","",SUMIFS('02_ツリー'!$K$5:$K$560,'02_ツリー'!$E$5:$E$560,$A314,'02_ツリー'!$K$5:$K$560,"&gt;0"))</x:f>
        <x:v>0.000006188236369318812</x:v>
      </x:c>
      <x:c r="C314" s="48" t="n">
        <x:f>IF($A314="","",SUMIFS('02_ツリー'!$K$5:$K$560,'02_ツリー'!$E$5:$E$560,$A314,'02_ツリー'!$K$5:$K$560,"&lt;0"))</x:f>
        <x:v>-0.00011805746325503786</x:v>
      </x:c>
      <x:c r="D314" s="48" t="n">
        <x:f>IF($A314="","",B314+C314)</x:f>
        <x:v>-0.00011186922688571904</x:v>
      </x:c>
      <x:c r="E314" s="48" t="n">
        <x:f>IF($A314="","",B314-C314)</x:f>
        <x:v>0.00012424569962435667</x:v>
      </x:c>
      <x:c r="F314" s="48" t="n">
        <x:f>IF($A314="","",SUMIFS('02_ツリー'!$H$5:$H$560,'02_ツリー'!$E$5:$E$560,$A314,'02_ツリー'!$K$5:$K$560,"&gt;0"))</x:f>
        <x:v>0.00005537134281764417</x:v>
      </x:c>
      <x:c r="G314" s="48" t="n">
        <x:f>IF($A314="","",-SUMIFS('02_ツリー'!$H$5:$H$560,'02_ツリー'!$E$5:$E$560,$A314,'02_ツリー'!$K$5:$K$560,"&lt;0"))</x:f>
        <x:v>-0.0010563591756912333</x:v>
      </x:c>
      <x:c r="H314" s="48" t="n">
        <x:f>IF($A314="","",F314+G314)</x:f>
        <x:v>-0.0010009878328735892</x:v>
      </x:c>
      <x:c r="I314" s="244" t="n">
        <x:f>IF($A314="","",--(COUNTIFS('02_ツリー'!$E$5:$E$560,$A314,'02_ツリー'!$O$5:$O$560,0)=0))</x:f>
        <x:v>0</x:v>
      </x:c>
      <x:c r="J314" s="12" t="str">
        <x:f>IF($A314="","",IF(AND(B314&gt;0,C314&lt;0),"正負あり",IF(B314&gt;0,"正のみ",IF(C314&lt;0,"負のみ","ゼロ"))))</x:f>
        <x:v>正負あり</x:v>
      </x:c>
      <x:c r="K314" s="244" t="n">
        <x:f>IF($A314="","",--AND(B314&gt;0,C314&lt;0))</x:f>
        <x:v>1</x:v>
      </x:c>
      <x:c r="L314" s="244" t="n">
        <x:f>IF($A314="","",COUNTIF('02_ツリー'!$E$5:$E$560,$A314))</x:f>
        <x:v>3</x:v>
      </x:c>
      <x:c r="M314" s="244" t="n">
        <x:f>IF($A314="","",--(LEFT(A314,7)="Enable_"))</x:f>
        <x:v>0</x:v>
      </x:c>
      <x:c r="N314" s="12"/>
      <x:c r="O314" s="12"/>
      <x:c r="P314" s="12"/>
      <x:c r="Q314" s="12"/>
      <x:c r="R314" s="12"/>
      <x:c r="S314" s="12"/>
      <x:c r="T314" s="12"/>
      <x:c r="U314" s="12"/>
      <x:c r="V314" s="12"/>
      <x:c r="W314" s="12"/>
      <x:c r="X314" s="12"/>
      <x:c r="Y314" s="12"/>
    </x:row>
    <x:row r="315">
      <x:c r="A315" s="12" t="str">
        <x:f>IFERROR(INDEX('02_ツリー'!$E$5:$E$560,MATCH(ROWS($A$11:A315),'02_ツリー'!$R$5:$R$560,0)),"")</x:f>
        <x:v>k_snub_reduce</x:v>
      </x:c>
      <x:c r="B315" s="48" t="n">
        <x:f>IF($A315="","",SUMIFS('02_ツリー'!$K$5:$K$560,'02_ツリー'!$E$5:$E$560,$A315,'02_ツリー'!$K$5:$K$560,"&gt;0"))</x:f>
        <x:v>0</x:v>
      </x:c>
      <x:c r="C315" s="48" t="n">
        <x:f>IF($A315="","",SUMIFS('02_ツリー'!$K$5:$K$560,'02_ツリー'!$E$5:$E$560,$A315,'02_ツリー'!$K$5:$K$560,"&lt;0"))</x:f>
        <x:v>0</x:v>
      </x:c>
      <x:c r="D315" s="48" t="n">
        <x:f>IF($A315="","",B315+C315)</x:f>
        <x:v>0</x:v>
      </x:c>
      <x:c r="E315" s="48" t="n">
        <x:f>IF($A315="","",B315-C315)</x:f>
        <x:v>0</x:v>
      </x:c>
      <x:c r="F315" s="48" t="n">
        <x:f>IF($A315="","",SUMIFS('02_ツリー'!$H$5:$H$560,'02_ツリー'!$E$5:$E$560,$A315,'02_ツリー'!$K$5:$K$560,"&gt;0"))</x:f>
        <x:v>0</x:v>
      </x:c>
      <x:c r="G315" s="48" t="n">
        <x:f>IF($A315="","",-SUMIFS('02_ツリー'!$H$5:$H$560,'02_ツリー'!$E$5:$E$560,$A315,'02_ツリー'!$K$5:$K$560,"&lt;0"))</x:f>
        <x:v>0</x:v>
      </x:c>
      <x:c r="H315" s="48" t="n">
        <x:f>IF($A315="","",F315+G315)</x:f>
        <x:v>0</x:v>
      </x:c>
      <x:c r="I315" s="244" t="n">
        <x:f>IF($A315="","",--(COUNTIFS('02_ツリー'!$E$5:$E$560,$A315,'02_ツリー'!$O$5:$O$560,0)=0))</x:f>
        <x:v>1</x:v>
      </x:c>
      <x:c r="J315" s="12" t="str">
        <x:f>IF($A315="","",IF(AND(B315&gt;0,C315&lt;0),"正負あり",IF(B315&gt;0,"正のみ",IF(C315&lt;0,"負のみ","ゼロ"))))</x:f>
        <x:v>ゼロ</x:v>
      </x:c>
      <x:c r="K315" s="244" t="n">
        <x:f>IF($A315="","",--AND(B315&gt;0,C315&lt;0))</x:f>
        <x:v>0</x:v>
      </x:c>
      <x:c r="L315" s="244" t="n">
        <x:f>IF($A315="","",COUNTIF('02_ツリー'!$E$5:$E$560,$A315))</x:f>
        <x:v>3</x:v>
      </x:c>
      <x:c r="M315" s="244" t="n">
        <x:f>IF($A315="","",--(LEFT(A315,7)="Enable_"))</x:f>
        <x:v>0</x:v>
      </x:c>
      <x:c r="N315" s="12"/>
      <x:c r="O315" s="12"/>
      <x:c r="P315" s="12"/>
      <x:c r="Q315" s="12"/>
      <x:c r="R315" s="12"/>
      <x:c r="S315" s="12"/>
      <x:c r="T315" s="12"/>
      <x:c r="U315" s="12"/>
      <x:c r="V315" s="12"/>
      <x:c r="W315" s="12"/>
      <x:c r="X315" s="12"/>
      <x:c r="Y315" s="12"/>
    </x:row>
    <x:row r="316">
      <x:c r="A316" s="12" t="str">
        <x:f>IFERROR(INDEX('02_ツリー'!$E$5:$E$560,MATCH(ROWS($A$11:A316),'02_ツリー'!$R$5:$R$560,0)),"")</x:f>
        <x:v>ESL_dc</x:v>
      </x:c>
      <x:c r="B316" s="48" t="n">
        <x:f>IF($A316="","",SUMIFS('02_ツリー'!$K$5:$K$560,'02_ツリー'!$E$5:$E$560,$A316,'02_ツリー'!$K$5:$K$560,"&gt;0"))</x:f>
        <x:v>0.0000027503272752528056</x:v>
      </x:c>
      <x:c r="C316" s="48" t="n">
        <x:f>IF($A316="","",SUMIFS('02_ツリー'!$K$5:$K$560,'02_ツリー'!$E$5:$E$560,$A316,'02_ツリー'!$K$5:$K$560,"&lt;0"))</x:f>
        <x:v>-0.00005246998366890572</x:v>
      </x:c>
      <x:c r="D316" s="48" t="n">
        <x:f>IF($A316="","",B316+C316)</x:f>
        <x:v>-0.000049719656393652915</x:v>
      </x:c>
      <x:c r="E316" s="48" t="n">
        <x:f>IF($A316="","",B316-C316)</x:f>
        <x:v>0.00005522031094415852</x:v>
      </x:c>
      <x:c r="F316" s="48" t="n">
        <x:f>IF($A316="","",SUMIFS('02_ツリー'!$H$5:$H$560,'02_ツリー'!$E$5:$E$560,$A316,'02_ツリー'!$K$5:$K$560,"&gt;0"))</x:f>
        <x:v>0.00002460948569673074</x:v>
      </x:c>
      <x:c r="G316" s="48" t="n">
        <x:f>IF($A316="","",-SUMIFS('02_ツリー'!$H$5:$H$560,'02_ツリー'!$E$5:$E$560,$A316,'02_ツリー'!$K$5:$K$560,"&lt;0"))</x:f>
        <x:v>-0.00046949296697388146</x:v>
      </x:c>
      <x:c r="H316" s="48" t="n">
        <x:f>IF($A316="","",F316+G316)</x:f>
        <x:v>-0.0004448834812771507</x:v>
      </x:c>
      <x:c r="I316" s="244" t="n">
        <x:f>IF($A316="","",--(COUNTIFS('02_ツリー'!$E$5:$E$560,$A316,'02_ツリー'!$O$5:$O$560,0)=0))</x:f>
        <x:v>1</x:v>
      </x:c>
      <x:c r="J316" s="12" t="str">
        <x:f>IF($A316="","",IF(AND(B316&gt;0,C316&lt;0),"正負あり",IF(B316&gt;0,"正のみ",IF(C316&lt;0,"負のみ","ゼロ"))))</x:f>
        <x:v>正負あり</x:v>
      </x:c>
      <x:c r="K316" s="244" t="n">
        <x:f>IF($A316="","",--AND(B316&gt;0,C316&lt;0))</x:f>
        <x:v>1</x:v>
      </x:c>
      <x:c r="L316" s="244" t="n">
        <x:f>IF($A316="","",COUNTIF('02_ツリー'!$E$5:$E$560,$A316))</x:f>
        <x:v>3</x:v>
      </x:c>
      <x:c r="M316" s="244" t="n">
        <x:f>IF($A316="","",--(LEFT(A316,7)="Enable_"))</x:f>
        <x:v>0</x:v>
      </x:c>
      <x:c r="N316" s="12"/>
      <x:c r="O316" s="12"/>
      <x:c r="P316" s="12"/>
      <x:c r="Q316" s="12"/>
      <x:c r="R316" s="12"/>
      <x:c r="S316" s="12"/>
      <x:c r="T316" s="12"/>
      <x:c r="U316" s="12"/>
      <x:c r="V316" s="12"/>
      <x:c r="W316" s="12"/>
      <x:c r="X316" s="12"/>
      <x:c r="Y316" s="12"/>
    </x:row>
    <x:row r="317">
      <x:c r="A317" s="12" t="str">
        <x:f>IFERROR(INDEX('02_ツリー'!$E$5:$E$560,MATCH(ROWS($A$11:A317),'02_ツリー'!$R$5:$R$560,0)),"")</x:f>
        <x:v>gap_bus</x:v>
      </x:c>
      <x:c r="B317" s="48" t="n">
        <x:f>IF($A317="","",SUMIFS('02_ツリー'!$K$5:$K$560,'02_ツリー'!$E$5:$E$560,$A317,'02_ツリー'!$K$5:$K$560,"&gt;0"))</x:f>
        <x:v>0.00894689446370238</x:v>
      </x:c>
      <x:c r="C317" s="48" t="n">
        <x:f>IF($A317="","",SUMIFS('02_ツリー'!$K$5:$K$560,'02_ツリー'!$E$5:$E$560,$A317,'02_ツリー'!$K$5:$K$560,"&lt;0"))</x:f>
        <x:v>-0.0057059988553382025</x:v>
      </x:c>
      <x:c r="D317" s="48" t="n">
        <x:f>IF($A317="","",B317+C317)</x:f>
        <x:v>0.003240895608364178</x:v>
      </x:c>
      <x:c r="E317" s="48" t="n">
        <x:f>IF($A317="","",B317-C317)</x:f>
        <x:v>0.014652893319040582</x:v>
      </x:c>
      <x:c r="F317" s="48" t="n">
        <x:f>IF($A317="","",SUMIFS('02_ツリー'!$H$5:$H$560,'02_ツリー'!$E$5:$E$560,$A317,'02_ツリー'!$K$5:$K$560,"&gt;0"))</x:f>
        <x:v>0.08005537134281765</x:v>
      </x:c>
      <x:c r="G317" s="48" t="n">
        <x:f>IF($A317="","",-SUMIFS('02_ツリー'!$H$5:$H$560,'02_ツリー'!$E$5:$E$560,$A317,'02_ツリー'!$K$5:$K$560,"&lt;0"))</x:f>
        <x:v>-0.05105635917569124</x:v>
      </x:c>
      <x:c r="H317" s="48" t="n">
        <x:f>IF($A317="","",F317+G317)</x:f>
        <x:v>0.028999012167126408</x:v>
      </x:c>
      <x:c r="I317" s="244" t="n">
        <x:f>IF($A317="","",--(COUNTIFS('02_ツリー'!$E$5:$E$560,$A317,'02_ツリー'!$O$5:$O$560,0)=0))</x:f>
        <x:v>1</x:v>
      </x:c>
      <x:c r="J317" s="12" t="str">
        <x:f>IF($A317="","",IF(AND(B317&gt;0,C317&lt;0),"正負あり",IF(B317&gt;0,"正のみ",IF(C317&lt;0,"負のみ","ゼロ"))))</x:f>
        <x:v>正負あり</x:v>
      </x:c>
      <x:c r="K317" s="244" t="n">
        <x:f>IF($A317="","",--AND(B317&gt;0,C317&lt;0))</x:f>
        <x:v>1</x:v>
      </x:c>
      <x:c r="L317" s="244" t="n">
        <x:f>IF($A317="","",COUNTIF('02_ツリー'!$E$5:$E$560,$A317))</x:f>
        <x:v>5</x:v>
      </x:c>
      <x:c r="M317" s="244" t="n">
        <x:f>IF($A317="","",--(LEFT(A317,7)="Enable_"))</x:f>
        <x:v>0</x:v>
      </x:c>
      <x:c r="N317" s="12"/>
      <x:c r="O317" s="12"/>
      <x:c r="P317" s="12"/>
      <x:c r="Q317" s="12"/>
      <x:c r="R317" s="12"/>
      <x:c r="S317" s="12"/>
      <x:c r="T317" s="12"/>
      <x:c r="U317" s="12"/>
      <x:c r="V317" s="12"/>
      <x:c r="W317" s="12"/>
      <x:c r="X317" s="12"/>
      <x:c r="Y317" s="12"/>
    </x:row>
    <x:row r="318">
      <x:c r="A318" s="12" t="str">
        <x:f>IFERROR(INDEX('02_ツリー'!$E$5:$E$560,MATCH(ROWS($A$11:A318),'02_ツリー'!$R$5:$R$560,0)),"")</x:f>
        <x:v>overlap_bus</x:v>
      </x:c>
      <x:c r="B318" s="48" t="n">
        <x:f>IF($A318="","",SUMIFS('02_ツリー'!$K$5:$K$560,'02_ツリー'!$E$5:$E$560,$A318,'02_ツリー'!$K$5:$K$560,"&gt;0"))</x:f>
        <x:v>0.014646705082671265</x:v>
      </x:c>
      <x:c r="C318" s="48" t="n">
        <x:f>IF($A318="","",SUMIFS('02_ツリー'!$K$5:$K$560,'02_ツリー'!$E$5:$E$560,$A318,'02_ツリー'!$K$5:$K$560,"&lt;0"))</x:f>
        <x:v>-0.000006188236369318812</x:v>
      </x:c>
      <x:c r="D318" s="48" t="n">
        <x:f>IF($A318="","",B318+C318)</x:f>
        <x:v>0.014640516846301946</x:v>
      </x:c>
      <x:c r="E318" s="48" t="n">
        <x:f>IF($A318="","",B318-C318)</x:f>
        <x:v>0.014652893319040584</x:v>
      </x:c>
      <x:c r="F318" s="48" t="n">
        <x:f>IF($A318="","",SUMIFS('02_ツリー'!$H$5:$H$560,'02_ツリー'!$E$5:$E$560,$A318,'02_ツリー'!$K$5:$K$560,"&gt;0"))</x:f>
        <x:v>0.13105635917569125</x:v>
      </x:c>
      <x:c r="G318" s="48" t="n">
        <x:f>IF($A318="","",-SUMIFS('02_ツリー'!$H$5:$H$560,'02_ツリー'!$E$5:$E$560,$A318,'02_ツリー'!$K$5:$K$560,"&lt;0"))</x:f>
        <x:v>-0.00005537134281764417</x:v>
      </x:c>
      <x:c r="H318" s="48" t="n">
        <x:f>IF($A318="","",F318+G318)</x:f>
        <x:v>0.13100098783287362</x:v>
      </x:c>
      <x:c r="I318" s="244" t="n">
        <x:f>IF($A318="","",--(COUNTIFS('02_ツリー'!$E$5:$E$560,$A318,'02_ツリー'!$O$5:$O$560,0)=0))</x:f>
        <x:v>1</x:v>
      </x:c>
      <x:c r="J318" s="12" t="str">
        <x:f>IF($A318="","",IF(AND(B318&gt;0,C318&lt;0),"正負あり",IF(B318&gt;0,"正のみ",IF(C318&lt;0,"負のみ","ゼロ"))))</x:f>
        <x:v>正負あり</x:v>
      </x:c>
      <x:c r="K318" s="244" t="n">
        <x:f>IF($A318="","",--AND(B318&gt;0,C318&lt;0))</x:f>
        <x:v>1</x:v>
      </x:c>
      <x:c r="L318" s="244" t="n">
        <x:f>IF($A318="","",COUNTIF('02_ツリー'!$E$5:$E$560,$A318))</x:f>
        <x:v>5</x:v>
      </x:c>
      <x:c r="M318" s="244" t="n">
        <x:f>IF($A318="","",--(LEFT(A318,7)="Enable_"))</x:f>
        <x:v>0</x:v>
      </x:c>
      <x:c r="N318" s="12"/>
      <x:c r="O318" s="12"/>
      <x:c r="P318" s="12"/>
      <x:c r="Q318" s="12"/>
      <x:c r="R318" s="12"/>
      <x:c r="S318" s="12"/>
      <x:c r="T318" s="12"/>
      <x:c r="U318" s="12"/>
      <x:c r="V318" s="12"/>
      <x:c r="W318" s="12"/>
      <x:c r="X318" s="12"/>
      <x:c r="Y318" s="12"/>
    </x:row>
    <x:row r="319">
      <x:c r="A319" s="12" t="str">
        <x:f>IFERROR(INDEX('02_ツリー'!$E$5:$E$560,MATCH(ROWS($A$11:A319),'02_ツリー'!$R$5:$R$560,0)),"")</x:f>
        <x:v>Enable_hf_decouple</x:v>
      </x:c>
      <x:c r="B319" s="48" t="n">
        <x:f>IF($A319="","",SUMIFS('02_ツリー'!$K$5:$K$560,'02_ツリー'!$E$5:$E$560,$A319,'02_ツリー'!$K$5:$K$560,"&gt;0"))</x:f>
        <x:v>0.003964684832922982</x:v>
      </x:c>
      <x:c r="C319" s="48" t="n">
        <x:f>IF($A319="","",SUMIFS('02_ツリー'!$K$5:$K$560,'02_ツリー'!$E$5:$E$560,$A319,'02_ツリー'!$K$5:$K$560,"&lt;0"))</x:f>
        <x:v>-0.0000027847063661934655</x:v>
      </x:c>
      <x:c r="D319" s="48" t="n">
        <x:f>IF($A319="","",B319+C319)</x:f>
        <x:v>0.0039619001265567885</x:v>
      </x:c>
      <x:c r="E319" s="48" t="n">
        <x:f>IF($A319="","",B319-C319)</x:f>
        <x:v>0.003967469539289175</x:v>
      </x:c>
      <x:c r="F319" s="48" t="n">
        <x:f>IF($A319="","",SUMIFS('02_ツリー'!$H$5:$H$560,'02_ツリー'!$E$5:$E$560,$A319,'02_ツリー'!$K$5:$K$560,"&gt;0"))</x:f>
        <x:v>0.03547536162906106</x:v>
      </x:c>
      <x:c r="G319" s="48" t="n">
        <x:f>IF($A319="","",-SUMIFS('02_ツリー'!$H$5:$H$560,'02_ツリー'!$E$5:$E$560,$A319,'02_ツリー'!$K$5:$K$560,"&lt;0"))</x:f>
        <x:v>-0.000024917104267939876</x:v>
      </x:c>
      <x:c r="H319" s="48" t="n">
        <x:f>IF($A319="","",F319+G319)</x:f>
        <x:v>0.035450444524793116</x:v>
      </x:c>
      <x:c r="I319" s="244" t="n">
        <x:f>IF($A319="","",--(COUNTIFS('02_ツリー'!$E$5:$E$560,$A319,'02_ツリー'!$O$5:$O$560,0)=0))</x:f>
        <x:v>1</x:v>
      </x:c>
      <x:c r="J319" s="12" t="str">
        <x:f>IF($A319="","",IF(AND(B319&gt;0,C319&lt;0),"正負あり",IF(B319&gt;0,"正のみ",IF(C319&lt;0,"負のみ","ゼロ"))))</x:f>
        <x:v>正負あり</x:v>
      </x:c>
      <x:c r="K319" s="244" t="n">
        <x:f>IF($A319="","",--AND(B319&gt;0,C319&lt;0))</x:f>
        <x:v>1</x:v>
      </x:c>
      <x:c r="L319" s="244" t="n">
        <x:f>IF($A319="","",COUNTIF('02_ツリー'!$E$5:$E$560,$A319))</x:f>
        <x:v>4</x:v>
      </x:c>
      <x:c r="M319" s="244" t="n">
        <x:f>IF($A319="","",--(LEFT(A319,7)="Enable_"))</x:f>
        <x:v>1</x:v>
      </x:c>
      <x:c r="N319" s="12"/>
      <x:c r="O319" s="12"/>
      <x:c r="P319" s="12"/>
      <x:c r="Q319" s="12"/>
      <x:c r="R319" s="12"/>
      <x:c r="S319" s="12"/>
      <x:c r="T319" s="12"/>
      <x:c r="U319" s="12"/>
      <x:c r="V319" s="12"/>
      <x:c r="W319" s="12"/>
      <x:c r="X319" s="12"/>
      <x:c r="Y319" s="12"/>
    </x:row>
    <x:row r="320">
      <x:c r="A320" s="12" t="str">
        <x:f>IFERROR(INDEX('02_ツリー'!$E$5:$E$560,MATCH(ROWS($A$11:A320),'02_ツリー'!$R$5:$R$560,0)),"")</x:f>
        <x:v>k_hf_L_reduce</x:v>
      </x:c>
      <x:c r="B320" s="48" t="n">
        <x:f>IF($A320="","",SUMIFS('02_ツリー'!$K$5:$K$560,'02_ツリー'!$E$5:$E$560,$A320,'02_ツリー'!$K$5:$K$560,"&gt;0"))</x:f>
        <x:v>0</x:v>
      </x:c>
      <x:c r="C320" s="48" t="n">
        <x:f>IF($A320="","",SUMIFS('02_ツリー'!$K$5:$K$560,'02_ツリー'!$E$5:$E$560,$A320,'02_ツリー'!$K$5:$K$560,"&lt;0"))</x:f>
        <x:v>0</x:v>
      </x:c>
      <x:c r="D320" s="48" t="n">
        <x:f>IF($A320="","",B320+C320)</x:f>
        <x:v>0</x:v>
      </x:c>
      <x:c r="E320" s="48" t="n">
        <x:f>IF($A320="","",B320-C320)</x:f>
        <x:v>0</x:v>
      </x:c>
      <x:c r="F320" s="48" t="n">
        <x:f>IF($A320="","",SUMIFS('02_ツリー'!$H$5:$H$560,'02_ツリー'!$E$5:$E$560,$A320,'02_ツリー'!$K$5:$K$560,"&gt;0"))</x:f>
        <x:v>0</x:v>
      </x:c>
      <x:c r="G320" s="48" t="n">
        <x:f>IF($A320="","",-SUMIFS('02_ツリー'!$H$5:$H$560,'02_ツリー'!$E$5:$E$560,$A320,'02_ツリー'!$K$5:$K$560,"&lt;0"))</x:f>
        <x:v>0</x:v>
      </x:c>
      <x:c r="H320" s="48" t="n">
        <x:f>IF($A320="","",F320+G320)</x:f>
        <x:v>0</x:v>
      </x:c>
      <x:c r="I320" s="244" t="n">
        <x:f>IF($A320="","",--(COUNTIFS('02_ツリー'!$E$5:$E$560,$A320,'02_ツリー'!$O$5:$O$560,0)=0))</x:f>
        <x:v>1</x:v>
      </x:c>
      <x:c r="J320" s="12" t="str">
        <x:f>IF($A320="","",IF(AND(B320&gt;0,C320&lt;0),"正負あり",IF(B320&gt;0,"正のみ",IF(C320&lt;0,"負のみ","ゼロ"))))</x:f>
        <x:v>ゼロ</x:v>
      </x:c>
      <x:c r="K320" s="244" t="n">
        <x:f>IF($A320="","",--AND(B320&gt;0,C320&lt;0))</x:f>
        <x:v>0</x:v>
      </x:c>
      <x:c r="L320" s="244" t="n">
        <x:f>IF($A320="","",COUNTIF('02_ツリー'!$E$5:$E$560,$A320))</x:f>
        <x:v>3</x:v>
      </x:c>
      <x:c r="M320" s="244" t="n">
        <x:f>IF($A320="","",--(LEFT(A320,7)="Enable_"))</x:f>
        <x:v>0</x:v>
      </x:c>
      <x:c r="N320" s="12"/>
      <x:c r="O320" s="12"/>
      <x:c r="P320" s="12"/>
      <x:c r="Q320" s="12"/>
      <x:c r="R320" s="12"/>
      <x:c r="S320" s="12"/>
      <x:c r="T320" s="12"/>
      <x:c r="U320" s="12"/>
      <x:c r="V320" s="12"/>
      <x:c r="W320" s="12"/>
      <x:c r="X320" s="12"/>
      <x:c r="Y320" s="12"/>
    </x:row>
    <x:row r="321">
      <x:c r="A321" s="12" t="str">
        <x:f>IFERROR(INDEX('02_ツリー'!$E$5:$E$560,MATCH(ROWS($A$11:A321),'02_ツリー'!$R$5:$R$560,0)),"")</x:f>
        <x:v>M_hfcap</x:v>
      </x:c>
      <x:c r="B321" s="48" t="n">
        <x:f>IF($A321="","",SUMIFS('02_ツリー'!$K$5:$K$560,'02_ツリー'!$E$5:$E$560,$A321,'02_ツリー'!$K$5:$K$560,"&gt;0"))</x:f>
        <x:v>0</x:v>
      </x:c>
      <x:c r="C321" s="48" t="n">
        <x:f>IF($A321="","",SUMIFS('02_ツリー'!$K$5:$K$560,'02_ツリー'!$E$5:$E$560,$A321,'02_ツリー'!$K$5:$K$560,"&lt;0"))</x:f>
        <x:v>0</x:v>
      </x:c>
      <x:c r="D321" s="48" t="n">
        <x:f>IF($A321="","",B321+C321)</x:f>
        <x:v>0</x:v>
      </x:c>
      <x:c r="E321" s="48" t="n">
        <x:f>IF($A321="","",B321-C321)</x:f>
        <x:v>0</x:v>
      </x:c>
      <x:c r="F321" s="48" t="n">
        <x:f>IF($A321="","",SUMIFS('02_ツリー'!$H$5:$H$560,'02_ツリー'!$E$5:$E$560,$A321,'02_ツリー'!$K$5:$K$560,"&gt;0"))</x:f>
        <x:v>0</x:v>
      </x:c>
      <x:c r="G321" s="48" t="n">
        <x:f>IF($A321="","",-SUMIFS('02_ツリー'!$H$5:$H$560,'02_ツリー'!$E$5:$E$560,$A321,'02_ツリー'!$K$5:$K$560,"&lt;0"))</x:f>
        <x:v>0</x:v>
      </x:c>
      <x:c r="H321" s="48" t="n">
        <x:f>IF($A321="","",F321+G321)</x:f>
        <x:v>0</x:v>
      </x:c>
      <x:c r="I321" s="244" t="n">
        <x:f>IF($A321="","",--(COUNTIFS('02_ツリー'!$E$5:$E$560,$A321,'02_ツリー'!$O$5:$O$560,0)=0))</x:f>
        <x:v>0</x:v>
      </x:c>
      <x:c r="J321" s="12" t="str">
        <x:f>IF($A321="","",IF(AND(B321&gt;0,C321&lt;0),"正負あり",IF(B321&gt;0,"正のみ",IF(C321&lt;0,"負のみ","ゼロ"))))</x:f>
        <x:v>ゼロ</x:v>
      </x:c>
      <x:c r="K321" s="244" t="n">
        <x:f>IF($A321="","",--AND(B321&gt;0,C321&lt;0))</x:f>
        <x:v>0</x:v>
      </x:c>
      <x:c r="L321" s="244" t="n">
        <x:f>IF($A321="","",COUNTIF('02_ツリー'!$E$5:$E$560,$A321))</x:f>
        <x:v>2</x:v>
      </x:c>
      <x:c r="M321" s="244" t="n">
        <x:f>IF($A321="","",--(LEFT(A321,7)="Enable_"))</x:f>
        <x:v>0</x:v>
      </x:c>
      <x:c r="N321" s="12"/>
      <x:c r="O321" s="12"/>
      <x:c r="P321" s="12"/>
      <x:c r="Q321" s="12"/>
      <x:c r="R321" s="12"/>
      <x:c r="S321" s="12"/>
      <x:c r="T321" s="12"/>
      <x:c r="U321" s="12"/>
      <x:c r="V321" s="12"/>
      <x:c r="W321" s="12"/>
      <x:c r="X321" s="12"/>
      <x:c r="Y321" s="12"/>
    </x:row>
    <x:row r="322">
      <x:c r="A322" s="12" t="str">
        <x:f>IFERROR(INDEX('02_ツリー'!$E$5:$E$560,MATCH(ROWS($A$11:A322),'02_ツリー'!$R$5:$R$560,0)),"")</x:f>
        <x:v>m_pump</x:v>
      </x:c>
      <x:c r="B322" s="48" t="n">
        <x:f>IF($A322="","",SUMIFS('02_ツリー'!$K$5:$K$560,'02_ツリー'!$E$5:$E$560,$A322,'02_ツリー'!$K$5:$K$560,"&gt;0"))</x:f>
        <x:v>0.016763824176249487</x:v>
      </x:c>
      <x:c r="C322" s="48" t="n">
        <x:f>IF($A322="","",SUMIFS('02_ツリー'!$K$5:$K$560,'02_ツリー'!$E$5:$E$560,$A322,'02_ツリー'!$K$5:$K$560,"&lt;0"))</x:f>
        <x:v>0</x:v>
      </x:c>
      <x:c r="D322" s="48" t="n">
        <x:f>IF($A322="","",B322+C322)</x:f>
        <x:v>0.016763824176249487</x:v>
      </x:c>
      <x:c r="E322" s="48" t="n">
        <x:f>IF($A322="","",B322-C322)</x:f>
        <x:v>0.016763824176249487</x:v>
      </x:c>
      <x:c r="F322" s="48" t="n">
        <x:f>IF($A322="","",SUMIFS('02_ツリー'!$H$5:$H$560,'02_ツリー'!$E$5:$E$560,$A322,'02_ツリー'!$K$5:$K$560,"&gt;0"))</x:f>
        <x:v>0.14999999999999997</x:v>
      </x:c>
      <x:c r="G322" s="48" t="n">
        <x:f>IF($A322="","",-SUMIFS('02_ツリー'!$H$5:$H$560,'02_ツリー'!$E$5:$E$560,$A322,'02_ツリー'!$K$5:$K$560,"&lt;0"))</x:f>
        <x:v>0</x:v>
      </x:c>
      <x:c r="H322" s="48" t="n">
        <x:f>IF($A322="","",F322+G322)</x:f>
        <x:v>0.14999999999999997</x:v>
      </x:c>
      <x:c r="I322" s="244" t="n">
        <x:f>IF($A322="","",--(COUNTIFS('02_ツリー'!$E$5:$E$560,$A322,'02_ツリー'!$O$5:$O$560,0)=0))</x:f>
        <x:v>0</x:v>
      </x:c>
      <x:c r="J322" s="12" t="str">
        <x:f>IF($A322="","",IF(AND(B322&gt;0,C322&lt;0),"正負あり",IF(B322&gt;0,"正のみ",IF(C322&lt;0,"負のみ","ゼロ"))))</x:f>
        <x:v>正のみ</x:v>
      </x:c>
      <x:c r="K322" s="244" t="n">
        <x:f>IF($A322="","",--AND(B322&gt;0,C322&lt;0))</x:f>
        <x:v>0</x:v>
      </x:c>
      <x:c r="L322" s="244" t="n">
        <x:f>IF($A322="","",COUNTIF('02_ツリー'!$E$5:$E$560,$A322))</x:f>
        <x:v>1</x:v>
      </x:c>
      <x:c r="M322" s="244" t="n">
        <x:f>IF($A322="","",--(LEFT(A322,7)="Enable_"))</x:f>
        <x:v>0</x:v>
      </x:c>
      <x:c r="N322" s="12"/>
      <x:c r="O322" s="12"/>
      <x:c r="P322" s="12"/>
      <x:c r="Q322" s="12"/>
      <x:c r="R322" s="12"/>
      <x:c r="S322" s="12"/>
      <x:c r="T322" s="12"/>
      <x:c r="U322" s="12"/>
      <x:c r="V322" s="12"/>
      <x:c r="W322" s="12"/>
      <x:c r="X322" s="12"/>
      <x:c r="Y322" s="12"/>
    </x:row>
    <x:row r="323">
      <x:c r="A323" s="12" t="str">
        <x:f>IFERROR(INDEX('02_ツリー'!$E$5:$E$560,MATCH(ROWS($A$11:A323),'02_ツリー'!$R$5:$R$560,0)),"")</x:f>
        <x:v>P_pump</x:v>
      </x:c>
      <x:c r="B323" s="48" t="n">
        <x:f>IF($A323="","",SUMIFS('02_ツリー'!$K$5:$K$560,'02_ツリー'!$E$5:$E$560,$A323,'02_ツリー'!$K$5:$K$560,"&gt;0"))</x:f>
        <x:v>0.00006361161764688139</x:v>
      </x:c>
      <x:c r="C323" s="48" t="n">
        <x:f>IF($A323="","",SUMIFS('02_ツリー'!$K$5:$K$560,'02_ツリー'!$E$5:$E$560,$A323,'02_ツリー'!$K$5:$K$560,"&lt;0"))</x:f>
        <x:v>0</x:v>
      </x:c>
      <x:c r="D323" s="48" t="n">
        <x:f>IF($A323="","",B323+C323)</x:f>
        <x:v>0.00006361161764688139</x:v>
      </x:c>
      <x:c r="E323" s="48" t="n">
        <x:f>IF($A323="","",B323-C323)</x:f>
        <x:v>0.00006361161764688139</x:v>
      </x:c>
      <x:c r="F323" s="48" t="n">
        <x:f>IF($A323="","",SUMIFS('02_ツリー'!$H$5:$H$560,'02_ツリー'!$E$5:$E$560,$A323,'02_ツリー'!$K$5:$K$560,"&gt;0"))</x:f>
        <x:v>0.0005691865141696415</x:v>
      </x:c>
      <x:c r="G323" s="48" t="n">
        <x:f>IF($A323="","",-SUMIFS('02_ツリー'!$H$5:$H$560,'02_ツリー'!$E$5:$E$560,$A323,'02_ツリー'!$K$5:$K$560,"&lt;0"))</x:f>
        <x:v>0</x:v>
      </x:c>
      <x:c r="H323" s="48" t="n">
        <x:f>IF($A323="","",F323+G323)</x:f>
        <x:v>0.0005691865141696415</x:v>
      </x:c>
      <x:c r="I323" s="244" t="n">
        <x:f>IF($A323="","",--(COUNTIFS('02_ツリー'!$E$5:$E$560,$A323,'02_ツリー'!$O$5:$O$560,0)=0))</x:f>
        <x:v>0</x:v>
      </x:c>
      <x:c r="J323" s="12" t="str">
        <x:f>IF($A323="","",IF(AND(B323&gt;0,C323&lt;0),"正負あり",IF(B323&gt;0,"正のみ",IF(C323&lt;0,"負のみ","ゼロ"))))</x:f>
        <x:v>正のみ</x:v>
      </x:c>
      <x:c r="K323" s="244" t="n">
        <x:f>IF($A323="","",--AND(B323&gt;0,C323&lt;0))</x:f>
        <x:v>0</x:v>
      </x:c>
      <x:c r="L323" s="244" t="n">
        <x:f>IF($A323="","",COUNTIF('02_ツリー'!$E$5:$E$560,$A323))</x:f>
        <x:v>1</x:v>
      </x:c>
      <x:c r="M323" s="244" t="n">
        <x:f>IF($A323="","",--(LEFT(A323,7)="Enable_"))</x:f>
        <x:v>0</x:v>
      </x:c>
      <x:c r="N323" s="12"/>
      <x:c r="O323" s="12"/>
      <x:c r="P323" s="12"/>
      <x:c r="Q323" s="12"/>
      <x:c r="R323" s="12"/>
      <x:c r="S323" s="12"/>
      <x:c r="T323" s="12"/>
      <x:c r="U323" s="12"/>
      <x:c r="V323" s="12"/>
      <x:c r="W323" s="12"/>
      <x:c r="X323" s="12"/>
      <x:c r="Y323" s="12"/>
    </x:row>
    <x:row r="324">
      <x:c r="A324" s="12" t="str">
        <x:f>IFERROR(INDEX('02_ツリー'!$E$5:$E$560,MATCH(ROWS($A$11:A324),'02_ツリー'!$R$5:$R$560,0)),"")</x:f>
        <x:v>DeltaP</x:v>
      </x:c>
      <x:c r="B324" s="48" t="n">
        <x:f>IF($A324="","",SUMIFS('02_ツリー'!$K$5:$K$560,'02_ツリー'!$E$5:$E$560,$A324,'02_ツリー'!$K$5:$K$560,"&gt;0"))</x:f>
        <x:v>0.00006361161764688139</x:v>
      </x:c>
      <x:c r="C324" s="48" t="n">
        <x:f>IF($A324="","",SUMIFS('02_ツリー'!$K$5:$K$560,'02_ツリー'!$E$5:$E$560,$A324,'02_ツリー'!$K$5:$K$560,"&lt;0"))</x:f>
        <x:v>0</x:v>
      </x:c>
      <x:c r="D324" s="48" t="n">
        <x:f>IF($A324="","",B324+C324)</x:f>
        <x:v>0.00006361161764688139</x:v>
      </x:c>
      <x:c r="E324" s="48" t="n">
        <x:f>IF($A324="","",B324-C324)</x:f>
        <x:v>0.00006361161764688139</x:v>
      </x:c>
      <x:c r="F324" s="48" t="n">
        <x:f>IF($A324="","",SUMIFS('02_ツリー'!$H$5:$H$560,'02_ツリー'!$E$5:$E$560,$A324,'02_ツリー'!$K$5:$K$560,"&gt;0"))</x:f>
        <x:v>0.0005691865141696415</x:v>
      </x:c>
      <x:c r="G324" s="48" t="n">
        <x:f>IF($A324="","",-SUMIFS('02_ツリー'!$H$5:$H$560,'02_ツリー'!$E$5:$E$560,$A324,'02_ツリー'!$K$5:$K$560,"&lt;0"))</x:f>
        <x:v>0</x:v>
      </x:c>
      <x:c r="H324" s="48" t="n">
        <x:f>IF($A324="","",F324+G324)</x:f>
        <x:v>0.0005691865141696415</x:v>
      </x:c>
      <x:c r="I324" s="244" t="n">
        <x:f>IF($A324="","",--(COUNTIFS('02_ツリー'!$E$5:$E$560,$A324,'02_ツリー'!$O$5:$O$560,0)=0))</x:f>
        <x:v>0</x:v>
      </x:c>
      <x:c r="J324" s="12" t="str">
        <x:f>IF($A324="","",IF(AND(B324&gt;0,C324&lt;0),"正負あり",IF(B324&gt;0,"正のみ",IF(C324&lt;0,"負のみ","ゼロ"))))</x:f>
        <x:v>正のみ</x:v>
      </x:c>
      <x:c r="K324" s="244" t="n">
        <x:f>IF($A324="","",--AND(B324&gt;0,C324&lt;0))</x:f>
        <x:v>0</x:v>
      </x:c>
      <x:c r="L324" s="244" t="n">
        <x:f>IF($A324="","",COUNTIF('02_ツリー'!$E$5:$E$560,$A324))</x:f>
        <x:v>1</x:v>
      </x:c>
      <x:c r="M324" s="244" t="n">
        <x:f>IF($A324="","",--(LEFT(A324,7)="Enable_"))</x:f>
        <x:v>0</x:v>
      </x:c>
      <x:c r="N324" s="12"/>
      <x:c r="O324" s="12"/>
      <x:c r="P324" s="12"/>
      <x:c r="Q324" s="12"/>
      <x:c r="R324" s="12"/>
      <x:c r="S324" s="12"/>
      <x:c r="T324" s="12"/>
      <x:c r="U324" s="12"/>
      <x:c r="V324" s="12"/>
      <x:c r="W324" s="12"/>
      <x:c r="X324" s="12"/>
      <x:c r="Y324" s="12"/>
    </x:row>
    <x:row r="325">
      <x:c r="A325" s="12" t="str">
        <x:f>IFERROR(INDEX('02_ツリー'!$E$5:$E$560,MATCH(ROWS($A$11:A325),'02_ツリー'!$R$5:$R$560,0)),"")</x:f>
        <x:v>Q_flow</x:v>
      </x:c>
      <x:c r="B325" s="48" t="n">
        <x:f>IF($A325="","",SUMIFS('02_ツリー'!$K$5:$K$560,'02_ツリー'!$E$5:$E$560,$A325,'02_ツリー'!$K$5:$K$560,"&gt;0"))</x:f>
        <x:v>0.0001145009117643865</x:v>
      </x:c>
      <x:c r="C325" s="48" t="n">
        <x:f>IF($A325="","",SUMIFS('02_ツリー'!$K$5:$K$560,'02_ツリー'!$E$5:$E$560,$A325,'02_ツリー'!$K$5:$K$560,"&lt;0"))</x:f>
        <x:v>0</x:v>
      </x:c>
      <x:c r="D325" s="48" t="n">
        <x:f>IF($A325="","",B325+C325)</x:f>
        <x:v>0.0001145009117643865</x:v>
      </x:c>
      <x:c r="E325" s="48" t="n">
        <x:f>IF($A325="","",B325-C325)</x:f>
        <x:v>0.0001145009117643865</x:v>
      </x:c>
      <x:c r="F325" s="48" t="n">
        <x:f>IF($A325="","",SUMIFS('02_ツリー'!$H$5:$H$560,'02_ツリー'!$E$5:$E$560,$A325,'02_ツリー'!$K$5:$K$560,"&gt;0"))</x:f>
        <x:v>0.0010245357255053546</x:v>
      </x:c>
      <x:c r="G325" s="48" t="n">
        <x:f>IF($A325="","",-SUMIFS('02_ツリー'!$H$5:$H$560,'02_ツリー'!$E$5:$E$560,$A325,'02_ツリー'!$K$5:$K$560,"&lt;0"))</x:f>
        <x:v>0</x:v>
      </x:c>
      <x:c r="H325" s="48" t="n">
        <x:f>IF($A325="","",F325+G325)</x:f>
        <x:v>0.0010245357255053546</x:v>
      </x:c>
      <x:c r="I325" s="244" t="n">
        <x:f>IF($A325="","",--(COUNTIFS('02_ツリー'!$E$5:$E$560,$A325,'02_ツリー'!$O$5:$O$560,0)=0))</x:f>
        <x:v>1</x:v>
      </x:c>
      <x:c r="J325" s="12" t="str">
        <x:f>IF($A325="","",IF(AND(B325&gt;0,C325&lt;0),"正負あり",IF(B325&gt;0,"正のみ",IF(C325&lt;0,"負のみ","ゼロ"))))</x:f>
        <x:v>正のみ</x:v>
      </x:c>
      <x:c r="K325" s="244" t="n">
        <x:f>IF($A325="","",--AND(B325&gt;0,C325&lt;0))</x:f>
        <x:v>0</x:v>
      </x:c>
      <x:c r="L325" s="244" t="n">
        <x:f>IF($A325="","",COUNTIF('02_ツリー'!$E$5:$E$560,$A325))</x:f>
        <x:v>1</x:v>
      </x:c>
      <x:c r="M325" s="244" t="n">
        <x:f>IF($A325="","",--(LEFT(A325,7)="Enable_"))</x:f>
        <x:v>0</x:v>
      </x:c>
      <x:c r="N325" s="12"/>
      <x:c r="O325" s="12"/>
      <x:c r="P325" s="12"/>
      <x:c r="Q325" s="12"/>
      <x:c r="R325" s="12"/>
      <x:c r="S325" s="12"/>
      <x:c r="T325" s="12"/>
      <x:c r="U325" s="12"/>
      <x:c r="V325" s="12"/>
      <x:c r="W325" s="12"/>
      <x:c r="X325" s="12"/>
      <x:c r="Y325" s="12"/>
    </x:row>
    <x:row r="326">
      <x:c r="A326" s="12" t="str">
        <x:f>IFERROR(INDEX('02_ツリー'!$E$5:$E$560,MATCH(ROWS($A$11:A326),'02_ツリー'!$R$5:$R$560,0)),"")</x:f>
        <x:v>fin_density</x:v>
      </x:c>
      <x:c r="B326" s="48" t="n">
        <x:f>IF($A326="","",SUMIFS('02_ツリー'!$K$5:$K$560,'02_ツリー'!$E$5:$E$560,$A326,'02_ツリー'!$K$5:$K$560,"&gt;0"))</x:f>
        <x:v>0.00010813974999969836</x:v>
      </x:c>
      <x:c r="C326" s="48" t="n">
        <x:f>IF($A326="","",SUMIFS('02_ツリー'!$K$5:$K$560,'02_ツリー'!$E$5:$E$560,$A326,'02_ツリー'!$K$5:$K$560,"&lt;0"))</x:f>
        <x:v>-0.014476825574314074</x:v>
      </x:c>
      <x:c r="D326" s="48" t="n">
        <x:f>IF($A326="","",B326+C326)</x:f>
        <x:v>-0.014368685824314376</x:v>
      </x:c>
      <x:c r="E326" s="48" t="n">
        <x:f>IF($A326="","",B326-C326)</x:f>
        <x:v>0.014584965324313772</x:v>
      </x:c>
      <x:c r="F326" s="48" t="n">
        <x:f>IF($A326="","",SUMIFS('02_ツリー'!$H$5:$H$560,'02_ツリー'!$E$5:$E$560,$A326,'02_ツリー'!$K$5:$K$560,"&gt;0"))</x:f>
        <x:v>0.0009676170740883905</x:v>
      </x:c>
      <x:c r="G326" s="48" t="n">
        <x:f>IF($A326="","",-SUMIFS('02_ツリー'!$H$5:$H$560,'02_ツリー'!$E$5:$E$560,$A326,'02_ツリー'!$K$5:$K$560,"&lt;0"))</x:f>
        <x:v>-0.12953630468301286</x:v>
      </x:c>
      <x:c r="H326" s="48" t="n">
        <x:f>IF($A326="","",F326+G326)</x:f>
        <x:v>-0.12856868760892448</x:v>
      </x:c>
      <x:c r="I326" s="244" t="n">
        <x:f>IF($A326="","",--(COUNTIFS('02_ツリー'!$E$5:$E$560,$A326,'02_ツリー'!$O$5:$O$560,0)=0))</x:f>
        <x:v>1</x:v>
      </x:c>
      <x:c r="J326" s="12" t="str">
        <x:f>IF($A326="","",IF(AND(B326&gt;0,C326&lt;0),"正負あり",IF(B326&gt;0,"正のみ",IF(C326&lt;0,"負のみ","ゼロ"))))</x:f>
        <x:v>正負あり</x:v>
      </x:c>
      <x:c r="K326" s="244" t="n">
        <x:f>IF($A326="","",--AND(B326&gt;0,C326&lt;0))</x:f>
        <x:v>1</x:v>
      </x:c>
      <x:c r="L326" s="244" t="n">
        <x:f>IF($A326="","",COUNTIF('02_ツリー'!$E$5:$E$560,$A326))</x:f>
        <x:v>2</x:v>
      </x:c>
      <x:c r="M326" s="244" t="n">
        <x:f>IF($A326="","",--(LEFT(A326,7)="Enable_"))</x:f>
        <x:v>0</x:v>
      </x:c>
      <x:c r="N326" s="12"/>
      <x:c r="O326" s="12"/>
      <x:c r="P326" s="12"/>
      <x:c r="Q326" s="12"/>
      <x:c r="R326" s="12"/>
      <x:c r="S326" s="12"/>
      <x:c r="T326" s="12"/>
      <x:c r="U326" s="12"/>
      <x:c r="V326" s="12"/>
      <x:c r="W326" s="12"/>
      <x:c r="X326" s="12"/>
      <x:c r="Y326" s="12"/>
    </x:row>
    <x:row r="327">
      <x:c r="A327" s="12" t="str">
        <x:f>IFERROR(INDEX('02_ツリー'!$E$5:$E$560,MATCH(ROWS($A$11:A327),'02_ツリー'!$R$5:$R$560,0)),"")</x:f>
        <x:v>eta_pump</x:v>
      </x:c>
      <x:c r="B327" s="48" t="n">
        <x:f>IF($A327="","",SUMIFS('02_ツリー'!$K$5:$K$560,'02_ツリー'!$E$5:$E$560,$A327,'02_ツリー'!$K$5:$K$560,"&gt;0"))</x:f>
        <x:v>0</x:v>
      </x:c>
      <x:c r="C327" s="48" t="n">
        <x:f>IF($A327="","",SUMIFS('02_ツリー'!$K$5:$K$560,'02_ツリー'!$E$5:$E$560,$A327,'02_ツリー'!$K$5:$K$560,"&lt;0"))</x:f>
        <x:v>-0.00006361161764688139</x:v>
      </x:c>
      <x:c r="D327" s="48" t="n">
        <x:f>IF($A327="","",B327+C327)</x:f>
        <x:v>-0.00006361161764688139</x:v>
      </x:c>
      <x:c r="E327" s="48" t="n">
        <x:f>IF($A327="","",B327-C327)</x:f>
        <x:v>0.00006361161764688139</x:v>
      </x:c>
      <x:c r="F327" s="48" t="n">
        <x:f>IF($A327="","",SUMIFS('02_ツリー'!$H$5:$H$560,'02_ツリー'!$E$5:$E$560,$A327,'02_ツリー'!$K$5:$K$560,"&gt;0"))</x:f>
        <x:v>0</x:v>
      </x:c>
      <x:c r="G327" s="48" t="n">
        <x:f>IF($A327="","",-SUMIFS('02_ツリー'!$H$5:$H$560,'02_ツリー'!$E$5:$E$560,$A327,'02_ツリー'!$K$5:$K$560,"&lt;0"))</x:f>
        <x:v>-0.0005691865141696415</x:v>
      </x:c>
      <x:c r="H327" s="48" t="n">
        <x:f>IF($A327="","",F327+G327)</x:f>
        <x:v>-0.0005691865141696415</x:v>
      </x:c>
      <x:c r="I327" s="244" t="n">
        <x:f>IF($A327="","",--(COUNTIFS('02_ツリー'!$E$5:$E$560,$A327,'02_ツリー'!$O$5:$O$560,0)=0))</x:f>
        <x:v>1</x:v>
      </x:c>
      <x:c r="J327" s="12" t="str">
        <x:f>IF($A327="","",IF(AND(B327&gt;0,C327&lt;0),"正負あり",IF(B327&gt;0,"正のみ",IF(C327&lt;0,"負のみ","ゼロ"))))</x:f>
        <x:v>負のみ</x:v>
      </x:c>
      <x:c r="K327" s="244" t="n">
        <x:f>IF($A327="","",--AND(B327&gt;0,C327&lt;0))</x:f>
        <x:v>0</x:v>
      </x:c>
      <x:c r="L327" s="244" t="n">
        <x:f>IF($A327="","",COUNTIF('02_ツリー'!$E$5:$E$560,$A327))</x:f>
        <x:v>1</x:v>
      </x:c>
      <x:c r="M327" s="244" t="n">
        <x:f>IF($A327="","",--(LEFT(A327,7)="Enable_"))</x:f>
        <x:v>0</x:v>
      </x:c>
      <x:c r="N327" s="12"/>
      <x:c r="O327" s="12"/>
      <x:c r="P327" s="12"/>
      <x:c r="Q327" s="12"/>
      <x:c r="R327" s="12"/>
      <x:c r="S327" s="12"/>
      <x:c r="T327" s="12"/>
      <x:c r="U327" s="12"/>
      <x:c r="V327" s="12"/>
      <x:c r="W327" s="12"/>
      <x:c r="X327" s="12"/>
      <x:c r="Y327" s="12"/>
    </x:row>
    <x:row r="328">
      <x:c r="A328" s="12" t="str">
        <x:f>IFERROR(INDEX('02_ツリー'!$E$5:$E$560,MATCH(ROWS($A$11:A328),'02_ツリー'!$R$5:$R$560,0)),"")</x:f>
        <x:v>k_m_pump</x:v>
      </x:c>
      <x:c r="B328" s="48" t="n">
        <x:f>IF($A328="","",SUMIFS('02_ツリー'!$K$5:$K$560,'02_ツリー'!$E$5:$E$560,$A328,'02_ツリー'!$K$5:$K$560,"&gt;0"))</x:f>
        <x:v>0.016763824176249487</x:v>
      </x:c>
      <x:c r="C328" s="48" t="n">
        <x:f>IF($A328="","",SUMIFS('02_ツリー'!$K$5:$K$560,'02_ツリー'!$E$5:$E$560,$A328,'02_ツリー'!$K$5:$K$560,"&lt;0"))</x:f>
        <x:v>0</x:v>
      </x:c>
      <x:c r="D328" s="48" t="n">
        <x:f>IF($A328="","",B328+C328)</x:f>
        <x:v>0.016763824176249487</x:v>
      </x:c>
      <x:c r="E328" s="48" t="n">
        <x:f>IF($A328="","",B328-C328)</x:f>
        <x:v>0.016763824176249487</x:v>
      </x:c>
      <x:c r="F328" s="48" t="n">
        <x:f>IF($A328="","",SUMIFS('02_ツリー'!$H$5:$H$560,'02_ツリー'!$E$5:$E$560,$A328,'02_ツリー'!$K$5:$K$560,"&gt;0"))</x:f>
        <x:v>0.14999999999999997</x:v>
      </x:c>
      <x:c r="G328" s="48" t="n">
        <x:f>IF($A328="","",-SUMIFS('02_ツリー'!$H$5:$H$560,'02_ツリー'!$E$5:$E$560,$A328,'02_ツリー'!$K$5:$K$560,"&lt;0"))</x:f>
        <x:v>0</x:v>
      </x:c>
      <x:c r="H328" s="48" t="n">
        <x:f>IF($A328="","",F328+G328)</x:f>
        <x:v>0.14999999999999997</x:v>
      </x:c>
      <x:c r="I328" s="244" t="n">
        <x:f>IF($A328="","",--(COUNTIFS('02_ツリー'!$E$5:$E$560,$A328,'02_ツリー'!$O$5:$O$560,0)=0))</x:f>
        <x:v>1</x:v>
      </x:c>
      <x:c r="J328" s="12" t="str">
        <x:f>IF($A328="","",IF(AND(B328&gt;0,C328&lt;0),"正負あり",IF(B328&gt;0,"正のみ",IF(C328&lt;0,"負のみ","ゼロ"))))</x:f>
        <x:v>正のみ</x:v>
      </x:c>
      <x:c r="K328" s="244" t="n">
        <x:f>IF($A328="","",--AND(B328&gt;0,C328&lt;0))</x:f>
        <x:v>0</x:v>
      </x:c>
      <x:c r="L328" s="244" t="n">
        <x:f>IF($A328="","",COUNTIF('02_ツリー'!$E$5:$E$560,$A328))</x:f>
        <x:v>1</x:v>
      </x:c>
      <x:c r="M328" s="244" t="n">
        <x:f>IF($A328="","",--(LEFT(A328,7)="Enable_"))</x:f>
        <x:v>0</x:v>
      </x:c>
      <x:c r="N328" s="12"/>
      <x:c r="O328" s="12"/>
      <x:c r="P328" s="12"/>
      <x:c r="Q328" s="12"/>
      <x:c r="R328" s="12"/>
      <x:c r="S328" s="12"/>
      <x:c r="T328" s="12"/>
      <x:c r="U328" s="12"/>
      <x:c r="V328" s="12"/>
      <x:c r="W328" s="12"/>
      <x:c r="X328" s="12"/>
      <x:c r="Y328" s="12"/>
    </x:row>
    <x:row r="329">
      <x:c r="A329" s="12" t="str">
        <x:f>IFERROR(INDEX('02_ツリー'!$E$5:$E$560,MATCH(ROWS($A$11:A329),'02_ツリー'!$R$5:$R$560,0)),"")</x:f>
        <x:v>k_fin_density</x:v>
      </x:c>
      <x:c r="B329" s="48" t="n">
        <x:f>IF($A329="","",SUMIFS('02_ツリー'!$K$5:$K$560,'02_ツリー'!$E$5:$E$560,$A329,'02_ツリー'!$K$5:$K$560,"&gt;0"))</x:f>
        <x:v>0</x:v>
      </x:c>
      <x:c r="C329" s="48" t="n">
        <x:f>IF($A329="","",SUMIFS('02_ツリー'!$K$5:$K$560,'02_ツリー'!$E$5:$E$560,$A329,'02_ツリー'!$K$5:$K$560,"&lt;0"))</x:f>
        <x:v>-0.022272039345098575</x:v>
      </x:c>
      <x:c r="D329" s="48" t="n">
        <x:f>IF($A329="","",B329+C329)</x:f>
        <x:v>-0.022272039345098575</x:v>
      </x:c>
      <x:c r="E329" s="48" t="n">
        <x:f>IF($A329="","",B329-C329)</x:f>
        <x:v>0.022272039345098575</x:v>
      </x:c>
      <x:c r="F329" s="48" t="n">
        <x:f>IF($A329="","",SUMIFS('02_ツリー'!$H$5:$H$560,'02_ツリー'!$E$5:$E$560,$A329,'02_ツリー'!$K$5:$K$560,"&gt;0"))</x:f>
        <x:v>0</x:v>
      </x:c>
      <x:c r="G329" s="48" t="n">
        <x:f>IF($A329="","",-SUMIFS('02_ツリー'!$H$5:$H$560,'02_ツリー'!$E$5:$E$560,$A329,'02_ツリー'!$K$5:$K$560,"&lt;0"))</x:f>
        <x:v>-0.19928662258925056</x:v>
      </x:c>
      <x:c r="H329" s="48" t="n">
        <x:f>IF($A329="","",F329+G329)</x:f>
        <x:v>-0.19928662258925056</x:v>
      </x:c>
      <x:c r="I329" s="244" t="n">
        <x:f>IF($A329="","",--(COUNTIFS('02_ツリー'!$E$5:$E$560,$A329,'02_ツリー'!$O$5:$O$560,0)=0))</x:f>
        <x:v>0</x:v>
      </x:c>
      <x:c r="J329" s="12" t="str">
        <x:f>IF($A329="","",IF(AND(B329&gt;0,C329&lt;0),"正負あり",IF(B329&gt;0,"正のみ",IF(C329&lt;0,"負のみ","ゼロ"))))</x:f>
        <x:v>負のみ</x:v>
      </x:c>
      <x:c r="K329" s="244" t="n">
        <x:f>IF($A329="","",--AND(B329&gt;0,C329&lt;0))</x:f>
        <x:v>0</x:v>
      </x:c>
      <x:c r="L329" s="244" t="n">
        <x:f>IF($A329="","",COUNTIF('02_ツリー'!$E$5:$E$560,$A329))</x:f>
        <x:v>1</x:v>
      </x:c>
      <x:c r="M329" s="244" t="n">
        <x:f>IF($A329="","",--(LEFT(A329,7)="Enable_"))</x:f>
        <x:v>0</x:v>
      </x:c>
      <x:c r="N329" s="12"/>
      <x:c r="O329" s="12"/>
      <x:c r="P329" s="12"/>
      <x:c r="Q329" s="12"/>
      <x:c r="R329" s="12"/>
      <x:c r="S329" s="12"/>
      <x:c r="T329" s="12"/>
      <x:c r="U329" s="12"/>
      <x:c r="V329" s="12"/>
      <x:c r="W329" s="12"/>
      <x:c r="X329" s="12"/>
      <x:c r="Y329" s="12"/>
    </x:row>
    <x:row r="330">
      <x:c r="A330" s="12" t="str">
        <x:f>IFERROR(INDEX('02_ツリー'!$E$5:$E$560,MATCH(ROWS($A$11:A330),'02_ツリー'!$R$5:$R$560,0)),"")</x:f>
        <x:v>k_TIM_cool</x:v>
      </x:c>
      <x:c r="B330" s="48" t="n">
        <x:f>IF($A330="","",SUMIFS('02_ツリー'!$K$5:$K$560,'02_ツリー'!$E$5:$E$560,$A330,'02_ツリー'!$K$5:$K$560,"&gt;0"))</x:f>
        <x:v>0.022272039345098575</x:v>
      </x:c>
      <x:c r="C330" s="48" t="n">
        <x:f>IF($A330="","",SUMIFS('02_ツリー'!$K$5:$K$560,'02_ツリー'!$E$5:$E$560,$A330,'02_ツリー'!$K$5:$K$560,"&lt;0"))</x:f>
        <x:v>0</x:v>
      </x:c>
      <x:c r="D330" s="48" t="n">
        <x:f>IF($A330="","",B330+C330)</x:f>
        <x:v>0.022272039345098575</x:v>
      </x:c>
      <x:c r="E330" s="48" t="n">
        <x:f>IF($A330="","",B330-C330)</x:f>
        <x:v>0.022272039345098575</x:v>
      </x:c>
      <x:c r="F330" s="48" t="n">
        <x:f>IF($A330="","",SUMIFS('02_ツリー'!$H$5:$H$560,'02_ツリー'!$E$5:$E$560,$A330,'02_ツリー'!$K$5:$K$560,"&gt;0"))</x:f>
        <x:v>0.19928662258925056</x:v>
      </x:c>
      <x:c r="G330" s="48" t="n">
        <x:f>IF($A330="","",-SUMIFS('02_ツリー'!$H$5:$H$560,'02_ツリー'!$E$5:$E$560,$A330,'02_ツリー'!$K$5:$K$560,"&lt;0"))</x:f>
        <x:v>0</x:v>
      </x:c>
      <x:c r="H330" s="48" t="n">
        <x:f>IF($A330="","",F330+G330)</x:f>
        <x:v>0.19928662258925056</x:v>
      </x:c>
      <x:c r="I330" s="244" t="n">
        <x:f>IF($A330="","",--(COUNTIFS('02_ツリー'!$E$5:$E$560,$A330,'02_ツリー'!$O$5:$O$560,0)=0))</x:f>
        <x:v>0</x:v>
      </x:c>
      <x:c r="J330" s="12" t="str">
        <x:f>IF($A330="","",IF(AND(B330&gt;0,C330&lt;0),"正負あり",IF(B330&gt;0,"正のみ",IF(C330&lt;0,"負のみ","ゼロ"))))</x:f>
        <x:v>正のみ</x:v>
      </x:c>
      <x:c r="K330" s="244" t="n">
        <x:f>IF($A330="","",--AND(B330&gt;0,C330&lt;0))</x:f>
        <x:v>0</x:v>
      </x:c>
      <x:c r="L330" s="244" t="n">
        <x:f>IF($A330="","",COUNTIF('02_ツリー'!$E$5:$E$560,$A330))</x:f>
        <x:v>1</x:v>
      </x:c>
      <x:c r="M330" s="244" t="n">
        <x:f>IF($A330="","",--(LEFT(A330,7)="Enable_"))</x:f>
        <x:v>0</x:v>
      </x:c>
      <x:c r="N330" s="12"/>
      <x:c r="O330" s="12"/>
      <x:c r="P330" s="12"/>
      <x:c r="Q330" s="12"/>
      <x:c r="R330" s="12"/>
      <x:c r="S330" s="12"/>
      <x:c r="T330" s="12"/>
      <x:c r="U330" s="12"/>
      <x:c r="V330" s="12"/>
      <x:c r="W330" s="12"/>
      <x:c r="X330" s="12"/>
      <x:c r="Y330" s="12"/>
    </x:row>
    <x:row r="331">
      <x:c r="A331" s="12" t="str">
        <x:f>IFERROR(INDEX('02_ツリー'!$E$5:$E$560,MATCH(ROWS($A$11:A331),'02_ツリー'!$R$5:$R$560,0)),"")</x:f>
        <x:v>Rth_TIM</x:v>
      </x:c>
      <x:c r="B331" s="48" t="n">
        <x:f>IF($A331="","",SUMIFS('02_ツリー'!$K$5:$K$560,'02_ツリー'!$E$5:$E$560,$A331,'02_ツリー'!$K$5:$K$560,"&gt;0"))</x:f>
        <x:v>0.022272039345098575</x:v>
      </x:c>
      <x:c r="C331" s="48" t="n">
        <x:f>IF($A331="","",SUMIFS('02_ツリー'!$K$5:$K$560,'02_ツリー'!$E$5:$E$560,$A331,'02_ツリー'!$K$5:$K$560,"&lt;0"))</x:f>
        <x:v>0</x:v>
      </x:c>
      <x:c r="D331" s="48" t="n">
        <x:f>IF($A331="","",B331+C331)</x:f>
        <x:v>0.022272039345098575</x:v>
      </x:c>
      <x:c r="E331" s="48" t="n">
        <x:f>IF($A331="","",B331-C331)</x:f>
        <x:v>0.022272039345098575</x:v>
      </x:c>
      <x:c r="F331" s="48" t="n">
        <x:f>IF($A331="","",SUMIFS('02_ツリー'!$H$5:$H$560,'02_ツリー'!$E$5:$E$560,$A331,'02_ツリー'!$K$5:$K$560,"&gt;0"))</x:f>
        <x:v>0.19928662258925056</x:v>
      </x:c>
      <x:c r="G331" s="48" t="n">
        <x:f>IF($A331="","",-SUMIFS('02_ツリー'!$H$5:$H$560,'02_ツリー'!$E$5:$E$560,$A331,'02_ツリー'!$K$5:$K$560,"&lt;0"))</x:f>
        <x:v>0</x:v>
      </x:c>
      <x:c r="H331" s="48" t="n">
        <x:f>IF($A331="","",F331+G331)</x:f>
        <x:v>0.19928662258925056</x:v>
      </x:c>
      <x:c r="I331" s="244" t="n">
        <x:f>IF($A331="","",--(COUNTIFS('02_ツリー'!$E$5:$E$560,$A331,'02_ツリー'!$O$5:$O$560,0)=0))</x:f>
        <x:v>0</x:v>
      </x:c>
      <x:c r="J331" s="12" t="str">
        <x:f>IF($A331="","",IF(AND(B331&gt;0,C331&lt;0),"正負あり",IF(B331&gt;0,"正のみ",IF(C331&lt;0,"負のみ","ゼロ"))))</x:f>
        <x:v>正のみ</x:v>
      </x:c>
      <x:c r="K331" s="244" t="n">
        <x:f>IF($A331="","",--AND(B331&gt;0,C331&lt;0))</x:f>
        <x:v>0</x:v>
      </x:c>
      <x:c r="L331" s="244" t="n">
        <x:f>IF($A331="","",COUNTIF('02_ツリー'!$E$5:$E$560,$A331))</x:f>
        <x:v>1</x:v>
      </x:c>
      <x:c r="M331" s="244" t="n">
        <x:f>IF($A331="","",--(LEFT(A331,7)="Enable_"))</x:f>
        <x:v>0</x:v>
      </x:c>
      <x:c r="N331" s="12"/>
      <x:c r="O331" s="12"/>
      <x:c r="P331" s="12"/>
      <x:c r="Q331" s="12"/>
      <x:c r="R331" s="12"/>
      <x:c r="S331" s="12"/>
      <x:c r="T331" s="12"/>
      <x:c r="U331" s="12"/>
      <x:c r="V331" s="12"/>
      <x:c r="W331" s="12"/>
      <x:c r="X331" s="12"/>
      <x:c r="Y331" s="12"/>
    </x:row>
    <x:row r="332">
      <x:c r="A332" s="12" t="str">
        <x:f>IFERROR(INDEX('02_ツリー'!$E$5:$E$560,MATCH(ROWS($A$11:A332),'02_ツリー'!$R$5:$R$560,0)),"")</x:f>
        <x:v>t_TIM</x:v>
      </x:c>
      <x:c r="B332" s="48" t="n">
        <x:f>IF($A332="","",SUMIFS('02_ツリー'!$K$5:$K$560,'02_ツリー'!$E$5:$E$560,$A332,'02_ツリー'!$K$5:$K$560,"&gt;0"))</x:f>
        <x:v>0.022272039345098575</x:v>
      </x:c>
      <x:c r="C332" s="48" t="n">
        <x:f>IF($A332="","",SUMIFS('02_ツリー'!$K$5:$K$560,'02_ツリー'!$E$5:$E$560,$A332,'02_ツリー'!$K$5:$K$560,"&lt;0"))</x:f>
        <x:v>0</x:v>
      </x:c>
      <x:c r="D332" s="48" t="n">
        <x:f>IF($A332="","",B332+C332)</x:f>
        <x:v>0.022272039345098575</x:v>
      </x:c>
      <x:c r="E332" s="48" t="n">
        <x:f>IF($A332="","",B332-C332)</x:f>
        <x:v>0.022272039345098575</x:v>
      </x:c>
      <x:c r="F332" s="48" t="n">
        <x:f>IF($A332="","",SUMIFS('02_ツリー'!$H$5:$H$560,'02_ツリー'!$E$5:$E$560,$A332,'02_ツリー'!$K$5:$K$560,"&gt;0"))</x:f>
        <x:v>0.19928662258925056</x:v>
      </x:c>
      <x:c r="G332" s="48" t="n">
        <x:f>IF($A332="","",-SUMIFS('02_ツリー'!$H$5:$H$560,'02_ツリー'!$E$5:$E$560,$A332,'02_ツリー'!$K$5:$K$560,"&lt;0"))</x:f>
        <x:v>0</x:v>
      </x:c>
      <x:c r="H332" s="48" t="n">
        <x:f>IF($A332="","",F332+G332)</x:f>
        <x:v>0.19928662258925056</x:v>
      </x:c>
      <x:c r="I332" s="244" t="n">
        <x:f>IF($A332="","",--(COUNTIFS('02_ツリー'!$E$5:$E$560,$A332,'02_ツリー'!$O$5:$O$560,0)=0))</x:f>
        <x:v>1</x:v>
      </x:c>
      <x:c r="J332" s="12" t="str">
        <x:f>IF($A332="","",IF(AND(B332&gt;0,C332&lt;0),"正負あり",IF(B332&gt;0,"正のみ",IF(C332&lt;0,"負のみ","ゼロ"))))</x:f>
        <x:v>正のみ</x:v>
      </x:c>
      <x:c r="K332" s="244" t="n">
        <x:f>IF($A332="","",--AND(B332&gt;0,C332&lt;0))</x:f>
        <x:v>0</x:v>
      </x:c>
      <x:c r="L332" s="244" t="n">
        <x:f>IF($A332="","",COUNTIF('02_ツリー'!$E$5:$E$560,$A332))</x:f>
        <x:v>1</x:v>
      </x:c>
      <x:c r="M332" s="244" t="n">
        <x:f>IF($A332="","",--(LEFT(A332,7)="Enable_"))</x:f>
        <x:v>0</x:v>
      </x:c>
      <x:c r="N332" s="12"/>
      <x:c r="O332" s="12"/>
      <x:c r="P332" s="12"/>
      <x:c r="Q332" s="12"/>
      <x:c r="R332" s="12"/>
      <x:c r="S332" s="12"/>
      <x:c r="T332" s="12"/>
      <x:c r="U332" s="12"/>
      <x:c r="V332" s="12"/>
      <x:c r="W332" s="12"/>
      <x:c r="X332" s="12"/>
      <x:c r="Y332" s="12"/>
    </x:row>
    <x:row r="333">
      <x:c r="A333" s="12" t="str">
        <x:f>IFERROR(INDEX('02_ツリー'!$E$5:$E$560,MATCH(ROWS($A$11:A333),'02_ツリー'!$R$5:$R$560,0)),"")</x:f>
        <x:v>k_TIM</x:v>
      </x:c>
      <x:c r="B333" s="48" t="n">
        <x:f>IF($A333="","",SUMIFS('02_ツリー'!$K$5:$K$560,'02_ツリー'!$E$5:$E$560,$A333,'02_ツリー'!$K$5:$K$560,"&gt;0"))</x:f>
        <x:v>0</x:v>
      </x:c>
      <x:c r="C333" s="48" t="n">
        <x:f>IF($A333="","",SUMIFS('02_ツリー'!$K$5:$K$560,'02_ツリー'!$E$5:$E$560,$A333,'02_ツリー'!$K$5:$K$560,"&lt;0"))</x:f>
        <x:v>-0.022272039345098575</x:v>
      </x:c>
      <x:c r="D333" s="48" t="n">
        <x:f>IF($A333="","",B333+C333)</x:f>
        <x:v>-0.022272039345098575</x:v>
      </x:c>
      <x:c r="E333" s="48" t="n">
        <x:f>IF($A333="","",B333-C333)</x:f>
        <x:v>0.022272039345098575</x:v>
      </x:c>
      <x:c r="F333" s="48" t="n">
        <x:f>IF($A333="","",SUMIFS('02_ツリー'!$H$5:$H$560,'02_ツリー'!$E$5:$E$560,$A333,'02_ツリー'!$K$5:$K$560,"&gt;0"))</x:f>
        <x:v>0</x:v>
      </x:c>
      <x:c r="G333" s="48" t="n">
        <x:f>IF($A333="","",-SUMIFS('02_ツリー'!$H$5:$H$560,'02_ツリー'!$E$5:$E$560,$A333,'02_ツリー'!$K$5:$K$560,"&lt;0"))</x:f>
        <x:v>-0.19928662258925056</x:v>
      </x:c>
      <x:c r="H333" s="48" t="n">
        <x:f>IF($A333="","",F333+G333)</x:f>
        <x:v>-0.19928662258925056</x:v>
      </x:c>
      <x:c r="I333" s="244" t="n">
        <x:f>IF($A333="","",--(COUNTIFS('02_ツリー'!$E$5:$E$560,$A333,'02_ツリー'!$O$5:$O$560,0)=0))</x:f>
        <x:v>1</x:v>
      </x:c>
      <x:c r="J333" s="12" t="str">
        <x:f>IF($A333="","",IF(AND(B333&gt;0,C333&lt;0),"正負あり",IF(B333&gt;0,"正のみ",IF(C333&lt;0,"負のみ","ゼロ"))))</x:f>
        <x:v>負のみ</x:v>
      </x:c>
      <x:c r="K333" s="244" t="n">
        <x:f>IF($A333="","",--AND(B333&gt;0,C333&lt;0))</x:f>
        <x:v>0</x:v>
      </x:c>
      <x:c r="L333" s="244" t="n">
        <x:f>IF($A333="","",COUNTIF('02_ツリー'!$E$5:$E$560,$A333))</x:f>
        <x:v>1</x:v>
      </x:c>
      <x:c r="M333" s="244" t="n">
        <x:f>IF($A333="","",--(LEFT(A333,7)="Enable_"))</x:f>
        <x:v>0</x:v>
      </x:c>
      <x:c r="N333" s="12"/>
      <x:c r="O333" s="12"/>
      <x:c r="P333" s="12"/>
      <x:c r="Q333" s="12"/>
      <x:c r="R333" s="12"/>
      <x:c r="S333" s="12"/>
      <x:c r="T333" s="12"/>
      <x:c r="U333" s="12"/>
      <x:c r="V333" s="12"/>
      <x:c r="W333" s="12"/>
      <x:c r="X333" s="12"/>
      <x:c r="Y333" s="12"/>
    </x:row>
    <x:row r="334">
      <x:c r="A334" s="12" t="str">
        <x:f>IFERROR(INDEX('02_ツリー'!$E$5:$E$560,MATCH(ROWS($A$11:A334),'02_ツリー'!$R$5:$R$560,0)),"")</x:f>
        <x:v>p_mount</x:v>
      </x:c>
      <x:c r="B334" s="48" t="n">
        <x:f>IF($A334="","",SUMIFS('02_ツリー'!$K$5:$K$560,'02_ツリー'!$E$5:$E$560,$A334,'02_ツリー'!$K$5:$K$560,"&gt;0"))</x:f>
        <x:v>0.002793970696041582</x:v>
      </x:c>
      <x:c r="C334" s="48" t="n">
        <x:f>IF($A334="","",SUMIFS('02_ツリー'!$K$5:$K$560,'02_ツリー'!$E$5:$E$560,$A334,'02_ツリー'!$K$5:$K$560,"&lt;0"))</x:f>
        <x:v>-0.005568009836274644</x:v>
      </x:c>
      <x:c r="D334" s="48" t="n">
        <x:f>IF($A334="","",B334+C334)</x:f>
        <x:v>-0.002774039140233062</x:v>
      </x:c>
      <x:c r="E334" s="48" t="n">
        <x:f>IF($A334="","",B334-C334)</x:f>
        <x:v>0.008361980532316226</x:v>
      </x:c>
      <x:c r="F334" s="48" t="n">
        <x:f>IF($A334="","",SUMIFS('02_ツリー'!$H$5:$H$560,'02_ツリー'!$E$5:$E$560,$A334,'02_ツリー'!$K$5:$K$560,"&gt;0"))</x:f>
        <x:v>0.025</x:v>
      </x:c>
      <x:c r="G334" s="48" t="n">
        <x:f>IF($A334="","",-SUMIFS('02_ツリー'!$H$5:$H$560,'02_ツリー'!$E$5:$E$560,$A334,'02_ツリー'!$K$5:$K$560,"&lt;0"))</x:f>
        <x:v>-0.04982165564731264</x:v>
      </x:c>
      <x:c r="H334" s="48" t="n">
        <x:f>IF($A334="","",F334+G334)</x:f>
        <x:v>-0.02482165564731264</x:v>
      </x:c>
      <x:c r="I334" s="244" t="n">
        <x:f>IF($A334="","",--(COUNTIFS('02_ツリー'!$E$5:$E$560,$A334,'02_ツリー'!$O$5:$O$560,0)=0))</x:f>
        <x:v>1</x:v>
      </x:c>
      <x:c r="J334" s="12" t="str">
        <x:f>IF($A334="","",IF(AND(B334&gt;0,C334&lt;0),"正負あり",IF(B334&gt;0,"正のみ",IF(C334&lt;0,"負のみ","ゼロ"))))</x:f>
        <x:v>正負あり</x:v>
      </x:c>
      <x:c r="K334" s="244" t="n">
        <x:f>IF($A334="","",--AND(B334&gt;0,C334&lt;0))</x:f>
        <x:v>1</x:v>
      </x:c>
      <x:c r="L334" s="244" t="n">
        <x:f>IF($A334="","",COUNTIF('02_ツリー'!$E$5:$E$560,$A334))</x:f>
        <x:v>2</x:v>
      </x:c>
      <x:c r="M334" s="244" t="n">
        <x:f>IF($A334="","",--(LEFT(A334,7)="Enable_"))</x:f>
        <x:v>0</x:v>
      </x:c>
      <x:c r="N334" s="12"/>
      <x:c r="O334" s="12"/>
      <x:c r="P334" s="12"/>
      <x:c r="Q334" s="12"/>
      <x:c r="R334" s="12"/>
      <x:c r="S334" s="12"/>
      <x:c r="T334" s="12"/>
      <x:c r="U334" s="12"/>
      <x:c r="V334" s="12"/>
      <x:c r="W334" s="12"/>
      <x:c r="X334" s="12"/>
      <x:c r="Y334" s="12"/>
    </x:row>
    <x:row r="335">
      <x:c r="A335" s="12" t="str">
        <x:f>IFERROR(INDEX('02_ツリー'!$E$5:$E$560,MATCH(ROWS($A$11:A335),'02_ツリー'!$R$5:$R$560,0)),"")</x:f>
        <x:v>m_clamp</x:v>
      </x:c>
      <x:c r="B335" s="48" t="n">
        <x:f>IF($A335="","",SUMIFS('02_ツリー'!$K$5:$K$560,'02_ツリー'!$E$5:$E$560,$A335,'02_ツリー'!$K$5:$K$560,"&gt;0"))</x:f>
        <x:v>0.005587941392083164</x:v>
      </x:c>
      <x:c r="C335" s="48" t="n">
        <x:f>IF($A335="","",SUMIFS('02_ツリー'!$K$5:$K$560,'02_ツリー'!$E$5:$E$560,$A335,'02_ツリー'!$K$5:$K$560,"&lt;0"))</x:f>
        <x:v>0</x:v>
      </x:c>
      <x:c r="D335" s="48" t="n">
        <x:f>IF($A335="","",B335+C335)</x:f>
        <x:v>0.005587941392083164</x:v>
      </x:c>
      <x:c r="E335" s="48" t="n">
        <x:f>IF($A335="","",B335-C335)</x:f>
        <x:v>0.005587941392083164</x:v>
      </x:c>
      <x:c r="F335" s="48" t="n">
        <x:f>IF($A335="","",SUMIFS('02_ツリー'!$H$5:$H$560,'02_ツリー'!$E$5:$E$560,$A335,'02_ツリー'!$K$5:$K$560,"&gt;0"))</x:f>
        <x:v>0.05</x:v>
      </x:c>
      <x:c r="G335" s="48" t="n">
        <x:f>IF($A335="","",-SUMIFS('02_ツリー'!$H$5:$H$560,'02_ツリー'!$E$5:$E$560,$A335,'02_ツリー'!$K$5:$K$560,"&lt;0"))</x:f>
        <x:v>0</x:v>
      </x:c>
      <x:c r="H335" s="48" t="n">
        <x:f>IF($A335="","",F335+G335)</x:f>
        <x:v>0.05</x:v>
      </x:c>
      <x:c r="I335" s="244" t="n">
        <x:f>IF($A335="","",--(COUNTIFS('02_ツリー'!$E$5:$E$560,$A335,'02_ツリー'!$O$5:$O$560,0)=0))</x:f>
        <x:v>0</x:v>
      </x:c>
      <x:c r="J335" s="12" t="str">
        <x:f>IF($A335="","",IF(AND(B335&gt;0,C335&lt;0),"正負あり",IF(B335&gt;0,"正のみ",IF(C335&lt;0,"負のみ","ゼロ"))))</x:f>
        <x:v>正のみ</x:v>
      </x:c>
      <x:c r="K335" s="244" t="n">
        <x:f>IF($A335="","",--AND(B335&gt;0,C335&lt;0))</x:f>
        <x:v>0</x:v>
      </x:c>
      <x:c r="L335" s="244" t="n">
        <x:f>IF($A335="","",COUNTIF('02_ツリー'!$E$5:$E$560,$A335))</x:f>
        <x:v>1</x:v>
      </x:c>
      <x:c r="M335" s="244" t="n">
        <x:f>IF($A335="","",--(LEFT(A335,7)="Enable_"))</x:f>
        <x:v>0</x:v>
      </x:c>
      <x:c r="N335" s="12"/>
      <x:c r="O335" s="12"/>
      <x:c r="P335" s="12"/>
      <x:c r="Q335" s="12"/>
      <x:c r="R335" s="12"/>
      <x:c r="S335" s="12"/>
      <x:c r="T335" s="12"/>
      <x:c r="U335" s="12"/>
      <x:c r="V335" s="12"/>
      <x:c r="W335" s="12"/>
      <x:c r="X335" s="12"/>
      <x:c r="Y335" s="12"/>
    </x:row>
    <x:row r="336">
      <x:c r="A336" s="12" t="str">
        <x:f>IFERROR(INDEX('02_ツリー'!$E$5:$E$560,MATCH(ROWS($A$11:A336),'02_ツリー'!$R$5:$R$560,0)),"")</x:f>
        <x:v>k_Tj_cool</x:v>
      </x:c>
      <x:c r="B336" s="48" t="n">
        <x:f>IF($A336="","",SUMIFS('02_ツリー'!$K$5:$K$560,'02_ツリー'!$E$5:$E$560,$A336,'02_ツリー'!$K$5:$K$560,"&gt;0"))</x:f>
        <x:v>0.022272039345098575</x:v>
      </x:c>
      <x:c r="C336" s="48" t="n">
        <x:f>IF($A336="","",SUMIFS('02_ツリー'!$K$5:$K$560,'02_ツリー'!$E$5:$E$560,$A336,'02_ツリー'!$K$5:$K$560,"&lt;0"))</x:f>
        <x:v>0</x:v>
      </x:c>
      <x:c r="D336" s="48" t="n">
        <x:f>IF($A336="","",B336+C336)</x:f>
        <x:v>0.022272039345098575</x:v>
      </x:c>
      <x:c r="E336" s="48" t="n">
        <x:f>IF($A336="","",B336-C336)</x:f>
        <x:v>0.022272039345098575</x:v>
      </x:c>
      <x:c r="F336" s="48" t="n">
        <x:f>IF($A336="","",SUMIFS('02_ツリー'!$H$5:$H$560,'02_ツリー'!$E$5:$E$560,$A336,'02_ツリー'!$K$5:$K$560,"&gt;0"))</x:f>
        <x:v>0.19928662258925056</x:v>
      </x:c>
      <x:c r="G336" s="48" t="n">
        <x:f>IF($A336="","",-SUMIFS('02_ツリー'!$H$5:$H$560,'02_ツリー'!$E$5:$E$560,$A336,'02_ツリー'!$K$5:$K$560,"&lt;0"))</x:f>
        <x:v>0</x:v>
      </x:c>
      <x:c r="H336" s="48" t="n">
        <x:f>IF($A336="","",F336+G336)</x:f>
        <x:v>0.19928662258925056</x:v>
      </x:c>
      <x:c r="I336" s="244" t="n">
        <x:f>IF($A336="","",--(COUNTIFS('02_ツリー'!$E$5:$E$560,$A336,'02_ツリー'!$O$5:$O$560,0)=0))</x:f>
        <x:v>0</x:v>
      </x:c>
      <x:c r="J336" s="12" t="str">
        <x:f>IF($A336="","",IF(AND(B336&gt;0,C336&lt;0),"正負あり",IF(B336&gt;0,"正のみ",IF(C336&lt;0,"負のみ","ゼロ"))))</x:f>
        <x:v>正のみ</x:v>
      </x:c>
      <x:c r="K336" s="244" t="n">
        <x:f>IF($A336="","",--AND(B336&gt;0,C336&lt;0))</x:f>
        <x:v>0</x:v>
      </x:c>
      <x:c r="L336" s="244" t="n">
        <x:f>IF($A336="","",COUNTIF('02_ツリー'!$E$5:$E$560,$A336))</x:f>
        <x:v>1</x:v>
      </x:c>
      <x:c r="M336" s="244" t="n">
        <x:f>IF($A336="","",--(LEFT(A336,7)="Enable_"))</x:f>
        <x:v>0</x:v>
      </x:c>
      <x:c r="N336" s="12"/>
      <x:c r="O336" s="12"/>
      <x:c r="P336" s="12"/>
      <x:c r="Q336" s="12"/>
      <x:c r="R336" s="12"/>
      <x:c r="S336" s="12"/>
      <x:c r="T336" s="12"/>
      <x:c r="U336" s="12"/>
      <x:c r="V336" s="12"/>
      <x:c r="W336" s="12"/>
      <x:c r="X336" s="12"/>
      <x:c r="Y336" s="12"/>
    </x:row>
    <x:row r="337">
      <x:c r="A337" s="12" t="str">
        <x:f>IFERROR(INDEX('02_ツリー'!$E$5:$E$560,MATCH(ROWS($A$11:A337),'02_ツリー'!$R$5:$R$560,0)),"")</x:f>
        <x:v>Tj_target</x:v>
      </x:c>
      <x:c r="B337" s="48" t="n">
        <x:f>IF($A337="","",SUMIFS('02_ツリー'!$K$5:$K$560,'02_ツリー'!$E$5:$E$560,$A337,'02_ツリー'!$K$5:$K$560,"&gt;0"))</x:f>
        <x:v>0.00003107533727759435</x:v>
      </x:c>
      <x:c r="C337" s="48" t="n">
        <x:f>IF($A337="","",SUMIFS('02_ツリー'!$K$5:$K$560,'02_ツリー'!$E$5:$E$560,$A337,'02_ツリー'!$K$5:$K$560,"&lt;0"))</x:f>
        <x:v>-0.039303598844291604</x:v>
      </x:c>
      <x:c r="D337" s="48" t="n">
        <x:f>IF($A337="","",B337+C337)</x:f>
        <x:v>-0.03927252350701401</x:v>
      </x:c>
      <x:c r="E337" s="48" t="n">
        <x:f>IF($A337="","",B337-C337)</x:f>
        <x:v>0.0393346741815692</x:v>
      </x:c>
      <x:c r="F337" s="48" t="n">
        <x:f>IF($A337="","",SUMIFS('02_ツリー'!$H$5:$H$560,'02_ツリー'!$E$5:$E$560,$A337,'02_ツリー'!$K$5:$K$560,"&gt;0"))</x:f>
        <x:v>0.0002780571152877606</x:v>
      </x:c>
      <x:c r="G337" s="48" t="n">
        <x:f>IF($A337="","",-SUMIFS('02_ツリー'!$H$5:$H$560,'02_ツリー'!$E$5:$E$560,$A337,'02_ツリー'!$K$5:$K$560,"&lt;0"))</x:f>
        <x:v>-0.351682275157501</x:v>
      </x:c>
      <x:c r="H337" s="48" t="n">
        <x:f>IF($A337="","",F337+G337)</x:f>
        <x:v>-0.3514042180422132</x:v>
      </x:c>
      <x:c r="I337" s="244" t="n">
        <x:f>IF($A337="","",--(COUNTIFS('02_ツリー'!$E$5:$E$560,$A337,'02_ツリー'!$O$5:$O$560,0)=0))</x:f>
        <x:v>1</x:v>
      </x:c>
      <x:c r="J337" s="12" t="str">
        <x:f>IF($A337="","",IF(AND(B337&gt;0,C337&lt;0),"正負あり",IF(B337&gt;0,"正のみ",IF(C337&lt;0,"負のみ","ゼロ"))))</x:f>
        <x:v>正負あり</x:v>
      </x:c>
      <x:c r="K337" s="244" t="n">
        <x:f>IF($A337="","",--AND(B337&gt;0,C337&lt;0))</x:f>
        <x:v>1</x:v>
      </x:c>
      <x:c r="L337" s="244" t="n">
        <x:f>IF($A337="","",COUNTIF('02_ツリー'!$E$5:$E$560,$A337))</x:f>
        <x:v>2</x:v>
      </x:c>
      <x:c r="M337" s="244" t="n">
        <x:f>IF($A337="","",--(LEFT(A337,7)="Enable_"))</x:f>
        <x:v>0</x:v>
      </x:c>
      <x:c r="N337" s="12"/>
      <x:c r="O337" s="12"/>
      <x:c r="P337" s="12"/>
      <x:c r="Q337" s="12"/>
      <x:c r="R337" s="12"/>
      <x:c r="S337" s="12"/>
      <x:c r="T337" s="12"/>
      <x:c r="U337" s="12"/>
      <x:c r="V337" s="12"/>
      <x:c r="W337" s="12"/>
      <x:c r="X337" s="12"/>
      <x:c r="Y337" s="12"/>
    </x:row>
    <x:row r="338">
      <x:c r="A338" s="12" t="str">
        <x:f>IFERROR(INDEX('02_ツリー'!$E$5:$E$560,MATCH(ROWS($A$11:A338),'02_ツリー'!$R$5:$R$560,0)),"")</x:f>
        <x:v>k_Ron_T</x:v>
      </x:c>
      <x:c r="B338" s="48" t="n">
        <x:f>IF($A338="","",SUMIFS('02_ツリー'!$K$5:$K$560,'02_ツリー'!$E$5:$E$560,$A338,'02_ツリー'!$K$5:$K$560,"&gt;0"))</x:f>
        <x:v>0.00006437034150358829</x:v>
      </x:c>
      <x:c r="C338" s="48" t="n">
        <x:f>IF($A338="","",SUMIFS('02_ツリー'!$K$5:$K$560,'02_ツリー'!$E$5:$E$560,$A338,'02_ツリー'!$K$5:$K$560,"&lt;0"))</x:f>
        <x:v>0</x:v>
      </x:c>
      <x:c r="D338" s="48" t="n">
        <x:f>IF($A338="","",B338+C338)</x:f>
        <x:v>0.00006437034150358829</x:v>
      </x:c>
      <x:c r="E338" s="48" t="n">
        <x:f>IF($A338="","",B338-C338)</x:f>
        <x:v>0.00006437034150358829</x:v>
      </x:c>
      <x:c r="F338" s="48" t="n">
        <x:f>IF($A338="","",SUMIFS('02_ツリー'!$H$5:$H$560,'02_ツリー'!$E$5:$E$560,$A338,'02_ツリー'!$K$5:$K$560,"&gt;0"))</x:f>
        <x:v>0.0005759754530960755</x:v>
      </x:c>
      <x:c r="G338" s="48" t="n">
        <x:f>IF($A338="","",-SUMIFS('02_ツリー'!$H$5:$H$560,'02_ツリー'!$E$5:$E$560,$A338,'02_ツリー'!$K$5:$K$560,"&lt;0"))</x:f>
        <x:v>0</x:v>
      </x:c>
      <x:c r="H338" s="48" t="n">
        <x:f>IF($A338="","",F338+G338)</x:f>
        <x:v>0.0005759754530960755</x:v>
      </x:c>
      <x:c r="I338" s="244" t="n">
        <x:f>IF($A338="","",--(COUNTIFS('02_ツリー'!$E$5:$E$560,$A338,'02_ツリー'!$O$5:$O$560,0)=0))</x:f>
        <x:v>0</x:v>
      </x:c>
      <x:c r="J338" s="12" t="str">
        <x:f>IF($A338="","",IF(AND(B338&gt;0,C338&lt;0),"正負あり",IF(B338&gt;0,"正のみ",IF(C338&lt;0,"負のみ","ゼロ"))))</x:f>
        <x:v>正のみ</x:v>
      </x:c>
      <x:c r="K338" s="244" t="n">
        <x:f>IF($A338="","",--AND(B338&gt;0,C338&lt;0))</x:f>
        <x:v>0</x:v>
      </x:c>
      <x:c r="L338" s="244" t="n">
        <x:f>IF($A338="","",COUNTIF('02_ツリー'!$E$5:$E$560,$A338))</x:f>
        <x:v>1</x:v>
      </x:c>
      <x:c r="M338" s="244" t="n">
        <x:f>IF($A338="","",--(LEFT(A338,7)="Enable_"))</x:f>
        <x:v>0</x:v>
      </x:c>
      <x:c r="N338" s="12"/>
      <x:c r="O338" s="12"/>
      <x:c r="P338" s="12"/>
      <x:c r="Q338" s="12"/>
      <x:c r="R338" s="12"/>
      <x:c r="S338" s="12"/>
      <x:c r="T338" s="12"/>
      <x:c r="U338" s="12"/>
      <x:c r="V338" s="12"/>
      <x:c r="W338" s="12"/>
      <x:c r="X338" s="12"/>
      <x:c r="Y338" s="12"/>
    </x:row>
    <x:row r="339">
      <x:c r="A339" s="12" t="str">
        <x:f>IFERROR(INDEX('02_ツリー'!$E$5:$E$560,MATCH(ROWS($A$11:A339),'02_ツリー'!$R$5:$R$560,0)),"")</x:f>
        <x:v>M_bus_stack</x:v>
      </x:c>
      <x:c r="B339" s="48" t="n">
        <x:f>IF($A339="","",SUMIFS('02_ツリー'!$K$5:$K$560,'02_ツリー'!$E$5:$E$560,$A339,'02_ツリー'!$K$5:$K$560,"&gt;0"))</x:f>
        <x:v>0.008940706227333062</x:v>
      </x:c>
      <x:c r="C339" s="48" t="n">
        <x:f>IF($A339="","",SUMIFS('02_ツリー'!$K$5:$K$560,'02_ツリー'!$E$5:$E$560,$A339,'02_ツリー'!$K$5:$K$560,"&lt;0"))</x:f>
        <x:v>0</x:v>
      </x:c>
      <x:c r="D339" s="48" t="n">
        <x:f>IF($A339="","",B339+C339)</x:f>
        <x:v>0.008940706227333062</x:v>
      </x:c>
      <x:c r="E339" s="48" t="n">
        <x:f>IF($A339="","",B339-C339)</x:f>
        <x:v>0.008940706227333062</x:v>
      </x:c>
      <x:c r="F339" s="48" t="n">
        <x:f>IF($A339="","",SUMIFS('02_ツリー'!$H$5:$H$560,'02_ツリー'!$E$5:$E$560,$A339,'02_ツリー'!$K$5:$K$560,"&gt;0"))</x:f>
        <x:v>0.08</x:v>
      </x:c>
      <x:c r="G339" s="48" t="n">
        <x:f>IF($A339="","",-SUMIFS('02_ツリー'!$H$5:$H$560,'02_ツリー'!$E$5:$E$560,$A339,'02_ツリー'!$K$5:$K$560,"&lt;0"))</x:f>
        <x:v>0</x:v>
      </x:c>
      <x:c r="H339" s="48" t="n">
        <x:f>IF($A339="","",F339+G339)</x:f>
        <x:v>0.08</x:v>
      </x:c>
      <x:c r="I339" s="244" t="n">
        <x:f>IF($A339="","",--(COUNTIFS('02_ツリー'!$E$5:$E$560,$A339,'02_ツリー'!$O$5:$O$560,0)=0))</x:f>
        <x:v>0</x:v>
      </x:c>
      <x:c r="J339" s="12" t="str">
        <x:f>IF($A339="","",IF(AND(B339&gt;0,C339&lt;0),"正負あり",IF(B339&gt;0,"正のみ",IF(C339&lt;0,"負のみ","ゼロ"))))</x:f>
        <x:v>正のみ</x:v>
      </x:c>
      <x:c r="K339" s="244" t="n">
        <x:f>IF($A339="","",--AND(B339&gt;0,C339&lt;0))</x:f>
        <x:v>0</x:v>
      </x:c>
      <x:c r="L339" s="244" t="n">
        <x:f>IF($A339="","",COUNTIF('02_ツリー'!$E$5:$E$560,$A339))</x:f>
        <x:v>1</x:v>
      </x:c>
      <x:c r="M339" s="244" t="n">
        <x:f>IF($A339="","",--(LEFT(A339,7)="Enable_"))</x:f>
        <x:v>0</x:v>
      </x:c>
      <x:c r="N339" s="12"/>
      <x:c r="O339" s="12"/>
      <x:c r="P339" s="12"/>
      <x:c r="Q339" s="12"/>
      <x:c r="R339" s="12"/>
      <x:c r="S339" s="12"/>
      <x:c r="T339" s="12"/>
      <x:c r="U339" s="12"/>
      <x:c r="V339" s="12"/>
      <x:c r="W339" s="12"/>
      <x:c r="X339" s="12"/>
      <x:c r="Y339" s="12"/>
    </x:row>
    <x:row r="340">
      <x:c r="A340" s="12" t="str">
        <x:f>IFERROR(INDEX('02_ツリー'!$E$5:$E$560,MATCH(ROWS($A$11:A340),'02_ツリー'!$R$5:$R$560,0)),"")</x:f>
        <x:v>M_bus_CM</x:v>
      </x:c>
      <x:c r="B340" s="48" t="n">
        <x:f>IF($A340="","",SUMIFS('02_ツリー'!$K$5:$K$560,'02_ツリー'!$E$5:$E$560,$A340,'02_ツリー'!$K$5:$K$560,"&gt;0"))</x:f>
        <x:v>0.0055879413920831645</x:v>
      </x:c>
      <x:c r="C340" s="48" t="n">
        <x:f>IF($A340="","",SUMIFS('02_ツリー'!$K$5:$K$560,'02_ツリー'!$E$5:$E$560,$A340,'02_ツリー'!$K$5:$K$560,"&lt;0"))</x:f>
        <x:v>0</x:v>
      </x:c>
      <x:c r="D340" s="48" t="n">
        <x:f>IF($A340="","",B340+C340)</x:f>
        <x:v>0.0055879413920831645</x:v>
      </x:c>
      <x:c r="E340" s="48" t="n">
        <x:f>IF($A340="","",B340-C340)</x:f>
        <x:v>0.0055879413920831645</x:v>
      </x:c>
      <x:c r="F340" s="48" t="n">
        <x:f>IF($A340="","",SUMIFS('02_ツリー'!$H$5:$H$560,'02_ツリー'!$E$5:$E$560,$A340,'02_ツリー'!$K$5:$K$560,"&gt;0"))</x:f>
        <x:v>0.05000000000000001</x:v>
      </x:c>
      <x:c r="G340" s="48" t="n">
        <x:f>IF($A340="","",-SUMIFS('02_ツリー'!$H$5:$H$560,'02_ツリー'!$E$5:$E$560,$A340,'02_ツリー'!$K$5:$K$560,"&lt;0"))</x:f>
        <x:v>0</x:v>
      </x:c>
      <x:c r="H340" s="48" t="n">
        <x:f>IF($A340="","",F340+G340)</x:f>
        <x:v>0.05000000000000001</x:v>
      </x:c>
      <x:c r="I340" s="244" t="n">
        <x:f>IF($A340="","",--(COUNTIFS('02_ツリー'!$E$5:$E$560,$A340,'02_ツリー'!$O$5:$O$560,0)=0))</x:f>
        <x:v>0</x:v>
      </x:c>
      <x:c r="J340" s="12" t="str">
        <x:f>IF($A340="","",IF(AND(B340&gt;0,C340&lt;0),"正負あり",IF(B340&gt;0,"正のみ",IF(C340&lt;0,"負のみ","ゼロ"))))</x:f>
        <x:v>正のみ</x:v>
      </x:c>
      <x:c r="K340" s="244" t="n">
        <x:f>IF($A340="","",--AND(B340&gt;0,C340&lt;0))</x:f>
        <x:v>0</x:v>
      </x:c>
      <x:c r="L340" s="244" t="n">
        <x:f>IF($A340="","",COUNTIF('02_ツリー'!$E$5:$E$560,$A340))</x:f>
        <x:v>1</x:v>
      </x:c>
      <x:c r="M340" s="244" t="n">
        <x:f>IF($A340="","",--(LEFT(A340,7)="Enable_"))</x:f>
        <x:v>0</x:v>
      </x:c>
      <x:c r="N340" s="12"/>
      <x:c r="O340" s="12"/>
      <x:c r="P340" s="12"/>
      <x:c r="Q340" s="12"/>
      <x:c r="R340" s="12"/>
      <x:c r="S340" s="12"/>
      <x:c r="T340" s="12"/>
      <x:c r="U340" s="12"/>
      <x:c r="V340" s="12"/>
      <x:c r="W340" s="12"/>
      <x:c r="X340" s="12"/>
      <x:c r="Y340" s="12"/>
    </x:row>
    <x:row r="341">
      <x:c r="A341" s="12" t="str">
        <x:f>IFERROR(INDEX('02_ツリー'!$E$5:$E$560,MATCH(ROWS($A$11:A341),'02_ツリー'!$R$5:$R$560,0)),"")</x:f>
        <x:v>Enable_Al_bus</x:v>
      </x:c>
      <x:c r="B341" s="48" t="n">
        <x:f>IF($A341="","",SUMIFS('02_ツリー'!$K$5:$K$560,'02_ツリー'!$E$5:$E$560,$A341,'02_ツリー'!$K$5:$K$560,"&gt;0"))</x:f>
        <x:v>0.00003954593931670185</x:v>
      </x:c>
      <x:c r="C341" s="48" t="n">
        <x:f>IF($A341="","",SUMIFS('02_ツリー'!$K$5:$K$560,'02_ツリー'!$E$5:$E$560,$A341,'02_ツリー'!$K$5:$K$560,"&lt;0"))</x:f>
        <x:v>-0.00008644166413370815</x:v>
      </x:c>
      <x:c r="D341" s="48" t="n">
        <x:f>IF($A341="","",B341+C341)</x:f>
        <x:v>-0.0000468957248170063</x:v>
      </x:c>
      <x:c r="E341" s="48" t="n">
        <x:f>IF($A341="","",B341-C341)</x:f>
        <x:v>0.00012598760345041</x:v>
      </x:c>
      <x:c r="F341" s="48" t="n">
        <x:f>IF($A341="","",SUMIFS('02_ツリー'!$H$5:$H$560,'02_ツリー'!$E$5:$E$560,$A341,'02_ツリー'!$K$5:$K$560,"&gt;0"))</x:f>
        <x:v>0.00035385069869137684</x:v>
      </x:c>
      <x:c r="G341" s="48" t="n">
        <x:f>IF($A341="","",-SUMIFS('02_ツリー'!$H$5:$H$560,'02_ツリー'!$E$5:$E$560,$A341,'02_ツリー'!$K$5:$K$560,"&lt;0"))</x:f>
        <x:v>-0.0007734660948321348</x:v>
      </x:c>
      <x:c r="H341" s="48" t="n">
        <x:f>IF($A341="","",F341+G341)</x:f>
        <x:v>-0.0004196153961407579</x:v>
      </x:c>
      <x:c r="I341" s="244" t="n">
        <x:f>IF($A341="","",--(COUNTIFS('02_ツリー'!$E$5:$E$560,$A341,'02_ツリー'!$O$5:$O$560,0)=0))</x:f>
        <x:v>1</x:v>
      </x:c>
      <x:c r="J341" s="12" t="str">
        <x:f>IF($A341="","",IF(AND(B341&gt;0,C341&lt;0),"正負あり",IF(B341&gt;0,"正のみ",IF(C341&lt;0,"負のみ","ゼロ"))))</x:f>
        <x:v>正負あり</x:v>
      </x:c>
      <x:c r="K341" s="244" t="n">
        <x:f>IF($A341="","",--AND(B341&gt;0,C341&lt;0))</x:f>
        <x:v>1</x:v>
      </x:c>
      <x:c r="L341" s="244" t="n">
        <x:f>IF($A341="","",COUNTIF('02_ツリー'!$E$5:$E$560,$A341))</x:f>
        <x:v>2</x:v>
      </x:c>
      <x:c r="M341" s="244" t="n">
        <x:f>IF($A341="","",--(LEFT(A341,7)="Enable_"))</x:f>
        <x:v>1</x:v>
      </x:c>
      <x:c r="N341" s="12"/>
      <x:c r="O341" s="12"/>
      <x:c r="P341" s="12"/>
      <x:c r="Q341" s="12"/>
      <x:c r="R341" s="12"/>
      <x:c r="S341" s="12"/>
      <x:c r="T341" s="12"/>
      <x:c r="U341" s="12"/>
      <x:c r="V341" s="12"/>
      <x:c r="W341" s="12"/>
      <x:c r="X341" s="12"/>
      <x:c r="Y341" s="12"/>
    </x:row>
    <x:row r="342">
      <x:c r="A342" s="12" t="str">
        <x:f>IFERROR(INDEX('02_ツリー'!$E$5:$E$560,MATCH(ROWS($A$11:A342),'02_ツリー'!$R$5:$R$560,0)),"")</x:f>
        <x:v>P_bus_ac</x:v>
      </x:c>
      <x:c r="B342" s="48" t="n">
        <x:f>IF($A342="","",SUMIFS('02_ツリー'!$K$5:$K$560,'02_ツリー'!$E$5:$E$560,$A342,'02_ツリー'!$K$5:$K$560,"&gt;0"))</x:f>
        <x:v>0.014579623443686492</x:v>
      </x:c>
      <x:c r="C342" s="48" t="n">
        <x:f>IF($A342="","",SUMIFS('02_ツリー'!$K$5:$K$560,'02_ツリー'!$E$5:$E$560,$A342,'02_ツリー'!$K$5:$K$560,"&lt;0"))</x:f>
        <x:v>0</x:v>
      </x:c>
      <x:c r="D342" s="48" t="n">
        <x:f>IF($A342="","",B342+C342)</x:f>
        <x:v>0.014579623443686492</x:v>
      </x:c>
      <x:c r="E342" s="48" t="n">
        <x:f>IF($A342="","",B342-C342)</x:f>
        <x:v>0.014579623443686492</x:v>
      </x:c>
      <x:c r="F342" s="48" t="n">
        <x:f>IF($A342="","",SUMIFS('02_ツリー'!$H$5:$H$560,'02_ツリー'!$E$5:$E$560,$A342,'02_ツリー'!$K$5:$K$560,"&gt;0"))</x:f>
        <x:v>0.13045612346921254</x:v>
      </x:c>
      <x:c r="G342" s="48" t="n">
        <x:f>IF($A342="","",-SUMIFS('02_ツリー'!$H$5:$H$560,'02_ツリー'!$E$5:$E$560,$A342,'02_ツリー'!$K$5:$K$560,"&lt;0"))</x:f>
        <x:v>0</x:v>
      </x:c>
      <x:c r="H342" s="48" t="n">
        <x:f>IF($A342="","",F342+G342)</x:f>
        <x:v>0.13045612346921254</x:v>
      </x:c>
      <x:c r="I342" s="244" t="n">
        <x:f>IF($A342="","",--(COUNTIFS('02_ツリー'!$E$5:$E$560,$A342,'02_ツリー'!$O$5:$O$560,0)=0))</x:f>
        <x:v>0</x:v>
      </x:c>
      <x:c r="J342" s="12" t="str">
        <x:f>IF($A342="","",IF(AND(B342&gt;0,C342&lt;0),"正負あり",IF(B342&gt;0,"正のみ",IF(C342&lt;0,"負のみ","ゼロ"))))</x:f>
        <x:v>正のみ</x:v>
      </x:c>
      <x:c r="K342" s="244" t="n">
        <x:f>IF($A342="","",--AND(B342&gt;0,C342&lt;0))</x:f>
        <x:v>0</x:v>
      </x:c>
      <x:c r="L342" s="244" t="n">
        <x:f>IF($A342="","",COUNTIF('02_ツリー'!$E$5:$E$560,$A342))</x:f>
        <x:v>1</x:v>
      </x:c>
      <x:c r="M342" s="244" t="n">
        <x:f>IF($A342="","",--(LEFT(A342,7)="Enable_"))</x:f>
        <x:v>0</x:v>
      </x:c>
      <x:c r="N342" s="12"/>
      <x:c r="O342" s="12"/>
      <x:c r="P342" s="12"/>
      <x:c r="Q342" s="12"/>
      <x:c r="R342" s="12"/>
      <x:c r="S342" s="12"/>
      <x:c r="T342" s="12"/>
      <x:c r="U342" s="12"/>
      <x:c r="V342" s="12"/>
      <x:c r="W342" s="12"/>
      <x:c r="X342" s="12"/>
      <x:c r="Y342" s="12"/>
    </x:row>
    <x:row r="343">
      <x:c r="A343" s="12" t="str">
        <x:f>IFERROR(INDEX('02_ツリー'!$E$5:$E$560,MATCH(ROWS($A$11:A343),'02_ツリー'!$R$5:$R$560,0)),"")</x:f>
        <x:v>k_ac_bus</x:v>
      </x:c>
      <x:c r="B343" s="48" t="n">
        <x:f>IF($A343="","",SUMIFS('02_ツリー'!$K$5:$K$560,'02_ツリー'!$E$5:$E$560,$A343,'02_ツリー'!$K$5:$K$560,"&gt;0"))</x:f>
        <x:v>0</x:v>
      </x:c>
      <x:c r="C343" s="48" t="n">
        <x:f>IF($A343="","",SUMIFS('02_ツリー'!$K$5:$K$560,'02_ツリー'!$E$5:$E$560,$A343,'02_ツリー'!$K$5:$K$560,"&lt;0"))</x:f>
        <x:v>0</x:v>
      </x:c>
      <x:c r="D343" s="48" t="n">
        <x:f>IF($A343="","",B343+C343)</x:f>
        <x:v>0</x:v>
      </x:c>
      <x:c r="E343" s="48" t="n">
        <x:f>IF($A343="","",B343-C343)</x:f>
        <x:v>0</x:v>
      </x:c>
      <x:c r="F343" s="48" t="n">
        <x:f>IF($A343="","",SUMIFS('02_ツリー'!$H$5:$H$560,'02_ツリー'!$E$5:$E$560,$A343,'02_ツリー'!$K$5:$K$560,"&gt;0"))</x:f>
        <x:v>0</x:v>
      </x:c>
      <x:c r="G343" s="48" t="n">
        <x:f>IF($A343="","",-SUMIFS('02_ツリー'!$H$5:$H$560,'02_ツリー'!$E$5:$E$560,$A343,'02_ツリー'!$K$5:$K$560,"&lt;0"))</x:f>
        <x:v>0</x:v>
      </x:c>
      <x:c r="H343" s="48" t="n">
        <x:f>IF($A343="","",F343+G343)</x:f>
        <x:v>0</x:v>
      </x:c>
      <x:c r="I343" s="244" t="n">
        <x:f>IF($A343="","",--(COUNTIFS('02_ツリー'!$E$5:$E$560,$A343,'02_ツリー'!$O$5:$O$560,0)=0))</x:f>
        <x:v>0</x:v>
      </x:c>
      <x:c r="J343" s="12" t="str">
        <x:f>IF($A343="","",IF(AND(B343&gt;0,C343&lt;0),"正負あり",IF(B343&gt;0,"正のみ",IF(C343&lt;0,"負のみ","ゼロ"))))</x:f>
        <x:v>ゼロ</x:v>
      </x:c>
      <x:c r="K343" s="244" t="n">
        <x:f>IF($A343="","",--AND(B343&gt;0,C343&lt;0))</x:f>
        <x:v>0</x:v>
      </x:c>
      <x:c r="L343" s="244" t="n">
        <x:f>IF($A343="","",COUNTIF('02_ツリー'!$E$5:$E$560,$A343))</x:f>
        <x:v>1</x:v>
      </x:c>
      <x:c r="M343" s="244" t="n">
        <x:f>IF($A343="","",--(LEFT(A343,7)="Enable_"))</x:f>
        <x:v>0</x:v>
      </x:c>
      <x:c r="N343" s="12"/>
      <x:c r="O343" s="12"/>
      <x:c r="P343" s="12"/>
      <x:c r="Q343" s="12"/>
      <x:c r="R343" s="12"/>
      <x:c r="S343" s="12"/>
      <x:c r="T343" s="12"/>
      <x:c r="U343" s="12"/>
      <x:c r="V343" s="12"/>
      <x:c r="W343" s="12"/>
      <x:c r="X343" s="12"/>
      <x:c r="Y343" s="12"/>
    </x:row>
    <x:row r="344">
      <x:c r="A344" s="12" t="str">
        <x:f>IFERROR(INDEX('02_ツリー'!$E$5:$E$560,MATCH(ROWS($A$11:A344),'02_ツリー'!$R$5:$R$560,0)),"")</x:f>
        <x:v>N_laminate</x:v>
      </x:c>
      <x:c r="B344" s="48" t="n">
        <x:f>IF($A344="","",SUMIFS('02_ツリー'!$K$5:$K$560,'02_ツリー'!$E$5:$E$560,$A344,'02_ツリー'!$K$5:$K$560,"&gt;0"))</x:f>
        <x:v>0.0039115589744582145</x:v>
      </x:c>
      <x:c r="C344" s="48" t="n">
        <x:f>IF($A344="","",SUMIFS('02_ツリー'!$K$5:$K$560,'02_ツリー'!$E$5:$E$560,$A344,'02_ツリー'!$K$5:$K$560,"&lt;0"))</x:f>
        <x:v>0</x:v>
      </x:c>
      <x:c r="D344" s="48" t="n">
        <x:f>IF($A344="","",B344+C344)</x:f>
        <x:v>0.0039115589744582145</x:v>
      </x:c>
      <x:c r="E344" s="48" t="n">
        <x:f>IF($A344="","",B344-C344)</x:f>
        <x:v>0.0039115589744582145</x:v>
      </x:c>
      <x:c r="F344" s="48" t="n">
        <x:f>IF($A344="","",SUMIFS('02_ツリー'!$H$5:$H$560,'02_ツリー'!$E$5:$E$560,$A344,'02_ツリー'!$K$5:$K$560,"&gt;0"))</x:f>
        <x:v>0.035</x:v>
      </x:c>
      <x:c r="G344" s="48" t="n">
        <x:f>IF($A344="","",-SUMIFS('02_ツリー'!$H$5:$H$560,'02_ツリー'!$E$5:$E$560,$A344,'02_ツリー'!$K$5:$K$560,"&lt;0"))</x:f>
        <x:v>0</x:v>
      </x:c>
      <x:c r="H344" s="48" t="n">
        <x:f>IF($A344="","",F344+G344)</x:f>
        <x:v>0.035</x:v>
      </x:c>
      <x:c r="I344" s="244" t="n">
        <x:f>IF($A344="","",--(COUNTIFS('02_ツリー'!$E$5:$E$560,$A344,'02_ツリー'!$O$5:$O$560,0)=0))</x:f>
        <x:v>1</x:v>
      </x:c>
      <x:c r="J344" s="12" t="str">
        <x:f>IF($A344="","",IF(AND(B344&gt;0,C344&lt;0),"正負あり",IF(B344&gt;0,"正のみ",IF(C344&lt;0,"負のみ","ゼロ"))))</x:f>
        <x:v>正のみ</x:v>
      </x:c>
      <x:c r="K344" s="244" t="n">
        <x:f>IF($A344="","",--AND(B344&gt;0,C344&lt;0))</x:f>
        <x:v>0</x:v>
      </x:c>
      <x:c r="L344" s="244" t="n">
        <x:f>IF($A344="","",COUNTIF('02_ツリー'!$E$5:$E$560,$A344))</x:f>
        <x:v>2</x:v>
      </x:c>
      <x:c r="M344" s="244" t="n">
        <x:f>IF($A344="","",--(LEFT(A344,7)="Enable_"))</x:f>
        <x:v>0</x:v>
      </x:c>
      <x:c r="N344" s="12"/>
      <x:c r="O344" s="12"/>
      <x:c r="P344" s="12"/>
      <x:c r="Q344" s="12"/>
      <x:c r="R344" s="12"/>
      <x:c r="S344" s="12"/>
      <x:c r="T344" s="12"/>
      <x:c r="U344" s="12"/>
      <x:c r="V344" s="12"/>
      <x:c r="W344" s="12"/>
      <x:c r="X344" s="12"/>
      <x:c r="Y344" s="12"/>
    </x:row>
    <x:row r="345">
      <x:c r="A345" s="12" t="str">
        <x:f>IFERROR(INDEX('02_ツリー'!$E$5:$E$560,MATCH(ROWS($A$11:A345),'02_ツリー'!$R$5:$R$560,0)),"")</x:f>
        <x:v>M_laminate</x:v>
      </x:c>
      <x:c r="B345" s="48" t="n">
        <x:f>IF($A345="","",SUMIFS('02_ツリー'!$K$5:$K$560,'02_ツリー'!$E$5:$E$560,$A345,'02_ツリー'!$K$5:$K$560,"&gt;0"))</x:f>
        <x:v>0.0039115589744582145</x:v>
      </x:c>
      <x:c r="C345" s="48" t="n">
        <x:f>IF($A345="","",SUMIFS('02_ツリー'!$K$5:$K$560,'02_ツリー'!$E$5:$E$560,$A345,'02_ツリー'!$K$5:$K$560,"&lt;0"))</x:f>
        <x:v>0</x:v>
      </x:c>
      <x:c r="D345" s="48" t="n">
        <x:f>IF($A345="","",B345+C345)</x:f>
        <x:v>0.0039115589744582145</x:v>
      </x:c>
      <x:c r="E345" s="48" t="n">
        <x:f>IF($A345="","",B345-C345)</x:f>
        <x:v>0.0039115589744582145</x:v>
      </x:c>
      <x:c r="F345" s="48" t="n">
        <x:f>IF($A345="","",SUMIFS('02_ツリー'!$H$5:$H$560,'02_ツリー'!$E$5:$E$560,$A345,'02_ツリー'!$K$5:$K$560,"&gt;0"))</x:f>
        <x:v>0.035</x:v>
      </x:c>
      <x:c r="G345" s="48" t="n">
        <x:f>IF($A345="","",-SUMIFS('02_ツリー'!$H$5:$H$560,'02_ツリー'!$E$5:$E$560,$A345,'02_ツリー'!$K$5:$K$560,"&lt;0"))</x:f>
        <x:v>0</x:v>
      </x:c>
      <x:c r="H345" s="48" t="n">
        <x:f>IF($A345="","",F345+G345)</x:f>
        <x:v>0.035</x:v>
      </x:c>
      <x:c r="I345" s="244" t="n">
        <x:f>IF($A345="","",--(COUNTIFS('02_ツリー'!$E$5:$E$560,$A345,'02_ツリー'!$O$5:$O$560,0)=0))</x:f>
        <x:v>0</x:v>
      </x:c>
      <x:c r="J345" s="12" t="str">
        <x:f>IF($A345="","",IF(AND(B345&gt;0,C345&lt;0),"正負あり",IF(B345&gt;0,"正のみ",IF(C345&lt;0,"負のみ","ゼロ"))))</x:f>
        <x:v>正のみ</x:v>
      </x:c>
      <x:c r="K345" s="244" t="n">
        <x:f>IF($A345="","",--AND(B345&gt;0,C345&lt;0))</x:f>
        <x:v>0</x:v>
      </x:c>
      <x:c r="L345" s="244" t="n">
        <x:f>IF($A345="","",COUNTIF('02_ツリー'!$E$5:$E$560,$A345))</x:f>
        <x:v>1</x:v>
      </x:c>
      <x:c r="M345" s="244" t="n">
        <x:f>IF($A345="","",--(LEFT(A345,7)="Enable_"))</x:f>
        <x:v>0</x:v>
      </x:c>
      <x:c r="N345" s="12"/>
      <x:c r="O345" s="12"/>
      <x:c r="P345" s="12"/>
      <x:c r="Q345" s="12"/>
      <x:c r="R345" s="12"/>
      <x:c r="S345" s="12"/>
      <x:c r="T345" s="12"/>
      <x:c r="U345" s="12"/>
      <x:c r="V345" s="12"/>
      <x:c r="W345" s="12"/>
      <x:c r="X345" s="12"/>
      <x:c r="Y345" s="12"/>
    </x:row>
    <x:row r="346">
      <x:c r="A346" s="12" t="str">
        <x:f>IFERROR(INDEX('02_ツリー'!$E$5:$E$560,MATCH(ROWS($A$11:A346),'02_ツリー'!$R$5:$R$560,0)),"")</x:f>
        <x:v>M_dvdt_filter</x:v>
      </x:c>
      <x:c r="B346" s="48" t="n">
        <x:f>IF($A346="","",SUMIFS('02_ツリー'!$K$5:$K$560,'02_ツリー'!$E$5:$E$560,$A346,'02_ツリー'!$K$5:$K$560,"&gt;0"))</x:f>
        <x:v>0</x:v>
      </x:c>
      <x:c r="C346" s="48" t="n">
        <x:f>IF($A346="","",SUMIFS('02_ツリー'!$K$5:$K$560,'02_ツリー'!$E$5:$E$560,$A346,'02_ツリー'!$K$5:$K$560,"&lt;0"))</x:f>
        <x:v>0</x:v>
      </x:c>
      <x:c r="D346" s="48" t="n">
        <x:f>IF($A346="","",B346+C346)</x:f>
        <x:v>0</x:v>
      </x:c>
      <x:c r="E346" s="48" t="n">
        <x:f>IF($A346="","",B346-C346)</x:f>
        <x:v>0</x:v>
      </x:c>
      <x:c r="F346" s="48" t="n">
        <x:f>IF($A346="","",SUMIFS('02_ツリー'!$H$5:$H$560,'02_ツリー'!$E$5:$E$560,$A346,'02_ツリー'!$K$5:$K$560,"&gt;0"))</x:f>
        <x:v>0</x:v>
      </x:c>
      <x:c r="G346" s="48" t="n">
        <x:f>IF($A346="","",-SUMIFS('02_ツリー'!$H$5:$H$560,'02_ツリー'!$E$5:$E$560,$A346,'02_ツリー'!$K$5:$K$560,"&lt;0"))</x:f>
        <x:v>0</x:v>
      </x:c>
      <x:c r="H346" s="48" t="n">
        <x:f>IF($A346="","",F346+G346)</x:f>
        <x:v>0</x:v>
      </x:c>
      <x:c r="I346" s="244" t="n">
        <x:f>IF($A346="","",--(COUNTIFS('02_ツリー'!$E$5:$E$560,$A346,'02_ツリー'!$O$5:$O$560,0)=0))</x:f>
        <x:v>0</x:v>
      </x:c>
      <x:c r="J346" s="12" t="str">
        <x:f>IF($A346="","",IF(AND(B346&gt;0,C346&lt;0),"正負あり",IF(B346&gt;0,"正のみ",IF(C346&lt;0,"負のみ","ゼロ"))))</x:f>
        <x:v>ゼロ</x:v>
      </x:c>
      <x:c r="K346" s="244" t="n">
        <x:f>IF($A346="","",--AND(B346&gt;0,C346&lt;0))</x:f>
        <x:v>0</x:v>
      </x:c>
      <x:c r="L346" s="244" t="n">
        <x:f>IF($A346="","",COUNTIF('02_ツリー'!$E$5:$E$560,$A346))</x:f>
        <x:v>1</x:v>
      </x:c>
      <x:c r="M346" s="244" t="n">
        <x:f>IF($A346="","",--(LEFT(A346,7)="Enable_"))</x:f>
        <x:v>0</x:v>
      </x:c>
      <x:c r="N346" s="12"/>
      <x:c r="O346" s="12"/>
      <x:c r="P346" s="12"/>
      <x:c r="Q346" s="12"/>
      <x:c r="R346" s="12"/>
      <x:c r="S346" s="12"/>
      <x:c r="T346" s="12"/>
      <x:c r="U346" s="12"/>
      <x:c r="V346" s="12"/>
      <x:c r="W346" s="12"/>
      <x:c r="X346" s="12"/>
      <x:c r="Y346" s="12"/>
    </x:row>
    <x:row r="347">
      <x:c r="A347" s="12" t="str">
        <x:f>IFERROR(INDEX('02_ツリー'!$E$5:$E$560,MATCH(ROWS($A$11:A347),'02_ツリー'!$R$5:$R$560,0)),"")</x:f>
        <x:v>Enable_dvdt_filter</x:v>
      </x:c>
      <x:c r="B347" s="48" t="n">
        <x:f>IF($A347="","",SUMIFS('02_ツリー'!$K$5:$K$560,'02_ツリー'!$E$5:$E$560,$A347,'02_ツリー'!$K$5:$K$560,"&gt;0"))</x:f>
        <x:v>0.020625481952674437</x:v>
      </x:c>
      <x:c r="C347" s="48" t="n">
        <x:f>IF($A347="","",SUMIFS('02_ツリー'!$K$5:$K$560,'02_ツリー'!$E$5:$E$560,$A347,'02_ツリー'!$K$5:$K$560,"&lt;0"))</x:f>
        <x:v>-0.006705529670499796</x:v>
      </x:c>
      <x:c r="D347" s="48" t="n">
        <x:f>IF($A347="","",B347+C347)</x:f>
        <x:v>0.01391995228217464</x:v>
      </x:c>
      <x:c r="E347" s="48" t="n">
        <x:f>IF($A347="","",B347-C347)</x:f>
        <x:v>0.027331011623174233</x:v>
      </x:c>
      <x:c r="F347" s="48" t="n">
        <x:f>IF($A347="","",SUMIFS('02_ツリー'!$H$5:$H$560,'02_ツリー'!$E$5:$E$560,$A347,'02_ツリー'!$K$5:$K$560,"&gt;0"))</x:f>
        <x:v>0.1845534921133571</x:v>
      </x:c>
      <x:c r="G347" s="48" t="n">
        <x:f>IF($A347="","",-SUMIFS('02_ツリー'!$H$5:$H$560,'02_ツリー'!$E$5:$E$560,$A347,'02_ツリー'!$K$5:$K$560,"&lt;0"))</x:f>
        <x:v>-0.060000000000000005</x:v>
      </x:c>
      <x:c r="H347" s="48" t="n">
        <x:f>IF($A347="","",F347+G347)</x:f>
        <x:v>0.12455349211335709</x:v>
      </x:c>
      <x:c r="I347" s="244" t="n">
        <x:f>IF($A347="","",--(COUNTIFS('02_ツリー'!$E$5:$E$560,$A347,'02_ツリー'!$O$5:$O$560,0)=0))</x:f>
        <x:v>1</x:v>
      </x:c>
      <x:c r="J347" s="12" t="str">
        <x:f>IF($A347="","",IF(AND(B347&gt;0,C347&lt;0),"正負あり",IF(B347&gt;0,"正のみ",IF(C347&lt;0,"負のみ","ゼロ"))))</x:f>
        <x:v>正負あり</x:v>
      </x:c>
      <x:c r="K347" s="244" t="n">
        <x:f>IF($A347="","",--AND(B347&gt;0,C347&lt;0))</x:f>
        <x:v>1</x:v>
      </x:c>
      <x:c r="L347" s="244" t="n">
        <x:f>IF($A347="","",COUNTIF('02_ツリー'!$E$5:$E$560,$A347))</x:f>
        <x:v>3</x:v>
      </x:c>
      <x:c r="M347" s="244" t="n">
        <x:f>IF($A347="","",--(LEFT(A347,7)="Enable_"))</x:f>
        <x:v>1</x:v>
      </x:c>
      <x:c r="N347" s="12"/>
      <x:c r="O347" s="12"/>
      <x:c r="P347" s="12"/>
      <x:c r="Q347" s="12"/>
      <x:c r="R347" s="12"/>
      <x:c r="S347" s="12"/>
      <x:c r="T347" s="12"/>
      <x:c r="U347" s="12"/>
      <x:c r="V347" s="12"/>
      <x:c r="W347" s="12"/>
      <x:c r="X347" s="12"/>
      <x:c r="Y347" s="12"/>
    </x:row>
    <x:row r="348">
      <x:c r="A348" s="12" t="str">
        <x:f>IFERROR(INDEX('02_ツリー'!$E$5:$E$560,MATCH(ROWS($A$11:A348),'02_ツリー'!$R$5:$R$560,0)),"")</x:f>
        <x:v>P_dvdt_filter</x:v>
      </x:c>
      <x:c r="B348" s="48" t="n">
        <x:f>IF($A348="","",SUMIFS('02_ツリー'!$K$5:$K$560,'02_ツリー'!$E$5:$E$560,$A348,'02_ツリー'!$K$5:$K$560,"&gt;0"))</x:f>
        <x:v>0</x:v>
      </x:c>
      <x:c r="C348" s="48" t="n">
        <x:f>IF($A348="","",SUMIFS('02_ツリー'!$K$5:$K$560,'02_ツリー'!$E$5:$E$560,$A348,'02_ツリー'!$K$5:$K$560,"&lt;0"))</x:f>
        <x:v>0</x:v>
      </x:c>
      <x:c r="D348" s="48" t="n">
        <x:f>IF($A348="","",B348+C348)</x:f>
        <x:v>0</x:v>
      </x:c>
      <x:c r="E348" s="48" t="n">
        <x:f>IF($A348="","",B348-C348)</x:f>
        <x:v>0</x:v>
      </x:c>
      <x:c r="F348" s="48" t="n">
        <x:f>IF($A348="","",SUMIFS('02_ツリー'!$H$5:$H$560,'02_ツリー'!$E$5:$E$560,$A348,'02_ツリー'!$K$5:$K$560,"&gt;0"))</x:f>
        <x:v>0</x:v>
      </x:c>
      <x:c r="G348" s="48" t="n">
        <x:f>IF($A348="","",-SUMIFS('02_ツリー'!$H$5:$H$560,'02_ツリー'!$E$5:$E$560,$A348,'02_ツリー'!$K$5:$K$560,"&lt;0"))</x:f>
        <x:v>0</x:v>
      </x:c>
      <x:c r="H348" s="48" t="n">
        <x:f>IF($A348="","",F348+G348)</x:f>
        <x:v>0</x:v>
      </x:c>
      <x:c r="I348" s="244" t="n">
        <x:f>IF($A348="","",--(COUNTIFS('02_ツリー'!$E$5:$E$560,$A348,'02_ツリー'!$O$5:$O$560,0)=0))</x:f>
        <x:v>0</x:v>
      </x:c>
      <x:c r="J348" s="12" t="str">
        <x:f>IF($A348="","",IF(AND(B348&gt;0,C348&lt;0),"正負あり",IF(B348&gt;0,"正のみ",IF(C348&lt;0,"負のみ","ゼロ"))))</x:f>
        <x:v>ゼロ</x:v>
      </x:c>
      <x:c r="K348" s="244" t="n">
        <x:f>IF($A348="","",--AND(B348&gt;0,C348&lt;0))</x:f>
        <x:v>0</x:v>
      </x:c>
      <x:c r="L348" s="244" t="n">
        <x:f>IF($A348="","",COUNTIF('02_ツリー'!$E$5:$E$560,$A348))</x:f>
        <x:v>1</x:v>
      </x:c>
      <x:c r="M348" s="244" t="n">
        <x:f>IF($A348="","",--(LEFT(A348,7)="Enable_"))</x:f>
        <x:v>0</x:v>
      </x:c>
      <x:c r="N348" s="12"/>
      <x:c r="O348" s="12"/>
      <x:c r="P348" s="12"/>
      <x:c r="Q348" s="12"/>
      <x:c r="R348" s="12"/>
      <x:c r="S348" s="12"/>
      <x:c r="T348" s="12"/>
      <x:c r="U348" s="12"/>
      <x:c r="V348" s="12"/>
      <x:c r="W348" s="12"/>
      <x:c r="X348" s="12"/>
      <x:c r="Y348" s="12"/>
    </x:row>
    <x:row r="349">
      <x:c r="A349" s="12" t="str">
        <x:f>IFERROR(INDEX('02_ツリー'!$E$5:$E$560,MATCH(ROWS($A$11:A349),'02_ツリー'!$R$5:$R$560,0)),"")</x:f>
        <x:v>M_CM_filter2</x:v>
      </x:c>
      <x:c r="B349" s="48" t="n">
        <x:f>IF($A349="","",SUMIFS('02_ツリー'!$K$5:$K$560,'02_ツリー'!$E$5:$E$560,$A349,'02_ツリー'!$K$5:$K$560,"&gt;0"))</x:f>
        <x:v>0</x:v>
      </x:c>
      <x:c r="C349" s="48" t="n">
        <x:f>IF($A349="","",SUMIFS('02_ツリー'!$K$5:$K$560,'02_ツリー'!$E$5:$E$560,$A349,'02_ツリー'!$K$5:$K$560,"&lt;0"))</x:f>
        <x:v>0</x:v>
      </x:c>
      <x:c r="D349" s="48" t="n">
        <x:f>IF($A349="","",B349+C349)</x:f>
        <x:v>0</x:v>
      </x:c>
      <x:c r="E349" s="48" t="n">
        <x:f>IF($A349="","",B349-C349)</x:f>
        <x:v>0</x:v>
      </x:c>
      <x:c r="F349" s="48" t="n">
        <x:f>IF($A349="","",SUMIFS('02_ツリー'!$H$5:$H$560,'02_ツリー'!$E$5:$E$560,$A349,'02_ツリー'!$K$5:$K$560,"&gt;0"))</x:f>
        <x:v>0</x:v>
      </x:c>
      <x:c r="G349" s="48" t="n">
        <x:f>IF($A349="","",-SUMIFS('02_ツリー'!$H$5:$H$560,'02_ツリー'!$E$5:$E$560,$A349,'02_ツリー'!$K$5:$K$560,"&lt;0"))</x:f>
        <x:v>0</x:v>
      </x:c>
      <x:c r="H349" s="48" t="n">
        <x:f>IF($A349="","",F349+G349)</x:f>
        <x:v>0</x:v>
      </x:c>
      <x:c r="I349" s="244" t="n">
        <x:f>IF($A349="","",--(COUNTIFS('02_ツリー'!$E$5:$E$560,$A349,'02_ツリー'!$O$5:$O$560,0)=0))</x:f>
        <x:v>0</x:v>
      </x:c>
      <x:c r="J349" s="12" t="str">
        <x:f>IF($A349="","",IF(AND(B349&gt;0,C349&lt;0),"正負あり",IF(B349&gt;0,"正のみ",IF(C349&lt;0,"負のみ","ゼロ"))))</x:f>
        <x:v>ゼロ</x:v>
      </x:c>
      <x:c r="K349" s="244" t="n">
        <x:f>IF($A349="","",--AND(B349&gt;0,C349&lt;0))</x:f>
        <x:v>0</x:v>
      </x:c>
      <x:c r="L349" s="244" t="n">
        <x:f>IF($A349="","",COUNTIF('02_ツリー'!$E$5:$E$560,$A349))</x:f>
        <x:v>1</x:v>
      </x:c>
      <x:c r="M349" s="244" t="n">
        <x:f>IF($A349="","",--(LEFT(A349,7)="Enable_"))</x:f>
        <x:v>0</x:v>
      </x:c>
      <x:c r="N349" s="12"/>
      <x:c r="O349" s="12"/>
      <x:c r="P349" s="12"/>
      <x:c r="Q349" s="12"/>
      <x:c r="R349" s="12"/>
      <x:c r="S349" s="12"/>
      <x:c r="T349" s="12"/>
      <x:c r="U349" s="12"/>
      <x:c r="V349" s="12"/>
      <x:c r="W349" s="12"/>
      <x:c r="X349" s="12"/>
      <x:c r="Y349" s="12"/>
    </x:row>
    <x:row r="350">
      <x:c r="A350" s="12" t="str">
        <x:f>IFERROR(INDEX('02_ツリー'!$E$5:$E$560,MATCH(ROWS($A$11:A350),'02_ツリー'!$R$5:$R$560,0)),"")</x:f>
        <x:v>Enable_CM_filter</x:v>
      </x:c>
      <x:c r="B350" s="48" t="n">
        <x:f>IF($A350="","",SUMIFS('02_ツリー'!$K$5:$K$560,'02_ツリー'!$E$5:$E$560,$A350,'02_ツリー'!$K$5:$K$560,"&gt;0"))</x:f>
        <x:v>0.015087441758624542</x:v>
      </x:c>
      <x:c r="C350" s="48" t="n">
        <x:f>IF($A350="","",SUMIFS('02_ツリー'!$K$5:$K$560,'02_ツリー'!$E$5:$E$560,$A350,'02_ツリー'!$K$5:$K$560,"&lt;0"))</x:f>
        <x:v>-0.014528647619416229</x:v>
      </x:c>
      <x:c r="D350" s="48" t="n">
        <x:f>IF($A350="","",B350+C350)</x:f>
        <x:v>0.0005587941392083129</x:v>
      </x:c>
      <x:c r="E350" s="48" t="n">
        <x:f>IF($A350="","",B350-C350)</x:f>
        <x:v>0.02961608937804077</x:v>
      </x:c>
      <x:c r="F350" s="48" t="n">
        <x:f>IF($A350="","",SUMIFS('02_ツリー'!$H$5:$H$560,'02_ツリー'!$E$5:$E$560,$A350,'02_ツリー'!$K$5:$K$560,"&gt;0"))</x:f>
        <x:v>0.135</x:v>
      </x:c>
      <x:c r="G350" s="48" t="n">
        <x:f>IF($A350="","",-SUMIFS('02_ツリー'!$H$5:$H$560,'02_ツリー'!$E$5:$E$560,$A350,'02_ツリー'!$K$5:$K$560,"&lt;0"))</x:f>
        <x:v>-0.13000000000000003</x:v>
      </x:c>
      <x:c r="H350" s="48" t="n">
        <x:f>IF($A350="","",F350+G350)</x:f>
        <x:v>0.004999999999999977</x:v>
      </x:c>
      <x:c r="I350" s="244" t="n">
        <x:f>IF($A350="","",--(COUNTIFS('02_ツリー'!$E$5:$E$560,$A350,'02_ツリー'!$O$5:$O$560,0)=0))</x:f>
        <x:v>1</x:v>
      </x:c>
      <x:c r="J350" s="12" t="str">
        <x:f>IF($A350="","",IF(AND(B350&gt;0,C350&lt;0),"正負あり",IF(B350&gt;0,"正のみ",IF(C350&lt;0,"負のみ","ゼロ"))))</x:f>
        <x:v>正負あり</x:v>
      </x:c>
      <x:c r="K350" s="244" t="n">
        <x:f>IF($A350="","",--AND(B350&gt;0,C350&lt;0))</x:f>
        <x:v>1</x:v>
      </x:c>
      <x:c r="L350" s="244" t="n">
        <x:f>IF($A350="","",COUNTIF('02_ツリー'!$E$5:$E$560,$A350))</x:f>
        <x:v>2</x:v>
      </x:c>
      <x:c r="M350" s="244" t="n">
        <x:f>IF($A350="","",--(LEFT(A350,7)="Enable_"))</x:f>
        <x:v>1</x:v>
      </x:c>
      <x:c r="N350" s="12"/>
      <x:c r="O350" s="12"/>
      <x:c r="P350" s="12"/>
      <x:c r="Q350" s="12"/>
      <x:c r="R350" s="12"/>
      <x:c r="S350" s="12"/>
      <x:c r="T350" s="12"/>
      <x:c r="U350" s="12"/>
      <x:c r="V350" s="12"/>
      <x:c r="W350" s="12"/>
      <x:c r="X350" s="12"/>
      <x:c r="Y350" s="12"/>
    </x:row>
    <x:row r="351">
      <x:c r="A351" s="12" t="str">
        <x:f>IFERROR(INDEX('02_ツリー'!$E$5:$E$560,MATCH(ROWS($A$11:A351),'02_ツリー'!$R$5:$R$560,0)),"")</x:f>
        <x:v>M_shield</x:v>
      </x:c>
      <x:c r="B351" s="48" t="n">
        <x:f>IF($A351="","",SUMIFS('02_ツリー'!$K$5:$K$560,'02_ツリー'!$E$5:$E$560,$A351,'02_ツリー'!$K$5:$K$560,"&gt;0"))</x:f>
        <x:v>0</x:v>
      </x:c>
      <x:c r="C351" s="48" t="n">
        <x:f>IF($A351="","",SUMIFS('02_ツリー'!$K$5:$K$560,'02_ツリー'!$E$5:$E$560,$A351,'02_ツリー'!$K$5:$K$560,"&lt;0"))</x:f>
        <x:v>0</x:v>
      </x:c>
      <x:c r="D351" s="48" t="n">
        <x:f>IF($A351="","",B351+C351)</x:f>
        <x:v>0</x:v>
      </x:c>
      <x:c r="E351" s="48" t="n">
        <x:f>IF($A351="","",B351-C351)</x:f>
        <x:v>0</x:v>
      </x:c>
      <x:c r="F351" s="48" t="n">
        <x:f>IF($A351="","",SUMIFS('02_ツリー'!$H$5:$H$560,'02_ツリー'!$E$5:$E$560,$A351,'02_ツリー'!$K$5:$K$560,"&gt;0"))</x:f>
        <x:v>0</x:v>
      </x:c>
      <x:c r="G351" s="48" t="n">
        <x:f>IF($A351="","",-SUMIFS('02_ツリー'!$H$5:$H$560,'02_ツリー'!$E$5:$E$560,$A351,'02_ツリー'!$K$5:$K$560,"&lt;0"))</x:f>
        <x:v>0</x:v>
      </x:c>
      <x:c r="H351" s="48" t="n">
        <x:f>IF($A351="","",F351+G351)</x:f>
        <x:v>0</x:v>
      </x:c>
      <x:c r="I351" s="244" t="n">
        <x:f>IF($A351="","",--(COUNTIFS('02_ツリー'!$E$5:$E$560,$A351,'02_ツリー'!$O$5:$O$560,0)=0))</x:f>
        <x:v>0</x:v>
      </x:c>
      <x:c r="J351" s="12" t="str">
        <x:f>IF($A351="","",IF(AND(B351&gt;0,C351&lt;0),"正負あり",IF(B351&gt;0,"正のみ",IF(C351&lt;0,"負のみ","ゼロ"))))</x:f>
        <x:v>ゼロ</x:v>
      </x:c>
      <x:c r="K351" s="244" t="n">
        <x:f>IF($A351="","",--AND(B351&gt;0,C351&lt;0))</x:f>
        <x:v>0</x:v>
      </x:c>
      <x:c r="L351" s="244" t="n">
        <x:f>IF($A351="","",COUNTIF('02_ツリー'!$E$5:$E$560,$A351))</x:f>
        <x:v>1</x:v>
      </x:c>
      <x:c r="M351" s="244" t="n">
        <x:f>IF($A351="","",--(LEFT(A351,7)="Enable_"))</x:f>
        <x:v>0</x:v>
      </x:c>
      <x:c r="N351" s="12"/>
      <x:c r="O351" s="12"/>
      <x:c r="P351" s="12"/>
      <x:c r="Q351" s="12"/>
      <x:c r="R351" s="12"/>
      <x:c r="S351" s="12"/>
      <x:c r="T351" s="12"/>
      <x:c r="U351" s="12"/>
      <x:c r="V351" s="12"/>
      <x:c r="W351" s="12"/>
      <x:c r="X351" s="12"/>
      <x:c r="Y351" s="12"/>
    </x:row>
    <x:row r="352">
      <x:c r="A352" s="12" t="str">
        <x:f>IFERROR(INDEX('02_ツリー'!$E$5:$E$560,MATCH(ROWS($A$11:A352),'02_ツリー'!$R$5:$R$560,0)),"")</x:f>
        <x:v>Enable_shield</x:v>
      </x:c>
      <x:c r="B352" s="48" t="n">
        <x:f>IF($A352="","",SUMIFS('02_ツリー'!$K$5:$K$560,'02_ツリー'!$E$5:$E$560,$A352,'02_ツリー'!$K$5:$K$560,"&gt;0"))</x:f>
        <x:v>0.013411059340999591</x:v>
      </x:c>
      <x:c r="C352" s="48" t="n">
        <x:f>IF($A352="","",SUMIFS('02_ツリー'!$K$5:$K$560,'02_ツリー'!$E$5:$E$560,$A352,'02_ツリー'!$K$5:$K$560,"&lt;0"))</x:f>
        <x:v>-0.012923122320680202</x:v>
      </x:c>
      <x:c r="D352" s="48" t="n">
        <x:f>IF($A352="","",B352+C352)</x:f>
        <x:v>0.0004879370203193893</x:v>
      </x:c>
      <x:c r="E352" s="48" t="n">
        <x:f>IF($A352="","",B352-C352)</x:f>
        <x:v>0.026334181661679792</x:v>
      </x:c>
      <x:c r="F352" s="48" t="n">
        <x:f>IF($A352="","",SUMIFS('02_ツリー'!$H$5:$H$560,'02_ツリー'!$E$5:$E$560,$A352,'02_ツリー'!$K$5:$K$560,"&gt;0"))</x:f>
        <x:v>0.12</x:v>
      </x:c>
      <x:c r="G352" s="48" t="n">
        <x:f>IF($A352="","",-SUMIFS('02_ツリー'!$H$5:$H$560,'02_ツリー'!$E$5:$E$560,$A352,'02_ツリー'!$K$5:$K$560,"&lt;0"))</x:f>
        <x:v>-0.11563401809286435</x:v>
      </x:c>
      <x:c r="H352" s="48" t="n">
        <x:f>IF($A352="","",F352+G352)</x:f>
        <x:v>0.004365981907135649</x:v>
      </x:c>
      <x:c r="I352" s="244" t="n">
        <x:f>IF($A352="","",--(COUNTIFS('02_ツリー'!$E$5:$E$560,$A352,'02_ツリー'!$O$5:$O$560,0)=0))</x:f>
        <x:v>1</x:v>
      </x:c>
      <x:c r="J352" s="12" t="str">
        <x:f>IF($A352="","",IF(AND(B352&gt;0,C352&lt;0),"正負あり",IF(B352&gt;0,"正のみ",IF(C352&lt;0,"負のみ","ゼロ"))))</x:f>
        <x:v>正負あり</x:v>
      </x:c>
      <x:c r="K352" s="244" t="n">
        <x:f>IF($A352="","",--AND(B352&gt;0,C352&lt;0))</x:f>
        <x:v>1</x:v>
      </x:c>
      <x:c r="L352" s="244" t="n">
        <x:f>IF($A352="","",COUNTIF('02_ツリー'!$E$5:$E$560,$A352))</x:f>
        <x:v>2</x:v>
      </x:c>
      <x:c r="M352" s="244" t="n">
        <x:f>IF($A352="","",--(LEFT(A352,7)="Enable_"))</x:f>
        <x:v>1</x:v>
      </x:c>
      <x:c r="N352" s="12"/>
      <x:c r="O352" s="12"/>
      <x:c r="P352" s="12"/>
      <x:c r="Q352" s="12"/>
      <x:c r="R352" s="12"/>
      <x:c r="S352" s="12"/>
      <x:c r="T352" s="12"/>
      <x:c r="U352" s="12"/>
      <x:c r="V352" s="12"/>
      <x:c r="W352" s="12"/>
      <x:c r="X352" s="12"/>
      <x:c r="Y352" s="12"/>
    </x:row>
    <x:row r="353">
      <x:c r="A353" s="12" t="str">
        <x:f>IFERROR(INDEX('02_ツリー'!$E$5:$E$560,MATCH(ROWS($A$11:A353),'02_ツリー'!$R$5:$R$560,0)),"")</x:f>
        <x:v>P_shunt</x:v>
      </x:c>
      <x:c r="B353" s="48" t="n">
        <x:f>IF($A353="","",SUMIFS('02_ツリー'!$K$5:$K$560,'02_ツリー'!$E$5:$E$560,$A353,'02_ツリー'!$K$5:$K$560,"&gt;0"))</x:f>
        <x:v>0.000154978676398524</x:v>
      </x:c>
      <x:c r="C353" s="48" t="n">
        <x:f>IF($A353="","",SUMIFS('02_ツリー'!$K$5:$K$560,'02_ツリー'!$E$5:$E$560,$A353,'02_ツリー'!$K$5:$K$560,"&lt;0"))</x:f>
        <x:v>0</x:v>
      </x:c>
      <x:c r="D353" s="48" t="n">
        <x:f>IF($A353="","",B353+C353)</x:f>
        <x:v>0.000154978676398524</x:v>
      </x:c>
      <x:c r="E353" s="48" t="n">
        <x:f>IF($A353="","",B353-C353)</x:f>
        <x:v>0.000154978676398524</x:v>
      </x:c>
      <x:c r="F353" s="48" t="n">
        <x:f>IF($A353="","",SUMIFS('02_ツリー'!$H$5:$H$560,'02_ツリー'!$E$5:$E$560,$A353,'02_ツリー'!$K$5:$K$560,"&gt;0"))</x:f>
        <x:v>0.0013867242471269777</x:v>
      </x:c>
      <x:c r="G353" s="48" t="n">
        <x:f>IF($A353="","",-SUMIFS('02_ツリー'!$H$5:$H$560,'02_ツリー'!$E$5:$E$560,$A353,'02_ツリー'!$K$5:$K$560,"&lt;0"))</x:f>
        <x:v>0</x:v>
      </x:c>
      <x:c r="H353" s="48" t="n">
        <x:f>IF($A353="","",F353+G353)</x:f>
        <x:v>0.0013867242471269777</x:v>
      </x:c>
      <x:c r="I353" s="244" t="n">
        <x:f>IF($A353="","",--(COUNTIFS('02_ツリー'!$E$5:$E$560,$A353,'02_ツリー'!$O$5:$O$560,0)=0))</x:f>
        <x:v>0</x:v>
      </x:c>
      <x:c r="J353" s="12" t="str">
        <x:f>IF($A353="","",IF(AND(B353&gt;0,C353&lt;0),"正負あり",IF(B353&gt;0,"正のみ",IF(C353&lt;0,"負のみ","ゼロ"))))</x:f>
        <x:v>正のみ</x:v>
      </x:c>
      <x:c r="K353" s="244" t="n">
        <x:f>IF($A353="","",--AND(B353&gt;0,C353&lt;0))</x:f>
        <x:v>0</x:v>
      </x:c>
      <x:c r="L353" s="244" t="n">
        <x:f>IF($A353="","",COUNTIF('02_ツリー'!$E$5:$E$560,$A353))</x:f>
        <x:v>1</x:v>
      </x:c>
      <x:c r="M353" s="244" t="n">
        <x:f>IF($A353="","",--(LEFT(A353,7)="Enable_"))</x:f>
        <x:v>0</x:v>
      </x:c>
      <x:c r="N353" s="12"/>
      <x:c r="O353" s="12"/>
      <x:c r="P353" s="12"/>
      <x:c r="Q353" s="12"/>
      <x:c r="R353" s="12"/>
      <x:c r="S353" s="12"/>
      <x:c r="T353" s="12"/>
      <x:c r="U353" s="12"/>
      <x:c r="V353" s="12"/>
      <x:c r="W353" s="12"/>
      <x:c r="X353" s="12"/>
      <x:c r="Y353" s="12"/>
    </x:row>
    <x:row r="354">
      <x:c r="A354" s="12" t="str">
        <x:f>IFERROR(INDEX('02_ツリー'!$E$5:$E$560,MATCH(ROWS($A$11:A354),'02_ツリー'!$R$5:$R$560,0)),"")</x:f>
        <x:v>R_shunt</x:v>
      </x:c>
      <x:c r="B354" s="48" t="n">
        <x:f>IF($A354="","",SUMIFS('02_ツリー'!$K$5:$K$560,'02_ツリー'!$E$5:$E$560,$A354,'02_ツリー'!$K$5:$K$560,"&gt;0"))</x:f>
        <x:v>0.000154978676398524</x:v>
      </x:c>
      <x:c r="C354" s="48" t="n">
        <x:f>IF($A354="","",SUMIFS('02_ツリー'!$K$5:$K$560,'02_ツリー'!$E$5:$E$560,$A354,'02_ツリー'!$K$5:$K$560,"&lt;0"))</x:f>
        <x:v>-0.0011734676923374644</x:v>
      </x:c>
      <x:c r="D354" s="48" t="n">
        <x:f>IF($A354="","",B354+C354)</x:f>
        <x:v>-0.0010184890159389403</x:v>
      </x:c>
      <x:c r="E354" s="48" t="n">
        <x:f>IF($A354="","",B354-C354)</x:f>
        <x:v>0.0013284463687359884</x:v>
      </x:c>
      <x:c r="F354" s="48" t="n">
        <x:f>IF($A354="","",SUMIFS('02_ツリー'!$H$5:$H$560,'02_ツリー'!$E$5:$E$560,$A354,'02_ツリー'!$K$5:$K$560,"&gt;0"))</x:f>
        <x:v>0.0013867242471269777</x:v>
      </x:c>
      <x:c r="G354" s="48" t="n">
        <x:f>IF($A354="","",-SUMIFS('02_ツリー'!$H$5:$H$560,'02_ツリー'!$E$5:$E$560,$A354,'02_ツリー'!$K$5:$K$560,"&lt;0"))</x:f>
        <x:v>-0.0105</x:v>
      </x:c>
      <x:c r="H354" s="48" t="n">
        <x:f>IF($A354="","",F354+G354)</x:f>
        <x:v>-0.009113275752873023</x:v>
      </x:c>
      <x:c r="I354" s="244" t="n">
        <x:f>IF($A354="","",--(COUNTIFS('02_ツリー'!$E$5:$E$560,$A354,'02_ツリー'!$O$5:$O$560,0)=0))</x:f>
        <x:v>1</x:v>
      </x:c>
      <x:c r="J354" s="12" t="str">
        <x:f>IF($A354="","",IF(AND(B354&gt;0,C354&lt;0),"正負あり",IF(B354&gt;0,"正のみ",IF(C354&lt;0,"負のみ","ゼロ"))))</x:f>
        <x:v>正負あり</x:v>
      </x:c>
      <x:c r="K354" s="244" t="n">
        <x:f>IF($A354="","",--AND(B354&gt;0,C354&lt;0))</x:f>
        <x:v>1</x:v>
      </x:c>
      <x:c r="L354" s="244" t="n">
        <x:f>IF($A354="","",COUNTIF('02_ツリー'!$E$5:$E$560,$A354))</x:f>
        <x:v>2</x:v>
      </x:c>
      <x:c r="M354" s="244" t="n">
        <x:f>IF($A354="","",--(LEFT(A354,7)="Enable_"))</x:f>
        <x:v>0</x:v>
      </x:c>
      <x:c r="N354" s="12"/>
      <x:c r="O354" s="12"/>
      <x:c r="P354" s="12"/>
      <x:c r="Q354" s="12"/>
      <x:c r="R354" s="12"/>
      <x:c r="S354" s="12"/>
      <x:c r="T354" s="12"/>
      <x:c r="U354" s="12"/>
      <x:c r="V354" s="12"/>
      <x:c r="W354" s="12"/>
      <x:c r="X354" s="12"/>
      <x:c r="Y354" s="12"/>
    </x:row>
    <x:row r="355">
      <x:c r="A355" s="12" t="str">
        <x:f>IFERROR(INDEX('02_ツリー'!$E$5:$E$560,MATCH(ROWS($A$11:A355),'02_ツリー'!$R$5:$R$560,0)),"")</x:f>
        <x:v>M_CSA</x:v>
      </x:c>
      <x:c r="B355" s="48" t="n">
        <x:f>IF($A355="","",SUMIFS('02_ツリー'!$K$5:$K$560,'02_ツリー'!$E$5:$E$560,$A355,'02_ツリー'!$K$5:$K$560,"&gt;0"))</x:f>
        <x:v>0.0039115589744582145</x:v>
      </x:c>
      <x:c r="C355" s="48" t="n">
        <x:f>IF($A355="","",SUMIFS('02_ツリー'!$K$5:$K$560,'02_ツリー'!$E$5:$E$560,$A355,'02_ツリー'!$K$5:$K$560,"&lt;0"))</x:f>
        <x:v>0</x:v>
      </x:c>
      <x:c r="D355" s="48" t="n">
        <x:f>IF($A355="","",B355+C355)</x:f>
        <x:v>0.0039115589744582145</x:v>
      </x:c>
      <x:c r="E355" s="48" t="n">
        <x:f>IF($A355="","",B355-C355)</x:f>
        <x:v>0.0039115589744582145</x:v>
      </x:c>
      <x:c r="F355" s="48" t="n">
        <x:f>IF($A355="","",SUMIFS('02_ツリー'!$H$5:$H$560,'02_ツリー'!$E$5:$E$560,$A355,'02_ツリー'!$K$5:$K$560,"&gt;0"))</x:f>
        <x:v>0.035</x:v>
      </x:c>
      <x:c r="G355" s="48" t="n">
        <x:f>IF($A355="","",-SUMIFS('02_ツリー'!$H$5:$H$560,'02_ツリー'!$E$5:$E$560,$A355,'02_ツリー'!$K$5:$K$560,"&lt;0"))</x:f>
        <x:v>0</x:v>
      </x:c>
      <x:c r="H355" s="48" t="n">
        <x:f>IF($A355="","",F355+G355)</x:f>
        <x:v>0.035</x:v>
      </x:c>
      <x:c r="I355" s="244" t="n">
        <x:f>IF($A355="","",--(COUNTIFS('02_ツリー'!$E$5:$E$560,$A355,'02_ツリー'!$O$5:$O$560,0)=0))</x:f>
        <x:v>0</x:v>
      </x:c>
      <x:c r="J355" s="12" t="str">
        <x:f>IF($A355="","",IF(AND(B355&gt;0,C355&lt;0),"正負あり",IF(B355&gt;0,"正のみ",IF(C355&lt;0,"負のみ","ゼロ"))))</x:f>
        <x:v>正のみ</x:v>
      </x:c>
      <x:c r="K355" s="244" t="n">
        <x:f>IF($A355="","",--AND(B355&gt;0,C355&lt;0))</x:f>
        <x:v>0</x:v>
      </x:c>
      <x:c r="L355" s="244" t="n">
        <x:f>IF($A355="","",COUNTIF('02_ツリー'!$E$5:$E$560,$A355))</x:f>
        <x:v>1</x:v>
      </x:c>
      <x:c r="M355" s="244" t="n">
        <x:f>IF($A355="","",--(LEFT(A355,7)="Enable_"))</x:f>
        <x:v>0</x:v>
      </x:c>
      <x:c r="N355" s="12"/>
      <x:c r="O355" s="12"/>
      <x:c r="P355" s="12"/>
      <x:c r="Q355" s="12"/>
      <x:c r="R355" s="12"/>
      <x:c r="S355" s="12"/>
      <x:c r="T355" s="12"/>
      <x:c r="U355" s="12"/>
      <x:c r="V355" s="12"/>
      <x:c r="W355" s="12"/>
      <x:c r="X355" s="12"/>
      <x:c r="Y355" s="12"/>
    </x:row>
    <x:row r="356">
      <x:c r="A356" s="12" t="str">
        <x:f>IFERROR(INDEX('02_ツリー'!$E$5:$E$560,MATCH(ROWS($A$11:A356),'02_ツリー'!$R$5:$R$560,0)),"")</x:f>
        <x:v>M_sensor_option</x:v>
      </x:c>
      <x:c r="B356" s="48" t="n">
        <x:f>IF($A356="","",SUMIFS('02_ツリー'!$K$5:$K$560,'02_ツリー'!$E$5:$E$560,$A356,'02_ツリー'!$K$5:$K$560,"&gt;0"))</x:f>
        <x:v>0</x:v>
      </x:c>
      <x:c r="C356" s="48" t="n">
        <x:f>IF($A356="","",SUMIFS('02_ツリー'!$K$5:$K$560,'02_ツリー'!$E$5:$E$560,$A356,'02_ツリー'!$K$5:$K$560,"&lt;0"))</x:f>
        <x:v>0</x:v>
      </x:c>
      <x:c r="D356" s="48" t="n">
        <x:f>IF($A356="","",B356+C356)</x:f>
        <x:v>0</x:v>
      </x:c>
      <x:c r="E356" s="48" t="n">
        <x:f>IF($A356="","",B356-C356)</x:f>
        <x:v>0</x:v>
      </x:c>
      <x:c r="F356" s="48" t="n">
        <x:f>IF($A356="","",SUMIFS('02_ツリー'!$H$5:$H$560,'02_ツリー'!$E$5:$E$560,$A356,'02_ツリー'!$K$5:$K$560,"&gt;0"))</x:f>
        <x:v>0</x:v>
      </x:c>
      <x:c r="G356" s="48" t="n">
        <x:f>IF($A356="","",-SUMIFS('02_ツリー'!$H$5:$H$560,'02_ツリー'!$E$5:$E$560,$A356,'02_ツリー'!$K$5:$K$560,"&lt;0"))</x:f>
        <x:v>0</x:v>
      </x:c>
      <x:c r="H356" s="48" t="n">
        <x:f>IF($A356="","",F356+G356)</x:f>
        <x:v>0</x:v>
      </x:c>
      <x:c r="I356" s="244" t="n">
        <x:f>IF($A356="","",--(COUNTIFS('02_ツリー'!$E$5:$E$560,$A356,'02_ツリー'!$O$5:$O$560,0)=0))</x:f>
        <x:v>0</x:v>
      </x:c>
      <x:c r="J356" s="12" t="str">
        <x:f>IF($A356="","",IF(AND(B356&gt;0,C356&lt;0),"正負あり",IF(B356&gt;0,"正のみ",IF(C356&lt;0,"負のみ","ゼロ"))))</x:f>
        <x:v>ゼロ</x:v>
      </x:c>
      <x:c r="K356" s="244" t="n">
        <x:f>IF($A356="","",--AND(B356&gt;0,C356&lt;0))</x:f>
        <x:v>0</x:v>
      </x:c>
      <x:c r="L356" s="244" t="n">
        <x:f>IF($A356="","",COUNTIF('02_ツリー'!$E$5:$E$560,$A356))</x:f>
        <x:v>1</x:v>
      </x:c>
      <x:c r="M356" s="244" t="n">
        <x:f>IF($A356="","",--(LEFT(A356,7)="Enable_"))</x:f>
        <x:v>0</x:v>
      </x:c>
      <x:c r="N356" s="12"/>
      <x:c r="O356" s="12"/>
      <x:c r="P356" s="12"/>
      <x:c r="Q356" s="12"/>
      <x:c r="R356" s="12"/>
      <x:c r="S356" s="12"/>
      <x:c r="T356" s="12"/>
      <x:c r="U356" s="12"/>
      <x:c r="V356" s="12"/>
      <x:c r="W356" s="12"/>
      <x:c r="X356" s="12"/>
      <x:c r="Y356" s="12"/>
    </x:row>
    <x:row r="357">
      <x:c r="A357" s="12" t="str">
        <x:f>IFERROR(INDEX('02_ツリー'!$E$5:$E$560,MATCH(ROWS($A$11:A357),'02_ツリー'!$R$5:$R$560,0)),"")</x:f>
        <x:v>Sense_mode</x:v>
      </x:c>
      <x:c r="B357" s="48" t="n">
        <x:f>IF($A357="","",SUMIFS('02_ツリー'!$K$5:$K$560,'02_ツリー'!$E$5:$E$560,$A357,'02_ツリー'!$K$5:$K$560,"&gt;0"))</x:f>
        <x:v>0</x:v>
      </x:c>
      <x:c r="C357" s="48" t="n">
        <x:f>IF($A357="","",SUMIFS('02_ツリー'!$K$5:$K$560,'02_ツリー'!$E$5:$E$560,$A357,'02_ツリー'!$K$5:$K$560,"&lt;0"))</x:f>
        <x:v>0</x:v>
      </x:c>
      <x:c r="D357" s="48" t="n">
        <x:f>IF($A357="","",B357+C357)</x:f>
        <x:v>0</x:v>
      </x:c>
      <x:c r="E357" s="48" t="n">
        <x:f>IF($A357="","",B357-C357)</x:f>
        <x:v>0</x:v>
      </x:c>
      <x:c r="F357" s="48" t="n">
        <x:f>IF($A357="","",SUMIFS('02_ツリー'!$H$5:$H$560,'02_ツリー'!$E$5:$E$560,$A357,'02_ツリー'!$K$5:$K$560,"&gt;0"))</x:f>
        <x:v>0</x:v>
      </x:c>
      <x:c r="G357" s="48" t="n">
        <x:f>IF($A357="","",-SUMIFS('02_ツリー'!$H$5:$H$560,'02_ツリー'!$E$5:$E$560,$A357,'02_ツリー'!$K$5:$K$560,"&lt;0"))</x:f>
        <x:v>0</x:v>
      </x:c>
      <x:c r="H357" s="48" t="n">
        <x:f>IF($A357="","",F357+G357)</x:f>
        <x:v>0</x:v>
      </x:c>
      <x:c r="I357" s="244" t="n">
        <x:f>IF($A357="","",--(COUNTIFS('02_ツリー'!$E$5:$E$560,$A357,'02_ツリー'!$O$5:$O$560,0)=0))</x:f>
        <x:v>1</x:v>
      </x:c>
      <x:c r="J357" s="12" t="str">
        <x:f>IF($A357="","",IF(AND(B357&gt;0,C357&lt;0),"正負あり",IF(B357&gt;0,"正のみ",IF(C357&lt;0,"負のみ","ゼロ"))))</x:f>
        <x:v>ゼロ</x:v>
      </x:c>
      <x:c r="K357" s="244" t="n">
        <x:f>IF($A357="","",--AND(B357&gt;0,C357&lt;0))</x:f>
        <x:v>0</x:v>
      </x:c>
      <x:c r="L357" s="244" t="n">
        <x:f>IF($A357="","",COUNTIF('02_ツリー'!$E$5:$E$560,$A357))</x:f>
        <x:v>1</x:v>
      </x:c>
      <x:c r="M357" s="244" t="n">
        <x:f>IF($A357="","",--(LEFT(A357,7)="Enable_"))</x:f>
        <x:v>0</x:v>
      </x:c>
      <x:c r="N357" s="12"/>
      <x:c r="O357" s="12"/>
      <x:c r="P357" s="12"/>
      <x:c r="Q357" s="12"/>
      <x:c r="R357" s="12"/>
      <x:c r="S357" s="12"/>
      <x:c r="T357" s="12"/>
      <x:c r="U357" s="12"/>
      <x:c r="V357" s="12"/>
      <x:c r="W357" s="12"/>
      <x:c r="X357" s="12"/>
      <x:c r="Y357" s="12"/>
    </x:row>
    <x:row r="358">
      <x:c r="A358" s="12" t="str">
        <x:f>IFERROR(INDEX('02_ツリー'!$E$5:$E$560,MATCH(ROWS($A$11:A358),'02_ツリー'!$R$5:$R$560,0)),"")</x:f>
        <x:v>M_gate_iso</x:v>
      </x:c>
      <x:c r="B358" s="48" t="n">
        <x:f>IF($A358="","",SUMIFS('02_ツリー'!$K$5:$K$560,'02_ツリー'!$E$5:$E$560,$A358,'02_ツリー'!$K$5:$K$560,"&gt;0"))</x:f>
        <x:v>0.010058294505749693</x:v>
      </x:c>
      <x:c r="C358" s="48" t="n">
        <x:f>IF($A358="","",SUMIFS('02_ツリー'!$K$5:$K$560,'02_ツリー'!$E$5:$E$560,$A358,'02_ツリー'!$K$5:$K$560,"&lt;0"))</x:f>
        <x:v>0</x:v>
      </x:c>
      <x:c r="D358" s="48" t="n">
        <x:f>IF($A358="","",B358+C358)</x:f>
        <x:v>0.010058294505749693</x:v>
      </x:c>
      <x:c r="E358" s="48" t="n">
        <x:f>IF($A358="","",B358-C358)</x:f>
        <x:v>0.010058294505749693</x:v>
      </x:c>
      <x:c r="F358" s="48" t="n">
        <x:f>IF($A358="","",SUMIFS('02_ツリー'!$H$5:$H$560,'02_ツリー'!$E$5:$E$560,$A358,'02_ツリー'!$K$5:$K$560,"&gt;0"))</x:f>
        <x:v>0.08999999999999998</x:v>
      </x:c>
      <x:c r="G358" s="48" t="n">
        <x:f>IF($A358="","",-SUMIFS('02_ツリー'!$H$5:$H$560,'02_ツリー'!$E$5:$E$560,$A358,'02_ツリー'!$K$5:$K$560,"&lt;0"))</x:f>
        <x:v>0</x:v>
      </x:c>
      <x:c r="H358" s="48" t="n">
        <x:f>IF($A358="","",F358+G358)</x:f>
        <x:v>0.08999999999999998</x:v>
      </x:c>
      <x:c r="I358" s="244" t="n">
        <x:f>IF($A358="","",--(COUNTIFS('02_ツリー'!$E$5:$E$560,$A358,'02_ツリー'!$O$5:$O$560,0)=0))</x:f>
        <x:v>0</x:v>
      </x:c>
      <x:c r="J358" s="12" t="str">
        <x:f>IF($A358="","",IF(AND(B358&gt;0,C358&lt;0),"正負あり",IF(B358&gt;0,"正のみ",IF(C358&lt;0,"負のみ","ゼロ"))))</x:f>
        <x:v>正のみ</x:v>
      </x:c>
      <x:c r="K358" s="244" t="n">
        <x:f>IF($A358="","",--AND(B358&gt;0,C358&lt;0))</x:f>
        <x:v>0</x:v>
      </x:c>
      <x:c r="L358" s="244" t="n">
        <x:f>IF($A358="","",COUNTIF('02_ツリー'!$E$5:$E$560,$A358))</x:f>
        <x:v>1</x:v>
      </x:c>
      <x:c r="M358" s="244" t="n">
        <x:f>IF($A358="","",--(LEFT(A358,7)="Enable_"))</x:f>
        <x:v>0</x:v>
      </x:c>
      <x:c r="N358" s="12"/>
      <x:c r="O358" s="12"/>
      <x:c r="P358" s="12"/>
      <x:c r="Q358" s="12"/>
      <x:c r="R358" s="12"/>
      <x:c r="S358" s="12"/>
      <x:c r="T358" s="12"/>
      <x:c r="U358" s="12"/>
      <x:c r="V358" s="12"/>
      <x:c r="W358" s="12"/>
      <x:c r="X358" s="12"/>
      <x:c r="Y358" s="12"/>
    </x:row>
    <x:row r="359">
      <x:c r="A359" s="12" t="str">
        <x:f>IFERROR(INDEX('02_ツリー'!$E$5:$E$560,MATCH(ROWS($A$11:A359),'02_ツリー'!$R$5:$R$560,0)),"")</x:f>
        <x:v>Enable_isolated_bias</x:v>
      </x:c>
      <x:c r="B359" s="48" t="n">
        <x:f>IF($A359="","",SUMIFS('02_ツリー'!$K$5:$K$560,'02_ツリー'!$E$5:$E$560,$A359,'02_ツリー'!$K$5:$K$560,"&gt;0"))</x:f>
        <x:v>0.005587941392083163</x:v>
      </x:c>
      <x:c r="C359" s="48" t="n">
        <x:f>IF($A359="","",SUMIFS('02_ツリー'!$K$5:$K$560,'02_ツリー'!$E$5:$E$560,$A359,'02_ツリー'!$K$5:$K$560,"&lt;0"))</x:f>
        <x:v>0</x:v>
      </x:c>
      <x:c r="D359" s="48" t="n">
        <x:f>IF($A359="","",B359+C359)</x:f>
        <x:v>0.005587941392083163</x:v>
      </x:c>
      <x:c r="E359" s="48" t="n">
        <x:f>IF($A359="","",B359-C359)</x:f>
        <x:v>0.005587941392083163</x:v>
      </x:c>
      <x:c r="F359" s="48" t="n">
        <x:f>IF($A359="","",SUMIFS('02_ツリー'!$H$5:$H$560,'02_ツリー'!$E$5:$E$560,$A359,'02_ツリー'!$K$5:$K$560,"&gt;0"))</x:f>
        <x:v>0.049999999999999996</x:v>
      </x:c>
      <x:c r="G359" s="48" t="n">
        <x:f>IF($A359="","",-SUMIFS('02_ツリー'!$H$5:$H$560,'02_ツリー'!$E$5:$E$560,$A359,'02_ツリー'!$K$5:$K$560,"&lt;0"))</x:f>
        <x:v>0</x:v>
      </x:c>
      <x:c r="H359" s="48" t="n">
        <x:f>IF($A359="","",F359+G359)</x:f>
        <x:v>0.049999999999999996</x:v>
      </x:c>
      <x:c r="I359" s="244" t="n">
        <x:f>IF($A359="","",--(COUNTIFS('02_ツリー'!$E$5:$E$560,$A359,'02_ツリー'!$O$5:$O$560,0)=0))</x:f>
        <x:v>1</x:v>
      </x:c>
      <x:c r="J359" s="12" t="str">
        <x:f>IF($A359="","",IF(AND(B359&gt;0,C359&lt;0),"正負あり",IF(B359&gt;0,"正のみ",IF(C359&lt;0,"負のみ","ゼロ"))))</x:f>
        <x:v>正のみ</x:v>
      </x:c>
      <x:c r="K359" s="244" t="n">
        <x:f>IF($A359="","",--AND(B359&gt;0,C359&lt;0))</x:f>
        <x:v>0</x:v>
      </x:c>
      <x:c r="L359" s="244" t="n">
        <x:f>IF($A359="","",COUNTIF('02_ツリー'!$E$5:$E$560,$A359))</x:f>
        <x:v>1</x:v>
      </x:c>
      <x:c r="M359" s="244" t="n">
        <x:f>IF($A359="","",--(LEFT(A359,7)="Enable_"))</x:f>
        <x:v>1</x:v>
      </x:c>
      <x:c r="N359" s="12"/>
      <x:c r="O359" s="12"/>
      <x:c r="P359" s="12"/>
      <x:c r="Q359" s="12"/>
      <x:c r="R359" s="12"/>
      <x:c r="S359" s="12"/>
      <x:c r="T359" s="12"/>
      <x:c r="U359" s="12"/>
      <x:c r="V359" s="12"/>
      <x:c r="W359" s="12"/>
      <x:c r="X359" s="12"/>
      <x:c r="Y359" s="12"/>
    </x:row>
    <x:row r="360">
      <x:c r="A360" s="12" t="str">
        <x:f>IFERROR(INDEX('02_ツリー'!$E$5:$E$560,MATCH(ROWS($A$11:A360),'02_ツリー'!$R$5:$R$560,0)),"")</x:f>
        <x:v>M_DESAT</x:v>
      </x:c>
      <x:c r="B360" s="48" t="n">
        <x:f>IF($A360="","",SUMIFS('02_ツリー'!$K$5:$K$560,'02_ツリー'!$E$5:$E$560,$A360,'02_ツリー'!$K$5:$K$560,"&gt;0"))</x:f>
        <x:v>0.002793970696041582</x:v>
      </x:c>
      <x:c r="C360" s="48" t="n">
        <x:f>IF($A360="","",SUMIFS('02_ツリー'!$K$5:$K$560,'02_ツリー'!$E$5:$E$560,$A360,'02_ツリー'!$K$5:$K$560,"&lt;0"))</x:f>
        <x:v>0</x:v>
      </x:c>
      <x:c r="D360" s="48" t="n">
        <x:f>IF($A360="","",B360+C360)</x:f>
        <x:v>0.002793970696041582</x:v>
      </x:c>
      <x:c r="E360" s="48" t="n">
        <x:f>IF($A360="","",B360-C360)</x:f>
        <x:v>0.002793970696041582</x:v>
      </x:c>
      <x:c r="F360" s="48" t="n">
        <x:f>IF($A360="","",SUMIFS('02_ツリー'!$H$5:$H$560,'02_ツリー'!$E$5:$E$560,$A360,'02_ツリー'!$K$5:$K$560,"&gt;0"))</x:f>
        <x:v>0.025</x:v>
      </x:c>
      <x:c r="G360" s="48" t="n">
        <x:f>IF($A360="","",-SUMIFS('02_ツリー'!$H$5:$H$560,'02_ツリー'!$E$5:$E$560,$A360,'02_ツリー'!$K$5:$K$560,"&lt;0"))</x:f>
        <x:v>0</x:v>
      </x:c>
      <x:c r="H360" s="48" t="n">
        <x:f>IF($A360="","",F360+G360)</x:f>
        <x:v>0.025</x:v>
      </x:c>
      <x:c r="I360" s="244" t="n">
        <x:f>IF($A360="","",--(COUNTIFS('02_ツリー'!$E$5:$E$560,$A360,'02_ツリー'!$O$5:$O$560,0)=0))</x:f>
        <x:v>0</x:v>
      </x:c>
      <x:c r="J360" s="12" t="str">
        <x:f>IF($A360="","",IF(AND(B360&gt;0,C360&lt;0),"正負あり",IF(B360&gt;0,"正のみ",IF(C360&lt;0,"負のみ","ゼロ"))))</x:f>
        <x:v>正のみ</x:v>
      </x:c>
      <x:c r="K360" s="244" t="n">
        <x:f>IF($A360="","",--AND(B360&gt;0,C360&lt;0))</x:f>
        <x:v>0</x:v>
      </x:c>
      <x:c r="L360" s="244" t="n">
        <x:f>IF($A360="","",COUNTIF('02_ツリー'!$E$5:$E$560,$A360))</x:f>
        <x:v>1</x:v>
      </x:c>
      <x:c r="M360" s="244" t="n">
        <x:f>IF($A360="","",--(LEFT(A360,7)="Enable_"))</x:f>
        <x:v>0</x:v>
      </x:c>
      <x:c r="N360" s="12"/>
      <x:c r="O360" s="12"/>
      <x:c r="P360" s="12"/>
      <x:c r="Q360" s="12"/>
      <x:c r="R360" s="12"/>
      <x:c r="S360" s="12"/>
      <x:c r="T360" s="12"/>
      <x:c r="U360" s="12"/>
      <x:c r="V360" s="12"/>
      <x:c r="W360" s="12"/>
      <x:c r="X360" s="12"/>
      <x:c r="Y360" s="12"/>
    </x:row>
    <x:row r="361">
      <x:c r="A361" s="12" t="str">
        <x:f>IFERROR(INDEX('02_ツリー'!$E$5:$E$560,MATCH(ROWS($A$11:A361),'02_ツリー'!$R$5:$R$560,0)),"")</x:f>
        <x:v>Enable_DESAT</x:v>
      </x:c>
      <x:c r="B361" s="48" t="n">
        <x:f>IF($A361="","",SUMIFS('02_ツリー'!$K$5:$K$560,'02_ツリー'!$E$5:$E$560,$A361,'02_ツリー'!$K$5:$K$560,"&gt;0"))</x:f>
        <x:v>0.002793970696041582</x:v>
      </x:c>
      <x:c r="C361" s="48" t="n">
        <x:f>IF($A361="","",SUMIFS('02_ツリー'!$K$5:$K$560,'02_ツリー'!$E$5:$E$560,$A361,'02_ツリー'!$K$5:$K$560,"&lt;0"))</x:f>
        <x:v>-0.0000073293309270293475</x:v>
      </x:c>
      <x:c r="D361" s="48" t="n">
        <x:f>IF($A361="","",B361+C361)</x:f>
        <x:v>0.0027866413651145526</x:v>
      </x:c>
      <x:c r="E361" s="48" t="n">
        <x:f>IF($A361="","",B361-C361)</x:f>
        <x:v>0.002801300026968611</x:v>
      </x:c>
      <x:c r="F361" s="48" t="n">
        <x:f>IF($A361="","",SUMIFS('02_ツリー'!$H$5:$H$560,'02_ツリー'!$E$5:$E$560,$A361,'02_ツリー'!$K$5:$K$560,"&gt;0"))</x:f>
        <x:v>0.025</x:v>
      </x:c>
      <x:c r="G361" s="48" t="n">
        <x:f>IF($A361="","",-SUMIFS('02_ツリー'!$H$5:$H$560,'02_ツリー'!$E$5:$E$560,$A361,'02_ツリー'!$K$5:$K$560,"&lt;0"))</x:f>
        <x:v>-0.00006558167322060084</x:v>
      </x:c>
      <x:c r="H361" s="48" t="n">
        <x:f>IF($A361="","",F361+G361)</x:f>
        <x:v>0.024934418326779402</x:v>
      </x:c>
      <x:c r="I361" s="244" t="n">
        <x:f>IF($A361="","",--(COUNTIFS('02_ツリー'!$E$5:$E$560,$A361,'02_ツリー'!$O$5:$O$560,0)=0))</x:f>
        <x:v>1</x:v>
      </x:c>
      <x:c r="J361" s="12" t="str">
        <x:f>IF($A361="","",IF(AND(B361&gt;0,C361&lt;0),"正負あり",IF(B361&gt;0,"正のみ",IF(C361&lt;0,"負のみ","ゼロ"))))</x:f>
        <x:v>正負あり</x:v>
      </x:c>
      <x:c r="K361" s="244" t="n">
        <x:f>IF($A361="","",--AND(B361&gt;0,C361&lt;0))</x:f>
        <x:v>1</x:v>
      </x:c>
      <x:c r="L361" s="244" t="n">
        <x:f>IF($A361="","",COUNTIF('02_ツリー'!$E$5:$E$560,$A361))</x:f>
        <x:v>2</x:v>
      </x:c>
      <x:c r="M361" s="244" t="n">
        <x:f>IF($A361="","",--(LEFT(A361,7)="Enable_"))</x:f>
        <x:v>1</x:v>
      </x:c>
      <x:c r="N361" s="12"/>
      <x:c r="O361" s="12"/>
      <x:c r="P361" s="12"/>
      <x:c r="Q361" s="12"/>
      <x:c r="R361" s="12"/>
      <x:c r="S361" s="12"/>
      <x:c r="T361" s="12"/>
      <x:c r="U361" s="12"/>
      <x:c r="V361" s="12"/>
      <x:c r="W361" s="12"/>
      <x:c r="X361" s="12"/>
      <x:c r="Y361" s="12"/>
    </x:row>
    <x:row r="362">
      <x:c r="A362" s="12" t="str">
        <x:f>IFERROR(INDEX('02_ツリー'!$E$5:$E$560,MATCH(ROWS($A$11:A362),'02_ツリー'!$R$5:$R$560,0)),"")</x:f>
        <x:v>Enable_active_clamp</x:v>
      </x:c>
      <x:c r="B362" s="48" t="n">
        <x:f>IF($A362="","",SUMIFS('02_ツリー'!$K$5:$K$560,'02_ツリー'!$E$5:$E$560,$A362,'02_ツリー'!$K$5:$K$560,"&gt;0"))</x:f>
        <x:v>0.004069966466165056</x:v>
      </x:c>
      <x:c r="C362" s="48" t="n">
        <x:f>IF($A362="","",SUMIFS('02_ツリー'!$K$5:$K$560,'02_ツリー'!$E$5:$E$560,$A362,'02_ツリー'!$K$5:$K$560,"&lt;0"))</x:f>
        <x:v>-0.0000027847063661934655</x:v>
      </x:c>
      <x:c r="D362" s="48" t="n">
        <x:f>IF($A362="","",B362+C362)</x:f>
        <x:v>0.004067181759798862</x:v>
      </x:c>
      <x:c r="E362" s="48" t="n">
        <x:f>IF($A362="","",B362-C362)</x:f>
        <x:v>0.004072751172531249</x:v>
      </x:c>
      <x:c r="F362" s="48" t="n">
        <x:f>IF($A362="","",SUMIFS('02_ツリー'!$H$5:$H$560,'02_ツリー'!$E$5:$E$560,$A362,'02_ツリー'!$K$5:$K$560,"&gt;0"))</x:f>
        <x:v>0.036417404734516975</x:v>
      </x:c>
      <x:c r="G362" s="48" t="n">
        <x:f>IF($A362="","",-SUMIFS('02_ツリー'!$H$5:$H$560,'02_ツリー'!$E$5:$E$560,$A362,'02_ツリー'!$K$5:$K$560,"&lt;0"))</x:f>
        <x:v>-0.000024917104267939876</x:v>
      </x:c>
      <x:c r="H362" s="48" t="n">
        <x:f>IF($A362="","",F362+G362)</x:f>
        <x:v>0.036392487630249035</x:v>
      </x:c>
      <x:c r="I362" s="244" t="n">
        <x:f>IF($A362="","",--(COUNTIFS('02_ツリー'!$E$5:$E$560,$A362,'02_ツリー'!$O$5:$O$560,0)=0))</x:f>
        <x:v>1</x:v>
      </x:c>
      <x:c r="J362" s="12" t="str">
        <x:f>IF($A362="","",IF(AND(B362&gt;0,C362&lt;0),"正負あり",IF(B362&gt;0,"正のみ",IF(C362&lt;0,"負のみ","ゼロ"))))</x:f>
        <x:v>正負あり</x:v>
      </x:c>
      <x:c r="K362" s="244" t="n">
        <x:f>IF($A362="","",--AND(B362&gt;0,C362&lt;0))</x:f>
        <x:v>1</x:v>
      </x:c>
      <x:c r="L362" s="244" t="n">
        <x:f>IF($A362="","",COUNTIF('02_ツリー'!$E$5:$E$560,$A362))</x:f>
        <x:v>5</x:v>
      </x:c>
      <x:c r="M362" s="244" t="n">
        <x:f>IF($A362="","",--(LEFT(A362,7)="Enable_"))</x:f>
        <x:v>1</x:v>
      </x:c>
      <x:c r="N362" s="12"/>
      <x:c r="O362" s="12"/>
      <x:c r="P362" s="12"/>
      <x:c r="Q362" s="12"/>
      <x:c r="R362" s="12"/>
      <x:c r="S362" s="12"/>
      <x:c r="T362" s="12"/>
      <x:c r="U362" s="12"/>
      <x:c r="V362" s="12"/>
      <x:c r="W362" s="12"/>
      <x:c r="X362" s="12"/>
      <x:c r="Y362" s="12"/>
    </x:row>
    <x:row r="363">
      <x:c r="A363" s="12" t="str">
        <x:f>IFERROR(INDEX('02_ツリー'!$E$5:$E$560,MATCH(ROWS($A$11:A363),'02_ツリー'!$R$5:$R$560,0)),"")</x:f>
        <x:v>M_active_clamp</x:v>
      </x:c>
      <x:c r="B363" s="48" t="n">
        <x:f>IF($A363="","",SUMIFS('02_ツリー'!$K$5:$K$560,'02_ツリー'!$E$5:$E$560,$A363,'02_ツリー'!$K$5:$K$560,"&gt;0"))</x:f>
        <x:v>0</x:v>
      </x:c>
      <x:c r="C363" s="48" t="n">
        <x:f>IF($A363="","",SUMIFS('02_ツリー'!$K$5:$K$560,'02_ツリー'!$E$5:$E$560,$A363,'02_ツリー'!$K$5:$K$560,"&lt;0"))</x:f>
        <x:v>0</x:v>
      </x:c>
      <x:c r="D363" s="48" t="n">
        <x:f>IF($A363="","",B363+C363)</x:f>
        <x:v>0</x:v>
      </x:c>
      <x:c r="E363" s="48" t="n">
        <x:f>IF($A363="","",B363-C363)</x:f>
        <x:v>0</x:v>
      </x:c>
      <x:c r="F363" s="48" t="n">
        <x:f>IF($A363="","",SUMIFS('02_ツリー'!$H$5:$H$560,'02_ツリー'!$E$5:$E$560,$A363,'02_ツリー'!$K$5:$K$560,"&gt;0"))</x:f>
        <x:v>0</x:v>
      </x:c>
      <x:c r="G363" s="48" t="n">
        <x:f>IF($A363="","",-SUMIFS('02_ツリー'!$H$5:$H$560,'02_ツリー'!$E$5:$E$560,$A363,'02_ツリー'!$K$5:$K$560,"&lt;0"))</x:f>
        <x:v>0</x:v>
      </x:c>
      <x:c r="H363" s="48" t="n">
        <x:f>IF($A363="","",F363+G363)</x:f>
        <x:v>0</x:v>
      </x:c>
      <x:c r="I363" s="244" t="n">
        <x:f>IF($A363="","",--(COUNTIFS('02_ツリー'!$E$5:$E$560,$A363,'02_ツリー'!$O$5:$O$560,0)=0))</x:f>
        <x:v>0</x:v>
      </x:c>
      <x:c r="J363" s="12" t="str">
        <x:f>IF($A363="","",IF(AND(B363&gt;0,C363&lt;0),"正負あり",IF(B363&gt;0,"正のみ",IF(C363&lt;0,"負のみ","ゼロ"))))</x:f>
        <x:v>ゼロ</x:v>
      </x:c>
      <x:c r="K363" s="244" t="n">
        <x:f>IF($A363="","",--AND(B363&gt;0,C363&lt;0))</x:f>
        <x:v>0</x:v>
      </x:c>
      <x:c r="L363" s="244" t="n">
        <x:f>IF($A363="","",COUNTIF('02_ツリー'!$E$5:$E$560,$A363))</x:f>
        <x:v>1</x:v>
      </x:c>
      <x:c r="M363" s="244" t="n">
        <x:f>IF($A363="","",--(LEFT(A363,7)="Enable_"))</x:f>
        <x:v>0</x:v>
      </x:c>
      <x:c r="N363" s="12"/>
      <x:c r="O363" s="12"/>
      <x:c r="P363" s="12"/>
      <x:c r="Q363" s="12"/>
      <x:c r="R363" s="12"/>
      <x:c r="S363" s="12"/>
      <x:c r="T363" s="12"/>
      <x:c r="U363" s="12"/>
      <x:c r="V363" s="12"/>
      <x:c r="W363" s="12"/>
      <x:c r="X363" s="12"/>
      <x:c r="Y363" s="12"/>
    </x:row>
    <x:row r="364">
      <x:c r="A364" s="12" t="str">
        <x:f>IFERROR(INDEX('02_ツリー'!$E$5:$E$560,MATCH(ROWS($A$11:A364),'02_ツリー'!$R$5:$R$560,0)),"")</x:f>
        <x:v>P_active_clamp</x:v>
      </x:c>
      <x:c r="B364" s="48" t="n">
        <x:f>IF($A364="","",SUMIFS('02_ツリー'!$K$5:$K$560,'02_ツリー'!$E$5:$E$560,$A364,'02_ツリー'!$K$5:$K$560,"&gt;0"))</x:f>
        <x:v>0</x:v>
      </x:c>
      <x:c r="C364" s="48" t="n">
        <x:f>IF($A364="","",SUMIFS('02_ツリー'!$K$5:$K$560,'02_ツリー'!$E$5:$E$560,$A364,'02_ツリー'!$K$5:$K$560,"&lt;0"))</x:f>
        <x:v>0</x:v>
      </x:c>
      <x:c r="D364" s="48" t="n">
        <x:f>IF($A364="","",B364+C364)</x:f>
        <x:v>0</x:v>
      </x:c>
      <x:c r="E364" s="48" t="n">
        <x:f>IF($A364="","",B364-C364)</x:f>
        <x:v>0</x:v>
      </x:c>
      <x:c r="F364" s="48" t="n">
        <x:f>IF($A364="","",SUMIFS('02_ツリー'!$H$5:$H$560,'02_ツリー'!$E$5:$E$560,$A364,'02_ツリー'!$K$5:$K$560,"&gt;0"))</x:f>
        <x:v>0</x:v>
      </x:c>
      <x:c r="G364" s="48" t="n">
        <x:f>IF($A364="","",-SUMIFS('02_ツリー'!$H$5:$H$560,'02_ツリー'!$E$5:$E$560,$A364,'02_ツリー'!$K$5:$K$560,"&lt;0"))</x:f>
        <x:v>0</x:v>
      </x:c>
      <x:c r="H364" s="48" t="n">
        <x:f>IF($A364="","",F364+G364)</x:f>
        <x:v>0</x:v>
      </x:c>
      <x:c r="I364" s="244" t="n">
        <x:f>IF($A364="","",--(COUNTIFS('02_ツリー'!$E$5:$E$560,$A364,'02_ツリー'!$O$5:$O$560,0)=0))</x:f>
        <x:v>0</x:v>
      </x:c>
      <x:c r="J364" s="12" t="str">
        <x:f>IF($A364="","",IF(AND(B364&gt;0,C364&lt;0),"正負あり",IF(B364&gt;0,"正のみ",IF(C364&lt;0,"負のみ","ゼロ"))))</x:f>
        <x:v>ゼロ</x:v>
      </x:c>
      <x:c r="K364" s="244" t="n">
        <x:f>IF($A364="","",--AND(B364&gt;0,C364&lt;0))</x:f>
        <x:v>0</x:v>
      </x:c>
      <x:c r="L364" s="244" t="n">
        <x:f>IF($A364="","",COUNTIF('02_ツリー'!$E$5:$E$560,$A364))</x:f>
        <x:v>1</x:v>
      </x:c>
      <x:c r="M364" s="244" t="n">
        <x:f>IF($A364="","",--(LEFT(A364,7)="Enable_"))</x:f>
        <x:v>0</x:v>
      </x:c>
      <x:c r="N364" s="12"/>
      <x:c r="O364" s="12"/>
      <x:c r="P364" s="12"/>
      <x:c r="Q364" s="12"/>
      <x:c r="R364" s="12"/>
      <x:c r="S364" s="12"/>
      <x:c r="T364" s="12"/>
      <x:c r="U364" s="12"/>
      <x:c r="V364" s="12"/>
      <x:c r="W364" s="12"/>
      <x:c r="X364" s="12"/>
      <x:c r="Y364" s="12"/>
    </x:row>
    <x:row r="365">
      <x:c r="A365" s="12" t="str">
        <x:f>IFERROR(INDEX('02_ツリー'!$E$5:$E$560,MATCH(ROWS($A$11:A365),'02_ツリー'!$R$5:$R$560,0)),"")</x:f>
        <x:v>M_clearance</x:v>
      </x:c>
      <x:c r="B365" s="48" t="n">
        <x:f>IF($A365="","",SUMIFS('02_ツリー'!$K$5:$K$560,'02_ツリー'!$E$5:$E$560,$A365,'02_ツリー'!$K$5:$K$560,"&gt;0"))</x:f>
        <x:v>0.020116589011499385</x:v>
      </x:c>
      <x:c r="C365" s="48" t="n">
        <x:f>IF($A365="","",SUMIFS('02_ツリー'!$K$5:$K$560,'02_ツリー'!$E$5:$E$560,$A365,'02_ツリー'!$K$5:$K$560,"&lt;0"))</x:f>
        <x:v>0</x:v>
      </x:c>
      <x:c r="D365" s="48" t="n">
        <x:f>IF($A365="","",B365+C365)</x:f>
        <x:v>0.020116589011499385</x:v>
      </x:c>
      <x:c r="E365" s="48" t="n">
        <x:f>IF($A365="","",B365-C365)</x:f>
        <x:v>0.020116589011499385</x:v>
      </x:c>
      <x:c r="F365" s="48" t="n">
        <x:f>IF($A365="","",SUMIFS('02_ツリー'!$H$5:$H$560,'02_ツリー'!$E$5:$E$560,$A365,'02_ツリー'!$K$5:$K$560,"&gt;0"))</x:f>
        <x:v>0.17999999999999997</x:v>
      </x:c>
      <x:c r="G365" s="48" t="n">
        <x:f>IF($A365="","",-SUMIFS('02_ツリー'!$H$5:$H$560,'02_ツリー'!$E$5:$E$560,$A365,'02_ツリー'!$K$5:$K$560,"&lt;0"))</x:f>
        <x:v>0</x:v>
      </x:c>
      <x:c r="H365" s="48" t="n">
        <x:f>IF($A365="","",F365+G365)</x:f>
        <x:v>0.17999999999999997</x:v>
      </x:c>
      <x:c r="I365" s="244" t="n">
        <x:f>IF($A365="","",--(COUNTIFS('02_ツリー'!$E$5:$E$560,$A365,'02_ツリー'!$O$5:$O$560,0)=0))</x:f>
        <x:v>0</x:v>
      </x:c>
      <x:c r="J365" s="12" t="str">
        <x:f>IF($A365="","",IF(AND(B365&gt;0,C365&lt;0),"正負あり",IF(B365&gt;0,"正のみ",IF(C365&lt;0,"負のみ","ゼロ"))))</x:f>
        <x:v>正のみ</x:v>
      </x:c>
      <x:c r="K365" s="244" t="n">
        <x:f>IF($A365="","",--AND(B365&gt;0,C365&lt;0))</x:f>
        <x:v>0</x:v>
      </x:c>
      <x:c r="L365" s="244" t="n">
        <x:f>IF($A365="","",COUNTIF('02_ツリー'!$E$5:$E$560,$A365))</x:f>
        <x:v>1</x:v>
      </x:c>
      <x:c r="M365" s="244" t="n">
        <x:f>IF($A365="","",--(LEFT(A365,7)="Enable_"))</x:f>
        <x:v>0</x:v>
      </x:c>
      <x:c r="N365" s="12"/>
      <x:c r="O365" s="12"/>
      <x:c r="P365" s="12"/>
      <x:c r="Q365" s="12"/>
      <x:c r="R365" s="12"/>
      <x:c r="S365" s="12"/>
      <x:c r="T365" s="12"/>
      <x:c r="U365" s="12"/>
      <x:c r="V365" s="12"/>
      <x:c r="W365" s="12"/>
      <x:c r="X365" s="12"/>
      <x:c r="Y365" s="12"/>
    </x:row>
    <x:row r="366">
      <x:c r="A366" s="12" t="str">
        <x:f>IFERROR(INDEX('02_ツリー'!$E$5:$E$560,MATCH(ROWS($A$11:A366),'02_ツリー'!$R$5:$R$560,0)),"")</x:f>
        <x:v>Enable_hi_ins</x:v>
      </x:c>
      <x:c r="B366" s="48" t="n">
        <x:f>IF($A366="","",SUMIFS('02_ツリー'!$K$5:$K$560,'02_ツリー'!$E$5:$E$560,$A366,'02_ツリー'!$K$5:$K$560,"&gt;0"))</x:f>
        <x:v>0.0067055296704997954</x:v>
      </x:c>
      <x:c r="C366" s="48" t="n">
        <x:f>IF($A366="","",SUMIFS('02_ツリー'!$K$5:$K$560,'02_ツリー'!$E$5:$E$560,$A366,'02_ツリー'!$K$5:$K$560,"&lt;0"))</x:f>
        <x:v>-0.006034976703449816</x:v>
      </x:c>
      <x:c r="D366" s="48" t="n">
        <x:f>IF($A366="","",B366+C366)</x:f>
        <x:v>0.0006705529670499796</x:v>
      </x:c>
      <x:c r="E366" s="48" t="n">
        <x:f>IF($A366="","",B366-C366)</x:f>
        <x:v>0.012740506373949611</x:v>
      </x:c>
      <x:c r="F366" s="48" t="n">
        <x:f>IF($A366="","",SUMIFS('02_ツリー'!$H$5:$H$560,'02_ツリー'!$E$5:$E$560,$A366,'02_ツリー'!$K$5:$K$560,"&gt;0"))</x:f>
        <x:v>0.06</x:v>
      </x:c>
      <x:c r="G366" s="48" t="n">
        <x:f>IF($A366="","",-SUMIFS('02_ツリー'!$H$5:$H$560,'02_ツリー'!$E$5:$E$560,$A366,'02_ツリー'!$K$5:$K$560,"&lt;0"))</x:f>
        <x:v>-0.05399999999999999</x:v>
      </x:c>
      <x:c r="H366" s="48" t="n">
        <x:f>IF($A366="","",F366+G366)</x:f>
        <x:v>0.006000000000000005</x:v>
      </x:c>
      <x:c r="I366" s="244" t="n">
        <x:f>IF($A366="","",--(COUNTIFS('02_ツリー'!$E$5:$E$560,$A366,'02_ツリー'!$O$5:$O$560,0)=0))</x:f>
        <x:v>1</x:v>
      </x:c>
      <x:c r="J366" s="12" t="str">
        <x:f>IF($A366="","",IF(AND(B366&gt;0,C366&lt;0),"正負あり",IF(B366&gt;0,"正のみ",IF(C366&lt;0,"負のみ","ゼロ"))))</x:f>
        <x:v>正負あり</x:v>
      </x:c>
      <x:c r="K366" s="244" t="n">
        <x:f>IF($A366="","",--AND(B366&gt;0,C366&lt;0))</x:f>
        <x:v>1</x:v>
      </x:c>
      <x:c r="L366" s="244" t="n">
        <x:f>IF($A366="","",COUNTIF('02_ツリー'!$E$5:$E$560,$A366))</x:f>
        <x:v>2</x:v>
      </x:c>
      <x:c r="M366" s="244" t="n">
        <x:f>IF($A366="","",--(LEFT(A366,7)="Enable_"))</x:f>
        <x:v>1</x:v>
      </x:c>
      <x:c r="N366" s="12"/>
      <x:c r="O366" s="12"/>
      <x:c r="P366" s="12"/>
      <x:c r="Q366" s="12"/>
      <x:c r="R366" s="12"/>
      <x:c r="S366" s="12"/>
      <x:c r="T366" s="12"/>
      <x:c r="U366" s="12"/>
      <x:c r="V366" s="12"/>
      <x:c r="W366" s="12"/>
      <x:c r="X366" s="12"/>
      <x:c r="Y366" s="12"/>
    </x:row>
    <x:row r="367">
      <x:c r="A367" s="12" t="str">
        <x:f>IFERROR(INDEX('02_ツリー'!$E$5:$E$560,MATCH(ROWS($A$11:A367),'02_ツリー'!$R$5:$R$560,0)),"")</x:f>
        <x:v>M_hi_ins</x:v>
      </x:c>
      <x:c r="B367" s="48" t="n">
        <x:f>IF($A367="","",SUMIFS('02_ツリー'!$K$5:$K$560,'02_ツリー'!$E$5:$E$560,$A367,'02_ツリー'!$K$5:$K$560,"&gt;0"))</x:f>
        <x:v>0</x:v>
      </x:c>
      <x:c r="C367" s="48" t="n">
        <x:f>IF($A367="","",SUMIFS('02_ツリー'!$K$5:$K$560,'02_ツリー'!$E$5:$E$560,$A367,'02_ツリー'!$K$5:$K$560,"&lt;0"))</x:f>
        <x:v>0</x:v>
      </x:c>
      <x:c r="D367" s="48" t="n">
        <x:f>IF($A367="","",B367+C367)</x:f>
        <x:v>0</x:v>
      </x:c>
      <x:c r="E367" s="48" t="n">
        <x:f>IF($A367="","",B367-C367)</x:f>
        <x:v>0</x:v>
      </x:c>
      <x:c r="F367" s="48" t="n">
        <x:f>IF($A367="","",SUMIFS('02_ツリー'!$H$5:$H$560,'02_ツリー'!$E$5:$E$560,$A367,'02_ツリー'!$K$5:$K$560,"&gt;0"))</x:f>
        <x:v>0</x:v>
      </x:c>
      <x:c r="G367" s="48" t="n">
        <x:f>IF($A367="","",-SUMIFS('02_ツリー'!$H$5:$H$560,'02_ツリー'!$E$5:$E$560,$A367,'02_ツリー'!$K$5:$K$560,"&lt;0"))</x:f>
        <x:v>0</x:v>
      </x:c>
      <x:c r="H367" s="48" t="n">
        <x:f>IF($A367="","",F367+G367)</x:f>
        <x:v>0</x:v>
      </x:c>
      <x:c r="I367" s="244" t="n">
        <x:f>IF($A367="","",--(COUNTIFS('02_ツリー'!$E$5:$E$560,$A367,'02_ツリー'!$O$5:$O$560,0)=0))</x:f>
        <x:v>0</x:v>
      </x:c>
      <x:c r="J367" s="12" t="str">
        <x:f>IF($A367="","",IF(AND(B367&gt;0,C367&lt;0),"正負あり",IF(B367&gt;0,"正のみ",IF(C367&lt;0,"負のみ","ゼロ"))))</x:f>
        <x:v>ゼロ</x:v>
      </x:c>
      <x:c r="K367" s="244" t="n">
        <x:f>IF($A367="","",--AND(B367&gt;0,C367&lt;0))</x:f>
        <x:v>0</x:v>
      </x:c>
      <x:c r="L367" s="244" t="n">
        <x:f>IF($A367="","",COUNTIF('02_ツリー'!$E$5:$E$560,$A367))</x:f>
        <x:v>1</x:v>
      </x:c>
      <x:c r="M367" s="244" t="n">
        <x:f>IF($A367="","",--(LEFT(A367,7)="Enable_"))</x:f>
        <x:v>0</x:v>
      </x:c>
      <x:c r="N367" s="12"/>
      <x:c r="O367" s="12"/>
      <x:c r="P367" s="12"/>
      <x:c r="Q367" s="12"/>
      <x:c r="R367" s="12"/>
      <x:c r="S367" s="12"/>
      <x:c r="T367" s="12"/>
      <x:c r="U367" s="12"/>
      <x:c r="V367" s="12"/>
      <x:c r="W367" s="12"/>
      <x:c r="X367" s="12"/>
      <x:c r="Y367" s="12"/>
    </x:row>
    <x:row r="368">
      <x:c r="A368" s="12" t="str">
        <x:f>IFERROR(INDEX('02_ツリー'!$E$5:$E$560,MATCH(ROWS($A$11:A368),'02_ツリー'!$R$5:$R$560,0)),"")</x:f>
        <x:v>M_potting</x:v>
      </x:c>
      <x:c r="B368" s="48" t="n">
        <x:f>IF($A368="","",SUMIFS('02_ツリー'!$K$5:$K$560,'02_ツリー'!$E$5:$E$560,$A368,'02_ツリー'!$K$5:$K$560,"&gt;0"))</x:f>
        <x:v>0</x:v>
      </x:c>
      <x:c r="C368" s="48" t="n">
        <x:f>IF($A368="","",SUMIFS('02_ツリー'!$K$5:$K$560,'02_ツリー'!$E$5:$E$560,$A368,'02_ツリー'!$K$5:$K$560,"&lt;0"))</x:f>
        <x:v>0</x:v>
      </x:c>
      <x:c r="D368" s="48" t="n">
        <x:f>IF($A368="","",B368+C368)</x:f>
        <x:v>0</x:v>
      </x:c>
      <x:c r="E368" s="48" t="n">
        <x:f>IF($A368="","",B368-C368)</x:f>
        <x:v>0</x:v>
      </x:c>
      <x:c r="F368" s="48" t="n">
        <x:f>IF($A368="","",SUMIFS('02_ツリー'!$H$5:$H$560,'02_ツリー'!$E$5:$E$560,$A368,'02_ツリー'!$K$5:$K$560,"&gt;0"))</x:f>
        <x:v>0</x:v>
      </x:c>
      <x:c r="G368" s="48" t="n">
        <x:f>IF($A368="","",-SUMIFS('02_ツリー'!$H$5:$H$560,'02_ツリー'!$E$5:$E$560,$A368,'02_ツリー'!$K$5:$K$560,"&lt;0"))</x:f>
        <x:v>0</x:v>
      </x:c>
      <x:c r="H368" s="48" t="n">
        <x:f>IF($A368="","",F368+G368)</x:f>
        <x:v>0</x:v>
      </x:c>
      <x:c r="I368" s="244" t="n">
        <x:f>IF($A368="","",--(COUNTIFS('02_ツリー'!$E$5:$E$560,$A368,'02_ツリー'!$O$5:$O$560,0)=0))</x:f>
        <x:v>0</x:v>
      </x:c>
      <x:c r="J368" s="12" t="str">
        <x:f>IF($A368="","",IF(AND(B368&gt;0,C368&lt;0),"正負あり",IF(B368&gt;0,"正のみ",IF(C368&lt;0,"負のみ","ゼロ"))))</x:f>
        <x:v>ゼロ</x:v>
      </x:c>
      <x:c r="K368" s="244" t="n">
        <x:f>IF($A368="","",--AND(B368&gt;0,C368&lt;0))</x:f>
        <x:v>0</x:v>
      </x:c>
      <x:c r="L368" s="244" t="n">
        <x:f>IF($A368="","",COUNTIF('02_ツリー'!$E$5:$E$560,$A368))</x:f>
        <x:v>1</x:v>
      </x:c>
      <x:c r="M368" s="244" t="n">
        <x:f>IF($A368="","",--(LEFT(A368,7)="Enable_"))</x:f>
        <x:v>0</x:v>
      </x:c>
      <x:c r="N368" s="12"/>
      <x:c r="O368" s="12"/>
      <x:c r="P368" s="12"/>
      <x:c r="Q368" s="12"/>
      <x:c r="R368" s="12"/>
      <x:c r="S368" s="12"/>
      <x:c r="T368" s="12"/>
      <x:c r="U368" s="12"/>
      <x:c r="V368" s="12"/>
      <x:c r="W368" s="12"/>
      <x:c r="X368" s="12"/>
      <x:c r="Y368" s="12"/>
    </x:row>
    <x:row r="369">
      <x:c r="A369" s="12" t="str">
        <x:f>IFERROR(INDEX('02_ツリー'!$E$5:$E$560,MATCH(ROWS($A$11:A369),'02_ツリー'!$R$5:$R$560,0)),"")</x:f>
        <x:v>Enable_potting</x:v>
      </x:c>
      <x:c r="B369" s="48" t="n">
        <x:f>IF($A369="","",SUMIFS('02_ツリー'!$K$5:$K$560,'02_ツリー'!$E$5:$E$560,$A369,'02_ツリー'!$K$5:$K$560,"&gt;0"))</x:f>
        <x:v>0.026368705272773806</x:v>
      </x:c>
      <x:c r="C369" s="48" t="n">
        <x:f>IF($A369="","",SUMIFS('02_ツリー'!$K$5:$K$560,'02_ツリー'!$E$5:$E$560,$A369,'02_ツリー'!$K$5:$K$560,"&lt;0"))</x:f>
        <x:v>-0.009052465055174723</x:v>
      </x:c>
      <x:c r="D369" s="48" t="n">
        <x:f>IF($A369="","",B369+C369)</x:f>
        <x:v>0.01731624021759908</x:v>
      </x:c>
      <x:c r="E369" s="48" t="n">
        <x:f>IF($A369="","",B369-C369)</x:f>
        <x:v>0.03542117032794853</x:v>
      </x:c>
      <x:c r="F369" s="48" t="n">
        <x:f>IF($A369="","",SUMIFS('02_ツリー'!$H$5:$H$560,'02_ツリー'!$E$5:$E$560,$A369,'02_ツリー'!$K$5:$K$560,"&gt;0"))</x:f>
        <x:v>0.23594292980714004</x:v>
      </x:c>
      <x:c r="G369" s="48" t="n">
        <x:f>IF($A369="","",-SUMIFS('02_ツリー'!$H$5:$H$560,'02_ツリー'!$E$5:$E$560,$A369,'02_ツリー'!$K$5:$K$560,"&lt;0"))</x:f>
        <x:v>-0.08099999999999999</x:v>
      </x:c>
      <x:c r="H369" s="48" t="n">
        <x:f>IF($A369="","",F369+G369)</x:f>
        <x:v>0.15494292980714006</x:v>
      </x:c>
      <x:c r="I369" s="244" t="n">
        <x:f>IF($A369="","",--(COUNTIFS('02_ツリー'!$E$5:$E$560,$A369,'02_ツリー'!$O$5:$O$560,0)=0))</x:f>
        <x:v>1</x:v>
      </x:c>
      <x:c r="J369" s="12" t="str">
        <x:f>IF($A369="","",IF(AND(B369&gt;0,C369&lt;0),"正負あり",IF(B369&gt;0,"正のみ",IF(C369&lt;0,"負のみ","ゼロ"))))</x:f>
        <x:v>正負あり</x:v>
      </x:c>
      <x:c r="K369" s="244" t="n">
        <x:f>IF($A369="","",--AND(B369&gt;0,C369&lt;0))</x:f>
        <x:v>1</x:v>
      </x:c>
      <x:c r="L369" s="244" t="n">
        <x:f>IF($A369="","",COUNTIF('02_ツリー'!$E$5:$E$560,$A369))</x:f>
        <x:v>3</x:v>
      </x:c>
      <x:c r="M369" s="244" t="n">
        <x:f>IF($A369="","",--(LEFT(A369,7)="Enable_"))</x:f>
        <x:v>1</x:v>
      </x:c>
      <x:c r="N369" s="12"/>
      <x:c r="O369" s="12"/>
      <x:c r="P369" s="12"/>
      <x:c r="Q369" s="12"/>
      <x:c r="R369" s="12"/>
      <x:c r="S369" s="12"/>
      <x:c r="T369" s="12"/>
      <x:c r="U369" s="12"/>
      <x:c r="V369" s="12"/>
      <x:c r="W369" s="12"/>
      <x:c r="X369" s="12"/>
      <x:c r="Y369" s="12"/>
    </x:row>
    <x:row r="370">
      <x:c r="A370" s="12" t="str">
        <x:f>IFERROR(INDEX('02_ツリー'!$E$5:$E$560,MATCH(ROWS($A$11:A370),'02_ツリー'!$R$5:$R$560,0)),"")</x:f>
        <x:v>k_pot_thermal_eff</x:v>
      </x:c>
      <x:c r="B370" s="48" t="n">
        <x:f>IF($A370="","",SUMIFS('02_ツリー'!$K$5:$K$560,'02_ツリー'!$E$5:$E$560,$A370,'02_ツリー'!$K$5:$K$560,"&gt;0"))</x:f>
        <x:v>0.022272039345098575</x:v>
      </x:c>
      <x:c r="C370" s="48" t="n">
        <x:f>IF($A370="","",SUMIFS('02_ツリー'!$K$5:$K$560,'02_ツリー'!$E$5:$E$560,$A370,'02_ツリー'!$K$5:$K$560,"&lt;0"))</x:f>
        <x:v>0</x:v>
      </x:c>
      <x:c r="D370" s="48" t="n">
        <x:f>IF($A370="","",B370+C370)</x:f>
        <x:v>0.022272039345098575</x:v>
      </x:c>
      <x:c r="E370" s="48" t="n">
        <x:f>IF($A370="","",B370-C370)</x:f>
        <x:v>0.022272039345098575</x:v>
      </x:c>
      <x:c r="F370" s="48" t="n">
        <x:f>IF($A370="","",SUMIFS('02_ツリー'!$H$5:$H$560,'02_ツリー'!$E$5:$E$560,$A370,'02_ツリー'!$K$5:$K$560,"&gt;0"))</x:f>
        <x:v>0.19928662258925056</x:v>
      </x:c>
      <x:c r="G370" s="48" t="n">
        <x:f>IF($A370="","",-SUMIFS('02_ツリー'!$H$5:$H$560,'02_ツリー'!$E$5:$E$560,$A370,'02_ツリー'!$K$5:$K$560,"&lt;0"))</x:f>
        <x:v>0</x:v>
      </x:c>
      <x:c r="H370" s="48" t="n">
        <x:f>IF($A370="","",F370+G370)</x:f>
        <x:v>0.19928662258925056</x:v>
      </x:c>
      <x:c r="I370" s="244" t="n">
        <x:f>IF($A370="","",--(COUNTIFS('02_ツリー'!$E$5:$E$560,$A370,'02_ツリー'!$O$5:$O$560,0)=0))</x:f>
        <x:v>0</x:v>
      </x:c>
      <x:c r="J370" s="12" t="str">
        <x:f>IF($A370="","",IF(AND(B370&gt;0,C370&lt;0),"正負あり",IF(B370&gt;0,"正のみ",IF(C370&lt;0,"負のみ","ゼロ"))))</x:f>
        <x:v>正のみ</x:v>
      </x:c>
      <x:c r="K370" s="244" t="n">
        <x:f>IF($A370="","",--AND(B370&gt;0,C370&lt;0))</x:f>
        <x:v>0</x:v>
      </x:c>
      <x:c r="L370" s="244" t="n">
        <x:f>IF($A370="","",COUNTIF('02_ツリー'!$E$5:$E$560,$A370))</x:f>
        <x:v>1</x:v>
      </x:c>
      <x:c r="M370" s="244" t="n">
        <x:f>IF($A370="","",--(LEFT(A370,7)="Enable_"))</x:f>
        <x:v>0</x:v>
      </x:c>
      <x:c r="N370" s="12"/>
      <x:c r="O370" s="12"/>
      <x:c r="P370" s="12"/>
      <x:c r="Q370" s="12"/>
      <x:c r="R370" s="12"/>
      <x:c r="S370" s="12"/>
      <x:c r="T370" s="12"/>
      <x:c r="U370" s="12"/>
      <x:c r="V370" s="12"/>
      <x:c r="W370" s="12"/>
      <x:c r="X370" s="12"/>
      <x:c r="Y370" s="12"/>
    </x:row>
    <x:row r="371">
      <x:c r="A371" s="12" t="str">
        <x:f>IFERROR(INDEX('02_ツリー'!$E$5:$E$560,MATCH(ROWS($A$11:A371),'02_ツリー'!$R$5:$R$560,0)),"")</x:f>
        <x:v>P_bias_loss</x:v>
      </x:c>
      <x:c r="B371" s="48" t="n">
        <x:f>IF($A371="","",SUMIFS('02_ツリー'!$K$5:$K$560,'02_ツリー'!$E$5:$E$560,$A371,'02_ツリー'!$K$5:$K$560,"&gt;0"))</x:f>
        <x:v>2.2363443194333652e-7</x:v>
      </x:c>
      <x:c r="C371" s="48" t="n">
        <x:f>IF($A371="","",SUMIFS('02_ツリー'!$K$5:$K$560,'02_ツリー'!$E$5:$E$560,$A371,'02_ツリー'!$K$5:$K$560,"&lt;0"))</x:f>
        <x:v>0</x:v>
      </x:c>
      <x:c r="D371" s="48" t="n">
        <x:f>IF($A371="","",B371+C371)</x:f>
        <x:v>2.2363443194333652e-7</x:v>
      </x:c>
      <x:c r="E371" s="48" t="n">
        <x:f>IF($A371="","",B371-C371)</x:f>
        <x:v>2.2363443194333652e-7</x:v>
      </x:c>
      <x:c r="F371" s="48" t="n">
        <x:f>IF($A371="","",SUMIFS('02_ツリー'!$H$5:$H$560,'02_ツリー'!$E$5:$E$560,$A371,'02_ツリー'!$K$5:$K$560,"&gt;0"))</x:f>
        <x:v>0.0000020010448951753095</x:v>
      </x:c>
      <x:c r="G371" s="48" t="n">
        <x:f>IF($A371="","",-SUMIFS('02_ツリー'!$H$5:$H$560,'02_ツリー'!$E$5:$E$560,$A371,'02_ツリー'!$K$5:$K$560,"&lt;0"))</x:f>
        <x:v>0</x:v>
      </x:c>
      <x:c r="H371" s="48" t="n">
        <x:f>IF($A371="","",F371+G371)</x:f>
        <x:v>0.0000020010448951753095</x:v>
      </x:c>
      <x:c r="I371" s="244" t="n">
        <x:f>IF($A371="","",--(COUNTIFS('02_ツリー'!$E$5:$E$560,$A371,'02_ツリー'!$O$5:$O$560,0)=0))</x:f>
        <x:v>0</x:v>
      </x:c>
      <x:c r="J371" s="12" t="str">
        <x:f>IF($A371="","",IF(AND(B371&gt;0,C371&lt;0),"正負あり",IF(B371&gt;0,"正のみ",IF(C371&lt;0,"負のみ","ゼロ"))))</x:f>
        <x:v>正のみ</x:v>
      </x:c>
      <x:c r="K371" s="244" t="n">
        <x:f>IF($A371="","",--AND(B371&gt;0,C371&lt;0))</x:f>
        <x:v>0</x:v>
      </x:c>
      <x:c r="L371" s="244" t="n">
        <x:f>IF($A371="","",COUNTIF('02_ツリー'!$E$5:$E$560,$A371))</x:f>
        <x:v>1</x:v>
      </x:c>
      <x:c r="M371" s="244" t="n">
        <x:f>IF($A371="","",--(LEFT(A371,7)="Enable_"))</x:f>
        <x:v>0</x:v>
      </x:c>
      <x:c r="N371" s="12"/>
      <x:c r="O371" s="12"/>
      <x:c r="P371" s="12"/>
      <x:c r="Q371" s="12"/>
      <x:c r="R371" s="12"/>
      <x:c r="S371" s="12"/>
      <x:c r="T371" s="12"/>
      <x:c r="U371" s="12"/>
      <x:c r="V371" s="12"/>
      <x:c r="W371" s="12"/>
      <x:c r="X371" s="12"/>
      <x:c r="Y371" s="12"/>
    </x:row>
    <x:row r="372">
      <x:c r="A372" s="12" t="str">
        <x:f>IFERROR(INDEX('02_ツリー'!$E$5:$E$560,MATCH(ROWS($A$11:A372),'02_ツリー'!$R$5:$R$560,0)),"")</x:f>
        <x:v>eta_bias</x:v>
      </x:c>
      <x:c r="B372" s="48" t="n">
        <x:f>IF($A372="","",SUMIFS('02_ツリー'!$K$5:$K$560,'02_ツリー'!$E$5:$E$560,$A372,'02_ツリー'!$K$5:$K$560,"&gt;0"))</x:f>
        <x:v>0</x:v>
      </x:c>
      <x:c r="C372" s="48" t="n">
        <x:f>IF($A372="","",SUMIFS('02_ツリー'!$K$5:$K$560,'02_ツリー'!$E$5:$E$560,$A372,'02_ツリー'!$K$5:$K$560,"&lt;0"))</x:f>
        <x:v>-0.0006606740142779958</x:v>
      </x:c>
      <x:c r="D372" s="48" t="n">
        <x:f>IF($A372="","",B372+C372)</x:f>
        <x:v>-0.0006606740142779958</x:v>
      </x:c>
      <x:c r="E372" s="48" t="n">
        <x:f>IF($A372="","",B372-C372)</x:f>
        <x:v>0.0006606740142779958</x:v>
      </x:c>
      <x:c r="F372" s="48" t="n">
        <x:f>IF($A372="","",SUMIFS('02_ツリー'!$H$5:$H$560,'02_ツリー'!$E$5:$E$560,$A372,'02_ツリー'!$K$5:$K$560,"&gt;0"))</x:f>
        <x:v>0</x:v>
      </x:c>
      <x:c r="G372" s="48" t="n">
        <x:f>IF($A372="","",-SUMIFS('02_ツリー'!$H$5:$H$560,'02_ツリー'!$E$5:$E$560,$A372,'02_ツリー'!$K$5:$K$560,"&lt;0"))</x:f>
        <x:v>-0.005911604720962357</x:v>
      </x:c>
      <x:c r="H372" s="48" t="n">
        <x:f>IF($A372="","",F372+G372)</x:f>
        <x:v>-0.005911604720962357</x:v>
      </x:c>
      <x:c r="I372" s="244" t="n">
        <x:f>IF($A372="","",--(COUNTIFS('02_ツリー'!$E$5:$E$560,$A372,'02_ツリー'!$O$5:$O$560,0)=0))</x:f>
        <x:v>1</x:v>
      </x:c>
      <x:c r="J372" s="12" t="str">
        <x:f>IF($A372="","",IF(AND(B372&gt;0,C372&lt;0),"正負あり",IF(B372&gt;0,"正のみ",IF(C372&lt;0,"負のみ","ゼロ"))))</x:f>
        <x:v>負のみ</x:v>
      </x:c>
      <x:c r="K372" s="244" t="n">
        <x:f>IF($A372="","",--AND(B372&gt;0,C372&lt;0))</x:f>
        <x:v>0</x:v>
      </x:c>
      <x:c r="L372" s="244" t="n">
        <x:f>IF($A372="","",COUNTIF('02_ツリー'!$E$5:$E$560,$A372))</x:f>
        <x:v>2</x:v>
      </x:c>
      <x:c r="M372" s="244" t="n">
        <x:f>IF($A372="","",--(LEFT(A372,7)="Enable_"))</x:f>
        <x:v>0</x:v>
      </x:c>
      <x:c r="N372" s="12"/>
      <x:c r="O372" s="12"/>
      <x:c r="P372" s="12"/>
      <x:c r="Q372" s="12"/>
      <x:c r="R372" s="12"/>
      <x:c r="S372" s="12"/>
      <x:c r="T372" s="12"/>
      <x:c r="U372" s="12"/>
      <x:c r="V372" s="12"/>
      <x:c r="W372" s="12"/>
      <x:c r="X372" s="12"/>
      <x:c r="Y372" s="12"/>
    </x:row>
    <x:row r="373">
      <x:c r="A373" s="12" t="str">
        <x:f>IFERROR(INDEX('02_ツリー'!$E$5:$E$560,MATCH(ROWS($A$11:A373),'02_ツリー'!$R$5:$R$560,0)),"")</x:f>
        <x:v>M_bias_supply</x:v>
      </x:c>
      <x:c r="B373" s="48" t="n">
        <x:f>IF($A373="","",SUMIFS('02_ツリー'!$K$5:$K$560,'02_ツリー'!$E$5:$E$560,$A373,'02_ツリー'!$K$5:$K$560,"&gt;0"))</x:f>
        <x:v>0.0006594316007671995</x:v>
      </x:c>
      <x:c r="C373" s="48" t="n">
        <x:f>IF($A373="","",SUMIFS('02_ツリー'!$K$5:$K$560,'02_ツリー'!$E$5:$E$560,$A373,'02_ツリー'!$K$5:$K$560,"&lt;0"))</x:f>
        <x:v>0</x:v>
      </x:c>
      <x:c r="D373" s="48" t="n">
        <x:f>IF($A373="","",B373+C373)</x:f>
        <x:v>0.0006594316007671995</x:v>
      </x:c>
      <x:c r="E373" s="48" t="n">
        <x:f>IF($A373="","",B373-C373)</x:f>
        <x:v>0.0006594316007671995</x:v>
      </x:c>
      <x:c r="F373" s="48" t="n">
        <x:f>IF($A373="","",SUMIFS('02_ツリー'!$H$5:$H$560,'02_ツリー'!$E$5:$E$560,$A373,'02_ツリー'!$K$5:$K$560,"&gt;0"))</x:f>
        <x:v>0.005900487804878049</x:v>
      </x:c>
      <x:c r="G373" s="48" t="n">
        <x:f>IF($A373="","",-SUMIFS('02_ツリー'!$H$5:$H$560,'02_ツリー'!$E$5:$E$560,$A373,'02_ツリー'!$K$5:$K$560,"&lt;0"))</x:f>
        <x:v>0</x:v>
      </x:c>
      <x:c r="H373" s="48" t="n">
        <x:f>IF($A373="","",F373+G373)</x:f>
        <x:v>0.005900487804878049</x:v>
      </x:c>
      <x:c r="I373" s="244" t="n">
        <x:f>IF($A373="","",--(COUNTIFS('02_ツリー'!$E$5:$E$560,$A373,'02_ツリー'!$O$5:$O$560,0)=0))</x:f>
        <x:v>0</x:v>
      </x:c>
      <x:c r="J373" s="12" t="str">
        <x:f>IF($A373="","",IF(AND(B373&gt;0,C373&lt;0),"正負あり",IF(B373&gt;0,"正のみ",IF(C373&lt;0,"負のみ","ゼロ"))))</x:f>
        <x:v>正のみ</x:v>
      </x:c>
      <x:c r="K373" s="244" t="n">
        <x:f>IF($A373="","",--AND(B373&gt;0,C373&lt;0))</x:f>
        <x:v>0</x:v>
      </x:c>
      <x:c r="L373" s="244" t="n">
        <x:f>IF($A373="","",COUNTIF('02_ツリー'!$E$5:$E$560,$A373))</x:f>
        <x:v>1</x:v>
      </x:c>
      <x:c r="M373" s="244" t="n">
        <x:f>IF($A373="","",--(LEFT(A373,7)="Enable_"))</x:f>
        <x:v>0</x:v>
      </x:c>
      <x:c r="N373" s="12"/>
      <x:c r="O373" s="12"/>
      <x:c r="P373" s="12"/>
      <x:c r="Q373" s="12"/>
      <x:c r="R373" s="12"/>
      <x:c r="S373" s="12"/>
      <x:c r="T373" s="12"/>
      <x:c r="U373" s="12"/>
      <x:c r="V373" s="12"/>
      <x:c r="W373" s="12"/>
      <x:c r="X373" s="12"/>
      <x:c r="Y373" s="12"/>
    </x:row>
    <x:row r="374">
      <x:c r="A374" s="12" t="str">
        <x:f>IFERROR(INDEX('02_ツリー'!$E$5:$E$560,MATCH(ROWS($A$11:A374),'02_ツリー'!$R$5:$R$560,0)),"")</x:f>
        <x:v>M_precharge</x:v>
      </x:c>
      <x:c r="B374" s="48" t="n">
        <x:f>IF($A374="","",SUMIFS('02_ツリー'!$K$5:$K$560,'02_ツリー'!$E$5:$E$560,$A374,'02_ツリー'!$K$5:$K$560,"&gt;0"))</x:f>
        <x:v>0.011175882784166327</x:v>
      </x:c>
      <x:c r="C374" s="48" t="n">
        <x:f>IF($A374="","",SUMIFS('02_ツリー'!$K$5:$K$560,'02_ツリー'!$E$5:$E$560,$A374,'02_ツリー'!$K$5:$K$560,"&lt;0"))</x:f>
        <x:v>0</x:v>
      </x:c>
      <x:c r="D374" s="48" t="n">
        <x:f>IF($A374="","",B374+C374)</x:f>
        <x:v>0.011175882784166327</x:v>
      </x:c>
      <x:c r="E374" s="48" t="n">
        <x:f>IF($A374="","",B374-C374)</x:f>
        <x:v>0.011175882784166327</x:v>
      </x:c>
      <x:c r="F374" s="48" t="n">
        <x:f>IF($A374="","",SUMIFS('02_ツリー'!$H$5:$H$560,'02_ツリー'!$E$5:$E$560,$A374,'02_ツリー'!$K$5:$K$560,"&gt;0"))</x:f>
        <x:v>0.1</x:v>
      </x:c>
      <x:c r="G374" s="48" t="n">
        <x:f>IF($A374="","",-SUMIFS('02_ツリー'!$H$5:$H$560,'02_ツリー'!$E$5:$E$560,$A374,'02_ツリー'!$K$5:$K$560,"&lt;0"))</x:f>
        <x:v>0</x:v>
      </x:c>
      <x:c r="H374" s="48" t="n">
        <x:f>IF($A374="","",F374+G374)</x:f>
        <x:v>0.1</x:v>
      </x:c>
      <x:c r="I374" s="244" t="n">
        <x:f>IF($A374="","",--(COUNTIFS('02_ツリー'!$E$5:$E$560,$A374,'02_ツリー'!$O$5:$O$560,0)=0))</x:f>
        <x:v>0</x:v>
      </x:c>
      <x:c r="J374" s="12" t="str">
        <x:f>IF($A374="","",IF(AND(B374&gt;0,C374&lt;0),"正負あり",IF(B374&gt;0,"正のみ",IF(C374&lt;0,"負のみ","ゼロ"))))</x:f>
        <x:v>正のみ</x:v>
      </x:c>
      <x:c r="K374" s="244" t="n">
        <x:f>IF($A374="","",--AND(B374&gt;0,C374&lt;0))</x:f>
        <x:v>0</x:v>
      </x:c>
      <x:c r="L374" s="244" t="n">
        <x:f>IF($A374="","",COUNTIF('02_ツリー'!$E$5:$E$560,$A374))</x:f>
        <x:v>1</x:v>
      </x:c>
      <x:c r="M374" s="244" t="n">
        <x:f>IF($A374="","",--(LEFT(A374,7)="Enable_"))</x:f>
        <x:v>0</x:v>
      </x:c>
      <x:c r="N374" s="12"/>
      <x:c r="O374" s="12"/>
      <x:c r="P374" s="12"/>
      <x:c r="Q374" s="12"/>
      <x:c r="R374" s="12"/>
      <x:c r="S374" s="12"/>
      <x:c r="T374" s="12"/>
      <x:c r="U374" s="12"/>
      <x:c r="V374" s="12"/>
      <x:c r="W374" s="12"/>
      <x:c r="X374" s="12"/>
      <x:c r="Y374" s="12"/>
    </x:row>
    <x:row r="375">
      <x:c r="A375" s="12" t="str">
        <x:f>IFERROR(INDEX('02_ツリー'!$E$5:$E$560,MATCH(ROWS($A$11:A375),'02_ツリー'!$R$5:$R$560,0)),"")</x:f>
        <x:v>Enable_precharge</x:v>
      </x:c>
      <x:c r="B375" s="48" t="n">
        <x:f>IF($A375="","",SUMIFS('02_ツリー'!$K$5:$K$560,'02_ツリー'!$E$5:$E$560,$A375,'02_ツリー'!$K$5:$K$560,"&gt;0"))</x:f>
        <x:v>0.011175882784166327</x:v>
      </x:c>
      <x:c r="C375" s="48" t="n">
        <x:f>IF($A375="","",SUMIFS('02_ツリー'!$K$5:$K$560,'02_ツリー'!$E$5:$E$560,$A375,'02_ツリー'!$K$5:$K$560,"&lt;0"))</x:f>
        <x:v>-0.007823117948916427</x:v>
      </x:c>
      <x:c r="D375" s="48" t="n">
        <x:f>IF($A375="","",B375+C375)</x:f>
        <x:v>0.0033527648352499</x:v>
      </x:c>
      <x:c r="E375" s="48" t="n">
        <x:f>IF($A375="","",B375-C375)</x:f>
        <x:v>0.018999000733082756</x:v>
      </x:c>
      <x:c r="F375" s="48" t="n">
        <x:f>IF($A375="","",SUMIFS('02_ツリー'!$H$5:$H$560,'02_ツリー'!$E$5:$E$560,$A375,'02_ツリー'!$K$5:$K$560,"&gt;0"))</x:f>
        <x:v>0.1</x:v>
      </x:c>
      <x:c r="G375" s="48" t="n">
        <x:f>IF($A375="","",-SUMIFS('02_ツリー'!$H$5:$H$560,'02_ツリー'!$E$5:$E$560,$A375,'02_ツリー'!$K$5:$K$560,"&lt;0"))</x:f>
        <x:v>-0.06999999999999999</x:v>
      </x:c>
      <x:c r="H375" s="48" t="n">
        <x:f>IF($A375="","",F375+G375)</x:f>
        <x:v>0.030000000000000013</x:v>
      </x:c>
      <x:c r="I375" s="244" t="n">
        <x:f>IF($A375="","",--(COUNTIFS('02_ツリー'!$E$5:$E$560,$A375,'02_ツリー'!$O$5:$O$560,0)=0))</x:f>
        <x:v>1</x:v>
      </x:c>
      <x:c r="J375" s="12" t="str">
        <x:f>IF($A375="","",IF(AND(B375&gt;0,C375&lt;0),"正負あり",IF(B375&gt;0,"正のみ",IF(C375&lt;0,"負のみ","ゼロ"))))</x:f>
        <x:v>正負あり</x:v>
      </x:c>
      <x:c r="K375" s="244" t="n">
        <x:f>IF($A375="","",--AND(B375&gt;0,C375&lt;0))</x:f>
        <x:v>1</x:v>
      </x:c>
      <x:c r="L375" s="244" t="n">
        <x:f>IF($A375="","",COUNTIF('02_ツリー'!$E$5:$E$560,$A375))</x:f>
        <x:v>2</x:v>
      </x:c>
      <x:c r="M375" s="244" t="n">
        <x:f>IF($A375="","",--(LEFT(A375,7)="Enable_"))</x:f>
        <x:v>1</x:v>
      </x:c>
      <x:c r="N375" s="12"/>
      <x:c r="O375" s="12"/>
      <x:c r="P375" s="12"/>
      <x:c r="Q375" s="12"/>
      <x:c r="R375" s="12"/>
      <x:c r="S375" s="12"/>
      <x:c r="T375" s="12"/>
      <x:c r="U375" s="12"/>
      <x:c r="V375" s="12"/>
      <x:c r="W375" s="12"/>
      <x:c r="X375" s="12"/>
      <x:c r="Y375" s="12"/>
    </x:row>
    <x:row r="376">
      <x:c r="A376" s="12" t="str">
        <x:f>IFERROR(INDEX('02_ツリー'!$E$5:$E$560,MATCH(ROWS($A$11:A376),'02_ツリー'!$R$5:$R$560,0)),"")</x:f>
        <x:v>M_contactor</x:v>
      </x:c>
      <x:c r="B376" s="48" t="n">
        <x:f>IF($A376="","",SUMIFS('02_ツリー'!$K$5:$K$560,'02_ツリー'!$E$5:$E$560,$A376,'02_ツリー'!$K$5:$K$560,"&gt;0"))</x:f>
        <x:v>0.03129247179566571</x:v>
      </x:c>
      <x:c r="C376" s="48" t="n">
        <x:f>IF($A376="","",SUMIFS('02_ツリー'!$K$5:$K$560,'02_ツリー'!$E$5:$E$560,$A376,'02_ツリー'!$K$5:$K$560,"&lt;0"))</x:f>
        <x:v>0</x:v>
      </x:c>
      <x:c r="D376" s="48" t="n">
        <x:f>IF($A376="","",B376+C376)</x:f>
        <x:v>0.03129247179566571</x:v>
      </x:c>
      <x:c r="E376" s="48" t="n">
        <x:f>IF($A376="","",B376-C376)</x:f>
        <x:v>0.03129247179566571</x:v>
      </x:c>
      <x:c r="F376" s="48" t="n">
        <x:f>IF($A376="","",SUMIFS('02_ツリー'!$H$5:$H$560,'02_ツリー'!$E$5:$E$560,$A376,'02_ツリー'!$K$5:$K$560,"&gt;0"))</x:f>
        <x:v>0.27999999999999997</x:v>
      </x:c>
      <x:c r="G376" s="48" t="n">
        <x:f>IF($A376="","",-SUMIFS('02_ツリー'!$H$5:$H$560,'02_ツリー'!$E$5:$E$560,$A376,'02_ツリー'!$K$5:$K$560,"&lt;0"))</x:f>
        <x:v>0</x:v>
      </x:c>
      <x:c r="H376" s="48" t="n">
        <x:f>IF($A376="","",F376+G376)</x:f>
        <x:v>0.27999999999999997</x:v>
      </x:c>
      <x:c r="I376" s="244" t="n">
        <x:f>IF($A376="","",--(COUNTIFS('02_ツリー'!$E$5:$E$560,$A376,'02_ツリー'!$O$5:$O$560,0)=0))</x:f>
        <x:v>0</x:v>
      </x:c>
      <x:c r="J376" s="12" t="str">
        <x:f>IF($A376="","",IF(AND(B376&gt;0,C376&lt;0),"正負あり",IF(B376&gt;0,"正のみ",IF(C376&lt;0,"負のみ","ゼロ"))))</x:f>
        <x:v>正のみ</x:v>
      </x:c>
      <x:c r="K376" s="244" t="n">
        <x:f>IF($A376="","",--AND(B376&gt;0,C376&lt;0))</x:f>
        <x:v>0</x:v>
      </x:c>
      <x:c r="L376" s="244" t="n">
        <x:f>IF($A376="","",COUNTIF('02_ツリー'!$E$5:$E$560,$A376))</x:f>
        <x:v>1</x:v>
      </x:c>
      <x:c r="M376" s="244" t="n">
        <x:f>IF($A376="","",--(LEFT(A376,7)="Enable_"))</x:f>
        <x:v>0</x:v>
      </x:c>
      <x:c r="N376" s="12"/>
      <x:c r="O376" s="12"/>
      <x:c r="P376" s="12"/>
      <x:c r="Q376" s="12"/>
      <x:c r="R376" s="12"/>
      <x:c r="S376" s="12"/>
      <x:c r="T376" s="12"/>
      <x:c r="U376" s="12"/>
      <x:c r="V376" s="12"/>
      <x:c r="W376" s="12"/>
      <x:c r="X376" s="12"/>
      <x:c r="Y376" s="12"/>
    </x:row>
    <x:row r="377">
      <x:c r="A377" s="12" t="str">
        <x:f>IFERROR(INDEX('02_ツリー'!$E$5:$E$560,MATCH(ROWS($A$11:A377),'02_ツリー'!$R$5:$R$560,0)),"")</x:f>
        <x:v>M_discharge</x:v>
      </x:c>
      <x:c r="B377" s="48" t="n">
        <x:f>IF($A377="","",SUMIFS('02_ツリー'!$K$5:$K$560,'02_ツリー'!$E$5:$E$560,$A377,'02_ツリー'!$K$5:$K$560,"&gt;0"))</x:f>
        <x:v>0.021426344757587226</x:v>
      </x:c>
      <x:c r="C377" s="48" t="n">
        <x:f>IF($A377="","",SUMIFS('02_ツリー'!$K$5:$K$560,'02_ツリー'!$E$5:$E$560,$A377,'02_ツリー'!$K$5:$K$560,"&lt;0"))</x:f>
        <x:v>0</x:v>
      </x:c>
      <x:c r="D377" s="48" t="n">
        <x:f>IF($A377="","",B377+C377)</x:f>
        <x:v>0.021426344757587226</x:v>
      </x:c>
      <x:c r="E377" s="48" t="n">
        <x:f>IF($A377="","",B377-C377)</x:f>
        <x:v>0.021426344757587226</x:v>
      </x:c>
      <x:c r="F377" s="48" t="n">
        <x:f>IF($A377="","",SUMIFS('02_ツリー'!$H$5:$H$560,'02_ツリー'!$E$5:$E$560,$A377,'02_ツリー'!$K$5:$K$560,"&gt;0"))</x:f>
        <x:v>0.19171948356458662</x:v>
      </x:c>
      <x:c r="G377" s="48" t="n">
        <x:f>IF($A377="","",-SUMIFS('02_ツリー'!$H$5:$H$560,'02_ツリー'!$E$5:$E$560,$A377,'02_ツリー'!$K$5:$K$560,"&lt;0"))</x:f>
        <x:v>0</x:v>
      </x:c>
      <x:c r="H377" s="48" t="n">
        <x:f>IF($A377="","",F377+G377)</x:f>
        <x:v>0.19171948356458662</x:v>
      </x:c>
      <x:c r="I377" s="244" t="n">
        <x:f>IF($A377="","",--(COUNTIFS('02_ツリー'!$E$5:$E$560,$A377,'02_ツリー'!$O$5:$O$560,0)=0))</x:f>
        <x:v>0</x:v>
      </x:c>
      <x:c r="J377" s="12" t="str">
        <x:f>IF($A377="","",IF(AND(B377&gt;0,C377&lt;0),"正負あり",IF(B377&gt;0,"正のみ",IF(C377&lt;0,"負のみ","ゼロ"))))</x:f>
        <x:v>正のみ</x:v>
      </x:c>
      <x:c r="K377" s="244" t="n">
        <x:f>IF($A377="","",--AND(B377&gt;0,C377&lt;0))</x:f>
        <x:v>0</x:v>
      </x:c>
      <x:c r="L377" s="244" t="n">
        <x:f>IF($A377="","",COUNTIF('02_ツリー'!$E$5:$E$560,$A377))</x:f>
        <x:v>1</x:v>
      </x:c>
      <x:c r="M377" s="244" t="n">
        <x:f>IF($A377="","",--(LEFT(A377,7)="Enable_"))</x:f>
        <x:v>0</x:v>
      </x:c>
      <x:c r="N377" s="12"/>
      <x:c r="O377" s="12"/>
      <x:c r="P377" s="12"/>
      <x:c r="Q377" s="12"/>
      <x:c r="R377" s="12"/>
      <x:c r="S377" s="12"/>
      <x:c r="T377" s="12"/>
      <x:c r="U377" s="12"/>
      <x:c r="V377" s="12"/>
      <x:c r="W377" s="12"/>
      <x:c r="X377" s="12"/>
      <x:c r="Y377" s="12"/>
    </x:row>
    <x:row r="378">
      <x:c r="A378" s="12" t="str">
        <x:f>IFERROR(INDEX('02_ツリー'!$E$5:$E$560,MATCH(ROWS($A$11:A378),'02_ツリー'!$R$5:$R$560,0)),"")</x:f>
        <x:v>M_discharge_res</x:v>
      </x:c>
      <x:c r="B378" s="48" t="n">
        <x:f>IF($A378="","",SUMIFS('02_ツリー'!$K$5:$K$560,'02_ツリー'!$E$5:$E$560,$A378,'02_ツリー'!$K$5:$K$560,"&gt;0"))</x:f>
        <x:v>0.021426344757587226</x:v>
      </x:c>
      <x:c r="C378" s="48" t="n">
        <x:f>IF($A378="","",SUMIFS('02_ツリー'!$K$5:$K$560,'02_ツリー'!$E$5:$E$560,$A378,'02_ツリー'!$K$5:$K$560,"&lt;0"))</x:f>
        <x:v>0</x:v>
      </x:c>
      <x:c r="D378" s="48" t="n">
        <x:f>IF($A378="","",B378+C378)</x:f>
        <x:v>0.021426344757587226</x:v>
      </x:c>
      <x:c r="E378" s="48" t="n">
        <x:f>IF($A378="","",B378-C378)</x:f>
        <x:v>0.021426344757587226</x:v>
      </x:c>
      <x:c r="F378" s="48" t="n">
        <x:f>IF($A378="","",SUMIFS('02_ツリー'!$H$5:$H$560,'02_ツリー'!$E$5:$E$560,$A378,'02_ツリー'!$K$5:$K$560,"&gt;0"))</x:f>
        <x:v>0.19171948356458662</x:v>
      </x:c>
      <x:c r="G378" s="48" t="n">
        <x:f>IF($A378="","",-SUMIFS('02_ツリー'!$H$5:$H$560,'02_ツリー'!$E$5:$E$560,$A378,'02_ツリー'!$K$5:$K$560,"&lt;0"))</x:f>
        <x:v>0</x:v>
      </x:c>
      <x:c r="H378" s="48" t="n">
        <x:f>IF($A378="","",F378+G378)</x:f>
        <x:v>0.19171948356458662</x:v>
      </x:c>
      <x:c r="I378" s="244" t="n">
        <x:f>IF($A378="","",--(COUNTIFS('02_ツリー'!$E$5:$E$560,$A378,'02_ツリー'!$O$5:$O$560,0)=0))</x:f>
        <x:v>0</x:v>
      </x:c>
      <x:c r="J378" s="12" t="str">
        <x:f>IF($A378="","",IF(AND(B378&gt;0,C378&lt;0),"正負あり",IF(B378&gt;0,"正のみ",IF(C378&lt;0,"負のみ","ゼロ"))))</x:f>
        <x:v>正のみ</x:v>
      </x:c>
      <x:c r="K378" s="244" t="n">
        <x:f>IF($A378="","",--AND(B378&gt;0,C378&lt;0))</x:f>
        <x:v>0</x:v>
      </x:c>
      <x:c r="L378" s="244" t="n">
        <x:f>IF($A378="","",COUNTIF('02_ツリー'!$E$5:$E$560,$A378))</x:f>
        <x:v>1</x:v>
      </x:c>
      <x:c r="M378" s="244" t="n">
        <x:f>IF($A378="","",--(LEFT(A378,7)="Enable_"))</x:f>
        <x:v>0</x:v>
      </x:c>
      <x:c r="N378" s="12"/>
      <x:c r="O378" s="12"/>
      <x:c r="P378" s="12"/>
      <x:c r="Q378" s="12"/>
      <x:c r="R378" s="12"/>
      <x:c r="S378" s="12"/>
      <x:c r="T378" s="12"/>
      <x:c r="U378" s="12"/>
      <x:c r="V378" s="12"/>
      <x:c r="W378" s="12"/>
      <x:c r="X378" s="12"/>
      <x:c r="Y378" s="12"/>
    </x:row>
    <x:row r="379">
      <x:c r="A379" s="12" t="str">
        <x:f>IFERROR(INDEX('02_ツリー'!$E$5:$E$560,MATCH(ROWS($A$11:A379),'02_ツリー'!$R$5:$R$560,0)),"")</x:f>
        <x:v>R_discharge</x:v>
      </x:c>
      <x:c r="B379" s="48" t="n">
        <x:f>IF($A379="","",SUMIFS('02_ツリー'!$K$5:$K$560,'02_ツリー'!$E$5:$E$560,$A379,'02_ツリー'!$K$5:$K$560,"&gt;0"))</x:f>
        <x:v>0</x:v>
      </x:c>
      <x:c r="C379" s="48" t="n">
        <x:f>IF($A379="","",SUMIFS('02_ツリー'!$K$5:$K$560,'02_ツリー'!$E$5:$E$560,$A379,'02_ツリー'!$K$5:$K$560,"&lt;0"))</x:f>
        <x:v>0</x:v>
      </x:c>
      <x:c r="D379" s="48" t="n">
        <x:f>IF($A379="","",B379+C379)</x:f>
        <x:v>0</x:v>
      </x:c>
      <x:c r="E379" s="48" t="n">
        <x:f>IF($A379="","",B379-C379)</x:f>
        <x:v>0</x:v>
      </x:c>
      <x:c r="F379" s="48" t="n">
        <x:f>IF($A379="","",SUMIFS('02_ツリー'!$H$5:$H$560,'02_ツリー'!$E$5:$E$560,$A379,'02_ツリー'!$K$5:$K$560,"&gt;0"))</x:f>
        <x:v>0</x:v>
      </x:c>
      <x:c r="G379" s="48" t="n">
        <x:f>IF($A379="","",-SUMIFS('02_ツリー'!$H$5:$H$560,'02_ツリー'!$E$5:$E$560,$A379,'02_ツリー'!$K$5:$K$560,"&lt;0"))</x:f>
        <x:v>0</x:v>
      </x:c>
      <x:c r="H379" s="48" t="n">
        <x:f>IF($A379="","",F379+G379)</x:f>
        <x:v>0</x:v>
      </x:c>
      <x:c r="I379" s="244" t="n">
        <x:f>IF($A379="","",--(COUNTIFS('02_ツリー'!$E$5:$E$560,$A379,'02_ツリー'!$O$5:$O$560,0)=0))</x:f>
        <x:v>0</x:v>
      </x:c>
      <x:c r="J379" s="12" t="str">
        <x:f>IF($A379="","",IF(AND(B379&gt;0,C379&lt;0),"正負あり",IF(B379&gt;0,"正のみ",IF(C379&lt;0,"負のみ","ゼロ"))))</x:f>
        <x:v>ゼロ</x:v>
      </x:c>
      <x:c r="K379" s="244" t="n">
        <x:f>IF($A379="","",--AND(B379&gt;0,C379&lt;0))</x:f>
        <x:v>0</x:v>
      </x:c>
      <x:c r="L379" s="244" t="n">
        <x:f>IF($A379="","",COUNTIF('02_ツリー'!$E$5:$E$560,$A379))</x:f>
        <x:v>1</x:v>
      </x:c>
      <x:c r="M379" s="244" t="n">
        <x:f>IF($A379="","",--(LEFT(A379,7)="Enable_"))</x:f>
        <x:v>0</x:v>
      </x:c>
      <x:c r="N379" s="12"/>
      <x:c r="O379" s="12"/>
      <x:c r="P379" s="12"/>
      <x:c r="Q379" s="12"/>
      <x:c r="R379" s="12"/>
      <x:c r="S379" s="12"/>
      <x:c r="T379" s="12"/>
      <x:c r="U379" s="12"/>
      <x:c r="V379" s="12"/>
      <x:c r="W379" s="12"/>
      <x:c r="X379" s="12"/>
      <x:c r="Y379" s="12"/>
    </x:row>
    <x:row r="380">
      <x:c r="A380" s="12" t="str">
        <x:f>IFERROR(INDEX('02_ツリー'!$E$5:$E$560,MATCH(ROWS($A$11:A380),'02_ツリー'!$R$5:$R$560,0)),"")</x:f>
        <x:v>C_dc_discharge</x:v>
      </x:c>
      <x:c r="B380" s="48" t="n">
        <x:f>IF($A380="","",SUMIFS('02_ツリー'!$K$5:$K$560,'02_ツリー'!$E$5:$E$560,$A380,'02_ツリー'!$K$5:$K$560,"&gt;0"))</x:f>
        <x:v>0</x:v>
      </x:c>
      <x:c r="C380" s="48" t="n">
        <x:f>IF($A380="","",SUMIFS('02_ツリー'!$K$5:$K$560,'02_ツリー'!$E$5:$E$560,$A380,'02_ツリー'!$K$5:$K$560,"&lt;0"))</x:f>
        <x:v>0</x:v>
      </x:c>
      <x:c r="D380" s="48" t="n">
        <x:f>IF($A380="","",B380+C380)</x:f>
        <x:v>0</x:v>
      </x:c>
      <x:c r="E380" s="48" t="n">
        <x:f>IF($A380="","",B380-C380)</x:f>
        <x:v>0</x:v>
      </x:c>
      <x:c r="F380" s="48" t="n">
        <x:f>IF($A380="","",SUMIFS('02_ツリー'!$H$5:$H$560,'02_ツリー'!$E$5:$E$560,$A380,'02_ツリー'!$K$5:$K$560,"&gt;0"))</x:f>
        <x:v>0</x:v>
      </x:c>
      <x:c r="G380" s="48" t="n">
        <x:f>IF($A380="","",-SUMIFS('02_ツリー'!$H$5:$H$560,'02_ツリー'!$E$5:$E$560,$A380,'02_ツリー'!$K$5:$K$560,"&lt;0"))</x:f>
        <x:v>0</x:v>
      </x:c>
      <x:c r="H380" s="48" t="n">
        <x:f>IF($A380="","",F380+G380)</x:f>
        <x:v>0</x:v>
      </x:c>
      <x:c r="I380" s="244" t="n">
        <x:f>IF($A380="","",--(COUNTIFS('02_ツリー'!$E$5:$E$560,$A380,'02_ツリー'!$O$5:$O$560,0)=0))</x:f>
        <x:v>1</x:v>
      </x:c>
      <x:c r="J380" s="12" t="str">
        <x:f>IF($A380="","",IF(AND(B380&gt;0,C380&lt;0),"正負あり",IF(B380&gt;0,"正のみ",IF(C380&lt;0,"負のみ","ゼロ"))))</x:f>
        <x:v>ゼロ</x:v>
      </x:c>
      <x:c r="K380" s="244" t="n">
        <x:f>IF($A380="","",--AND(B380&gt;0,C380&lt;0))</x:f>
        <x:v>0</x:v>
      </x:c>
      <x:c r="L380" s="244" t="n">
        <x:f>IF($A380="","",COUNTIF('02_ツリー'!$E$5:$E$560,$A380))</x:f>
        <x:v>1</x:v>
      </x:c>
      <x:c r="M380" s="244" t="n">
        <x:f>IF($A380="","",--(LEFT(A380,7)="Enable_"))</x:f>
        <x:v>0</x:v>
      </x:c>
      <x:c r="N380" s="12"/>
      <x:c r="O380" s="12"/>
      <x:c r="P380" s="12"/>
      <x:c r="Q380" s="12"/>
      <x:c r="R380" s="12"/>
      <x:c r="S380" s="12"/>
      <x:c r="T380" s="12"/>
      <x:c r="U380" s="12"/>
      <x:c r="V380" s="12"/>
      <x:c r="W380" s="12"/>
      <x:c r="X380" s="12"/>
      <x:c r="Y380" s="12"/>
    </x:row>
    <x:row r="381">
      <x:c r="A381" s="12" t="str">
        <x:f>IFERROR(INDEX('02_ツリー'!$E$5:$E$560,MATCH(ROWS($A$11:A381),'02_ツリー'!$R$5:$R$560,0)),"")</x:f>
        <x:v>t_discharge_req</x:v>
      </x:c>
      <x:c r="B381" s="48" t="n">
        <x:f>IF($A381="","",SUMIFS('02_ツリー'!$K$5:$K$560,'02_ツリー'!$E$5:$E$560,$A381,'02_ツリー'!$K$5:$K$560,"&gt;0"))</x:f>
        <x:v>0</x:v>
      </x:c>
      <x:c r="C381" s="48" t="n">
        <x:f>IF($A381="","",SUMIFS('02_ツリー'!$K$5:$K$560,'02_ツリー'!$E$5:$E$560,$A381,'02_ツリー'!$K$5:$K$560,"&lt;0"))</x:f>
        <x:v>0</x:v>
      </x:c>
      <x:c r="D381" s="48" t="n">
        <x:f>IF($A381="","",B381+C381)</x:f>
        <x:v>0</x:v>
      </x:c>
      <x:c r="E381" s="48" t="n">
        <x:f>IF($A381="","",B381-C381)</x:f>
        <x:v>0</x:v>
      </x:c>
      <x:c r="F381" s="48" t="n">
        <x:f>IF($A381="","",SUMIFS('02_ツリー'!$H$5:$H$560,'02_ツリー'!$E$5:$E$560,$A381,'02_ツリー'!$K$5:$K$560,"&gt;0"))</x:f>
        <x:v>0</x:v>
      </x:c>
      <x:c r="G381" s="48" t="n">
        <x:f>IF($A381="","",-SUMIFS('02_ツリー'!$H$5:$H$560,'02_ツリー'!$E$5:$E$560,$A381,'02_ツリー'!$K$5:$K$560,"&lt;0"))</x:f>
        <x:v>0</x:v>
      </x:c>
      <x:c r="H381" s="48" t="n">
        <x:f>IF($A381="","",F381+G381)</x:f>
        <x:v>0</x:v>
      </x:c>
      <x:c r="I381" s="244" t="n">
        <x:f>IF($A381="","",--(COUNTIFS('02_ツリー'!$E$5:$E$560,$A381,'02_ツリー'!$O$5:$O$560,0)=0))</x:f>
        <x:v>1</x:v>
      </x:c>
      <x:c r="J381" s="12" t="str">
        <x:f>IF($A381="","",IF(AND(B381&gt;0,C381&lt;0),"正負あり",IF(B381&gt;0,"正のみ",IF(C381&lt;0,"負のみ","ゼロ"))))</x:f>
        <x:v>ゼロ</x:v>
      </x:c>
      <x:c r="K381" s="244" t="n">
        <x:f>IF($A381="","",--AND(B381&gt;0,C381&lt;0))</x:f>
        <x:v>0</x:v>
      </x:c>
      <x:c r="L381" s="244" t="n">
        <x:f>IF($A381="","",COUNTIF('02_ツリー'!$E$5:$E$560,$A381))</x:f>
        <x:v>1</x:v>
      </x:c>
      <x:c r="M381" s="244" t="n">
        <x:f>IF($A381="","",--(LEFT(A381,7)="Enable_"))</x:f>
        <x:v>0</x:v>
      </x:c>
      <x:c r="N381" s="12"/>
      <x:c r="O381" s="12"/>
      <x:c r="P381" s="12"/>
      <x:c r="Q381" s="12"/>
      <x:c r="R381" s="12"/>
      <x:c r="S381" s="12"/>
      <x:c r="T381" s="12"/>
      <x:c r="U381" s="12"/>
      <x:c r="V381" s="12"/>
      <x:c r="W381" s="12"/>
      <x:c r="X381" s="12"/>
      <x:c r="Y381" s="12"/>
    </x:row>
    <x:row r="382">
      <x:c r="A382" s="12" t="str">
        <x:f>IFERROR(INDEX('02_ツリー'!$E$5:$E$560,MATCH(ROWS($A$11:A382),'02_ツリー'!$R$5:$R$560,0)),"")</x:f>
        <x:v>V_safe_discharge</x:v>
      </x:c>
      <x:c r="B382" s="48" t="n">
        <x:f>IF($A382="","",SUMIFS('02_ツリー'!$K$5:$K$560,'02_ツリー'!$E$5:$E$560,$A382,'02_ツリー'!$K$5:$K$560,"&gt;0"))</x:f>
        <x:v>0</x:v>
      </x:c>
      <x:c r="C382" s="48" t="n">
        <x:f>IF($A382="","",SUMIFS('02_ツリー'!$K$5:$K$560,'02_ツリー'!$E$5:$E$560,$A382,'02_ツリー'!$K$5:$K$560,"&lt;0"))</x:f>
        <x:v>0</x:v>
      </x:c>
      <x:c r="D382" s="48" t="n">
        <x:f>IF($A382="","",B382+C382)</x:f>
        <x:v>0</x:v>
      </x:c>
      <x:c r="E382" s="48" t="n">
        <x:f>IF($A382="","",B382-C382)</x:f>
        <x:v>0</x:v>
      </x:c>
      <x:c r="F382" s="48" t="n">
        <x:f>IF($A382="","",SUMIFS('02_ツリー'!$H$5:$H$560,'02_ツリー'!$E$5:$E$560,$A382,'02_ツリー'!$K$5:$K$560,"&gt;0"))</x:f>
        <x:v>0</x:v>
      </x:c>
      <x:c r="G382" s="48" t="n">
        <x:f>IF($A382="","",-SUMIFS('02_ツリー'!$H$5:$H$560,'02_ツリー'!$E$5:$E$560,$A382,'02_ツリー'!$K$5:$K$560,"&lt;0"))</x:f>
        <x:v>0</x:v>
      </x:c>
      <x:c r="H382" s="48" t="n">
        <x:f>IF($A382="","",F382+G382)</x:f>
        <x:v>0</x:v>
      </x:c>
      <x:c r="I382" s="244" t="n">
        <x:f>IF($A382="","",--(COUNTIFS('02_ツリー'!$E$5:$E$560,$A382,'02_ツリー'!$O$5:$O$560,0)=0))</x:f>
        <x:v>1</x:v>
      </x:c>
      <x:c r="J382" s="12" t="str">
        <x:f>IF($A382="","",IF(AND(B382&gt;0,C382&lt;0),"正負あり",IF(B382&gt;0,"正のみ",IF(C382&lt;0,"負のみ","ゼロ"))))</x:f>
        <x:v>ゼロ</x:v>
      </x:c>
      <x:c r="K382" s="244" t="n">
        <x:f>IF($A382="","",--AND(B382&gt;0,C382&lt;0))</x:f>
        <x:v>0</x:v>
      </x:c>
      <x:c r="L382" s="244" t="n">
        <x:f>IF($A382="","",COUNTIF('02_ツリー'!$E$5:$E$560,$A382))</x:f>
        <x:v>1</x:v>
      </x:c>
      <x:c r="M382" s="244" t="n">
        <x:f>IF($A382="","",--(LEFT(A382,7)="Enable_"))</x:f>
        <x:v>0</x:v>
      </x:c>
      <x:c r="N382" s="12"/>
      <x:c r="O382" s="12"/>
      <x:c r="P382" s="12"/>
      <x:c r="Q382" s="12"/>
      <x:c r="R382" s="12"/>
      <x:c r="S382" s="12"/>
      <x:c r="T382" s="12"/>
      <x:c r="U382" s="12"/>
      <x:c r="V382" s="12"/>
      <x:c r="W382" s="12"/>
      <x:c r="X382" s="12"/>
      <x:c r="Y382" s="12"/>
    </x:row>
    <x:row r="383">
      <x:c r="A383" s="12" t="str">
        <x:f>IFERROR(INDEX('02_ツリー'!$E$5:$E$560,MATCH(ROWS($A$11:A383),'02_ツリー'!$R$5:$R$560,0)),"")</x:f>
        <x:v>P_bleed_base</x:v>
      </x:c>
      <x:c r="B383" s="48" t="n">
        <x:f>IF($A383="","",SUMIFS('02_ツリー'!$K$5:$K$560,'02_ツリー'!$E$5:$E$560,$A383,'02_ツリー'!$K$5:$K$560,"&gt;0"))</x:f>
        <x:v>0.021426344757587226</x:v>
      </x:c>
      <x:c r="C383" s="48" t="n">
        <x:f>IF($A383="","",SUMIFS('02_ツリー'!$K$5:$K$560,'02_ツリー'!$E$5:$E$560,$A383,'02_ツリー'!$K$5:$K$560,"&lt;0"))</x:f>
        <x:v>0</x:v>
      </x:c>
      <x:c r="D383" s="48" t="n">
        <x:f>IF($A383="","",B383+C383)</x:f>
        <x:v>0.021426344757587226</x:v>
      </x:c>
      <x:c r="E383" s="48" t="n">
        <x:f>IF($A383="","",B383-C383)</x:f>
        <x:v>0.021426344757587226</x:v>
      </x:c>
      <x:c r="F383" s="48" t="n">
        <x:f>IF($A383="","",SUMIFS('02_ツリー'!$H$5:$H$560,'02_ツリー'!$E$5:$E$560,$A383,'02_ツリー'!$K$5:$K$560,"&gt;0"))</x:f>
        <x:v>0.19171948356458662</x:v>
      </x:c>
      <x:c r="G383" s="48" t="n">
        <x:f>IF($A383="","",-SUMIFS('02_ツリー'!$H$5:$H$560,'02_ツリー'!$E$5:$E$560,$A383,'02_ツリー'!$K$5:$K$560,"&lt;0"))</x:f>
        <x:v>0</x:v>
      </x:c>
      <x:c r="H383" s="48" t="n">
        <x:f>IF($A383="","",F383+G383)</x:f>
        <x:v>0.19171948356458662</x:v>
      </x:c>
      <x:c r="I383" s="244" t="n">
        <x:f>IF($A383="","",--(COUNTIFS('02_ツリー'!$E$5:$E$560,$A383,'02_ツリー'!$O$5:$O$560,0)=0))</x:f>
        <x:v>1</x:v>
      </x:c>
      <x:c r="J383" s="12" t="str">
        <x:f>IF($A383="","",IF(AND(B383&gt;0,C383&lt;0),"正負あり",IF(B383&gt;0,"正のみ",IF(C383&lt;0,"負のみ","ゼロ"))))</x:f>
        <x:v>正のみ</x:v>
      </x:c>
      <x:c r="K383" s="244" t="n">
        <x:f>IF($A383="","",--AND(B383&gt;0,C383&lt;0))</x:f>
        <x:v>0</x:v>
      </x:c>
      <x:c r="L383" s="244" t="n">
        <x:f>IF($A383="","",COUNTIF('02_ツリー'!$E$5:$E$560,$A383))</x:f>
        <x:v>1</x:v>
      </x:c>
      <x:c r="M383" s="244" t="n">
        <x:f>IF($A383="","",--(LEFT(A383,7)="Enable_"))</x:f>
        <x:v>0</x:v>
      </x:c>
      <x:c r="N383" s="12"/>
      <x:c r="O383" s="12"/>
      <x:c r="P383" s="12"/>
      <x:c r="Q383" s="12"/>
      <x:c r="R383" s="12"/>
      <x:c r="S383" s="12"/>
      <x:c r="T383" s="12"/>
      <x:c r="U383" s="12"/>
      <x:c r="V383" s="12"/>
      <x:c r="W383" s="12"/>
      <x:c r="X383" s="12"/>
      <x:c r="Y383" s="12"/>
    </x:row>
    <x:row r="384">
      <x:c r="A384" s="12" t="str">
        <x:f>IFERROR(INDEX('02_ツリー'!$E$5:$E$560,MATCH(ROWS($A$11:A384),'02_ツリー'!$R$5:$R$560,0)),"")</x:f>
        <x:v>Enable_active_discharge</x:v>
      </x:c>
      <x:c r="B384" s="48" t="n">
        <x:f>IF($A384="","",SUMIFS('02_ツリー'!$K$5:$K$560,'02_ツリー'!$E$5:$E$560,$A384,'02_ツリー'!$K$5:$K$560,"&gt;0"))</x:f>
        <x:v>0.005587941392083164</x:v>
      </x:c>
      <x:c r="C384" s="48" t="n">
        <x:f>IF($A384="","",SUMIFS('02_ツリー'!$K$5:$K$560,'02_ツリー'!$E$5:$E$560,$A384,'02_ツリー'!$K$5:$K$560,"&lt;0"))</x:f>
        <x:v>-0.018909723373574154</x:v>
      </x:c>
      <x:c r="D384" s="48" t="n">
        <x:f>IF($A384="","",B384+C384)</x:f>
        <x:v>-0.01332178198149099</x:v>
      </x:c>
      <x:c r="E384" s="48" t="n">
        <x:f>IF($A384="","",B384-C384)</x:f>
        <x:v>0.024497664765657318</x:v>
      </x:c>
      <x:c r="F384" s="48" t="n">
        <x:f>IF($A384="","",SUMIFS('02_ツリー'!$H$5:$H$560,'02_ツリー'!$E$5:$E$560,$A384,'02_ツリー'!$K$5:$K$560,"&gt;0"))</x:f>
        <x:v>0.05</x:v>
      </x:c>
      <x:c r="G384" s="48" t="n">
        <x:f>IF($A384="","",-SUMIFS('02_ツリー'!$H$5:$H$560,'02_ツリー'!$E$5:$E$560,$A384,'02_ツリー'!$K$5:$K$560,"&lt;0"))</x:f>
        <x:v>-0.16920116055945855</x:v>
      </x:c>
      <x:c r="H384" s="48" t="n">
        <x:f>IF($A384="","",F384+G384)</x:f>
        <x:v>-0.11920116055945855</x:v>
      </x:c>
      <x:c r="I384" s="244" t="n">
        <x:f>IF($A384="","",--(COUNTIFS('02_ツリー'!$E$5:$E$560,$A384,'02_ツリー'!$O$5:$O$560,0)=0))</x:f>
        <x:v>1</x:v>
      </x:c>
      <x:c r="J384" s="12" t="str">
        <x:f>IF($A384="","",IF(AND(B384&gt;0,C384&lt;0),"正負あり",IF(B384&gt;0,"正のみ",IF(C384&lt;0,"負のみ","ゼロ"))))</x:f>
        <x:v>正負あり</x:v>
      </x:c>
      <x:c r="K384" s="244" t="n">
        <x:f>IF($A384="","",--AND(B384&gt;0,C384&lt;0))</x:f>
        <x:v>1</x:v>
      </x:c>
      <x:c r="L384" s="244" t="n">
        <x:f>IF($A384="","",COUNTIF('02_ツリー'!$E$5:$E$560,$A384))</x:f>
        <x:v>3</x:v>
      </x:c>
      <x:c r="M384" s="244" t="n">
        <x:f>IF($A384="","",--(LEFT(A384,7)="Enable_"))</x:f>
        <x:v>1</x:v>
      </x:c>
      <x:c r="N384" s="12"/>
      <x:c r="O384" s="12"/>
      <x:c r="P384" s="12"/>
      <x:c r="Q384" s="12"/>
      <x:c r="R384" s="12"/>
      <x:c r="S384" s="12"/>
      <x:c r="T384" s="12"/>
      <x:c r="U384" s="12"/>
      <x:c r="V384" s="12"/>
      <x:c r="W384" s="12"/>
      <x:c r="X384" s="12"/>
      <x:c r="Y384" s="12"/>
    </x:row>
    <x:row r="385">
      <x:c r="A385" s="12" t="str">
        <x:f>IFERROR(INDEX('02_ツリー'!$E$5:$E$560,MATCH(ROWS($A$11:A385),'02_ツリー'!$R$5:$R$560,0)),"")</x:f>
        <x:v>M_active_discharge_ctrl</x:v>
      </x:c>
      <x:c r="B385" s="48" t="n">
        <x:f>IF($A385="","",SUMIFS('02_ツリー'!$K$5:$K$560,'02_ツリー'!$E$5:$E$560,$A385,'02_ツリー'!$K$5:$K$560,"&gt;0"))</x:f>
        <x:v>0</x:v>
      </x:c>
      <x:c r="C385" s="48" t="n">
        <x:f>IF($A385="","",SUMIFS('02_ツリー'!$K$5:$K$560,'02_ツリー'!$E$5:$E$560,$A385,'02_ツリー'!$K$5:$K$560,"&lt;0"))</x:f>
        <x:v>0</x:v>
      </x:c>
      <x:c r="D385" s="48" t="n">
        <x:f>IF($A385="","",B385+C385)</x:f>
        <x:v>0</x:v>
      </x:c>
      <x:c r="E385" s="48" t="n">
        <x:f>IF($A385="","",B385-C385)</x:f>
        <x:v>0</x:v>
      </x:c>
      <x:c r="F385" s="48" t="n">
        <x:f>IF($A385="","",SUMIFS('02_ツリー'!$H$5:$H$560,'02_ツリー'!$E$5:$E$560,$A385,'02_ツリー'!$K$5:$K$560,"&gt;0"))</x:f>
        <x:v>0</x:v>
      </x:c>
      <x:c r="G385" s="48" t="n">
        <x:f>IF($A385="","",-SUMIFS('02_ツリー'!$H$5:$H$560,'02_ツリー'!$E$5:$E$560,$A385,'02_ツリー'!$K$5:$K$560,"&lt;0"))</x:f>
        <x:v>0</x:v>
      </x:c>
      <x:c r="H385" s="48" t="n">
        <x:f>IF($A385="","",F385+G385)</x:f>
        <x:v>0</x:v>
      </x:c>
      <x:c r="I385" s="244" t="n">
        <x:f>IF($A385="","",--(COUNTIFS('02_ツリー'!$E$5:$E$560,$A385,'02_ツリー'!$O$5:$O$560,0)=0))</x:f>
        <x:v>0</x:v>
      </x:c>
      <x:c r="J385" s="12" t="str">
        <x:f>IF($A385="","",IF(AND(B385&gt;0,C385&lt;0),"正負あり",IF(B385&gt;0,"正のみ",IF(C385&lt;0,"負のみ","ゼロ"))))</x:f>
        <x:v>ゼロ</x:v>
      </x:c>
      <x:c r="K385" s="244" t="n">
        <x:f>IF($A385="","",--AND(B385&gt;0,C385&lt;0))</x:f>
        <x:v>0</x:v>
      </x:c>
      <x:c r="L385" s="244" t="n">
        <x:f>IF($A385="","",COUNTIF('02_ツリー'!$E$5:$E$560,$A385))</x:f>
        <x:v>1</x:v>
      </x:c>
      <x:c r="M385" s="244" t="n">
        <x:f>IF($A385="","",--(LEFT(A385,7)="Enable_"))</x:f>
        <x:v>0</x:v>
      </x:c>
      <x:c r="N385" s="12"/>
      <x:c r="O385" s="12"/>
      <x:c r="P385" s="12"/>
      <x:c r="Q385" s="12"/>
      <x:c r="R385" s="12"/>
      <x:c r="S385" s="12"/>
      <x:c r="T385" s="12"/>
      <x:c r="U385" s="12"/>
      <x:c r="V385" s="12"/>
      <x:c r="W385" s="12"/>
      <x:c r="X385" s="12"/>
      <x:c r="Y385" s="12"/>
    </x:row>
    <x:row r="386">
      <x:c r="A386" s="12" t="str">
        <x:f>IFERROR(INDEX('02_ツリー'!$E$5:$E$560,MATCH(ROWS($A$11:A386),'02_ツリー'!$R$5:$R$560,0)),"")</x:f>
        <x:v>P_discharge_standby</x:v>
      </x:c>
      <x:c r="B386" s="48" t="n">
        <x:f>IF($A386="","",SUMIFS('02_ツリー'!$K$5:$K$560,'02_ツリー'!$E$5:$E$560,$A386,'02_ツリー'!$K$5:$K$560,"&gt;0"))</x:f>
        <x:v>0.005084284980757608</x:v>
      </x:c>
      <x:c r="C386" s="48" t="n">
        <x:f>IF($A386="","",SUMIFS('02_ツリー'!$K$5:$K$560,'02_ツリー'!$E$5:$E$560,$A386,'02_ツリー'!$K$5:$K$560,"&lt;0"))</x:f>
        <x:v>0</x:v>
      </x:c>
      <x:c r="D386" s="48" t="n">
        <x:f>IF($A386="","",B386+C386)</x:f>
        <x:v>0.005084284980757608</x:v>
      </x:c>
      <x:c r="E386" s="48" t="n">
        <x:f>IF($A386="","",B386-C386)</x:f>
        <x:v>0.005084284980757608</x:v>
      </x:c>
      <x:c r="F386" s="48" t="n">
        <x:f>IF($A386="","",SUMIFS('02_ツリー'!$H$5:$H$560,'02_ツリー'!$E$5:$E$560,$A386,'02_ツリー'!$K$5:$K$560,"&gt;0"))</x:f>
        <x:v>0.04549336351273188</x:v>
      </x:c>
      <x:c r="G386" s="48" t="n">
        <x:f>IF($A386="","",-SUMIFS('02_ツリー'!$H$5:$H$560,'02_ツリー'!$E$5:$E$560,$A386,'02_ツリー'!$K$5:$K$560,"&lt;0"))</x:f>
        <x:v>0</x:v>
      </x:c>
      <x:c r="H386" s="48" t="n">
        <x:f>IF($A386="","",F386+G386)</x:f>
        <x:v>0.04549336351273188</x:v>
      </x:c>
      <x:c r="I386" s="244" t="n">
        <x:f>IF($A386="","",--(COUNTIFS('02_ツリー'!$E$5:$E$560,$A386,'02_ツリー'!$O$5:$O$560,0)=0))</x:f>
        <x:v>0</x:v>
      </x:c>
      <x:c r="J386" s="12" t="str">
        <x:f>IF($A386="","",IF(AND(B386&gt;0,C386&lt;0),"正負あり",IF(B386&gt;0,"正のみ",IF(C386&lt;0,"負のみ","ゼロ"))))</x:f>
        <x:v>正のみ</x:v>
      </x:c>
      <x:c r="K386" s="244" t="n">
        <x:f>IF($A386="","",--AND(B386&gt;0,C386&lt;0))</x:f>
        <x:v>0</x:v>
      </x:c>
      <x:c r="L386" s="244" t="n">
        <x:f>IF($A386="","",COUNTIF('02_ツリー'!$E$5:$E$560,$A386))</x:f>
        <x:v>1</x:v>
      </x:c>
      <x:c r="M386" s="244" t="n">
        <x:f>IF($A386="","",--(LEFT(A386,7)="Enable_"))</x:f>
        <x:v>0</x:v>
      </x:c>
      <x:c r="N386" s="12"/>
      <x:c r="O386" s="12"/>
      <x:c r="P386" s="12"/>
      <x:c r="Q386" s="12"/>
      <x:c r="R386" s="12"/>
      <x:c r="S386" s="12"/>
      <x:c r="T386" s="12"/>
      <x:c r="U386" s="12"/>
      <x:c r="V386" s="12"/>
      <x:c r="W386" s="12"/>
      <x:c r="X386" s="12"/>
      <x:c r="Y386" s="12"/>
    </x:row>
    <x:row r="387">
      <x:c r="A387" s="12" t="str">
        <x:f>IFERROR(INDEX('02_ツリー'!$E$5:$E$560,MATCH(ROWS($A$11:A387),'02_ツリー'!$R$5:$R$560,0)),"")</x:f>
        <x:v>k_pkg_cooling</x:v>
      </x:c>
      <x:c r="B387" s="48" t="n">
        <x:f>IF($A387="","",SUMIFS('02_ツリー'!$K$5:$K$560,'02_ツリー'!$E$5:$E$560,$A387,'02_ツリー'!$K$5:$K$560,"&gt;0"))</x:f>
        <x:v>0.022272039345098575</x:v>
      </x:c>
      <x:c r="C387" s="48" t="n">
        <x:f>IF($A387="","",SUMIFS('02_ツリー'!$K$5:$K$560,'02_ツリー'!$E$5:$E$560,$A387,'02_ツリー'!$K$5:$K$560,"&lt;0"))</x:f>
        <x:v>0</x:v>
      </x:c>
      <x:c r="D387" s="48" t="n">
        <x:f>IF($A387="","",B387+C387)</x:f>
        <x:v>0.022272039345098575</x:v>
      </x:c>
      <x:c r="E387" s="48" t="n">
        <x:f>IF($A387="","",B387-C387)</x:f>
        <x:v>0.022272039345098575</x:v>
      </x:c>
      <x:c r="F387" s="48" t="n">
        <x:f>IF($A387="","",SUMIFS('02_ツリー'!$H$5:$H$560,'02_ツリー'!$E$5:$E$560,$A387,'02_ツリー'!$K$5:$K$560,"&gt;0"))</x:f>
        <x:v>0.19928662258925056</x:v>
      </x:c>
      <x:c r="G387" s="48" t="n">
        <x:f>IF($A387="","",-SUMIFS('02_ツリー'!$H$5:$H$560,'02_ツリー'!$E$5:$E$560,$A387,'02_ツリー'!$K$5:$K$560,"&lt;0"))</x:f>
        <x:v>0</x:v>
      </x:c>
      <x:c r="H387" s="48" t="n">
        <x:f>IF($A387="","",F387+G387)</x:f>
        <x:v>0.19928662258925056</x:v>
      </x:c>
      <x:c r="I387" s="244" t="n">
        <x:f>IF($A387="","",--(COUNTIFS('02_ツリー'!$E$5:$E$560,$A387,'02_ツリー'!$O$5:$O$560,0)=0))</x:f>
        <x:v>0</x:v>
      </x:c>
      <x:c r="J387" s="12" t="str">
        <x:f>IF($A387="","",IF(AND(B387&gt;0,C387&lt;0),"正負あり",IF(B387&gt;0,"正のみ",IF(C387&lt;0,"負のみ","ゼロ"))))</x:f>
        <x:v>正のみ</x:v>
      </x:c>
      <x:c r="K387" s="244" t="n">
        <x:f>IF($A387="","",--AND(B387&gt;0,C387&lt;0))</x:f>
        <x:v>0</x:v>
      </x:c>
      <x:c r="L387" s="244" t="n">
        <x:f>IF($A387="","",COUNTIF('02_ツリー'!$E$5:$E$560,$A387))</x:f>
        <x:v>1</x:v>
      </x:c>
      <x:c r="M387" s="244" t="n">
        <x:f>IF($A387="","",--(LEFT(A387,7)="Enable_"))</x:f>
        <x:v>0</x:v>
      </x:c>
      <x:c r="N387" s="12"/>
      <x:c r="O387" s="12"/>
      <x:c r="P387" s="12"/>
      <x:c r="Q387" s="12"/>
      <x:c r="R387" s="12"/>
      <x:c r="S387" s="12"/>
      <x:c r="T387" s="12"/>
      <x:c r="U387" s="12"/>
      <x:c r="V387" s="12"/>
      <x:c r="W387" s="12"/>
      <x:c r="X387" s="12"/>
      <x:c r="Y387" s="12"/>
    </x:row>
    <x:row r="388">
      <x:c r="A388" s="12" t="str">
        <x:f>IFERROR(INDEX('02_ツリー'!$E$5:$E$560,MATCH(ROWS($A$11:A388),'02_ツリー'!$R$5:$R$560,0)),"")</x:f>
        <x:v>Package_cooling_mode</x:v>
      </x:c>
      <x:c r="B388" s="48" t="n">
        <x:f>IF($A388="","",SUMIFS('02_ツリー'!$K$5:$K$560,'02_ツリー'!$E$5:$E$560,$A388,'02_ツリー'!$K$5:$K$560,"&gt;0"))</x:f>
        <x:v>0.008954448722821242</x:v>
      </x:c>
      <x:c r="C388" s="48" t="n">
        <x:f>IF($A388="","",SUMIFS('02_ツリー'!$K$5:$K$560,'02_ツリー'!$E$5:$E$560,$A388,'02_ツリー'!$K$5:$K$560,"&lt;0"))</x:f>
        <x:v>-0.006681611803529572</x:v>
      </x:c>
      <x:c r="D388" s="48" t="n">
        <x:f>IF($A388="","",B388+C388)</x:f>
        <x:v>0.00227283691929167</x:v>
      </x:c>
      <x:c r="E388" s="48" t="n">
        <x:f>IF($A388="","",B388-C388)</x:f>
        <x:v>0.015636060526350814</x:v>
      </x:c>
      <x:c r="F388" s="48" t="n">
        <x:f>IF($A388="","",SUMIFS('02_ツリー'!$H$5:$H$560,'02_ツリー'!$E$5:$E$560,$A388,'02_ツリー'!$K$5:$K$560,"&gt;0"))</x:f>
        <x:v>0.08012296563728863</x:v>
      </x:c>
      <x:c r="G388" s="48" t="n">
        <x:f>IF($A388="","",-SUMIFS('02_ツリー'!$H$5:$H$560,'02_ツリー'!$E$5:$E$560,$A388,'02_ツリー'!$K$5:$K$560,"&lt;0"))</x:f>
        <x:v>-0.059785986776775164</x:v>
      </x:c>
      <x:c r="H388" s="48" t="n">
        <x:f>IF($A388="","",F388+G388)</x:f>
        <x:v>0.020336978860513465</x:v>
      </x:c>
      <x:c r="I388" s="244" t="n">
        <x:f>IF($A388="","",--(COUNTIFS('02_ツリー'!$E$5:$E$560,$A388,'02_ツリー'!$O$5:$O$560,0)=0))</x:f>
        <x:v>1</x:v>
      </x:c>
      <x:c r="J388" s="12" t="str">
        <x:f>IF($A388="","",IF(AND(B388&gt;0,C388&lt;0),"正負あり",IF(B388&gt;0,"正のみ",IF(C388&lt;0,"負のみ","ゼロ"))))</x:f>
        <x:v>正負あり</x:v>
      </x:c>
      <x:c r="K388" s="244" t="n">
        <x:f>IF($A388="","",--AND(B388&gt;0,C388&lt;0))</x:f>
        <x:v>1</x:v>
      </x:c>
      <x:c r="L388" s="244" t="n">
        <x:f>IF($A388="","",COUNTIF('02_ツリー'!$E$5:$E$560,$A388))</x:f>
        <x:v>3</x:v>
      </x:c>
      <x:c r="M388" s="244" t="n">
        <x:f>IF($A388="","",--(LEFT(A388,7)="Enable_"))</x:f>
        <x:v>0</x:v>
      </x:c>
      <x:c r="N388" s="12"/>
      <x:c r="O388" s="12"/>
      <x:c r="P388" s="12"/>
      <x:c r="Q388" s="12"/>
      <x:c r="R388" s="12"/>
      <x:c r="S388" s="12"/>
      <x:c r="T388" s="12"/>
      <x:c r="U388" s="12"/>
      <x:c r="V388" s="12"/>
      <x:c r="W388" s="12"/>
      <x:c r="X388" s="12"/>
      <x:c r="Y388" s="12"/>
    </x:row>
    <x:row r="389">
      <x:c r="A389" s="12" t="str">
        <x:f>IFERROR(INDEX('02_ツリー'!$E$5:$E$560,MATCH(ROWS($A$11:A389),'02_ツリー'!$R$5:$R$560,0)),"")</x:f>
        <x:v>k_pkg_J</x:v>
      </x:c>
      <x:c r="B389" s="48" t="n">
        <x:f>IF($A389="","",SUMIFS('02_ツリー'!$K$5:$K$560,'02_ツリー'!$E$5:$E$560,$A389,'02_ツリー'!$K$5:$K$560,"&gt;0"))</x:f>
        <x:v>0</x:v>
      </x:c>
      <x:c r="C389" s="48" t="n">
        <x:f>IF($A389="","",SUMIFS('02_ツリー'!$K$5:$K$560,'02_ツリー'!$E$5:$E$560,$A389,'02_ツリー'!$K$5:$K$560,"&lt;0"))</x:f>
        <x:v>-0.00009161663658786684</x:v>
      </x:c>
      <x:c r="D389" s="48" t="n">
        <x:f>IF($A389="","",B389+C389)</x:f>
        <x:v>-0.00009161663658786684</x:v>
      </x:c>
      <x:c r="E389" s="48" t="n">
        <x:f>IF($A389="","",B389-C389)</x:f>
        <x:v>0.00009161663658786684</x:v>
      </x:c>
      <x:c r="F389" s="48" t="n">
        <x:f>IF($A389="","",SUMIFS('02_ツリー'!$H$5:$H$560,'02_ツリー'!$E$5:$E$560,$A389,'02_ツリー'!$K$5:$K$560,"&gt;0"))</x:f>
        <x:v>0</x:v>
      </x:c>
      <x:c r="G389" s="48" t="n">
        <x:f>IF($A389="","",-SUMIFS('02_ツリー'!$H$5:$H$560,'02_ツリー'!$E$5:$E$560,$A389,'02_ツリー'!$K$5:$K$560,"&lt;0"))</x:f>
        <x:v>-0.0008197709152575105</x:v>
      </x:c>
      <x:c r="H389" s="48" t="n">
        <x:f>IF($A389="","",F389+G389)</x:f>
        <x:v>-0.0008197709152575105</x:v>
      </x:c>
      <x:c r="I389" s="244" t="n">
        <x:f>IF($A389="","",--(COUNTIFS('02_ツリー'!$E$5:$E$560,$A389,'02_ツリー'!$O$5:$O$560,0)=0))</x:f>
        <x:v>0</x:v>
      </x:c>
      <x:c r="J389" s="12" t="str">
        <x:f>IF($A389="","",IF(AND(B389&gt;0,C389&lt;0),"正負あり",IF(B389&gt;0,"正のみ",IF(C389&lt;0,"負のみ","ゼロ"))))</x:f>
        <x:v>負のみ</x:v>
      </x:c>
      <x:c r="K389" s="244" t="n">
        <x:f>IF($A389="","",--AND(B389&gt;0,C389&lt;0))</x:f>
        <x:v>0</x:v>
      </x:c>
      <x:c r="L389" s="244" t="n">
        <x:f>IF($A389="","",COUNTIF('02_ツリー'!$E$5:$E$560,$A389))</x:f>
        <x:v>1</x:v>
      </x:c>
      <x:c r="M389" s="244" t="n">
        <x:f>IF($A389="","",--(LEFT(A389,7)="Enable_"))</x:f>
        <x:v>0</x:v>
      </x:c>
      <x:c r="N389" s="12"/>
      <x:c r="O389" s="12"/>
      <x:c r="P389" s="12"/>
      <x:c r="Q389" s="12"/>
      <x:c r="R389" s="12"/>
      <x:c r="S389" s="12"/>
      <x:c r="T389" s="12"/>
      <x:c r="U389" s="12"/>
      <x:c r="V389" s="12"/>
      <x:c r="W389" s="12"/>
      <x:c r="X389" s="12"/>
      <x:c r="Y389" s="12"/>
    </x:row>
    <x:row r="390">
      <x:c r="A390" s="12" t="str">
        <x:f>IFERROR(INDEX('02_ツリー'!$E$5:$E$560,MATCH(ROWS($A$11:A390),'02_ツリー'!$R$5:$R$560,0)),"")</x:f>
        <x:v>M_pkg_advanced</x:v>
      </x:c>
      <x:c r="B390" s="48" t="n">
        <x:f>IF($A390="","",SUMIFS('02_ツリー'!$K$5:$K$560,'02_ツリー'!$E$5:$E$560,$A390,'02_ツリー'!$K$5:$K$560,"&gt;0"))</x:f>
        <x:v>0</x:v>
      </x:c>
      <x:c r="C390" s="48" t="n">
        <x:f>IF($A390="","",SUMIFS('02_ツリー'!$K$5:$K$560,'02_ツリー'!$E$5:$E$560,$A390,'02_ツリー'!$K$5:$K$560,"&lt;0"))</x:f>
        <x:v>0</x:v>
      </x:c>
      <x:c r="D390" s="48" t="n">
        <x:f>IF($A390="","",B390+C390)</x:f>
        <x:v>0</x:v>
      </x:c>
      <x:c r="E390" s="48" t="n">
        <x:f>IF($A390="","",B390-C390)</x:f>
        <x:v>0</x:v>
      </x:c>
      <x:c r="F390" s="48" t="n">
        <x:f>IF($A390="","",SUMIFS('02_ツリー'!$H$5:$H$560,'02_ツリー'!$E$5:$E$560,$A390,'02_ツリー'!$K$5:$K$560,"&gt;0"))</x:f>
        <x:v>0</x:v>
      </x:c>
      <x:c r="G390" s="48" t="n">
        <x:f>IF($A390="","",-SUMIFS('02_ツリー'!$H$5:$H$560,'02_ツリー'!$E$5:$E$560,$A390,'02_ツリー'!$K$5:$K$560,"&lt;0"))</x:f>
        <x:v>0</x:v>
      </x:c>
      <x:c r="H390" s="48" t="n">
        <x:f>IF($A390="","",F390+G390)</x:f>
        <x:v>0</x:v>
      </x:c>
      <x:c r="I390" s="244" t="n">
        <x:f>IF($A390="","",--(COUNTIFS('02_ツリー'!$E$5:$E$560,$A390,'02_ツリー'!$O$5:$O$560,0)=0))</x:f>
        <x:v>0</x:v>
      </x:c>
      <x:c r="J390" s="12" t="str">
        <x:f>IF($A390="","",IF(AND(B390&gt;0,C390&lt;0),"正負あり",IF(B390&gt;0,"正のみ",IF(C390&lt;0,"負のみ","ゼロ"))))</x:f>
        <x:v>ゼロ</x:v>
      </x:c>
      <x:c r="K390" s="244" t="n">
        <x:f>IF($A390="","",--AND(B390&gt;0,C390&lt;0))</x:f>
        <x:v>0</x:v>
      </x:c>
      <x:c r="L390" s="244" t="n">
        <x:f>IF($A390="","",COUNTIF('02_ツリー'!$E$5:$E$560,$A390))</x:f>
        <x:v>1</x:v>
      </x:c>
      <x:c r="M390" s="244" t="n">
        <x:f>IF($A390="","",--(LEFT(A390,7)="Enable_"))</x:f>
        <x:v>0</x:v>
      </x:c>
      <x:c r="N390" s="12"/>
      <x:c r="O390" s="12"/>
      <x:c r="P390" s="12"/>
      <x:c r="Q390" s="12"/>
      <x:c r="R390" s="12"/>
      <x:c r="S390" s="12"/>
      <x:c r="T390" s="12"/>
      <x:c r="U390" s="12"/>
      <x:c r="V390" s="12"/>
      <x:c r="W390" s="12"/>
      <x:c r="X390" s="12"/>
      <x:c r="Y390" s="12"/>
    </x:row>
    <x:row r="391">
      <x:c r="A391" s="12" t="str">
        <x:f>IFERROR(INDEX('02_ツリー'!$E$5:$E$560,MATCH(ROWS($A$11:A391),'02_ツリー'!$R$5:$R$560,0)),"")</x:f>
        <x:v>alpha_Ron_T</x:v>
      </x:c>
      <x:c r="B391" s="48" t="n">
        <x:f>IF($A391="","",SUMIFS('02_ツリー'!$K$5:$K$560,'02_ツリー'!$E$5:$E$560,$A391,'02_ツリー'!$K$5:$K$560,"&gt;0"))</x:f>
        <x:v>0.000005179222879599058</x:v>
      </x:c>
      <x:c r="C391" s="48" t="n">
        <x:f>IF($A391="","",SUMIFS('02_ツリー'!$K$5:$K$560,'02_ツリー'!$E$5:$E$560,$A391,'02_ツリー'!$K$5:$K$560,"&lt;0"))</x:f>
        <x:v>0</x:v>
      </x:c>
      <x:c r="D391" s="48" t="n">
        <x:f>IF($A391="","",B391+C391)</x:f>
        <x:v>0.000005179222879599058</x:v>
      </x:c>
      <x:c r="E391" s="48" t="n">
        <x:f>IF($A391="","",B391-C391)</x:f>
        <x:v>0.000005179222879599058</x:v>
      </x:c>
      <x:c r="F391" s="48" t="n">
        <x:f>IF($A391="","",SUMIFS('02_ツリー'!$H$5:$H$560,'02_ツリー'!$E$5:$E$560,$A391,'02_ツリー'!$K$5:$K$560,"&gt;0"))</x:f>
        <x:v>0.000046342852547960096</x:v>
      </x:c>
      <x:c r="G391" s="48" t="n">
        <x:f>IF($A391="","",-SUMIFS('02_ツリー'!$H$5:$H$560,'02_ツリー'!$E$5:$E$560,$A391,'02_ツリー'!$K$5:$K$560,"&lt;0"))</x:f>
        <x:v>0</x:v>
      </x:c>
      <x:c r="H391" s="48" t="n">
        <x:f>IF($A391="","",F391+G391)</x:f>
        <x:v>0.000046342852547960096</x:v>
      </x:c>
      <x:c r="I391" s="244" t="n">
        <x:f>IF($A391="","",--(COUNTIFS('02_ツリー'!$E$5:$E$560,$A391,'02_ツリー'!$O$5:$O$560,0)=0))</x:f>
        <x:v>1</x:v>
      </x:c>
      <x:c r="J391" s="12" t="str">
        <x:f>IF($A391="","",IF(AND(B391&gt;0,C391&lt;0),"正負あり",IF(B391&gt;0,"正のみ",IF(C391&lt;0,"負のみ","ゼロ"))))</x:f>
        <x:v>正のみ</x:v>
      </x:c>
      <x:c r="K391" s="244" t="n">
        <x:f>IF($A391="","",--AND(B391&gt;0,C391&lt;0))</x:f>
        <x:v>0</x:v>
      </x:c>
      <x:c r="L391" s="244" t="n">
        <x:f>IF($A391="","",COUNTIF('02_ツリー'!$E$5:$E$560,$A391))</x:f>
        <x:v>1</x:v>
      </x:c>
      <x:c r="M391" s="244" t="n">
        <x:f>IF($A391="","",--(LEFT(A391,7)="Enable_"))</x:f>
        <x:v>0</x:v>
      </x:c>
      <x:c r="N391" s="12"/>
      <x:c r="O391" s="12"/>
      <x:c r="P391" s="12"/>
      <x:c r="Q391" s="12"/>
      <x:c r="R391" s="12"/>
      <x:c r="S391" s="12"/>
      <x:c r="T391" s="12"/>
      <x:c r="U391" s="12"/>
      <x:c r="V391" s="12"/>
      <x:c r="W391" s="12"/>
      <x:c r="X391" s="12"/>
      <x:c r="Y391" s="12"/>
    </x:row>
    <x:row r="392">
      <x:c r="A392" s="12" t="str">
        <x:f>IFERROR(INDEX('02_ツリー'!$E$5:$E$560,MATCH(ROWS($A$11:A392),'02_ツリー'!$R$5:$R$560,0)),"")</x:f>
        <x:v>Tj_ref</x:v>
      </x:c>
      <x:c r="B392" s="48" t="n">
        <x:f>IF($A392="","",SUMIFS('02_ツリー'!$K$5:$K$560,'02_ツリー'!$E$5:$E$560,$A392,'02_ツリー'!$K$5:$K$560,"&gt;0"))</x:f>
        <x:v>0</x:v>
      </x:c>
      <x:c r="C392" s="48" t="n">
        <x:f>IF($A392="","",SUMIFS('02_ツリー'!$K$5:$K$560,'02_ツリー'!$E$5:$E$560,$A392,'02_ツリー'!$K$5:$K$560,"&lt;0"))</x:f>
        <x:v>-0.00002589611439799529</x:v>
      </x:c>
      <x:c r="D392" s="48" t="n">
        <x:f>IF($A392="","",B392+C392)</x:f>
        <x:v>-0.00002589611439799529</x:v>
      </x:c>
      <x:c r="E392" s="48" t="n">
        <x:f>IF($A392="","",B392-C392)</x:f>
        <x:v>0.00002589611439799529</x:v>
      </x:c>
      <x:c r="F392" s="48" t="n">
        <x:f>IF($A392="","",SUMIFS('02_ツリー'!$H$5:$H$560,'02_ツリー'!$E$5:$E$560,$A392,'02_ツリー'!$K$5:$K$560,"&gt;0"))</x:f>
        <x:v>0</x:v>
      </x:c>
      <x:c r="G392" s="48" t="n">
        <x:f>IF($A392="","",-SUMIFS('02_ツリー'!$H$5:$H$560,'02_ツリー'!$E$5:$E$560,$A392,'02_ツリー'!$K$5:$K$560,"&lt;0"))</x:f>
        <x:v>-0.00023171426273980045</x:v>
      </x:c>
      <x:c r="H392" s="48" t="n">
        <x:f>IF($A392="","",F392+G392)</x:f>
        <x:v>-0.00023171426273980045</x:v>
      </x:c>
      <x:c r="I392" s="244" t="n">
        <x:f>IF($A392="","",--(COUNTIFS('02_ツリー'!$E$5:$E$560,$A392,'02_ツリー'!$O$5:$O$560,0)=0))</x:f>
        <x:v>1</x:v>
      </x:c>
      <x:c r="J392" s="12" t="str">
        <x:f>IF($A392="","",IF(AND(B392&gt;0,C392&lt;0),"正負あり",IF(B392&gt;0,"正のみ",IF(C392&lt;0,"負のみ","ゼロ"))))</x:f>
        <x:v>負のみ</x:v>
      </x:c>
      <x:c r="K392" s="244" t="n">
        <x:f>IF($A392="","",--AND(B392&gt;0,C392&lt;0))</x:f>
        <x:v>0</x:v>
      </x:c>
      <x:c r="L392" s="244" t="n">
        <x:f>IF($A392="","",COUNTIF('02_ツリー'!$E$5:$E$560,$A392))</x:f>
        <x:v>1</x:v>
      </x:c>
      <x:c r="M392" s="244" t="n">
        <x:f>IF($A392="","",--(LEFT(A392,7)="Enable_"))</x:f>
        <x:v>0</x:v>
      </x:c>
      <x:c r="N392" s="12"/>
      <x:c r="O392" s="12"/>
      <x:c r="P392" s="12"/>
      <x:c r="Q392" s="12"/>
      <x:c r="R392" s="12"/>
      <x:c r="S392" s="12"/>
      <x:c r="T392" s="12"/>
      <x:c r="U392" s="12"/>
      <x:c r="V392" s="12"/>
      <x:c r="W392" s="12"/>
      <x:c r="X392" s="12"/>
      <x:c r="Y392" s="12"/>
    </x:row>
    <x:row r="393">
      <x:c r="A393" s="12" t="str">
        <x:f>IFERROR(INDEX('02_ツリー'!$E$5:$E$560,MATCH(ROWS($A$11:A393),'02_ツリー'!$R$5:$R$560,0)),"")</x:f>
        <x:v>k_cable_cm</x:v>
      </x:c>
      <x:c r="B393" s="48" t="n">
        <x:f>IF($A393="","",SUMIFS('02_ツリー'!$K$5:$K$560,'02_ツリー'!$E$5:$E$560,$A393,'02_ツリー'!$K$5:$K$560,"&gt;0"))</x:f>
        <x:v>0.022351765568332658</x:v>
      </x:c>
      <x:c r="C393" s="48" t="n">
        <x:f>IF($A393="","",SUMIFS('02_ツリー'!$K$5:$K$560,'02_ツリー'!$E$5:$E$560,$A393,'02_ツリー'!$K$5:$K$560,"&lt;0"))</x:f>
        <x:v>0</x:v>
      </x:c>
      <x:c r="D393" s="48" t="n">
        <x:f>IF($A393="","",B393+C393)</x:f>
        <x:v>0.022351765568332658</x:v>
      </x:c>
      <x:c r="E393" s="48" t="n">
        <x:f>IF($A393="","",B393-C393)</x:f>
        <x:v>0.022351765568332658</x:v>
      </x:c>
      <x:c r="F393" s="48" t="n">
        <x:f>IF($A393="","",SUMIFS('02_ツリー'!$H$5:$H$560,'02_ツリー'!$E$5:$E$560,$A393,'02_ツリー'!$K$5:$K$560,"&gt;0"))</x:f>
        <x:v>0.20000000000000004</x:v>
      </x:c>
      <x:c r="G393" s="48" t="n">
        <x:f>IF($A393="","",-SUMIFS('02_ツリー'!$H$5:$H$560,'02_ツリー'!$E$5:$E$560,$A393,'02_ツリー'!$K$5:$K$560,"&lt;0"))</x:f>
        <x:v>0</x:v>
      </x:c>
      <x:c r="H393" s="48" t="n">
        <x:f>IF($A393="","",F393+G393)</x:f>
        <x:v>0.20000000000000004</x:v>
      </x:c>
      <x:c r="I393" s="244" t="n">
        <x:f>IF($A393="","",--(COUNTIFS('02_ツリー'!$E$5:$E$560,$A393,'02_ツリー'!$O$5:$O$560,0)=0))</x:f>
        <x:v>0</x:v>
      </x:c>
      <x:c r="J393" s="12" t="str">
        <x:f>IF($A393="","",IF(AND(B393&gt;0,C393&lt;0),"正負あり",IF(B393&gt;0,"正のみ",IF(C393&lt;0,"負のみ","ゼロ"))))</x:f>
        <x:v>正のみ</x:v>
      </x:c>
      <x:c r="K393" s="244" t="n">
        <x:f>IF($A393="","",--AND(B393&gt;0,C393&lt;0))</x:f>
        <x:v>0</x:v>
      </x:c>
      <x:c r="L393" s="244" t="n">
        <x:f>IF($A393="","",COUNTIF('02_ツリー'!$E$5:$E$560,$A393))</x:f>
        <x:v>1</x:v>
      </x:c>
      <x:c r="M393" s="244" t="n">
        <x:f>IF($A393="","",--(LEFT(A393,7)="Enable_"))</x:f>
        <x:v>0</x:v>
      </x:c>
      <x:c r="N393" s="12"/>
      <x:c r="O393" s="12"/>
      <x:c r="P393" s="12"/>
      <x:c r="Q393" s="12"/>
      <x:c r="R393" s="12"/>
      <x:c r="S393" s="12"/>
      <x:c r="T393" s="12"/>
      <x:c r="U393" s="12"/>
      <x:c r="V393" s="12"/>
      <x:c r="W393" s="12"/>
      <x:c r="X393" s="12"/>
      <x:c r="Y393" s="12"/>
    </x:row>
    <x:row r="394">
      <x:c r="A394" s="12" t="str">
        <x:f>IFERROR(INDEX('02_ツリー'!$E$5:$E$560,MATCH(ROWS($A$11:A394),'02_ツリー'!$R$5:$R$560,0)),"")</x:f>
        <x:v>L_cable</x:v>
      </x:c>
      <x:c r="B394" s="48" t="n">
        <x:f>IF($A394="","",SUMIFS('02_ツリー'!$K$5:$K$560,'02_ツリー'!$E$5:$E$560,$A394,'02_ツリー'!$K$5:$K$560,"&gt;0"))</x:f>
        <x:v>0.02011658901149939</x:v>
      </x:c>
      <x:c r="C394" s="48" t="n">
        <x:f>IF($A394="","",SUMIFS('02_ツリー'!$K$5:$K$560,'02_ツリー'!$E$5:$E$560,$A394,'02_ツリー'!$K$5:$K$560,"&lt;0"))</x:f>
        <x:v>0</x:v>
      </x:c>
      <x:c r="D394" s="48" t="n">
        <x:f>IF($A394="","",B394+C394)</x:f>
        <x:v>0.02011658901149939</x:v>
      </x:c>
      <x:c r="E394" s="48" t="n">
        <x:f>IF($A394="","",B394-C394)</x:f>
        <x:v>0.02011658901149939</x:v>
      </x:c>
      <x:c r="F394" s="48" t="n">
        <x:f>IF($A394="","",SUMIFS('02_ツリー'!$H$5:$H$560,'02_ツリー'!$E$5:$E$560,$A394,'02_ツリー'!$K$5:$K$560,"&gt;0"))</x:f>
        <x:v>0.18000000000000002</x:v>
      </x:c>
      <x:c r="G394" s="48" t="n">
        <x:f>IF($A394="","",-SUMIFS('02_ツリー'!$H$5:$H$560,'02_ツリー'!$E$5:$E$560,$A394,'02_ツリー'!$K$5:$K$560,"&lt;0"))</x:f>
        <x:v>0</x:v>
      </x:c>
      <x:c r="H394" s="48" t="n">
        <x:f>IF($A394="","",F394+G394)</x:f>
        <x:v>0.18000000000000002</x:v>
      </x:c>
      <x:c r="I394" s="244" t="n">
        <x:f>IF($A394="","",--(COUNTIFS('02_ツリー'!$E$5:$E$560,$A394,'02_ツリー'!$O$5:$O$560,0)=0))</x:f>
        <x:v>1</x:v>
      </x:c>
      <x:c r="J394" s="12" t="str">
        <x:f>IF($A394="","",IF(AND(B394&gt;0,C394&lt;0),"正負あり",IF(B394&gt;0,"正のみ",IF(C394&lt;0,"負のみ","ゼロ"))))</x:f>
        <x:v>正のみ</x:v>
      </x:c>
      <x:c r="K394" s="244" t="n">
        <x:f>IF($A394="","",--AND(B394&gt;0,C394&lt;0))</x:f>
        <x:v>0</x:v>
      </x:c>
      <x:c r="L394" s="244" t="n">
        <x:f>IF($A394="","",COUNTIF('02_ツリー'!$E$5:$E$560,$A394))</x:f>
        <x:v>2</x:v>
      </x:c>
      <x:c r="M394" s="244" t="n">
        <x:f>IF($A394="","",--(LEFT(A394,7)="Enable_"))</x:f>
        <x:v>0</x:v>
      </x:c>
      <x:c r="N394" s="12"/>
      <x:c r="O394" s="12"/>
      <x:c r="P394" s="12"/>
      <x:c r="Q394" s="12"/>
      <x:c r="R394" s="12"/>
      <x:c r="S394" s="12"/>
      <x:c r="T394" s="12"/>
      <x:c r="U394" s="12"/>
      <x:c r="V394" s="12"/>
      <x:c r="W394" s="12"/>
      <x:c r="X394" s="12"/>
      <x:c r="Y394" s="12"/>
    </x:row>
    <x:row r="395">
      <x:c r="A395" s="12" t="str">
        <x:f>IFERROR(INDEX('02_ツリー'!$E$5:$E$560,MATCH(ROWS($A$11:A395),'02_ツリー'!$R$5:$R$560,0)),"")</x:f>
        <x:v>C_cable</x:v>
      </x:c>
      <x:c r="B395" s="48" t="n">
        <x:f>IF($A395="","",SUMIFS('02_ツリー'!$K$5:$K$560,'02_ツリー'!$E$5:$E$560,$A395,'02_ツリー'!$K$5:$K$560,"&gt;0"))</x:f>
        <x:v>0</x:v>
      </x:c>
      <x:c r="C395" s="48" t="n">
        <x:f>IF($A395="","",SUMIFS('02_ツリー'!$K$5:$K$560,'02_ツリー'!$E$5:$E$560,$A395,'02_ツリー'!$K$5:$K$560,"&lt;0"))</x:f>
        <x:v>0</x:v>
      </x:c>
      <x:c r="D395" s="48" t="n">
        <x:f>IF($A395="","",B395+C395)</x:f>
        <x:v>0</x:v>
      </x:c>
      <x:c r="E395" s="48" t="n">
        <x:f>IF($A395="","",B395-C395)</x:f>
        <x:v>0</x:v>
      </x:c>
      <x:c r="F395" s="48" t="n">
        <x:f>IF($A395="","",SUMIFS('02_ツリー'!$H$5:$H$560,'02_ツリー'!$E$5:$E$560,$A395,'02_ツリー'!$K$5:$K$560,"&gt;0"))</x:f>
        <x:v>0</x:v>
      </x:c>
      <x:c r="G395" s="48" t="n">
        <x:f>IF($A395="","",-SUMIFS('02_ツリー'!$H$5:$H$560,'02_ツリー'!$E$5:$E$560,$A395,'02_ツリー'!$K$5:$K$560,"&lt;0"))</x:f>
        <x:v>0</x:v>
      </x:c>
      <x:c r="H395" s="48" t="n">
        <x:f>IF($A395="","",F395+G395)</x:f>
        <x:v>0</x:v>
      </x:c>
      <x:c r="I395" s="244" t="n">
        <x:f>IF($A395="","",--(COUNTIFS('02_ツリー'!$E$5:$E$560,$A395,'02_ツリー'!$O$5:$O$560,0)=0))</x:f>
        <x:v>0</x:v>
      </x:c>
      <x:c r="J395" s="12" t="str">
        <x:f>IF($A395="","",IF(AND(B395&gt;0,C395&lt;0),"正負あり",IF(B395&gt;0,"正のみ",IF(C395&lt;0,"負のみ","ゼロ"))))</x:f>
        <x:v>ゼロ</x:v>
      </x:c>
      <x:c r="K395" s="244" t="n">
        <x:f>IF($A395="","",--AND(B395&gt;0,C395&lt;0))</x:f>
        <x:v>0</x:v>
      </x:c>
      <x:c r="L395" s="244" t="n">
        <x:f>IF($A395="","",COUNTIF('02_ツリー'!$E$5:$E$560,$A395))</x:f>
        <x:v>1</x:v>
      </x:c>
      <x:c r="M395" s="244" t="n">
        <x:f>IF($A395="","",--(LEFT(A395,7)="Enable_"))</x:f>
        <x:v>0</x:v>
      </x:c>
      <x:c r="N395" s="12"/>
      <x:c r="O395" s="12"/>
      <x:c r="P395" s="12"/>
      <x:c r="Q395" s="12"/>
      <x:c r="R395" s="12"/>
      <x:c r="S395" s="12"/>
      <x:c r="T395" s="12"/>
      <x:c r="U395" s="12"/>
      <x:c r="V395" s="12"/>
      <x:c r="W395" s="12"/>
      <x:c r="X395" s="12"/>
      <x:c r="Y395" s="12"/>
    </x:row>
    <x:row r="396">
      <x:c r="A396" s="12" t="str">
        <x:f>IFERROR(INDEX('02_ツリー'!$E$5:$E$560,MATCH(ROWS($A$11:A396),'02_ツリー'!$R$5:$R$560,0)),"")</x:f>
        <x:v>I_cm_cable</x:v>
      </x:c>
      <x:c r="B396" s="48" t="n">
        <x:f>IF($A396="","",SUMIFS('02_ツリー'!$K$5:$K$560,'02_ツリー'!$E$5:$E$560,$A396,'02_ツリー'!$K$5:$K$560,"&gt;0"))</x:f>
        <x:v>0</x:v>
      </x:c>
      <x:c r="C396" s="48" t="n">
        <x:f>IF($A396="","",SUMIFS('02_ツリー'!$K$5:$K$560,'02_ツリー'!$E$5:$E$560,$A396,'02_ツリー'!$K$5:$K$560,"&lt;0"))</x:f>
        <x:v>0</x:v>
      </x:c>
      <x:c r="D396" s="48" t="n">
        <x:f>IF($A396="","",B396+C396)</x:f>
        <x:v>0</x:v>
      </x:c>
      <x:c r="E396" s="48" t="n">
        <x:f>IF($A396="","",B396-C396)</x:f>
        <x:v>0</x:v>
      </x:c>
      <x:c r="F396" s="48" t="n">
        <x:f>IF($A396="","",SUMIFS('02_ツリー'!$H$5:$H$560,'02_ツリー'!$E$5:$E$560,$A396,'02_ツリー'!$K$5:$K$560,"&gt;0"))</x:f>
        <x:v>0</x:v>
      </x:c>
      <x:c r="G396" s="48" t="n">
        <x:f>IF($A396="","",-SUMIFS('02_ツリー'!$H$5:$H$560,'02_ツリー'!$E$5:$E$560,$A396,'02_ツリー'!$K$5:$K$560,"&lt;0"))</x:f>
        <x:v>0</x:v>
      </x:c>
      <x:c r="H396" s="48" t="n">
        <x:f>IF($A396="","",F396+G396)</x:f>
        <x:v>0</x:v>
      </x:c>
      <x:c r="I396" s="244" t="n">
        <x:f>IF($A396="","",--(COUNTIFS('02_ツリー'!$E$5:$E$560,$A396,'02_ツリー'!$O$5:$O$560,0)=0))</x:f>
        <x:v>1</x:v>
      </x:c>
      <x:c r="J396" s="12" t="str">
        <x:f>IF($A396="","",IF(AND(B396&gt;0,C396&lt;0),"正負あり",IF(B396&gt;0,"正のみ",IF(C396&lt;0,"負のみ","ゼロ"))))</x:f>
        <x:v>ゼロ</x:v>
      </x:c>
      <x:c r="K396" s="244" t="n">
        <x:f>IF($A396="","",--AND(B396&gt;0,C396&lt;0))</x:f>
        <x:v>0</x:v>
      </x:c>
      <x:c r="L396" s="244" t="n">
        <x:f>IF($A396="","",COUNTIF('02_ツリー'!$E$5:$E$560,$A396))</x:f>
        <x:v>1</x:v>
      </x:c>
      <x:c r="M396" s="244" t="n">
        <x:f>IF($A396="","",--(LEFT(A396,7)="Enable_"))</x:f>
        <x:v>0</x:v>
      </x:c>
      <x:c r="N396" s="12"/>
      <x:c r="O396" s="12"/>
      <x:c r="P396" s="12"/>
      <x:c r="Q396" s="12"/>
      <x:c r="R396" s="12"/>
      <x:c r="S396" s="12"/>
      <x:c r="T396" s="12"/>
      <x:c r="U396" s="12"/>
      <x:c r="V396" s="12"/>
      <x:c r="W396" s="12"/>
      <x:c r="X396" s="12"/>
      <x:c r="Y396" s="12"/>
    </x:row>
    <x:row r="397">
      <x:c r="A397" s="12" t="str">
        <x:f>IFERROR(INDEX('02_ツリー'!$E$5:$E$560,MATCH(ROWS($A$11:A397),'02_ツリー'!$R$5:$R$560,0)),"")</x:f>
        <x:v>k_cable_dvdt</x:v>
      </x:c>
      <x:c r="B397" s="48" t="n">
        <x:f>IF($A397="","",SUMIFS('02_ツリー'!$K$5:$K$560,'02_ツリー'!$E$5:$E$560,$A397,'02_ツリー'!$K$5:$K$560,"&gt;0"))</x:f>
        <x:v>0.008940706227333062</x:v>
      </x:c>
      <x:c r="C397" s="48" t="n">
        <x:f>IF($A397="","",SUMIFS('02_ツリー'!$K$5:$K$560,'02_ツリー'!$E$5:$E$560,$A397,'02_ツリー'!$K$5:$K$560,"&lt;0"))</x:f>
        <x:v>0</x:v>
      </x:c>
      <x:c r="D397" s="48" t="n">
        <x:f>IF($A397="","",B397+C397)</x:f>
        <x:v>0.008940706227333062</x:v>
      </x:c>
      <x:c r="E397" s="48" t="n">
        <x:f>IF($A397="","",B397-C397)</x:f>
        <x:v>0.008940706227333062</x:v>
      </x:c>
      <x:c r="F397" s="48" t="n">
        <x:f>IF($A397="","",SUMIFS('02_ツリー'!$H$5:$H$560,'02_ツリー'!$E$5:$E$560,$A397,'02_ツリー'!$K$5:$K$560,"&gt;0"))</x:f>
        <x:v>0.08</x:v>
      </x:c>
      <x:c r="G397" s="48" t="n">
        <x:f>IF($A397="","",-SUMIFS('02_ツリー'!$H$5:$H$560,'02_ツリー'!$E$5:$E$560,$A397,'02_ツリー'!$K$5:$K$560,"&lt;0"))</x:f>
        <x:v>0</x:v>
      </x:c>
      <x:c r="H397" s="48" t="n">
        <x:f>IF($A397="","",F397+G397)</x:f>
        <x:v>0.08</x:v>
      </x:c>
      <x:c r="I397" s="244" t="n">
        <x:f>IF($A397="","",--(COUNTIFS('02_ツリー'!$E$5:$E$560,$A397,'02_ツリー'!$O$5:$O$560,0)=0))</x:f>
        <x:v>0</x:v>
      </x:c>
      <x:c r="J397" s="12" t="str">
        <x:f>IF($A397="","",IF(AND(B397&gt;0,C397&lt;0),"正負あり",IF(B397&gt;0,"正のみ",IF(C397&lt;0,"負のみ","ゼロ"))))</x:f>
        <x:v>正のみ</x:v>
      </x:c>
      <x:c r="K397" s="244" t="n">
        <x:f>IF($A397="","",--AND(B397&gt;0,C397&lt;0))</x:f>
        <x:v>0</x:v>
      </x:c>
      <x:c r="L397" s="244" t="n">
        <x:f>IF($A397="","",COUNTIF('02_ツリー'!$E$5:$E$560,$A397))</x:f>
        <x:v>1</x:v>
      </x:c>
      <x:c r="M397" s="244" t="n">
        <x:f>IF($A397="","",--(LEFT(A397,7)="Enable_"))</x:f>
        <x:v>0</x:v>
      </x:c>
      <x:c r="N397" s="12"/>
      <x:c r="O397" s="12"/>
      <x:c r="P397" s="12"/>
      <x:c r="Q397" s="12"/>
      <x:c r="R397" s="12"/>
      <x:c r="S397" s="12"/>
      <x:c r="T397" s="12"/>
      <x:c r="U397" s="12"/>
      <x:c r="V397" s="12"/>
      <x:c r="W397" s="12"/>
      <x:c r="X397" s="12"/>
      <x:c r="Y397" s="12"/>
    </x:row>
    <x:row r="398">
      <x:c r="A398" s="12" t="str">
        <x:f>IFERROR(INDEX('02_ツリー'!$E$5:$E$560,MATCH(ROWS($A$11:A398),'02_ツリー'!$R$5:$R$560,0)),"")</x:f>
        <x:v>f_sw_req_detail</x:v>
      </x:c>
      <x:c r="B398" s="48" t="n">
        <x:f>IF($A398="","",SUMIFS('02_ツリー'!$K$5:$K$560,'02_ツリー'!$E$5:$E$560,$A398,'02_ツリー'!$K$5:$K$560,"&gt;0"))</x:f>
        <x:v>0.007515582271838901</x:v>
      </x:c>
      <x:c r="C398" s="48" t="n">
        <x:f>IF($A398="","",SUMIFS('02_ツリー'!$K$5:$K$560,'02_ツリー'!$E$5:$E$560,$A398,'02_ツリー'!$K$5:$K$560,"&lt;0"))</x:f>
        <x:v>0</x:v>
      </x:c>
      <x:c r="D398" s="48" t="n">
        <x:f>IF($A398="","",B398+C398)</x:f>
        <x:v>0.007515582271838901</x:v>
      </x:c>
      <x:c r="E398" s="48" t="n">
        <x:f>IF($A398="","",B398-C398)</x:f>
        <x:v>0.007515582271838901</x:v>
      </x:c>
      <x:c r="F398" s="48" t="n">
        <x:f>IF($A398="","",SUMIFS('02_ツリー'!$H$5:$H$560,'02_ツリー'!$E$5:$E$560,$A398,'02_ツリー'!$K$5:$K$560,"&gt;0"))</x:f>
        <x:v>0.06724822027023014</x:v>
      </x:c>
      <x:c r="G398" s="48" t="n">
        <x:f>IF($A398="","",-SUMIFS('02_ツリー'!$H$5:$H$560,'02_ツリー'!$E$5:$E$560,$A398,'02_ツリー'!$K$5:$K$560,"&lt;0"))</x:f>
        <x:v>0</x:v>
      </x:c>
      <x:c r="H398" s="48" t="n">
        <x:f>IF($A398="","",F398+G398)</x:f>
        <x:v>0.06724822027023014</x:v>
      </x:c>
      <x:c r="I398" s="244" t="n">
        <x:f>IF($A398="","",--(COUNTIFS('02_ツリー'!$E$5:$E$560,$A398,'02_ツリー'!$O$5:$O$560,0)=0))</x:f>
        <x:v>0</x:v>
      </x:c>
      <x:c r="J398" s="12" t="str">
        <x:f>IF($A398="","",IF(AND(B398&gt;0,C398&lt;0),"正負あり",IF(B398&gt;0,"正のみ",IF(C398&lt;0,"負のみ","ゼロ"))))</x:f>
        <x:v>正のみ</x:v>
      </x:c>
      <x:c r="K398" s="244" t="n">
        <x:f>IF($A398="","",--AND(B398&gt;0,C398&lt;0))</x:f>
        <x:v>0</x:v>
      </x:c>
      <x:c r="L398" s="244" t="n">
        <x:f>IF($A398="","",COUNTIF('02_ツリー'!$E$5:$E$560,$A398))</x:f>
        <x:v>1</x:v>
      </x:c>
      <x:c r="M398" s="244" t="n">
        <x:f>IF($A398="","",--(LEFT(A398,7)="Enable_"))</x:f>
        <x:v>0</x:v>
      </x:c>
      <x:c r="N398" s="12"/>
      <x:c r="O398" s="12"/>
      <x:c r="P398" s="12"/>
      <x:c r="Q398" s="12"/>
      <x:c r="R398" s="12"/>
      <x:c r="S398" s="12"/>
      <x:c r="T398" s="12"/>
      <x:c r="U398" s="12"/>
      <x:c r="V398" s="12"/>
      <x:c r="W398" s="12"/>
      <x:c r="X398" s="12"/>
      <x:c r="Y398" s="12"/>
    </x:row>
    <x:row r="399">
      <x:c r="A399" s="12" t="str">
        <x:f>IFERROR(INDEX('02_ツリー'!$E$5:$E$560,MATCH(ROWS($A$11:A399),'02_ツリー'!$R$5:$R$560,0)),"")</x:f>
        <x:v>f_sw_electric</x:v>
      </x:c>
      <x:c r="B399" s="48" t="n">
        <x:f>IF($A399="","",SUMIFS('02_ツリー'!$K$5:$K$560,'02_ツリー'!$E$5:$E$560,$A399,'02_ツリー'!$K$5:$K$560,"&gt;0"))</x:f>
        <x:v>0.007515582271838901</x:v>
      </x:c>
      <x:c r="C399" s="48" t="n">
        <x:f>IF($A399="","",SUMIFS('02_ツリー'!$K$5:$K$560,'02_ツリー'!$E$5:$E$560,$A399,'02_ツリー'!$K$5:$K$560,"&lt;0"))</x:f>
        <x:v>0</x:v>
      </x:c>
      <x:c r="D399" s="48" t="n">
        <x:f>IF($A399="","",B399+C399)</x:f>
        <x:v>0.007515582271838901</x:v>
      </x:c>
      <x:c r="E399" s="48" t="n">
        <x:f>IF($A399="","",B399-C399)</x:f>
        <x:v>0.007515582271838901</x:v>
      </x:c>
      <x:c r="F399" s="48" t="n">
        <x:f>IF($A399="","",SUMIFS('02_ツリー'!$H$5:$H$560,'02_ツリー'!$E$5:$E$560,$A399,'02_ツリー'!$K$5:$K$560,"&gt;0"))</x:f>
        <x:v>0.06724822027023014</x:v>
      </x:c>
      <x:c r="G399" s="48" t="n">
        <x:f>IF($A399="","",-SUMIFS('02_ツリー'!$H$5:$H$560,'02_ツリー'!$E$5:$E$560,$A399,'02_ツリー'!$K$5:$K$560,"&lt;0"))</x:f>
        <x:v>0</x:v>
      </x:c>
      <x:c r="H399" s="48" t="n">
        <x:f>IF($A399="","",F399+G399)</x:f>
        <x:v>0.06724822027023014</x:v>
      </x:c>
      <x:c r="I399" s="244" t="n">
        <x:f>IF($A399="","",--(COUNTIFS('02_ツリー'!$E$5:$E$560,$A399,'02_ツリー'!$O$5:$O$560,0)=0))</x:f>
        <x:v>1</x:v>
      </x:c>
      <x:c r="J399" s="12" t="str">
        <x:f>IF($A399="","",IF(AND(B399&gt;0,C399&lt;0),"正負あり",IF(B399&gt;0,"正のみ",IF(C399&lt;0,"負のみ","ゼロ"))))</x:f>
        <x:v>正のみ</x:v>
      </x:c>
      <x:c r="K399" s="244" t="n">
        <x:f>IF($A399="","",--AND(B399&gt;0,C399&lt;0))</x:f>
        <x:v>0</x:v>
      </x:c>
      <x:c r="L399" s="244" t="n">
        <x:f>IF($A399="","",COUNTIF('02_ツリー'!$E$5:$E$560,$A399))</x:f>
        <x:v>1</x:v>
      </x:c>
      <x:c r="M399" s="244" t="n">
        <x:f>IF($A399="","",--(LEFT(A399,7)="Enable_"))</x:f>
        <x:v>0</x:v>
      </x:c>
      <x:c r="N399" s="12"/>
      <x:c r="O399" s="12"/>
      <x:c r="P399" s="12"/>
      <x:c r="Q399" s="12"/>
      <x:c r="R399" s="12"/>
      <x:c r="S399" s="12"/>
      <x:c r="T399" s="12"/>
      <x:c r="U399" s="12"/>
      <x:c r="V399" s="12"/>
      <x:c r="W399" s="12"/>
      <x:c r="X399" s="12"/>
      <x:c r="Y399" s="12"/>
    </x:row>
    <x:row r="400">
      <x:c r="A400" s="12" t="str">
        <x:f>IFERROR(INDEX('02_ツリー'!$E$5:$E$560,MATCH(ROWS($A$11:A400),'02_ツリー'!$R$5:$R$560,0)),"")</x:f>
        <x:v>f_sw_ripple</x:v>
      </x:c>
      <x:c r="B400" s="48" t="n">
        <x:f>IF($A400="","",SUMIFS('02_ツリー'!$K$5:$K$560,'02_ツリー'!$E$5:$E$560,$A400,'02_ツリー'!$K$5:$K$560,"&gt;0"))</x:f>
        <x:v>0</x:v>
      </x:c>
      <x:c r="C400" s="48" t="n">
        <x:f>IF($A400="","",SUMIFS('02_ツリー'!$K$5:$K$560,'02_ツリー'!$E$5:$E$560,$A400,'02_ツリー'!$K$5:$K$560,"&lt;0"))</x:f>
        <x:v>0</x:v>
      </x:c>
      <x:c r="D400" s="48" t="n">
        <x:f>IF($A400="","",B400+C400)</x:f>
        <x:v>0</x:v>
      </x:c>
      <x:c r="E400" s="48" t="n">
        <x:f>IF($A400="","",B400-C400)</x:f>
        <x:v>0</x:v>
      </x:c>
      <x:c r="F400" s="48" t="n">
        <x:f>IF($A400="","",SUMIFS('02_ツリー'!$H$5:$H$560,'02_ツリー'!$E$5:$E$560,$A400,'02_ツリー'!$K$5:$K$560,"&gt;0"))</x:f>
        <x:v>0</x:v>
      </x:c>
      <x:c r="G400" s="48" t="n">
        <x:f>IF($A400="","",-SUMIFS('02_ツリー'!$H$5:$H$560,'02_ツリー'!$E$5:$E$560,$A400,'02_ツリー'!$K$5:$K$560,"&lt;0"))</x:f>
        <x:v>0</x:v>
      </x:c>
      <x:c r="H400" s="48" t="n">
        <x:f>IF($A400="","",F400+G400)</x:f>
        <x:v>0</x:v>
      </x:c>
      <x:c r="I400" s="244" t="n">
        <x:f>IF($A400="","",--(COUNTIFS('02_ツリー'!$E$5:$E$560,$A400,'02_ツリー'!$O$5:$O$560,0)=0))</x:f>
        <x:v>0</x:v>
      </x:c>
      <x:c r="J400" s="12" t="str">
        <x:f>IF($A400="","",IF(AND(B400&gt;0,C400&lt;0),"正負あり",IF(B400&gt;0,"正のみ",IF(C400&lt;0,"負のみ","ゼロ"))))</x:f>
        <x:v>ゼロ</x:v>
      </x:c>
      <x:c r="K400" s="244" t="n">
        <x:f>IF($A400="","",--AND(B400&gt;0,C400&lt;0))</x:f>
        <x:v>0</x:v>
      </x:c>
      <x:c r="L400" s="244" t="n">
        <x:f>IF($A400="","",COUNTIF('02_ツリー'!$E$5:$E$560,$A400))</x:f>
        <x:v>1</x:v>
      </x:c>
      <x:c r="M400" s="244" t="n">
        <x:f>IF($A400="","",--(LEFT(A400,7)="Enable_"))</x:f>
        <x:v>0</x:v>
      </x:c>
      <x:c r="N400" s="12"/>
      <x:c r="O400" s="12"/>
      <x:c r="P400" s="12"/>
      <x:c r="Q400" s="12"/>
      <x:c r="R400" s="12"/>
      <x:c r="S400" s="12"/>
      <x:c r="T400" s="12"/>
      <x:c r="U400" s="12"/>
      <x:c r="V400" s="12"/>
      <x:c r="W400" s="12"/>
      <x:c r="X400" s="12"/>
      <x:c r="Y400" s="12"/>
    </x:row>
    <x:row r="401">
      <x:c r="A401" s="12" t="str">
        <x:f>IFERROR(INDEX('02_ツリー'!$E$5:$E$560,MATCH(ROWS($A$11:A401),'02_ツリー'!$R$5:$R$560,0)),"")</x:f>
        <x:v>ripple_i_req</x:v>
      </x:c>
      <x:c r="B401" s="48" t="n">
        <x:f>IF($A401="","",SUMIFS('02_ツリー'!$K$5:$K$560,'02_ツリー'!$E$5:$E$560,$A401,'02_ツリー'!$K$5:$K$560,"&gt;0"))</x:f>
        <x:v>0</x:v>
      </x:c>
      <x:c r="C401" s="48" t="n">
        <x:f>IF($A401="","",SUMIFS('02_ツリー'!$K$5:$K$560,'02_ツリー'!$E$5:$E$560,$A401,'02_ツリー'!$K$5:$K$560,"&lt;0"))</x:f>
        <x:v>0</x:v>
      </x:c>
      <x:c r="D401" s="48" t="n">
        <x:f>IF($A401="","",B401+C401)</x:f>
        <x:v>0</x:v>
      </x:c>
      <x:c r="E401" s="48" t="n">
        <x:f>IF($A401="","",B401-C401)</x:f>
        <x:v>0</x:v>
      </x:c>
      <x:c r="F401" s="48" t="n">
        <x:f>IF($A401="","",SUMIFS('02_ツリー'!$H$5:$H$560,'02_ツリー'!$E$5:$E$560,$A401,'02_ツリー'!$K$5:$K$560,"&gt;0"))</x:f>
        <x:v>0</x:v>
      </x:c>
      <x:c r="G401" s="48" t="n">
        <x:f>IF($A401="","",-SUMIFS('02_ツリー'!$H$5:$H$560,'02_ツリー'!$E$5:$E$560,$A401,'02_ツリー'!$K$5:$K$560,"&lt;0"))</x:f>
        <x:v>0</x:v>
      </x:c>
      <x:c r="H401" s="48" t="n">
        <x:f>IF($A401="","",F401+G401)</x:f>
        <x:v>0</x:v>
      </x:c>
      <x:c r="I401" s="244" t="n">
        <x:f>IF($A401="","",--(COUNTIFS('02_ツリー'!$E$5:$E$560,$A401,'02_ツリー'!$O$5:$O$560,0)=0))</x:f>
        <x:v>1</x:v>
      </x:c>
      <x:c r="J401" s="12" t="str">
        <x:f>IF($A401="","",IF(AND(B401&gt;0,C401&lt;0),"正負あり",IF(B401&gt;0,"正のみ",IF(C401&lt;0,"負のみ","ゼロ"))))</x:f>
        <x:v>ゼロ</x:v>
      </x:c>
      <x:c r="K401" s="244" t="n">
        <x:f>IF($A401="","",--AND(B401&gt;0,C401&lt;0))</x:f>
        <x:v>0</x:v>
      </x:c>
      <x:c r="L401" s="244" t="n">
        <x:f>IF($A401="","",COUNTIF('02_ツリー'!$E$5:$E$560,$A401))</x:f>
        <x:v>1</x:v>
      </x:c>
      <x:c r="M401" s="244" t="n">
        <x:f>IF($A401="","",--(LEFT(A401,7)="Enable_"))</x:f>
        <x:v>0</x:v>
      </x:c>
      <x:c r="N401" s="12"/>
      <x:c r="O401" s="12"/>
      <x:c r="P401" s="12"/>
      <x:c r="Q401" s="12"/>
      <x:c r="R401" s="12"/>
      <x:c r="S401" s="12"/>
      <x:c r="T401" s="12"/>
      <x:c r="U401" s="12"/>
      <x:c r="V401" s="12"/>
      <x:c r="W401" s="12"/>
      <x:c r="X401" s="12"/>
      <x:c r="Y401" s="12"/>
    </x:row>
    <x:row r="402">
      <x:c r="A402" s="12" t="str">
        <x:f>IFERROR(INDEX('02_ツリー'!$E$5:$E$560,MATCH(ROWS($A$11:A402),'02_ツリー'!$R$5:$R$560,0)),"")</x:f>
        <x:v>L_motor</x:v>
      </x:c>
      <x:c r="B402" s="48" t="n">
        <x:f>IF($A402="","",SUMIFS('02_ツリー'!$K$5:$K$560,'02_ツリー'!$E$5:$E$560,$A402,'02_ツリー'!$K$5:$K$560,"&gt;0"))</x:f>
        <x:v>0</x:v>
      </x:c>
      <x:c r="C402" s="48" t="n">
        <x:f>IF($A402="","",SUMIFS('02_ツリー'!$K$5:$K$560,'02_ツリー'!$E$5:$E$560,$A402,'02_ツリー'!$K$5:$K$560,"&lt;0"))</x:f>
        <x:v>0</x:v>
      </x:c>
      <x:c r="D402" s="48" t="n">
        <x:f>IF($A402="","",B402+C402)</x:f>
        <x:v>0</x:v>
      </x:c>
      <x:c r="E402" s="48" t="n">
        <x:f>IF($A402="","",B402-C402)</x:f>
        <x:v>0</x:v>
      </x:c>
      <x:c r="F402" s="48" t="n">
        <x:f>IF($A402="","",SUMIFS('02_ツリー'!$H$5:$H$560,'02_ツリー'!$E$5:$E$560,$A402,'02_ツリー'!$K$5:$K$560,"&gt;0"))</x:f>
        <x:v>0</x:v>
      </x:c>
      <x:c r="G402" s="48" t="n">
        <x:f>IF($A402="","",-SUMIFS('02_ツリー'!$H$5:$H$560,'02_ツリー'!$E$5:$E$560,$A402,'02_ツリー'!$K$5:$K$560,"&lt;0"))</x:f>
        <x:v>0</x:v>
      </x:c>
      <x:c r="H402" s="48" t="n">
        <x:f>IF($A402="","",F402+G402)</x:f>
        <x:v>0</x:v>
      </x:c>
      <x:c r="I402" s="244" t="n">
        <x:f>IF($A402="","",--(COUNTIFS('02_ツリー'!$E$5:$E$560,$A402,'02_ツリー'!$O$5:$O$560,0)=0))</x:f>
        <x:v>1</x:v>
      </x:c>
      <x:c r="J402" s="12" t="str">
        <x:f>IF($A402="","",IF(AND(B402&gt;0,C402&lt;0),"正負あり",IF(B402&gt;0,"正のみ",IF(C402&lt;0,"負のみ","ゼロ"))))</x:f>
        <x:v>ゼロ</x:v>
      </x:c>
      <x:c r="K402" s="244" t="n">
        <x:f>IF($A402="","",--AND(B402&gt;0,C402&lt;0))</x:f>
        <x:v>0</x:v>
      </x:c>
      <x:c r="L402" s="244" t="n">
        <x:f>IF($A402="","",COUNTIF('02_ツリー'!$E$5:$E$560,$A402))</x:f>
        <x:v>1</x:v>
      </x:c>
      <x:c r="M402" s="244" t="n">
        <x:f>IF($A402="","",--(LEFT(A402,7)="Enable_"))</x:f>
        <x:v>0</x:v>
      </x:c>
      <x:c r="N402" s="12"/>
      <x:c r="O402" s="12"/>
      <x:c r="P402" s="12"/>
      <x:c r="Q402" s="12"/>
      <x:c r="R402" s="12"/>
      <x:c r="S402" s="12"/>
      <x:c r="T402" s="12"/>
      <x:c r="U402" s="12"/>
      <x:c r="V402" s="12"/>
      <x:c r="W402" s="12"/>
      <x:c r="X402" s="12"/>
      <x:c r="Y402" s="12"/>
    </x:row>
    <x:row r="403">
      <x:c r="A403" s="12" t="str">
        <x:f>IFERROR(INDEX('02_ツリー'!$E$5:$E$560,MATCH(ROWS($A$11:A403),'02_ツリー'!$R$5:$R$560,0)),"")</x:f>
        <x:v>f_sw_bw</x:v>
      </x:c>
      <x:c r="B403" s="48" t="n">
        <x:f>IF($A403="","",SUMIFS('02_ツリー'!$K$5:$K$560,'02_ツリー'!$E$5:$E$560,$A403,'02_ツリー'!$K$5:$K$560,"&gt;0"))</x:f>
        <x:v>0</x:v>
      </x:c>
      <x:c r="C403" s="48" t="n">
        <x:f>IF($A403="","",SUMIFS('02_ツリー'!$K$5:$K$560,'02_ツリー'!$E$5:$E$560,$A403,'02_ツリー'!$K$5:$K$560,"&lt;0"))</x:f>
        <x:v>0</x:v>
      </x:c>
      <x:c r="D403" s="48" t="n">
        <x:f>IF($A403="","",B403+C403)</x:f>
        <x:v>0</x:v>
      </x:c>
      <x:c r="E403" s="48" t="n">
        <x:f>IF($A403="","",B403-C403)</x:f>
        <x:v>0</x:v>
      </x:c>
      <x:c r="F403" s="48" t="n">
        <x:f>IF($A403="","",SUMIFS('02_ツリー'!$H$5:$H$560,'02_ツリー'!$E$5:$E$560,$A403,'02_ツリー'!$K$5:$K$560,"&gt;0"))</x:f>
        <x:v>0</x:v>
      </x:c>
      <x:c r="G403" s="48" t="n">
        <x:f>IF($A403="","",-SUMIFS('02_ツリー'!$H$5:$H$560,'02_ツリー'!$E$5:$E$560,$A403,'02_ツリー'!$K$5:$K$560,"&lt;0"))</x:f>
        <x:v>0</x:v>
      </x:c>
      <x:c r="H403" s="48" t="n">
        <x:f>IF($A403="","",F403+G403)</x:f>
        <x:v>0</x:v>
      </x:c>
      <x:c r="I403" s="244" t="n">
        <x:f>IF($A403="","",--(COUNTIFS('02_ツリー'!$E$5:$E$560,$A403,'02_ツリー'!$O$5:$O$560,0)=0))</x:f>
        <x:v>0</x:v>
      </x:c>
      <x:c r="J403" s="12" t="str">
        <x:f>IF($A403="","",IF(AND(B403&gt;0,C403&lt;0),"正負あり",IF(B403&gt;0,"正のみ",IF(C403&lt;0,"負のみ","ゼロ"))))</x:f>
        <x:v>ゼロ</x:v>
      </x:c>
      <x:c r="K403" s="244" t="n">
        <x:f>IF($A403="","",--AND(B403&gt;0,C403&lt;0))</x:f>
        <x:v>0</x:v>
      </x:c>
      <x:c r="L403" s="244" t="n">
        <x:f>IF($A403="","",COUNTIF('02_ツリー'!$E$5:$E$560,$A403))</x:f>
        <x:v>1</x:v>
      </x:c>
      <x:c r="M403" s="244" t="n">
        <x:f>IF($A403="","",--(LEFT(A403,7)="Enable_"))</x:f>
        <x:v>0</x:v>
      </x:c>
      <x:c r="N403" s="12"/>
      <x:c r="O403" s="12"/>
      <x:c r="P403" s="12"/>
      <x:c r="Q403" s="12"/>
      <x:c r="R403" s="12"/>
      <x:c r="S403" s="12"/>
      <x:c r="T403" s="12"/>
      <x:c r="U403" s="12"/>
      <x:c r="V403" s="12"/>
      <x:c r="W403" s="12"/>
      <x:c r="X403" s="12"/>
      <x:c r="Y403" s="12"/>
    </x:row>
    <x:row r="404">
      <x:c r="A404" s="12" t="str">
        <x:f>IFERROR(INDEX('02_ツリー'!$E$5:$E$560,MATCH(ROWS($A$11:A404),'02_ツリー'!$R$5:$R$560,0)),"")</x:f>
        <x:v>BW_current</x:v>
      </x:c>
      <x:c r="B404" s="48" t="n">
        <x:f>IF($A404="","",SUMIFS('02_ツリー'!$K$5:$K$560,'02_ツリー'!$E$5:$E$560,$A404,'02_ツリー'!$K$5:$K$560,"&gt;0"))</x:f>
        <x:v>0</x:v>
      </x:c>
      <x:c r="C404" s="48" t="n">
        <x:f>IF($A404="","",SUMIFS('02_ツリー'!$K$5:$K$560,'02_ツリー'!$E$5:$E$560,$A404,'02_ツリー'!$K$5:$K$560,"&lt;0"))</x:f>
        <x:v>0</x:v>
      </x:c>
      <x:c r="D404" s="48" t="n">
        <x:f>IF($A404="","",B404+C404)</x:f>
        <x:v>0</x:v>
      </x:c>
      <x:c r="E404" s="48" t="n">
        <x:f>IF($A404="","",B404-C404)</x:f>
        <x:v>0</x:v>
      </x:c>
      <x:c r="F404" s="48" t="n">
        <x:f>IF($A404="","",SUMIFS('02_ツリー'!$H$5:$H$560,'02_ツリー'!$E$5:$E$560,$A404,'02_ツリー'!$K$5:$K$560,"&gt;0"))</x:f>
        <x:v>0</x:v>
      </x:c>
      <x:c r="G404" s="48" t="n">
        <x:f>IF($A404="","",-SUMIFS('02_ツリー'!$H$5:$H$560,'02_ツリー'!$E$5:$E$560,$A404,'02_ツリー'!$K$5:$K$560,"&lt;0"))</x:f>
        <x:v>0</x:v>
      </x:c>
      <x:c r="H404" s="48" t="n">
        <x:f>IF($A404="","",F404+G404)</x:f>
        <x:v>0</x:v>
      </x:c>
      <x:c r="I404" s="244" t="n">
        <x:f>IF($A404="","",--(COUNTIFS('02_ツリー'!$E$5:$E$560,$A404,'02_ツリー'!$O$5:$O$560,0)=0))</x:f>
        <x:v>1</x:v>
      </x:c>
      <x:c r="J404" s="12" t="str">
        <x:f>IF($A404="","",IF(AND(B404&gt;0,C404&lt;0),"正負あり",IF(B404&gt;0,"正のみ",IF(C404&lt;0,"負のみ","ゼロ"))))</x:f>
        <x:v>ゼロ</x:v>
      </x:c>
      <x:c r="K404" s="244" t="n">
        <x:f>IF($A404="","",--AND(B404&gt;0,C404&lt;0))</x:f>
        <x:v>0</x:v>
      </x:c>
      <x:c r="L404" s="244" t="n">
        <x:f>IF($A404="","",COUNTIF('02_ツリー'!$E$5:$E$560,$A404))</x:f>
        <x:v>1</x:v>
      </x:c>
      <x:c r="M404" s="244" t="n">
        <x:f>IF($A404="","",--(LEFT(A404,7)="Enable_"))</x:f>
        <x:v>0</x:v>
      </x:c>
      <x:c r="N404" s="12"/>
      <x:c r="O404" s="12"/>
      <x:c r="P404" s="12"/>
      <x:c r="Q404" s="12"/>
      <x:c r="R404" s="12"/>
      <x:c r="S404" s="12"/>
      <x:c r="T404" s="12"/>
      <x:c r="U404" s="12"/>
      <x:c r="V404" s="12"/>
      <x:c r="W404" s="12"/>
      <x:c r="X404" s="12"/>
      <x:c r="Y404" s="12"/>
    </x:row>
    <x:row r="405">
      <x:c r="A405" s="12" t="str">
        <x:f>IFERROR(INDEX('02_ツリー'!$E$5:$E$560,MATCH(ROWS($A$11:A405),'02_ツリー'!$R$5:$R$560,0)),"")</x:f>
        <x:v>k_miller_sw</x:v>
      </x:c>
      <x:c r="B405" s="48" t="n">
        <x:f>IF($A405="","",SUMIFS('02_ツリー'!$K$5:$K$560,'02_ツリー'!$E$5:$E$560,$A405,'02_ツリー'!$K$5:$K$560,"&gt;0"))</x:f>
        <x:v>0.007515582271838901</x:v>
      </x:c>
      <x:c r="C405" s="48" t="n">
        <x:f>IF($A405="","",SUMIFS('02_ツリー'!$K$5:$K$560,'02_ツリー'!$E$5:$E$560,$A405,'02_ツリー'!$K$5:$K$560,"&lt;0"))</x:f>
        <x:v>0</x:v>
      </x:c>
      <x:c r="D405" s="48" t="n">
        <x:f>IF($A405="","",B405+C405)</x:f>
        <x:v>0.007515582271838901</x:v>
      </x:c>
      <x:c r="E405" s="48" t="n">
        <x:f>IF($A405="","",B405-C405)</x:f>
        <x:v>0.007515582271838901</x:v>
      </x:c>
      <x:c r="F405" s="48" t="n">
        <x:f>IF($A405="","",SUMIFS('02_ツリー'!$H$5:$H$560,'02_ツリー'!$E$5:$E$560,$A405,'02_ツリー'!$K$5:$K$560,"&gt;0"))</x:f>
        <x:v>0.06724822027023014</x:v>
      </x:c>
      <x:c r="G405" s="48" t="n">
        <x:f>IF($A405="","",-SUMIFS('02_ツリー'!$H$5:$H$560,'02_ツリー'!$E$5:$E$560,$A405,'02_ツリー'!$K$5:$K$560,"&lt;0"))</x:f>
        <x:v>0</x:v>
      </x:c>
      <x:c r="H405" s="48" t="n">
        <x:f>IF($A405="","",F405+G405)</x:f>
        <x:v>0.06724822027023014</x:v>
      </x:c>
      <x:c r="I405" s="244" t="n">
        <x:f>IF($A405="","",--(COUNTIFS('02_ツリー'!$E$5:$E$560,$A405,'02_ツリー'!$O$5:$O$560,0)=0))</x:f>
        <x:v>0</x:v>
      </x:c>
      <x:c r="J405" s="12" t="str">
        <x:f>IF($A405="","",IF(AND(B405&gt;0,C405&lt;0),"正負あり",IF(B405&gt;0,"正のみ",IF(C405&lt;0,"負のみ","ゼロ"))))</x:f>
        <x:v>正のみ</x:v>
      </x:c>
      <x:c r="K405" s="244" t="n">
        <x:f>IF($A405="","",--AND(B405&gt;0,C405&lt;0))</x:f>
        <x:v>0</x:v>
      </x:c>
      <x:c r="L405" s="244" t="n">
        <x:f>IF($A405="","",COUNTIF('02_ツリー'!$E$5:$E$560,$A405))</x:f>
        <x:v>1</x:v>
      </x:c>
      <x:c r="M405" s="244" t="n">
        <x:f>IF($A405="","",--(LEFT(A405,7)="Enable_"))</x:f>
        <x:v>0</x:v>
      </x:c>
      <x:c r="N405" s="12"/>
      <x:c r="O405" s="12"/>
      <x:c r="P405" s="12"/>
      <x:c r="Q405" s="12"/>
      <x:c r="R405" s="12"/>
      <x:c r="S405" s="12"/>
      <x:c r="T405" s="12"/>
      <x:c r="U405" s="12"/>
      <x:c r="V405" s="12"/>
      <x:c r="W405" s="12"/>
      <x:c r="X405" s="12"/>
      <x:c r="Y405" s="12"/>
    </x:row>
    <x:row r="406">
      <x:c r="A406" s="12" t="str">
        <x:f>IFERROR(INDEX('02_ツリー'!$E$5:$E$560,MATCH(ROWS($A$11:A406),'02_ツリー'!$R$5:$R$560,0)),"")</x:f>
        <x:v>Enable_Miller_clamp</x:v>
      </x:c>
      <x:c r="B406" s="48" t="n">
        <x:f>IF($A406="","",SUMIFS('02_ツリー'!$K$5:$K$560,'02_ツリー'!$E$5:$E$560,$A406,'02_ツリー'!$K$5:$K$560,"&gt;0"))</x:f>
        <x:v>0.0022351765568332654</x:v>
      </x:c>
      <x:c r="C406" s="48" t="n">
        <x:f>IF($A406="","",SUMIFS('02_ツリー'!$K$5:$K$560,'02_ツリー'!$E$5:$E$560,$A406,'02_ツリー'!$K$5:$K$560,"&lt;0"))</x:f>
        <x:v>-0.0007515582271838901</x:v>
      </x:c>
      <x:c r="D406" s="48" t="n">
        <x:f>IF($A406="","",B406+C406)</x:f>
        <x:v>0.0014836183296493754</x:v>
      </x:c>
      <x:c r="E406" s="48" t="n">
        <x:f>IF($A406="","",B406-C406)</x:f>
        <x:v>0.0029867347840171555</x:v>
      </x:c>
      <x:c r="F406" s="48" t="n">
        <x:f>IF($A406="","",SUMIFS('02_ツリー'!$H$5:$H$560,'02_ツリー'!$E$5:$E$560,$A406,'02_ツリー'!$K$5:$K$560,"&gt;0"))</x:f>
        <x:v>0.02</x:v>
      </x:c>
      <x:c r="G406" s="48" t="n">
        <x:f>IF($A406="","",-SUMIFS('02_ツリー'!$H$5:$H$560,'02_ツリー'!$E$5:$E$560,$A406,'02_ツリー'!$K$5:$K$560,"&lt;0"))</x:f>
        <x:v>-0.006724822027023015</x:v>
      </x:c>
      <x:c r="H406" s="48" t="n">
        <x:f>IF($A406="","",F406+G406)</x:f>
        <x:v>0.013275177972976986</x:v>
      </x:c>
      <x:c r="I406" s="244" t="n">
        <x:f>IF($A406="","",--(COUNTIFS('02_ツリー'!$E$5:$E$560,$A406,'02_ツリー'!$O$5:$O$560,0)=0))</x:f>
        <x:v>1</x:v>
      </x:c>
      <x:c r="J406" s="12" t="str">
        <x:f>IF($A406="","",IF(AND(B406&gt;0,C406&lt;0),"正負あり",IF(B406&gt;0,"正のみ",IF(C406&lt;0,"負のみ","ゼロ"))))</x:f>
        <x:v>正負あり</x:v>
      </x:c>
      <x:c r="K406" s="244" t="n">
        <x:f>IF($A406="","",--AND(B406&gt;0,C406&lt;0))</x:f>
        <x:v>1</x:v>
      </x:c>
      <x:c r="L406" s="244" t="n">
        <x:f>IF($A406="","",COUNTIF('02_ツリー'!$E$5:$E$560,$A406))</x:f>
        <x:v>2</x:v>
      </x:c>
      <x:c r="M406" s="244" t="n">
        <x:f>IF($A406="","",--(LEFT(A406,7)="Enable_"))</x:f>
        <x:v>1</x:v>
      </x:c>
      <x:c r="N406" s="12"/>
      <x:c r="O406" s="12"/>
      <x:c r="P406" s="12"/>
      <x:c r="Q406" s="12"/>
      <x:c r="R406" s="12"/>
      <x:c r="S406" s="12"/>
      <x:c r="T406" s="12"/>
      <x:c r="U406" s="12"/>
      <x:c r="V406" s="12"/>
      <x:c r="W406" s="12"/>
      <x:c r="X406" s="12"/>
      <x:c r="Y406" s="12"/>
    </x:row>
    <x:row r="407">
      <x:c r="A407" s="12" t="str">
        <x:f>IFERROR(INDEX('02_ツリー'!$E$5:$E$560,MATCH(ROWS($A$11:A407),'02_ツリー'!$R$5:$R$560,0)),"")</x:f>
        <x:v>M_miller_clamp</x:v>
      </x:c>
      <x:c r="B407" s="48" t="n">
        <x:f>IF($A407="","",SUMIFS('02_ツリー'!$K$5:$K$560,'02_ツリー'!$E$5:$E$560,$A407,'02_ツリー'!$K$5:$K$560,"&gt;0"))</x:f>
        <x:v>0</x:v>
      </x:c>
      <x:c r="C407" s="48" t="n">
        <x:f>IF($A407="","",SUMIFS('02_ツリー'!$K$5:$K$560,'02_ツリー'!$E$5:$E$560,$A407,'02_ツリー'!$K$5:$K$560,"&lt;0"))</x:f>
        <x:v>0</x:v>
      </x:c>
      <x:c r="D407" s="48" t="n">
        <x:f>IF($A407="","",B407+C407)</x:f>
        <x:v>0</x:v>
      </x:c>
      <x:c r="E407" s="48" t="n">
        <x:f>IF($A407="","",B407-C407)</x:f>
        <x:v>0</x:v>
      </x:c>
      <x:c r="F407" s="48" t="n">
        <x:f>IF($A407="","",SUMIFS('02_ツリー'!$H$5:$H$560,'02_ツリー'!$E$5:$E$560,$A407,'02_ツリー'!$K$5:$K$560,"&gt;0"))</x:f>
        <x:v>0</x:v>
      </x:c>
      <x:c r="G407" s="48" t="n">
        <x:f>IF($A407="","",-SUMIFS('02_ツリー'!$H$5:$H$560,'02_ツリー'!$E$5:$E$560,$A407,'02_ツリー'!$K$5:$K$560,"&lt;0"))</x:f>
        <x:v>0</x:v>
      </x:c>
      <x:c r="H407" s="48" t="n">
        <x:f>IF($A407="","",F407+G407)</x:f>
        <x:v>0</x:v>
      </x:c>
      <x:c r="I407" s="244" t="n">
        <x:f>IF($A407="","",--(COUNTIFS('02_ツリー'!$E$5:$E$560,$A407,'02_ツリー'!$O$5:$O$560,0)=0))</x:f>
        <x:v>0</x:v>
      </x:c>
      <x:c r="J407" s="12" t="str">
        <x:f>IF($A407="","",IF(AND(B407&gt;0,C407&lt;0),"正負あり",IF(B407&gt;0,"正のみ",IF(C407&lt;0,"負のみ","ゼロ"))))</x:f>
        <x:v>ゼロ</x:v>
      </x:c>
      <x:c r="K407" s="244" t="n">
        <x:f>IF($A407="","",--AND(B407&gt;0,C407&lt;0))</x:f>
        <x:v>0</x:v>
      </x:c>
      <x:c r="L407" s="244" t="n">
        <x:f>IF($A407="","",COUNTIF('02_ツリー'!$E$5:$E$560,$A407))</x:f>
        <x:v>1</x:v>
      </x:c>
      <x:c r="M407" s="244" t="n">
        <x:f>IF($A407="","",--(LEFT(A407,7)="Enable_"))</x:f>
        <x:v>0</x:v>
      </x:c>
      <x:c r="N407" s="12"/>
      <x:c r="O407" s="12"/>
      <x:c r="P407" s="12"/>
      <x:c r="Q407" s="12"/>
      <x:c r="R407" s="12"/>
      <x:c r="S407" s="12"/>
      <x:c r="T407" s="12"/>
      <x:c r="U407" s="12"/>
      <x:c r="V407" s="12"/>
      <x:c r="W407" s="12"/>
      <x:c r="X407" s="12"/>
      <x:c r="Y407" s="12"/>
    </x:row>
    <x:row r="408">
      <x:c r="A408" s="12" t="str">
        <x:f>IFERROR(INDEX('02_ツリー'!$E$5:$E$560,MATCH(ROWS($A$11:A408),'02_ツリー'!$R$5:$R$560,0)),"")</x:f>
      </x:c>
      <x:c r="B408" s="48" t="str">
        <x:f>IF($A408="","",SUMIFS('02_ツリー'!$K$5:$K$560,'02_ツリー'!$E$5:$E$560,$A408,'02_ツリー'!$K$5:$K$560,"&gt;0"))</x:f>
      </x:c>
      <x:c r="C408" s="48" t="str">
        <x:f>IF($A408="","",SUMIFS('02_ツリー'!$K$5:$K$560,'02_ツリー'!$E$5:$E$560,$A408,'02_ツリー'!$K$5:$K$560,"&lt;0"))</x:f>
      </x:c>
      <x:c r="D408" s="48" t="str">
        <x:f>IF($A408="","",B408+C408)</x:f>
      </x:c>
      <x:c r="E408" s="48" t="str">
        <x:f>IF($A408="","",B408-C408)</x:f>
      </x:c>
      <x:c r="F408" s="48" t="str">
        <x:f>IF($A408="","",SUMIFS('02_ツリー'!$H$5:$H$560,'02_ツリー'!$E$5:$E$560,$A408,'02_ツリー'!$K$5:$K$560,"&gt;0"))</x:f>
      </x:c>
      <x:c r="G408" s="48" t="str">
        <x:f>IF($A408="","",-SUMIFS('02_ツリー'!$H$5:$H$560,'02_ツリー'!$E$5:$E$560,$A408,'02_ツリー'!$K$5:$K$560,"&lt;0"))</x:f>
      </x:c>
      <x:c r="H408" s="48" t="str">
        <x:f>IF($A408="","",F408+G408)</x:f>
      </x:c>
      <x:c r="I408" s="244" t="str">
        <x:f>IF($A408="","",--(COUNTIFS('02_ツリー'!$E$5:$E$560,$A408,'02_ツリー'!$O$5:$O$560,0)=0))</x:f>
      </x:c>
      <x:c r="J408" s="12" t="str">
        <x:f>IF($A408="","",IF(AND(B408&gt;0,C408&lt;0),"正負あり",IF(B408&gt;0,"正のみ",IF(C408&lt;0,"負のみ","ゼロ"))))</x:f>
      </x:c>
      <x:c r="K408" s="244" t="str">
        <x:f>IF($A408="","",--AND(B408&gt;0,C408&lt;0))</x:f>
      </x:c>
      <x:c r="L408" s="244" t="str">
        <x:f>IF($A408="","",COUNTIF('02_ツリー'!$E$5:$E$560,$A408))</x:f>
      </x:c>
      <x:c r="M408" s="244" t="str">
        <x:f>IF($A408="","",--(LEFT(A408,7)="Enable_"))</x:f>
      </x:c>
      <x:c r="N408" s="12"/>
      <x:c r="O408" s="12"/>
      <x:c r="P408" s="12"/>
      <x:c r="Q408" s="12"/>
      <x:c r="R408" s="12"/>
      <x:c r="S408" s="12"/>
      <x:c r="T408" s="12"/>
      <x:c r="U408" s="12"/>
      <x:c r="V408" s="12"/>
      <x:c r="W408" s="12"/>
      <x:c r="X408" s="12"/>
      <x:c r="Y408" s="12"/>
    </x:row>
    <x:row r="409">
      <x:c r="A409" s="12" t="str">
        <x:f>IFERROR(INDEX('02_ツリー'!$E$5:$E$560,MATCH(ROWS($A$11:A409),'02_ツリー'!$R$5:$R$560,0)),"")</x:f>
      </x:c>
      <x:c r="B409" s="48" t="str">
        <x:f>IF($A409="","",SUMIFS('02_ツリー'!$K$5:$K$560,'02_ツリー'!$E$5:$E$560,$A409,'02_ツリー'!$K$5:$K$560,"&gt;0"))</x:f>
      </x:c>
      <x:c r="C409" s="48" t="str">
        <x:f>IF($A409="","",SUMIFS('02_ツリー'!$K$5:$K$560,'02_ツリー'!$E$5:$E$560,$A409,'02_ツリー'!$K$5:$K$560,"&lt;0"))</x:f>
      </x:c>
      <x:c r="D409" s="48" t="str">
        <x:f>IF($A409="","",B409+C409)</x:f>
      </x:c>
      <x:c r="E409" s="48" t="str">
        <x:f>IF($A409="","",B409-C409)</x:f>
      </x:c>
      <x:c r="F409" s="48" t="str">
        <x:f>IF($A409="","",SUMIFS('02_ツリー'!$H$5:$H$560,'02_ツリー'!$E$5:$E$560,$A409,'02_ツリー'!$K$5:$K$560,"&gt;0"))</x:f>
      </x:c>
      <x:c r="G409" s="48" t="str">
        <x:f>IF($A409="","",-SUMIFS('02_ツリー'!$H$5:$H$560,'02_ツリー'!$E$5:$E$560,$A409,'02_ツリー'!$K$5:$K$560,"&lt;0"))</x:f>
      </x:c>
      <x:c r="H409" s="48" t="str">
        <x:f>IF($A409="","",F409+G409)</x:f>
      </x:c>
      <x:c r="I409" s="244" t="str">
        <x:f>IF($A409="","",--(COUNTIFS('02_ツリー'!$E$5:$E$560,$A409,'02_ツリー'!$O$5:$O$560,0)=0))</x:f>
      </x:c>
      <x:c r="J409" s="12" t="str">
        <x:f>IF($A409="","",IF(AND(B409&gt;0,C409&lt;0),"正負あり",IF(B409&gt;0,"正のみ",IF(C409&lt;0,"負のみ","ゼロ"))))</x:f>
      </x:c>
      <x:c r="K409" s="244" t="str">
        <x:f>IF($A409="","",--AND(B409&gt;0,C409&lt;0))</x:f>
      </x:c>
      <x:c r="L409" s="244" t="str">
        <x:f>IF($A409="","",COUNTIF('02_ツリー'!$E$5:$E$560,$A409))</x:f>
      </x:c>
      <x:c r="M409" s="244" t="str">
        <x:f>IF($A409="","",--(LEFT(A409,7)="Enable_"))</x:f>
      </x:c>
      <x:c r="N409" s="12"/>
      <x:c r="O409" s="12"/>
      <x:c r="P409" s="12"/>
      <x:c r="Q409" s="12"/>
      <x:c r="R409" s="12"/>
      <x:c r="S409" s="12"/>
      <x:c r="T409" s="12"/>
      <x:c r="U409" s="12"/>
      <x:c r="V409" s="12"/>
      <x:c r="W409" s="12"/>
      <x:c r="X409" s="12"/>
      <x:c r="Y409" s="12"/>
    </x:row>
    <x:row r="410">
      <x:c r="A410" s="12" t="str">
        <x:f>IFERROR(INDEX('02_ツリー'!$E$5:$E$560,MATCH(ROWS($A$11:A410),'02_ツリー'!$R$5:$R$560,0)),"")</x:f>
      </x:c>
      <x:c r="B410" s="48" t="str">
        <x:f>IF($A410="","",SUMIFS('02_ツリー'!$K$5:$K$560,'02_ツリー'!$E$5:$E$560,$A410,'02_ツリー'!$K$5:$K$560,"&gt;0"))</x:f>
      </x:c>
      <x:c r="C410" s="48" t="str">
        <x:f>IF($A410="","",SUMIFS('02_ツリー'!$K$5:$K$560,'02_ツリー'!$E$5:$E$560,$A410,'02_ツリー'!$K$5:$K$560,"&lt;0"))</x:f>
      </x:c>
      <x:c r="D410" s="48" t="str">
        <x:f>IF($A410="","",B410+C410)</x:f>
      </x:c>
      <x:c r="E410" s="48" t="str">
        <x:f>IF($A410="","",B410-C410)</x:f>
      </x:c>
      <x:c r="F410" s="48" t="str">
        <x:f>IF($A410="","",SUMIFS('02_ツリー'!$H$5:$H$560,'02_ツリー'!$E$5:$E$560,$A410,'02_ツリー'!$K$5:$K$560,"&gt;0"))</x:f>
      </x:c>
      <x:c r="G410" s="48" t="str">
        <x:f>IF($A410="","",-SUMIFS('02_ツリー'!$H$5:$H$560,'02_ツリー'!$E$5:$E$560,$A410,'02_ツリー'!$K$5:$K$560,"&lt;0"))</x:f>
      </x:c>
      <x:c r="H410" s="48" t="str">
        <x:f>IF($A410="","",F410+G410)</x:f>
      </x:c>
      <x:c r="I410" s="244" t="str">
        <x:f>IF($A410="","",--(COUNTIFS('02_ツリー'!$E$5:$E$560,$A410,'02_ツリー'!$O$5:$O$560,0)=0))</x:f>
      </x:c>
      <x:c r="J410" s="12" t="str">
        <x:f>IF($A410="","",IF(AND(B410&gt;0,C410&lt;0),"正負あり",IF(B410&gt;0,"正のみ",IF(C410&lt;0,"負のみ","ゼロ"))))</x:f>
      </x:c>
      <x:c r="K410" s="244" t="str">
        <x:f>IF($A410="","",--AND(B410&gt;0,C410&lt;0))</x:f>
      </x:c>
      <x:c r="L410" s="244" t="str">
        <x:f>IF($A410="","",COUNTIF('02_ツリー'!$E$5:$E$560,$A410))</x:f>
      </x:c>
      <x:c r="M410" s="244" t="str">
        <x:f>IF($A410="","",--(LEFT(A410,7)="Enable_"))</x:f>
      </x:c>
      <x:c r="N410" s="12"/>
      <x:c r="O410" s="12"/>
      <x:c r="P410" s="12"/>
      <x:c r="Q410" s="12"/>
      <x:c r="R410" s="12"/>
      <x:c r="S410" s="12"/>
      <x:c r="T410" s="12"/>
      <x:c r="U410" s="12"/>
      <x:c r="V410" s="12"/>
      <x:c r="W410" s="12"/>
      <x:c r="X410" s="12"/>
      <x:c r="Y410" s="12"/>
    </x:row>
    <x:row r="411">
      <x:c r="A411" s="12">
        <x:f>IFERROR(INDEX('02_ツリー'!$E$5:$E$560,MATCH(ROWS($A$11:A411),'02_ツリー'!$R$5:$R$560,0)),"")</x:f>
      </x:c>
      <x:c r="B411" s="48" t="str">
        <x:f>IF($A411="","",SUMIFS('02_ツリー'!$K$5:$K$560,'02_ツリー'!$E$5:$E$560,$A411,'02_ツリー'!$K$5:$K$560,"&gt;0"))</x:f>
      </x:c>
      <x:c r="C411" s="48" t="str">
        <x:f>IF($A411="","",SUMIFS('02_ツリー'!$K$5:$K$560,'02_ツリー'!$E$5:$E$560,$A411,'02_ツリー'!$K$5:$K$560,"&lt;0"))</x:f>
      </x:c>
      <x:c r="D411" s="48" t="str">
        <x:f>IF($A411="","",B411+C411)</x:f>
      </x:c>
      <x:c r="E411" s="48" t="str">
        <x:f>IF($A411="","",B411-C411)</x:f>
      </x:c>
      <x:c r="F411" s="48" t="str">
        <x:f>IF($A411="","",SUMIFS('02_ツリー'!$H$5:$H$560,'02_ツリー'!$E$5:$E$560,$A411,'02_ツリー'!$K$5:$K$560,"&gt;0"))</x:f>
      </x:c>
      <x:c r="G411" s="48" t="str">
        <x:f>IF($A411="","",-SUMIFS('02_ツリー'!$H$5:$H$560,'02_ツリー'!$E$5:$E$560,$A411,'02_ツリー'!$K$5:$K$560,"&lt;0"))</x:f>
      </x:c>
      <x:c r="H411" s="48" t="str">
        <x:f>IF($A411="","",F411+G411)</x:f>
      </x:c>
      <x:c r="I411" s="244" t="str">
        <x:f>IF($A411="","",--(COUNTIFS('02_ツリー'!$E$5:$E$560,$A411,'02_ツリー'!$O$5:$O$560,0)=0))</x:f>
      </x:c>
      <x:c r="J411" s="12" t="str">
        <x:f>IF($A411="","",IF(AND(B411&gt;0,C411&lt;0),"正負あり",IF(B411&gt;0,"正のみ",IF(C411&lt;0,"負のみ","ゼロ"))))</x:f>
      </x:c>
      <x:c r="K411" s="244" t="str">
        <x:f>IF($A411="","",--AND(B411&gt;0,C411&lt;0))</x:f>
      </x:c>
      <x:c r="L411" s="244" t="str">
        <x:f>IF($A411="","",COUNTIF('02_ツリー'!$E$5:$E$560,$A411))</x:f>
      </x:c>
      <x:c r="M411" s="244" t="str">
        <x:f>IF($A411="","",--(LEFT(A411,7)="Enable_"))</x:f>
      </x:c>
      <x:c r="N411" s="12"/>
      <x:c r="O411" s="12"/>
      <x:c r="P411" s="12"/>
      <x:c r="Q411" s="12"/>
      <x:c r="R411" s="12"/>
      <x:c r="S411" s="12"/>
      <x:c r="T411" s="12"/>
      <x:c r="U411" s="12"/>
      <x:c r="V411" s="12"/>
      <x:c r="W411" s="12"/>
      <x:c r="X411" s="12"/>
      <x:c r="Y411" s="12"/>
    </x:row>
    <x:row r="412">
      <x:c r="A412" s="12">
        <x:f>IFERROR(INDEX('02_ツリー'!$E$5:$E$560,MATCH(ROWS($A$11:A412),'02_ツリー'!$R$5:$R$560,0)),"")</x:f>
      </x:c>
      <x:c r="B412" s="48" t="str">
        <x:f>IF($A412="","",SUMIFS('02_ツリー'!$K$5:$K$560,'02_ツリー'!$E$5:$E$560,$A412,'02_ツリー'!$K$5:$K$560,"&gt;0"))</x:f>
      </x:c>
      <x:c r="C412" s="48" t="str">
        <x:f>IF($A412="","",SUMIFS('02_ツリー'!$K$5:$K$560,'02_ツリー'!$E$5:$E$560,$A412,'02_ツリー'!$K$5:$K$560,"&lt;0"))</x:f>
      </x:c>
      <x:c r="D412" s="48" t="str">
        <x:f>IF($A412="","",B412+C412)</x:f>
      </x:c>
      <x:c r="E412" s="48" t="str">
        <x:f>IF($A412="","",B412-C412)</x:f>
      </x:c>
      <x:c r="F412" s="48" t="str">
        <x:f>IF($A412="","",SUMIFS('02_ツリー'!$H$5:$H$560,'02_ツリー'!$E$5:$E$560,$A412,'02_ツリー'!$K$5:$K$560,"&gt;0"))</x:f>
      </x:c>
      <x:c r="G412" s="48" t="str">
        <x:f>IF($A412="","",-SUMIFS('02_ツリー'!$H$5:$H$560,'02_ツリー'!$E$5:$E$560,$A412,'02_ツリー'!$K$5:$K$560,"&lt;0"))</x:f>
      </x:c>
      <x:c r="H412" s="48" t="str">
        <x:f>IF($A412="","",F412+G412)</x:f>
      </x:c>
      <x:c r="I412" s="244" t="str">
        <x:f>IF($A412="","",--(COUNTIFS('02_ツリー'!$E$5:$E$560,$A412,'02_ツリー'!$O$5:$O$560,0)=0))</x:f>
      </x:c>
      <x:c r="J412" s="12" t="str">
        <x:f>IF($A412="","",IF(AND(B412&gt;0,C412&lt;0),"正負あり",IF(B412&gt;0,"正のみ",IF(C412&lt;0,"負のみ","ゼロ"))))</x:f>
      </x:c>
      <x:c r="K412" s="244" t="str">
        <x:f>IF($A412="","",--AND(B412&gt;0,C412&lt;0))</x:f>
      </x:c>
      <x:c r="L412" s="244" t="str">
        <x:f>IF($A412="","",COUNTIF('02_ツリー'!$E$5:$E$560,$A412))</x:f>
      </x:c>
      <x:c r="M412" s="244" t="str">
        <x:f>IF($A412="","",--(LEFT(A412,7)="Enable_"))</x:f>
      </x:c>
      <x:c r="N412" s="12"/>
      <x:c r="O412" s="12"/>
      <x:c r="P412" s="12"/>
      <x:c r="Q412" s="12"/>
      <x:c r="R412" s="12"/>
      <x:c r="S412" s="12"/>
      <x:c r="T412" s="12"/>
      <x:c r="U412" s="12"/>
      <x:c r="V412" s="12"/>
      <x:c r="W412" s="12"/>
      <x:c r="X412" s="12"/>
      <x:c r="Y412" s="12"/>
    </x:row>
  </x:sheetData>
  <x:mergeCells>
    <x:mergeCell ref="A1:Y2"/>
    <x:mergeCell ref="A3:Y4"/>
  </x:mergeCells>
  <x:pageMargins left="0.7" right="0.7" top="0.75" bottom="0.75" header="0.3" footer="0.3"/>
  <x:tableParts count="2">
    <x:tablePart xmlns:r="http://schemas.openxmlformats.org/officeDocument/2006/relationships" r:id="Re134f07c53b54f69"/>
    <x:tablePart xmlns:r="http://schemas.openxmlformats.org/officeDocument/2006/relationships" r:id="Rc80d48604aeb47df"/>
  </x:tableParts>
</x:worksheet>
</file>