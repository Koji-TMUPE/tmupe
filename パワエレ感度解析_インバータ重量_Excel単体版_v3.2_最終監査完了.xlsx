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ji Mitsui\Downloads\"/>
    </mc:Choice>
  </mc:AlternateContent>
  <xr:revisionPtr revIDLastSave="0" documentId="13_ncr:1_{02B2A4A1-2547-495E-A855-987AD634EAF7}" xr6:coauthVersionLast="47" xr6:coauthVersionMax="47" xr10:uidLastSave="{00000000-0000-0000-0000-000000000000}"/>
  <bookViews>
    <workbookView xWindow="-120" yWindow="-120" windowWidth="29040" windowHeight="15720" activeTab="4" xr2:uid="{00000000-000D-0000-FFFF-FFFF00000000}"/>
  </bookViews>
  <sheets>
    <sheet name="00_使い方" sheetId="1" r:id="rId1"/>
    <sheet name="01_入力仕様" sheetId="2" r:id="rId2"/>
    <sheet name="02_ツリー" sheetId="3" r:id="rId3"/>
    <sheet name="03_ダッシュボード" sheetId="4" r:id="rId4"/>
    <sheet name="07_システム要求" sheetId="5" r:id="rId5"/>
    <sheet name="09_基準仕様" sheetId="6" r:id="rId6"/>
    <sheet name="10_シナリオ入力" sheetId="7" r:id="rId7"/>
    <sheet name="11_入力分類一覧" sheetId="8" r:id="rId8"/>
    <sheet name="14_研究要素評価" sheetId="9" r:id="rId9"/>
    <sheet name="15_研究変数マップ" sheetId="10" r:id="rId10"/>
    <sheet name="16_研究文献"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5" i="10" l="1"/>
  <c r="E204" i="10"/>
  <c r="E203" i="10"/>
  <c r="E202" i="10"/>
  <c r="E201" i="10"/>
  <c r="E200" i="10"/>
  <c r="E199" i="10"/>
  <c r="E198" i="10"/>
  <c r="E197" i="10"/>
  <c r="E196" i="10"/>
  <c r="E195" i="10"/>
  <c r="E194" i="10"/>
  <c r="E193" i="10"/>
  <c r="E192" i="10"/>
  <c r="E191" i="10"/>
  <c r="E190" i="10"/>
  <c r="I189" i="10"/>
  <c r="E189" i="10"/>
  <c r="E188" i="10"/>
  <c r="I188" i="10" s="1"/>
  <c r="I187" i="10"/>
  <c r="E187" i="10"/>
  <c r="E186" i="10"/>
  <c r="I186" i="10" s="1"/>
  <c r="E185" i="10"/>
  <c r="I185" i="10" s="1"/>
  <c r="I184" i="10"/>
  <c r="E184" i="10"/>
  <c r="E183" i="10"/>
  <c r="I183" i="10" s="1"/>
  <c r="E182" i="10"/>
  <c r="I182" i="10" s="1"/>
  <c r="I181" i="10"/>
  <c r="E181" i="10"/>
  <c r="E180" i="10"/>
  <c r="I180" i="10" s="1"/>
  <c r="E179" i="10"/>
  <c r="I179" i="10" s="1"/>
  <c r="I178" i="10"/>
  <c r="E178" i="10"/>
  <c r="E177" i="10"/>
  <c r="I177" i="10" s="1"/>
  <c r="I39" i="9" s="1"/>
  <c r="I176" i="10"/>
  <c r="E176" i="10"/>
  <c r="I175" i="10"/>
  <c r="E175" i="10"/>
  <c r="E174" i="10"/>
  <c r="I174" i="10" s="1"/>
  <c r="I173" i="10"/>
  <c r="E173" i="10"/>
  <c r="E172" i="10"/>
  <c r="I172" i="10" s="1"/>
  <c r="I38" i="9" s="1"/>
  <c r="I171" i="10"/>
  <c r="E171" i="10"/>
  <c r="I170" i="10"/>
  <c r="E170" i="10"/>
  <c r="E169" i="10"/>
  <c r="I169" i="10" s="1"/>
  <c r="I37" i="9" s="1"/>
  <c r="I168" i="10"/>
  <c r="E168" i="10"/>
  <c r="E167" i="10"/>
  <c r="I167" i="10" s="1"/>
  <c r="E166" i="10"/>
  <c r="I166" i="10" s="1"/>
  <c r="I165" i="10"/>
  <c r="E165" i="10"/>
  <c r="E164" i="10"/>
  <c r="I164" i="10" s="1"/>
  <c r="E163" i="10"/>
  <c r="I163" i="10" s="1"/>
  <c r="I162" i="10"/>
  <c r="E162" i="10"/>
  <c r="E161" i="10"/>
  <c r="I161" i="10" s="1"/>
  <c r="I160" i="10"/>
  <c r="E160" i="10"/>
  <c r="I159" i="10"/>
  <c r="E159" i="10"/>
  <c r="E158" i="10"/>
  <c r="I158" i="10" s="1"/>
  <c r="I35" i="9" s="1"/>
  <c r="K35" i="9" s="1"/>
  <c r="I157" i="10"/>
  <c r="E157" i="10"/>
  <c r="E156" i="10"/>
  <c r="I156" i="10" s="1"/>
  <c r="I155" i="10"/>
  <c r="E155" i="10"/>
  <c r="E154" i="10"/>
  <c r="I154" i="10" s="1"/>
  <c r="E153" i="10"/>
  <c r="I153" i="10" s="1"/>
  <c r="I152" i="10"/>
  <c r="E152" i="10"/>
  <c r="E151" i="10"/>
  <c r="I151" i="10" s="1"/>
  <c r="E150" i="10"/>
  <c r="I150" i="10" s="1"/>
  <c r="I149" i="10"/>
  <c r="E149" i="10"/>
  <c r="E148" i="10"/>
  <c r="I148" i="10" s="1"/>
  <c r="I33" i="9" s="1"/>
  <c r="E147" i="10"/>
  <c r="I147" i="10" s="1"/>
  <c r="I146" i="10"/>
  <c r="E146" i="10"/>
  <c r="E145" i="10"/>
  <c r="I145" i="10" s="1"/>
  <c r="I144" i="10"/>
  <c r="E144" i="10"/>
  <c r="I143" i="10"/>
  <c r="E143" i="10"/>
  <c r="E142" i="10"/>
  <c r="I142" i="10" s="1"/>
  <c r="I141" i="10"/>
  <c r="E141" i="10"/>
  <c r="E140" i="10"/>
  <c r="I140" i="10" s="1"/>
  <c r="I139" i="10"/>
  <c r="I31" i="9" s="1"/>
  <c r="K31" i="9" s="1"/>
  <c r="E139" i="10"/>
  <c r="I138" i="10"/>
  <c r="E138" i="10"/>
  <c r="E137" i="10"/>
  <c r="I137" i="10" s="1"/>
  <c r="I136" i="10"/>
  <c r="E136" i="10"/>
  <c r="E135" i="10"/>
  <c r="I135" i="10" s="1"/>
  <c r="E134" i="10"/>
  <c r="I134" i="10" s="1"/>
  <c r="I133" i="10"/>
  <c r="E133" i="10"/>
  <c r="E132" i="10"/>
  <c r="I132" i="10" s="1"/>
  <c r="E131" i="10"/>
  <c r="I131" i="10" s="1"/>
  <c r="I130" i="10"/>
  <c r="E130" i="10"/>
  <c r="E129" i="10"/>
  <c r="I129" i="10" s="1"/>
  <c r="I128" i="10"/>
  <c r="E128" i="10"/>
  <c r="I127" i="10"/>
  <c r="E127" i="10"/>
  <c r="E126" i="10"/>
  <c r="I126" i="10" s="1"/>
  <c r="I125" i="10"/>
  <c r="E125" i="10"/>
  <c r="E124" i="10"/>
  <c r="I124" i="10" s="1"/>
  <c r="I28" i="9" s="1"/>
  <c r="K28" i="9" s="1"/>
  <c r="I123" i="10"/>
  <c r="E123" i="10"/>
  <c r="I122" i="10"/>
  <c r="E122" i="10"/>
  <c r="E121" i="10"/>
  <c r="I121" i="10" s="1"/>
  <c r="I27" i="9" s="1"/>
  <c r="K27" i="9" s="1"/>
  <c r="I120" i="10"/>
  <c r="E120" i="10"/>
  <c r="E119" i="10"/>
  <c r="I119" i="10" s="1"/>
  <c r="E118" i="10"/>
  <c r="I118" i="10" s="1"/>
  <c r="I117" i="10"/>
  <c r="E117" i="10"/>
  <c r="E116" i="10"/>
  <c r="I116" i="10" s="1"/>
  <c r="E115" i="10"/>
  <c r="I115" i="10" s="1"/>
  <c r="I114" i="10"/>
  <c r="E114" i="10"/>
  <c r="E113" i="10"/>
  <c r="I113" i="10" s="1"/>
  <c r="I112" i="10"/>
  <c r="E112" i="10"/>
  <c r="I111" i="10"/>
  <c r="E111" i="10"/>
  <c r="I110" i="10"/>
  <c r="E110" i="10"/>
  <c r="I109" i="10"/>
  <c r="E109" i="10"/>
  <c r="E108" i="10"/>
  <c r="I108" i="10" s="1"/>
  <c r="I107" i="10"/>
  <c r="E107" i="10"/>
  <c r="I106" i="10"/>
  <c r="E106" i="10"/>
  <c r="E105" i="10"/>
  <c r="I105" i="10" s="1"/>
  <c r="I104" i="10"/>
  <c r="E104" i="10"/>
  <c r="E103" i="10"/>
  <c r="I103" i="10" s="1"/>
  <c r="E102" i="10"/>
  <c r="I102" i="10" s="1"/>
  <c r="I101" i="10"/>
  <c r="E101" i="10"/>
  <c r="E100" i="10"/>
  <c r="I100" i="10" s="1"/>
  <c r="E99" i="10"/>
  <c r="I99" i="10" s="1"/>
  <c r="I98" i="10"/>
  <c r="E98" i="10"/>
  <c r="E97" i="10"/>
  <c r="I97" i="10" s="1"/>
  <c r="I96" i="10"/>
  <c r="E96" i="10"/>
  <c r="I95" i="10"/>
  <c r="E95" i="10"/>
  <c r="I94" i="10"/>
  <c r="E94" i="10"/>
  <c r="I93" i="10"/>
  <c r="E93" i="10"/>
  <c r="E92" i="10"/>
  <c r="I92" i="10" s="1"/>
  <c r="I91" i="10"/>
  <c r="I22" i="9" s="1"/>
  <c r="E91" i="10"/>
  <c r="E90" i="10"/>
  <c r="I90" i="10" s="1"/>
  <c r="E89" i="10"/>
  <c r="I89" i="10" s="1"/>
  <c r="E88" i="10"/>
  <c r="I88" i="10" s="1"/>
  <c r="E87" i="10"/>
  <c r="I87" i="10" s="1"/>
  <c r="E86" i="10"/>
  <c r="I86" i="10" s="1"/>
  <c r="I85" i="10"/>
  <c r="E85" i="10"/>
  <c r="I84" i="10"/>
  <c r="E84" i="10"/>
  <c r="E83" i="10"/>
  <c r="I83" i="10" s="1"/>
  <c r="I82" i="10"/>
  <c r="E82" i="10"/>
  <c r="E81" i="10"/>
  <c r="I81" i="10" s="1"/>
  <c r="I80" i="10"/>
  <c r="E80" i="10"/>
  <c r="E79" i="10"/>
  <c r="I79" i="10" s="1"/>
  <c r="I78" i="10"/>
  <c r="E78" i="10"/>
  <c r="I77" i="10"/>
  <c r="E77" i="10"/>
  <c r="E76" i="10"/>
  <c r="I76" i="10" s="1"/>
  <c r="I75" i="10"/>
  <c r="E75" i="10"/>
  <c r="I74" i="10"/>
  <c r="E74" i="10"/>
  <c r="E73" i="10"/>
  <c r="I73" i="10" s="1"/>
  <c r="I72" i="10"/>
  <c r="E72" i="10"/>
  <c r="E71" i="10"/>
  <c r="I71" i="10" s="1"/>
  <c r="I18" i="9" s="1"/>
  <c r="K18" i="9" s="1"/>
  <c r="E70" i="10"/>
  <c r="I70" i="10" s="1"/>
  <c r="I69" i="10"/>
  <c r="E69" i="10"/>
  <c r="I68" i="10"/>
  <c r="E68" i="10"/>
  <c r="E67" i="10"/>
  <c r="I67" i="10" s="1"/>
  <c r="I66" i="10"/>
  <c r="E66" i="10"/>
  <c r="E65" i="10"/>
  <c r="I65" i="10" s="1"/>
  <c r="I64" i="10"/>
  <c r="E64" i="10"/>
  <c r="I63" i="10"/>
  <c r="I16" i="9" s="1"/>
  <c r="K16" i="9" s="1"/>
  <c r="E63" i="10"/>
  <c r="I62" i="10"/>
  <c r="E62" i="10"/>
  <c r="I61" i="10"/>
  <c r="E61" i="10"/>
  <c r="E60" i="10"/>
  <c r="I60" i="10" s="1"/>
  <c r="I15" i="9" s="1"/>
  <c r="I59" i="10"/>
  <c r="E59" i="10"/>
  <c r="I58" i="10"/>
  <c r="E58" i="10"/>
  <c r="E57" i="10"/>
  <c r="I57" i="10" s="1"/>
  <c r="I56" i="10"/>
  <c r="E56" i="10"/>
  <c r="E55" i="10"/>
  <c r="I55" i="10" s="1"/>
  <c r="E54" i="10"/>
  <c r="I54" i="10" s="1"/>
  <c r="I53" i="10"/>
  <c r="E53" i="10"/>
  <c r="E52" i="10"/>
  <c r="I52" i="10" s="1"/>
  <c r="E51" i="10"/>
  <c r="I51" i="10" s="1"/>
  <c r="I50" i="10"/>
  <c r="E50" i="10"/>
  <c r="E49" i="10"/>
  <c r="I49" i="10" s="1"/>
  <c r="I48" i="10"/>
  <c r="E48" i="10"/>
  <c r="E47" i="10"/>
  <c r="I47" i="10" s="1"/>
  <c r="I46" i="10"/>
  <c r="E46" i="10"/>
  <c r="I45" i="10"/>
  <c r="E45" i="10"/>
  <c r="E44" i="10"/>
  <c r="I44" i="10" s="1"/>
  <c r="I43" i="10"/>
  <c r="E43" i="10"/>
  <c r="I42" i="10"/>
  <c r="E42" i="10"/>
  <c r="E41" i="10"/>
  <c r="I41" i="10" s="1"/>
  <c r="I40" i="10"/>
  <c r="E40" i="10"/>
  <c r="E39" i="10"/>
  <c r="I39" i="10" s="1"/>
  <c r="E38" i="10"/>
  <c r="I38" i="10" s="1"/>
  <c r="I37" i="10"/>
  <c r="E37" i="10"/>
  <c r="I36" i="10"/>
  <c r="E36" i="10"/>
  <c r="E35" i="10"/>
  <c r="I35" i="10" s="1"/>
  <c r="I9" i="9" s="1"/>
  <c r="I34" i="10"/>
  <c r="E34" i="10"/>
  <c r="E33" i="10"/>
  <c r="I33" i="10" s="1"/>
  <c r="I32" i="10"/>
  <c r="E32" i="10"/>
  <c r="E31" i="10"/>
  <c r="I31" i="10" s="1"/>
  <c r="I8" i="9" s="1"/>
  <c r="K8" i="9" s="1"/>
  <c r="I30" i="10"/>
  <c r="E30" i="10"/>
  <c r="I29" i="10"/>
  <c r="E29" i="10"/>
  <c r="E28" i="10"/>
  <c r="I28" i="10" s="1"/>
  <c r="I27" i="10"/>
  <c r="E27" i="10"/>
  <c r="I26" i="10"/>
  <c r="E26" i="10"/>
  <c r="E25" i="10"/>
  <c r="I25" i="10" s="1"/>
  <c r="I24" i="10"/>
  <c r="E24" i="10"/>
  <c r="E23" i="10"/>
  <c r="I23" i="10" s="1"/>
  <c r="E22" i="10"/>
  <c r="I22" i="10" s="1"/>
  <c r="I6" i="9" s="1"/>
  <c r="I21" i="10"/>
  <c r="E21" i="10"/>
  <c r="I20" i="10"/>
  <c r="E20" i="10"/>
  <c r="E19" i="10"/>
  <c r="I19" i="10" s="1"/>
  <c r="I5" i="9" s="1"/>
  <c r="K5" i="9" s="1"/>
  <c r="I18" i="10"/>
  <c r="E18" i="10"/>
  <c r="E17" i="10"/>
  <c r="I17" i="10" s="1"/>
  <c r="I16" i="10"/>
  <c r="E16" i="10"/>
  <c r="E15" i="10"/>
  <c r="I15" i="10" s="1"/>
  <c r="I14" i="10"/>
  <c r="E14" i="10"/>
  <c r="I13" i="10"/>
  <c r="E13" i="10"/>
  <c r="E12" i="10"/>
  <c r="I12" i="10" s="1"/>
  <c r="I11" i="10"/>
  <c r="E11" i="10"/>
  <c r="I10" i="10"/>
  <c r="E10" i="10"/>
  <c r="E9" i="10"/>
  <c r="I9" i="10" s="1"/>
  <c r="I8" i="10"/>
  <c r="E8" i="10"/>
  <c r="E7" i="10"/>
  <c r="I7" i="10" s="1"/>
  <c r="I3" i="9" s="1"/>
  <c r="J3" i="9" s="1"/>
  <c r="E6" i="10"/>
  <c r="I6" i="10" s="1"/>
  <c r="I5" i="10"/>
  <c r="E5" i="10"/>
  <c r="I4" i="10"/>
  <c r="E4" i="10"/>
  <c r="E3" i="10"/>
  <c r="I3" i="10" s="1"/>
  <c r="I2" i="10"/>
  <c r="E2" i="10"/>
  <c r="D41" i="9"/>
  <c r="D40" i="9"/>
  <c r="D39" i="9"/>
  <c r="J39" i="9" s="1"/>
  <c r="D38" i="9"/>
  <c r="D37" i="9"/>
  <c r="D36" i="9"/>
  <c r="D35" i="9"/>
  <c r="D34" i="9"/>
  <c r="D33" i="9"/>
  <c r="J33" i="9" s="1"/>
  <c r="D32" i="9"/>
  <c r="D31" i="9"/>
  <c r="J31" i="9" s="1"/>
  <c r="D30" i="9"/>
  <c r="I29" i="9"/>
  <c r="D29" i="9"/>
  <c r="J29" i="9" s="1"/>
  <c r="J28" i="9"/>
  <c r="D28" i="9"/>
  <c r="D27" i="9"/>
  <c r="D26" i="9"/>
  <c r="D25" i="9"/>
  <c r="I24" i="9"/>
  <c r="K24" i="9" s="1"/>
  <c r="D24" i="9"/>
  <c r="D23" i="9"/>
  <c r="D22" i="9"/>
  <c r="I21" i="9"/>
  <c r="K21" i="9" s="1"/>
  <c r="D21" i="9"/>
  <c r="D20" i="9"/>
  <c r="D19" i="9"/>
  <c r="D18" i="9"/>
  <c r="I17" i="9"/>
  <c r="K17" i="9" s="1"/>
  <c r="D17" i="9"/>
  <c r="J17" i="9" s="1"/>
  <c r="D16" i="9"/>
  <c r="D15" i="9"/>
  <c r="D14" i="9"/>
  <c r="K13" i="9"/>
  <c r="I13" i="9"/>
  <c r="D13" i="9"/>
  <c r="D12" i="9"/>
  <c r="I11" i="9"/>
  <c r="D11" i="9"/>
  <c r="I10" i="9"/>
  <c r="D10" i="9"/>
  <c r="D9" i="9"/>
  <c r="D8" i="9"/>
  <c r="I7" i="9"/>
  <c r="K7" i="9" s="1"/>
  <c r="D7" i="9"/>
  <c r="D6" i="9"/>
  <c r="J6" i="9" s="1"/>
  <c r="J5" i="9"/>
  <c r="D5" i="9"/>
  <c r="D4" i="9"/>
  <c r="K3" i="9"/>
  <c r="F3" i="9"/>
  <c r="D3" i="9"/>
  <c r="D2" i="9"/>
  <c r="M12" i="5"/>
  <c r="M11" i="5"/>
  <c r="M9" i="5"/>
  <c r="R679" i="3"/>
  <c r="Q679" i="3"/>
  <c r="O679" i="3"/>
  <c r="R678" i="3"/>
  <c r="Q678" i="3"/>
  <c r="O678" i="3"/>
  <c r="Q677" i="3"/>
  <c r="O677" i="3"/>
  <c r="F677" i="3"/>
  <c r="Q676" i="3"/>
  <c r="R676" i="3" s="1"/>
  <c r="O676" i="3"/>
  <c r="J676" i="3"/>
  <c r="F676" i="3"/>
  <c r="J677" i="3" s="1"/>
  <c r="Q675" i="3"/>
  <c r="O675" i="3"/>
  <c r="F675" i="3"/>
  <c r="Q674" i="3"/>
  <c r="O674" i="3"/>
  <c r="F674" i="3"/>
  <c r="Q673" i="3"/>
  <c r="O673" i="3"/>
  <c r="J673" i="3"/>
  <c r="F673" i="3"/>
  <c r="J674" i="3" s="1"/>
  <c r="Q672" i="3"/>
  <c r="O672" i="3"/>
  <c r="Q671" i="3"/>
  <c r="O671" i="3"/>
  <c r="J671" i="3"/>
  <c r="Q670" i="3"/>
  <c r="O670" i="3"/>
  <c r="Q669" i="3"/>
  <c r="O669" i="3"/>
  <c r="Q668" i="3"/>
  <c r="O668" i="3"/>
  <c r="Q667" i="3"/>
  <c r="O667" i="3"/>
  <c r="J667" i="3"/>
  <c r="Q666" i="3"/>
  <c r="O666" i="3"/>
  <c r="K666" i="3"/>
  <c r="R665" i="3"/>
  <c r="Q665" i="3"/>
  <c r="O665" i="3"/>
  <c r="R664" i="3"/>
  <c r="Q664" i="3"/>
  <c r="O664" i="3"/>
  <c r="R663" i="3"/>
  <c r="Q663" i="3"/>
  <c r="O663" i="3"/>
  <c r="R662" i="3"/>
  <c r="Q662" i="3"/>
  <c r="O662" i="3"/>
  <c r="Q661" i="3"/>
  <c r="O661" i="3"/>
  <c r="Q660" i="3"/>
  <c r="O660" i="3"/>
  <c r="Q659" i="3"/>
  <c r="O659" i="3"/>
  <c r="Q658" i="3"/>
  <c r="O658" i="3"/>
  <c r="Q657" i="3"/>
  <c r="O657" i="3"/>
  <c r="Q656" i="3"/>
  <c r="O656" i="3"/>
  <c r="Q655" i="3"/>
  <c r="O655" i="3"/>
  <c r="Q654" i="3"/>
  <c r="O654" i="3"/>
  <c r="Q653" i="3"/>
  <c r="O653" i="3"/>
  <c r="Q652" i="3"/>
  <c r="O652" i="3"/>
  <c r="Q651" i="3"/>
  <c r="O651" i="3"/>
  <c r="Q650" i="3"/>
  <c r="O650" i="3"/>
  <c r="Q649" i="3"/>
  <c r="O649" i="3"/>
  <c r="Q648" i="3"/>
  <c r="O648" i="3"/>
  <c r="Q647" i="3"/>
  <c r="O647" i="3"/>
  <c r="Q646" i="3"/>
  <c r="O646" i="3"/>
  <c r="Q645" i="3"/>
  <c r="O645" i="3"/>
  <c r="Q644" i="3"/>
  <c r="O644" i="3"/>
  <c r="Q643" i="3"/>
  <c r="R643" i="3" s="1"/>
  <c r="O643" i="3"/>
  <c r="Q642" i="3"/>
  <c r="O642" i="3"/>
  <c r="J642" i="3"/>
  <c r="R641" i="3"/>
  <c r="Q641" i="3"/>
  <c r="O641" i="3"/>
  <c r="R640" i="3"/>
  <c r="Q640" i="3"/>
  <c r="O640" i="3"/>
  <c r="Q639" i="3"/>
  <c r="R639" i="3" s="1"/>
  <c r="O639" i="3"/>
  <c r="R638" i="3"/>
  <c r="Q638" i="3"/>
  <c r="O638" i="3"/>
  <c r="R637" i="3"/>
  <c r="Q637" i="3"/>
  <c r="O637" i="3"/>
  <c r="Q636" i="3"/>
  <c r="O636" i="3"/>
  <c r="Q635" i="3"/>
  <c r="O635" i="3"/>
  <c r="Q634" i="3"/>
  <c r="O634" i="3"/>
  <c r="Q633" i="3"/>
  <c r="O633" i="3"/>
  <c r="Q632" i="3"/>
  <c r="O632" i="3"/>
  <c r="Q631" i="3"/>
  <c r="R631" i="3" s="1"/>
  <c r="O631" i="3"/>
  <c r="Q630" i="3"/>
  <c r="O630" i="3"/>
  <c r="R629" i="3"/>
  <c r="Q629" i="3"/>
  <c r="O629" i="3"/>
  <c r="Q628" i="3"/>
  <c r="O628" i="3"/>
  <c r="Q627" i="3"/>
  <c r="O627" i="3"/>
  <c r="R626" i="3"/>
  <c r="Q626" i="3"/>
  <c r="O626" i="3"/>
  <c r="Q625" i="3"/>
  <c r="O625" i="3"/>
  <c r="Q624" i="3"/>
  <c r="R624" i="3" s="1"/>
  <c r="O624" i="3"/>
  <c r="J624" i="3"/>
  <c r="R623" i="3"/>
  <c r="Q623" i="3"/>
  <c r="O623" i="3"/>
  <c r="R622" i="3"/>
  <c r="Q622" i="3"/>
  <c r="O622" i="3"/>
  <c r="Q621" i="3"/>
  <c r="R621" i="3" s="1"/>
  <c r="O621" i="3"/>
  <c r="Q620" i="3"/>
  <c r="R620" i="3" s="1"/>
  <c r="O620" i="3"/>
  <c r="J620" i="3"/>
  <c r="O619" i="3"/>
  <c r="O618" i="3"/>
  <c r="O617" i="3"/>
  <c r="O616" i="3"/>
  <c r="O615" i="3"/>
  <c r="O614" i="3"/>
  <c r="O613" i="3"/>
  <c r="O612" i="3"/>
  <c r="O611" i="3"/>
  <c r="O610" i="3"/>
  <c r="O609" i="3"/>
  <c r="O608" i="3"/>
  <c r="O607" i="3"/>
  <c r="O606" i="3"/>
  <c r="O605" i="3"/>
  <c r="O604" i="3"/>
  <c r="O603" i="3"/>
  <c r="O602" i="3"/>
  <c r="Q601" i="3"/>
  <c r="O601" i="3"/>
  <c r="J601" i="3"/>
  <c r="Q600" i="3"/>
  <c r="O600" i="3"/>
  <c r="Q599" i="3"/>
  <c r="O599" i="3"/>
  <c r="Q598" i="3"/>
  <c r="O598" i="3"/>
  <c r="Q597" i="3"/>
  <c r="O597" i="3"/>
  <c r="Q596" i="3"/>
  <c r="O596" i="3"/>
  <c r="Q595" i="3"/>
  <c r="O595" i="3"/>
  <c r="Q594" i="3"/>
  <c r="O594" i="3"/>
  <c r="Q593" i="3"/>
  <c r="O593" i="3"/>
  <c r="Q592" i="3"/>
  <c r="O592" i="3"/>
  <c r="J592" i="3"/>
  <c r="Q591" i="3"/>
  <c r="O591" i="3"/>
  <c r="Q590" i="3"/>
  <c r="O590" i="3"/>
  <c r="J590" i="3"/>
  <c r="Q589" i="3"/>
  <c r="O589" i="3"/>
  <c r="R588" i="3"/>
  <c r="Q588" i="3"/>
  <c r="O588" i="3"/>
  <c r="J588" i="3"/>
  <c r="Q587" i="3"/>
  <c r="R587" i="3" s="1"/>
  <c r="O587" i="3"/>
  <c r="J587" i="3"/>
  <c r="Q586" i="3"/>
  <c r="O586" i="3"/>
  <c r="J586" i="3"/>
  <c r="Q585" i="3"/>
  <c r="O585" i="3"/>
  <c r="Q584" i="3"/>
  <c r="O584" i="3"/>
  <c r="Q583" i="3"/>
  <c r="O583" i="3"/>
  <c r="Q582" i="3"/>
  <c r="O582" i="3"/>
  <c r="J582" i="3"/>
  <c r="Q581" i="3"/>
  <c r="O581" i="3"/>
  <c r="J581" i="3"/>
  <c r="R580" i="3"/>
  <c r="Q580" i="3"/>
  <c r="O580" i="3"/>
  <c r="J580" i="3"/>
  <c r="Q579" i="3"/>
  <c r="O579" i="3"/>
  <c r="Q578" i="3"/>
  <c r="O578" i="3"/>
  <c r="J578" i="3"/>
  <c r="Q577" i="3"/>
  <c r="O577" i="3"/>
  <c r="J577" i="3"/>
  <c r="Q576" i="3"/>
  <c r="O576" i="3"/>
  <c r="J576" i="3"/>
  <c r="Q575" i="3"/>
  <c r="O575" i="3"/>
  <c r="Q574" i="3"/>
  <c r="O574" i="3"/>
  <c r="O573" i="3"/>
  <c r="Q572" i="3"/>
  <c r="O572" i="3"/>
  <c r="J572" i="3"/>
  <c r="Q571" i="3"/>
  <c r="O571" i="3"/>
  <c r="Q570" i="3"/>
  <c r="O570" i="3"/>
  <c r="Q569" i="3"/>
  <c r="O569" i="3"/>
  <c r="Q568" i="3"/>
  <c r="O568" i="3"/>
  <c r="J568" i="3"/>
  <c r="Q567" i="3"/>
  <c r="O567" i="3"/>
  <c r="Q566" i="3"/>
  <c r="O566" i="3"/>
  <c r="J566" i="3"/>
  <c r="Q565" i="3"/>
  <c r="O565" i="3"/>
  <c r="J565" i="3"/>
  <c r="Q564" i="3"/>
  <c r="O564" i="3"/>
  <c r="J564" i="3"/>
  <c r="Q563" i="3"/>
  <c r="O563" i="3"/>
  <c r="Q562" i="3"/>
  <c r="O562" i="3"/>
  <c r="J562" i="3"/>
  <c r="Q561" i="3"/>
  <c r="O561" i="3"/>
  <c r="Q560" i="3"/>
  <c r="R560" i="3" s="1"/>
  <c r="O560" i="3"/>
  <c r="J560" i="3"/>
  <c r="Q559" i="3"/>
  <c r="O559" i="3"/>
  <c r="Q558" i="3"/>
  <c r="O558" i="3"/>
  <c r="J558" i="3"/>
  <c r="Q557" i="3"/>
  <c r="O557" i="3"/>
  <c r="J557" i="3"/>
  <c r="Q556" i="3"/>
  <c r="O556" i="3"/>
  <c r="J556" i="3"/>
  <c r="Q555" i="3"/>
  <c r="O555" i="3"/>
  <c r="Q554" i="3"/>
  <c r="O554" i="3"/>
  <c r="J554" i="3"/>
  <c r="Q553" i="3"/>
  <c r="O553" i="3"/>
  <c r="J553" i="3"/>
  <c r="Q552" i="3"/>
  <c r="O552" i="3"/>
  <c r="Q551" i="3"/>
  <c r="O551" i="3"/>
  <c r="F551" i="3"/>
  <c r="Q550" i="3"/>
  <c r="O550" i="3"/>
  <c r="J550" i="3"/>
  <c r="Q549" i="3"/>
  <c r="R549" i="3" s="1"/>
  <c r="O549" i="3"/>
  <c r="Q548" i="3"/>
  <c r="O548" i="3"/>
  <c r="Q547" i="3"/>
  <c r="O547" i="3"/>
  <c r="K547" i="3"/>
  <c r="J547" i="3"/>
  <c r="Q546" i="3"/>
  <c r="O546" i="3"/>
  <c r="Q545" i="3"/>
  <c r="O545" i="3"/>
  <c r="O544" i="3"/>
  <c r="Q543" i="3"/>
  <c r="O543" i="3"/>
  <c r="Q542" i="3"/>
  <c r="O542" i="3"/>
  <c r="Q541" i="3"/>
  <c r="R541" i="3" s="1"/>
  <c r="O541" i="3"/>
  <c r="J541" i="3"/>
  <c r="Q540" i="3"/>
  <c r="O540" i="3"/>
  <c r="Q539" i="3"/>
  <c r="R539" i="3" s="1"/>
  <c r="O539" i="3"/>
  <c r="J539" i="3"/>
  <c r="Q538" i="3"/>
  <c r="O538" i="3"/>
  <c r="J538" i="3"/>
  <c r="Q537" i="3"/>
  <c r="O537" i="3"/>
  <c r="J537" i="3"/>
  <c r="Q536" i="3"/>
  <c r="O536" i="3"/>
  <c r="J536" i="3"/>
  <c r="Q535" i="3"/>
  <c r="R535" i="3" s="1"/>
  <c r="O535" i="3"/>
  <c r="J535" i="3"/>
  <c r="Q534" i="3"/>
  <c r="O534" i="3"/>
  <c r="Q533" i="3"/>
  <c r="R533" i="3" s="1"/>
  <c r="O533" i="3"/>
  <c r="J533" i="3"/>
  <c r="Q532" i="3"/>
  <c r="O532" i="3"/>
  <c r="Q531" i="3"/>
  <c r="O531" i="3"/>
  <c r="J531" i="3"/>
  <c r="Q530" i="3"/>
  <c r="O530" i="3"/>
  <c r="J530" i="3"/>
  <c r="Q529" i="3"/>
  <c r="O529" i="3"/>
  <c r="K529" i="3"/>
  <c r="J529" i="3"/>
  <c r="Q528" i="3"/>
  <c r="O528" i="3"/>
  <c r="K528" i="3"/>
  <c r="J528" i="3"/>
  <c r="Q527" i="3"/>
  <c r="O527" i="3"/>
  <c r="L527" i="3"/>
  <c r="K527" i="3"/>
  <c r="J527" i="3"/>
  <c r="Q526" i="3"/>
  <c r="O526" i="3"/>
  <c r="J526" i="3"/>
  <c r="Q525" i="3"/>
  <c r="O525" i="3"/>
  <c r="Q524" i="3"/>
  <c r="O524" i="3"/>
  <c r="R523" i="3"/>
  <c r="Q523" i="3"/>
  <c r="O523" i="3"/>
  <c r="J523" i="3"/>
  <c r="Q522" i="3"/>
  <c r="O522" i="3"/>
  <c r="Q521" i="3"/>
  <c r="O521" i="3"/>
  <c r="J521" i="3"/>
  <c r="Q520" i="3"/>
  <c r="O520" i="3"/>
  <c r="R519" i="3"/>
  <c r="Q519" i="3"/>
  <c r="O519" i="3"/>
  <c r="J519" i="3"/>
  <c r="Q518" i="3"/>
  <c r="O518" i="3"/>
  <c r="Q517" i="3"/>
  <c r="O517" i="3"/>
  <c r="Q516" i="3"/>
  <c r="O516" i="3"/>
  <c r="R515" i="3"/>
  <c r="Q515" i="3"/>
  <c r="O515" i="3"/>
  <c r="J515" i="3"/>
  <c r="Q514" i="3"/>
  <c r="O514" i="3"/>
  <c r="J514" i="3"/>
  <c r="R513" i="3"/>
  <c r="Q513" i="3"/>
  <c r="O513" i="3"/>
  <c r="J513" i="3"/>
  <c r="Q512" i="3"/>
  <c r="O512" i="3"/>
  <c r="J512" i="3"/>
  <c r="Q511" i="3"/>
  <c r="O511" i="3"/>
  <c r="Q510" i="3"/>
  <c r="R510" i="3" s="1"/>
  <c r="O510" i="3"/>
  <c r="J510" i="3"/>
  <c r="Q509" i="3"/>
  <c r="O509" i="3"/>
  <c r="Q508" i="3"/>
  <c r="O508" i="3"/>
  <c r="J508" i="3"/>
  <c r="Q507" i="3"/>
  <c r="R507" i="3" s="1"/>
  <c r="O507" i="3"/>
  <c r="J507" i="3"/>
  <c r="Q506" i="3"/>
  <c r="O506" i="3"/>
  <c r="R505" i="3"/>
  <c r="Q505" i="3"/>
  <c r="O505" i="3"/>
  <c r="J505" i="3"/>
  <c r="Q504" i="3"/>
  <c r="O504" i="3"/>
  <c r="Q503" i="3"/>
  <c r="O503" i="3"/>
  <c r="J503" i="3"/>
  <c r="Q502" i="3"/>
  <c r="O502" i="3"/>
  <c r="O501" i="3"/>
  <c r="O500" i="3"/>
  <c r="O499" i="3"/>
  <c r="O498" i="3"/>
  <c r="Q497" i="3"/>
  <c r="O497" i="3"/>
  <c r="J497" i="3"/>
  <c r="Q496" i="3"/>
  <c r="O496" i="3"/>
  <c r="Q495" i="3"/>
  <c r="O495" i="3"/>
  <c r="J495" i="3"/>
  <c r="Q494" i="3"/>
  <c r="O494" i="3"/>
  <c r="Q493" i="3"/>
  <c r="O493" i="3"/>
  <c r="K493" i="3"/>
  <c r="J493" i="3"/>
  <c r="Q492" i="3"/>
  <c r="O492" i="3"/>
  <c r="Q491" i="3"/>
  <c r="R491" i="3" s="1"/>
  <c r="O491" i="3"/>
  <c r="J491" i="3"/>
  <c r="Q490" i="3"/>
  <c r="O490" i="3"/>
  <c r="Q489" i="3"/>
  <c r="O489" i="3"/>
  <c r="J489" i="3"/>
  <c r="Q488" i="3"/>
  <c r="O488" i="3"/>
  <c r="O487" i="3"/>
  <c r="Q486" i="3"/>
  <c r="O486" i="3"/>
  <c r="J486" i="3"/>
  <c r="Q485" i="3"/>
  <c r="O485" i="3"/>
  <c r="O484" i="3"/>
  <c r="O483" i="3"/>
  <c r="Q482" i="3"/>
  <c r="O482" i="3"/>
  <c r="R481" i="3"/>
  <c r="Q481" i="3"/>
  <c r="O481" i="3"/>
  <c r="J481" i="3"/>
  <c r="Q480" i="3"/>
  <c r="O480" i="3"/>
  <c r="J480" i="3"/>
  <c r="Q479" i="3"/>
  <c r="O479" i="3"/>
  <c r="O478" i="3"/>
  <c r="O477" i="3"/>
  <c r="R476" i="3"/>
  <c r="Q476" i="3"/>
  <c r="O476" i="3"/>
  <c r="J476" i="3"/>
  <c r="Q475" i="3"/>
  <c r="O475" i="3"/>
  <c r="Q474" i="3"/>
  <c r="O474" i="3"/>
  <c r="R473" i="3"/>
  <c r="Q473" i="3"/>
  <c r="O473" i="3"/>
  <c r="Q472" i="3"/>
  <c r="O472" i="3"/>
  <c r="Q471" i="3"/>
  <c r="O471" i="3"/>
  <c r="R470" i="3"/>
  <c r="Q470" i="3"/>
  <c r="O470" i="3"/>
  <c r="J470" i="3"/>
  <c r="Q469" i="3"/>
  <c r="O469" i="3"/>
  <c r="J469" i="3"/>
  <c r="O468" i="3"/>
  <c r="O467" i="3"/>
  <c r="O466" i="3"/>
  <c r="R465" i="3"/>
  <c r="Q465" i="3"/>
  <c r="O465" i="3"/>
  <c r="J465" i="3"/>
  <c r="Q464" i="3"/>
  <c r="R464" i="3" s="1"/>
  <c r="O464" i="3"/>
  <c r="J464" i="3"/>
  <c r="Q463" i="3"/>
  <c r="O463" i="3"/>
  <c r="R462" i="3"/>
  <c r="Q462" i="3"/>
  <c r="O462" i="3"/>
  <c r="Q461" i="3"/>
  <c r="O461" i="3"/>
  <c r="J461" i="3"/>
  <c r="Q460" i="3"/>
  <c r="O460" i="3"/>
  <c r="Q459" i="3"/>
  <c r="O459" i="3"/>
  <c r="J459" i="3"/>
  <c r="R458" i="3"/>
  <c r="Q458" i="3"/>
  <c r="O458" i="3"/>
  <c r="J458" i="3"/>
  <c r="Q457" i="3"/>
  <c r="O457" i="3"/>
  <c r="Q456" i="3"/>
  <c r="O456" i="3"/>
  <c r="Q455" i="3"/>
  <c r="O455" i="3"/>
  <c r="J455" i="3"/>
  <c r="Q454" i="3"/>
  <c r="O454" i="3"/>
  <c r="J454" i="3"/>
  <c r="Q453" i="3"/>
  <c r="O453" i="3"/>
  <c r="J453" i="3"/>
  <c r="Q452" i="3"/>
  <c r="O452" i="3"/>
  <c r="J452" i="3"/>
  <c r="R451" i="3"/>
  <c r="Q451" i="3"/>
  <c r="O451" i="3"/>
  <c r="Q450" i="3"/>
  <c r="O450" i="3"/>
  <c r="J450" i="3"/>
  <c r="Q449" i="3"/>
  <c r="O449" i="3"/>
  <c r="J449" i="3"/>
  <c r="Q448" i="3"/>
  <c r="O448" i="3"/>
  <c r="J448" i="3"/>
  <c r="Q447" i="3"/>
  <c r="O447" i="3"/>
  <c r="Q446" i="3"/>
  <c r="O446" i="3"/>
  <c r="Q445" i="3"/>
  <c r="O445" i="3"/>
  <c r="J445" i="3"/>
  <c r="Q444" i="3"/>
  <c r="O444" i="3"/>
  <c r="Q443" i="3"/>
  <c r="O443" i="3"/>
  <c r="Q442" i="3"/>
  <c r="O442" i="3"/>
  <c r="K442" i="3"/>
  <c r="J442" i="3"/>
  <c r="R441" i="3"/>
  <c r="Q441" i="3"/>
  <c r="O441" i="3"/>
  <c r="J441" i="3"/>
  <c r="Q440" i="3"/>
  <c r="O440" i="3"/>
  <c r="R439" i="3"/>
  <c r="Q439" i="3"/>
  <c r="O439" i="3"/>
  <c r="K439" i="3"/>
  <c r="J439" i="3"/>
  <c r="Q438" i="3"/>
  <c r="R438" i="3" s="1"/>
  <c r="O438" i="3"/>
  <c r="J438" i="3"/>
  <c r="R437" i="3"/>
  <c r="Q437" i="3"/>
  <c r="O437" i="3"/>
  <c r="J437" i="3"/>
  <c r="R436" i="3"/>
  <c r="Q436" i="3"/>
  <c r="O436" i="3"/>
  <c r="J436" i="3"/>
  <c r="R435" i="3"/>
  <c r="Q435" i="3"/>
  <c r="O435" i="3"/>
  <c r="Q434" i="3"/>
  <c r="R434" i="3" s="1"/>
  <c r="O434" i="3"/>
  <c r="R433" i="3"/>
  <c r="Q433" i="3"/>
  <c r="O433" i="3"/>
  <c r="K433" i="3"/>
  <c r="J433" i="3"/>
  <c r="R432" i="3"/>
  <c r="Q432" i="3"/>
  <c r="O432" i="3"/>
  <c r="J432" i="3"/>
  <c r="R431" i="3"/>
  <c r="Q431" i="3"/>
  <c r="O431" i="3"/>
  <c r="J431" i="3"/>
  <c r="R430" i="3"/>
  <c r="Q430" i="3"/>
  <c r="O430" i="3"/>
  <c r="J430" i="3"/>
  <c r="R429" i="3"/>
  <c r="Q429" i="3"/>
  <c r="O429" i="3"/>
  <c r="R428" i="3"/>
  <c r="Q428" i="3"/>
  <c r="O428" i="3"/>
  <c r="Q427" i="3"/>
  <c r="O427" i="3"/>
  <c r="K427" i="3"/>
  <c r="J427" i="3"/>
  <c r="Q426" i="3"/>
  <c r="O426" i="3"/>
  <c r="J426" i="3"/>
  <c r="Q425" i="3"/>
  <c r="O425" i="3"/>
  <c r="J425" i="3"/>
  <c r="Q424" i="3"/>
  <c r="O424" i="3"/>
  <c r="J424" i="3"/>
  <c r="Q423" i="3"/>
  <c r="O423" i="3"/>
  <c r="Q422" i="3"/>
  <c r="R422" i="3" s="1"/>
  <c r="O422" i="3"/>
  <c r="R421" i="3"/>
  <c r="Q421" i="3"/>
  <c r="O421" i="3"/>
  <c r="R420" i="3"/>
  <c r="Q420" i="3"/>
  <c r="O420" i="3"/>
  <c r="J420" i="3"/>
  <c r="R419" i="3"/>
  <c r="Q419" i="3"/>
  <c r="O419" i="3"/>
  <c r="J419" i="3"/>
  <c r="Q418" i="3"/>
  <c r="R418" i="3" s="1"/>
  <c r="O418" i="3"/>
  <c r="J418" i="3"/>
  <c r="R417" i="3"/>
  <c r="Q417" i="3"/>
  <c r="O417" i="3"/>
  <c r="J417" i="3"/>
  <c r="Q416" i="3"/>
  <c r="R416" i="3" s="1"/>
  <c r="O416" i="3"/>
  <c r="J416" i="3"/>
  <c r="R415" i="3"/>
  <c r="Q415" i="3"/>
  <c r="O415" i="3"/>
  <c r="J415" i="3"/>
  <c r="R414" i="3"/>
  <c r="Q414" i="3"/>
  <c r="O414" i="3"/>
  <c r="R413" i="3"/>
  <c r="Q413" i="3"/>
  <c r="O413" i="3"/>
  <c r="J413" i="3"/>
  <c r="R412" i="3"/>
  <c r="Q412" i="3"/>
  <c r="O412" i="3"/>
  <c r="J412" i="3"/>
  <c r="R411" i="3"/>
  <c r="Q411" i="3"/>
  <c r="O411" i="3"/>
  <c r="J411" i="3"/>
  <c r="Q410" i="3"/>
  <c r="R410" i="3" s="1"/>
  <c r="O410" i="3"/>
  <c r="J410" i="3"/>
  <c r="R409" i="3"/>
  <c r="Q409" i="3"/>
  <c r="O409" i="3"/>
  <c r="J409" i="3"/>
  <c r="Q408" i="3"/>
  <c r="R408" i="3" s="1"/>
  <c r="O408" i="3"/>
  <c r="J408" i="3"/>
  <c r="Q407" i="3"/>
  <c r="O407" i="3"/>
  <c r="Q406" i="3"/>
  <c r="R406" i="3" s="1"/>
  <c r="O406" i="3"/>
  <c r="J406" i="3"/>
  <c r="Q405" i="3"/>
  <c r="O405" i="3"/>
  <c r="J405" i="3"/>
  <c r="R404" i="3"/>
  <c r="Q404" i="3"/>
  <c r="O404" i="3"/>
  <c r="J404" i="3"/>
  <c r="R403" i="3"/>
  <c r="Q403" i="3"/>
  <c r="O403" i="3"/>
  <c r="J403" i="3"/>
  <c r="Q402" i="3"/>
  <c r="O402" i="3"/>
  <c r="J402" i="3"/>
  <c r="Q401" i="3"/>
  <c r="O401" i="3"/>
  <c r="J401" i="3"/>
  <c r="R400" i="3"/>
  <c r="Q400" i="3"/>
  <c r="O400" i="3"/>
  <c r="J400" i="3"/>
  <c r="R399" i="3"/>
  <c r="Q399" i="3"/>
  <c r="O399" i="3"/>
  <c r="J399" i="3"/>
  <c r="R398" i="3"/>
  <c r="Q398" i="3"/>
  <c r="O398" i="3"/>
  <c r="R397" i="3"/>
  <c r="Q397" i="3"/>
  <c r="O397" i="3"/>
  <c r="Q396" i="3"/>
  <c r="R396" i="3" s="1"/>
  <c r="O396" i="3"/>
  <c r="Q395" i="3"/>
  <c r="O395" i="3"/>
  <c r="J395" i="3"/>
  <c r="Q394" i="3"/>
  <c r="O394" i="3"/>
  <c r="J394" i="3"/>
  <c r="Q393" i="3"/>
  <c r="O393" i="3"/>
  <c r="Q392" i="3"/>
  <c r="O392" i="3"/>
  <c r="Q391" i="3"/>
  <c r="O391" i="3"/>
  <c r="Q390" i="3"/>
  <c r="O390" i="3"/>
  <c r="F390" i="3"/>
  <c r="Q389" i="3"/>
  <c r="O389" i="3"/>
  <c r="J389" i="3"/>
  <c r="Q388" i="3"/>
  <c r="O388" i="3"/>
  <c r="Q387" i="3"/>
  <c r="O387" i="3"/>
  <c r="Q386" i="3"/>
  <c r="O386" i="3"/>
  <c r="R385" i="3"/>
  <c r="Q385" i="3"/>
  <c r="O385" i="3"/>
  <c r="Q384" i="3"/>
  <c r="O384" i="3"/>
  <c r="Q383" i="3"/>
  <c r="O383" i="3"/>
  <c r="Q382" i="3"/>
  <c r="O382" i="3"/>
  <c r="J382" i="3"/>
  <c r="Q381" i="3"/>
  <c r="O381" i="3"/>
  <c r="J381" i="3"/>
  <c r="Q380" i="3"/>
  <c r="R380" i="3" s="1"/>
  <c r="O380" i="3"/>
  <c r="J380" i="3"/>
  <c r="Q379" i="3"/>
  <c r="O379" i="3"/>
  <c r="J379" i="3"/>
  <c r="Q378" i="3"/>
  <c r="O378" i="3"/>
  <c r="J378" i="3"/>
  <c r="Q377" i="3"/>
  <c r="O377" i="3"/>
  <c r="J377" i="3"/>
  <c r="Q376" i="3"/>
  <c r="O376" i="3"/>
  <c r="Q375" i="3"/>
  <c r="O375" i="3"/>
  <c r="Q374" i="3"/>
  <c r="O374" i="3"/>
  <c r="J374" i="3"/>
  <c r="R373" i="3"/>
  <c r="Q373" i="3"/>
  <c r="O373" i="3"/>
  <c r="J373" i="3"/>
  <c r="Q372" i="3"/>
  <c r="O372" i="3"/>
  <c r="O371" i="3"/>
  <c r="O370" i="3"/>
  <c r="Q369" i="3"/>
  <c r="O369" i="3"/>
  <c r="J369" i="3"/>
  <c r="Q368" i="3"/>
  <c r="O368" i="3"/>
  <c r="Q367" i="3"/>
  <c r="O367" i="3"/>
  <c r="Q366" i="3"/>
  <c r="O366" i="3"/>
  <c r="J366" i="3"/>
  <c r="Q365" i="3"/>
  <c r="O365" i="3"/>
  <c r="Q364" i="3"/>
  <c r="O364" i="3"/>
  <c r="Q363" i="3"/>
  <c r="O363" i="3"/>
  <c r="J363" i="3"/>
  <c r="Q362" i="3"/>
  <c r="O362" i="3"/>
  <c r="J362" i="3"/>
  <c r="Q361" i="3"/>
  <c r="O361" i="3"/>
  <c r="Q360" i="3"/>
  <c r="O360" i="3"/>
  <c r="J360" i="3"/>
  <c r="Q359" i="3"/>
  <c r="O359" i="3"/>
  <c r="J359" i="3"/>
  <c r="Q358" i="3"/>
  <c r="O358" i="3"/>
  <c r="J358" i="3"/>
  <c r="Q357" i="3"/>
  <c r="O357" i="3"/>
  <c r="J357" i="3"/>
  <c r="Q356" i="3"/>
  <c r="R356" i="3" s="1"/>
  <c r="O356" i="3"/>
  <c r="J356" i="3"/>
  <c r="Q355" i="3"/>
  <c r="O355" i="3"/>
  <c r="R354" i="3"/>
  <c r="Q354" i="3"/>
  <c r="O354" i="3"/>
  <c r="J354" i="3"/>
  <c r="R353" i="3"/>
  <c r="Q353" i="3"/>
  <c r="O353" i="3"/>
  <c r="J353" i="3"/>
  <c r="Q352" i="3"/>
  <c r="O352" i="3"/>
  <c r="J352" i="3"/>
  <c r="Q351" i="3"/>
  <c r="O351" i="3"/>
  <c r="J351" i="3"/>
  <c r="Q350" i="3"/>
  <c r="O350" i="3"/>
  <c r="R349" i="3"/>
  <c r="Q349" i="3"/>
  <c r="O349" i="3"/>
  <c r="R348" i="3"/>
  <c r="Q348" i="3"/>
  <c r="O348" i="3"/>
  <c r="Q347" i="3"/>
  <c r="O347" i="3"/>
  <c r="Q346" i="3"/>
  <c r="O346" i="3"/>
  <c r="J346" i="3"/>
  <c r="Q345" i="3"/>
  <c r="O345" i="3"/>
  <c r="J345" i="3"/>
  <c r="Q344" i="3"/>
  <c r="O344" i="3"/>
  <c r="J344" i="3"/>
  <c r="Q343" i="3"/>
  <c r="O343" i="3"/>
  <c r="R342" i="3"/>
  <c r="Q342" i="3"/>
  <c r="O342" i="3"/>
  <c r="J342" i="3"/>
  <c r="R341" i="3"/>
  <c r="Q341" i="3"/>
  <c r="O341" i="3"/>
  <c r="J341" i="3"/>
  <c r="Q340" i="3"/>
  <c r="O340" i="3"/>
  <c r="Q339" i="3"/>
  <c r="O339" i="3"/>
  <c r="Q338" i="3"/>
  <c r="O338" i="3"/>
  <c r="Q337" i="3"/>
  <c r="O337" i="3"/>
  <c r="Q336" i="3"/>
  <c r="R336" i="3" s="1"/>
  <c r="O336" i="3"/>
  <c r="J336" i="3"/>
  <c r="Q335" i="3"/>
  <c r="O335" i="3"/>
  <c r="Q334" i="3"/>
  <c r="R334" i="3" s="1"/>
  <c r="O334" i="3"/>
  <c r="Q333" i="3"/>
  <c r="O333" i="3"/>
  <c r="J333" i="3"/>
  <c r="Q332" i="3"/>
  <c r="O332" i="3"/>
  <c r="Q331" i="3"/>
  <c r="O331" i="3"/>
  <c r="Q330" i="3"/>
  <c r="O330" i="3"/>
  <c r="Q329" i="3"/>
  <c r="O329" i="3"/>
  <c r="Q328" i="3"/>
  <c r="O328" i="3"/>
  <c r="J328" i="3"/>
  <c r="R327" i="3"/>
  <c r="Q327" i="3"/>
  <c r="O327" i="3"/>
  <c r="J327" i="3"/>
  <c r="R326" i="3"/>
  <c r="Q326" i="3"/>
  <c r="O326" i="3"/>
  <c r="J326" i="3"/>
  <c r="Q325" i="3"/>
  <c r="O325" i="3"/>
  <c r="J325" i="3"/>
  <c r="Q324" i="3"/>
  <c r="O324" i="3"/>
  <c r="Q323" i="3"/>
  <c r="O323" i="3"/>
  <c r="J323" i="3"/>
  <c r="F323" i="3"/>
  <c r="Q322" i="3"/>
  <c r="O322" i="3"/>
  <c r="J322" i="3"/>
  <c r="Q321" i="3"/>
  <c r="O321" i="3"/>
  <c r="J321" i="3"/>
  <c r="Q320" i="3"/>
  <c r="O320" i="3"/>
  <c r="J320" i="3"/>
  <c r="Q319" i="3"/>
  <c r="O319" i="3"/>
  <c r="Q318" i="3"/>
  <c r="O318" i="3"/>
  <c r="Q317" i="3"/>
  <c r="O317" i="3"/>
  <c r="J317" i="3"/>
  <c r="O316" i="3"/>
  <c r="R315" i="3"/>
  <c r="Q315" i="3"/>
  <c r="O315" i="3"/>
  <c r="R314" i="3"/>
  <c r="Q314" i="3"/>
  <c r="O314" i="3"/>
  <c r="J314" i="3"/>
  <c r="Q313" i="3"/>
  <c r="O313" i="3"/>
  <c r="Q312" i="3"/>
  <c r="O312" i="3"/>
  <c r="Q311" i="3"/>
  <c r="O311" i="3"/>
  <c r="Q310" i="3"/>
  <c r="O310" i="3"/>
  <c r="J310" i="3"/>
  <c r="Q309" i="3"/>
  <c r="O309" i="3"/>
  <c r="J309" i="3"/>
  <c r="Q308" i="3"/>
  <c r="O308" i="3"/>
  <c r="J308" i="3"/>
  <c r="Q307" i="3"/>
  <c r="O307" i="3"/>
  <c r="J307" i="3"/>
  <c r="Q306" i="3"/>
  <c r="O306" i="3"/>
  <c r="J306" i="3"/>
  <c r="Q305" i="3"/>
  <c r="O305" i="3"/>
  <c r="Q304" i="3"/>
  <c r="O304" i="3"/>
  <c r="J304" i="3"/>
  <c r="Q303" i="3"/>
  <c r="O303" i="3"/>
  <c r="J303" i="3"/>
  <c r="Q302" i="3"/>
  <c r="O302" i="3"/>
  <c r="Q301" i="3"/>
  <c r="O301" i="3"/>
  <c r="J301" i="3"/>
  <c r="Q300" i="3"/>
  <c r="O300" i="3"/>
  <c r="J300" i="3"/>
  <c r="Q299" i="3"/>
  <c r="O299" i="3"/>
  <c r="Q298" i="3"/>
  <c r="O298" i="3"/>
  <c r="Q297" i="3"/>
  <c r="O297" i="3"/>
  <c r="Q296" i="3"/>
  <c r="O296" i="3"/>
  <c r="Q295" i="3"/>
  <c r="O295" i="3"/>
  <c r="Q294" i="3"/>
  <c r="O294" i="3"/>
  <c r="J294" i="3"/>
  <c r="Q293" i="3"/>
  <c r="O293" i="3"/>
  <c r="J293" i="3"/>
  <c r="Q292" i="3"/>
  <c r="O292" i="3"/>
  <c r="Q291" i="3"/>
  <c r="O291" i="3"/>
  <c r="J291" i="3"/>
  <c r="Q290" i="3"/>
  <c r="O290" i="3"/>
  <c r="J290" i="3"/>
  <c r="Q289" i="3"/>
  <c r="O289" i="3"/>
  <c r="Q288" i="3"/>
  <c r="O288" i="3"/>
  <c r="Q287" i="3"/>
  <c r="O287" i="3"/>
  <c r="J287" i="3"/>
  <c r="Q286" i="3"/>
  <c r="O286" i="3"/>
  <c r="J286" i="3"/>
  <c r="Q285" i="3"/>
  <c r="O285" i="3"/>
  <c r="Q284" i="3"/>
  <c r="O284" i="3"/>
  <c r="J284" i="3"/>
  <c r="Q283" i="3"/>
  <c r="O283" i="3"/>
  <c r="J283" i="3"/>
  <c r="Q282" i="3"/>
  <c r="O282" i="3"/>
  <c r="Q281" i="3"/>
  <c r="O281" i="3"/>
  <c r="J281" i="3"/>
  <c r="Q280" i="3"/>
  <c r="O280" i="3"/>
  <c r="J280" i="3"/>
  <c r="Q279" i="3"/>
  <c r="O279" i="3"/>
  <c r="Q278" i="3"/>
  <c r="O278" i="3"/>
  <c r="Q277" i="3"/>
  <c r="O277" i="3"/>
  <c r="J277" i="3"/>
  <c r="Q276" i="3"/>
  <c r="R276" i="3" s="1"/>
  <c r="O276" i="3"/>
  <c r="J276" i="3"/>
  <c r="Q275" i="3"/>
  <c r="O275" i="3"/>
  <c r="Q274" i="3"/>
  <c r="O274" i="3"/>
  <c r="Q273" i="3"/>
  <c r="O273" i="3"/>
  <c r="Q272" i="3"/>
  <c r="O272" i="3"/>
  <c r="Q271" i="3"/>
  <c r="O271" i="3"/>
  <c r="Q270" i="3"/>
  <c r="O270" i="3"/>
  <c r="Q269" i="3"/>
  <c r="O269" i="3"/>
  <c r="Q268" i="3"/>
  <c r="O268" i="3"/>
  <c r="J268" i="3"/>
  <c r="Q267" i="3"/>
  <c r="O267" i="3"/>
  <c r="J267" i="3"/>
  <c r="Q266" i="3"/>
  <c r="O266" i="3"/>
  <c r="J266" i="3"/>
  <c r="Q265" i="3"/>
  <c r="O265" i="3"/>
  <c r="J265" i="3"/>
  <c r="F265" i="3"/>
  <c r="Q264" i="3"/>
  <c r="O264" i="3"/>
  <c r="J264" i="3"/>
  <c r="Q263" i="3"/>
  <c r="O263" i="3"/>
  <c r="J263" i="3"/>
  <c r="R262" i="3"/>
  <c r="Q262" i="3"/>
  <c r="O262" i="3"/>
  <c r="Q261" i="3"/>
  <c r="R261" i="3" s="1"/>
  <c r="O261" i="3"/>
  <c r="Q260" i="3"/>
  <c r="O260" i="3"/>
  <c r="J260" i="3"/>
  <c r="Q259" i="3"/>
  <c r="O259" i="3"/>
  <c r="J259" i="3"/>
  <c r="Q258" i="3"/>
  <c r="O258" i="3"/>
  <c r="Q257" i="3"/>
  <c r="O257" i="3"/>
  <c r="Q256" i="3"/>
  <c r="R256" i="3" s="1"/>
  <c r="O256" i="3"/>
  <c r="R255" i="3"/>
  <c r="Q255" i="3"/>
  <c r="O255" i="3"/>
  <c r="F255" i="3"/>
  <c r="Q254" i="3"/>
  <c r="R254" i="3" s="1"/>
  <c r="O254" i="3"/>
  <c r="O253" i="3"/>
  <c r="O252" i="3"/>
  <c r="O251" i="3"/>
  <c r="O250" i="3"/>
  <c r="O249" i="3"/>
  <c r="Q248" i="3"/>
  <c r="O248" i="3"/>
  <c r="J248" i="3"/>
  <c r="R247" i="3"/>
  <c r="Q247" i="3"/>
  <c r="O247" i="3"/>
  <c r="J247" i="3"/>
  <c r="Q246" i="3"/>
  <c r="O246" i="3"/>
  <c r="J246" i="3"/>
  <c r="Q245" i="3"/>
  <c r="O245" i="3"/>
  <c r="J245" i="3"/>
  <c r="Q244" i="3"/>
  <c r="O244" i="3"/>
  <c r="Q243" i="3"/>
  <c r="O243" i="3"/>
  <c r="J243" i="3"/>
  <c r="Q242" i="3"/>
  <c r="O242" i="3"/>
  <c r="J242" i="3"/>
  <c r="Q241" i="3"/>
  <c r="O241" i="3"/>
  <c r="J241" i="3"/>
  <c r="Q240" i="3"/>
  <c r="O240" i="3"/>
  <c r="J240" i="3"/>
  <c r="Q239" i="3"/>
  <c r="O239" i="3"/>
  <c r="J239" i="3"/>
  <c r="Q238" i="3"/>
  <c r="O238" i="3"/>
  <c r="J238" i="3"/>
  <c r="Q237" i="3"/>
  <c r="O237" i="3"/>
  <c r="J237" i="3"/>
  <c r="Q236" i="3"/>
  <c r="O236" i="3"/>
  <c r="Q235" i="3"/>
  <c r="O235" i="3"/>
  <c r="J235" i="3"/>
  <c r="Q234" i="3"/>
  <c r="O234" i="3"/>
  <c r="J234" i="3"/>
  <c r="R233" i="3"/>
  <c r="Q233" i="3"/>
  <c r="O233" i="3"/>
  <c r="J233" i="3"/>
  <c r="Q232" i="3"/>
  <c r="O232" i="3"/>
  <c r="J232" i="3"/>
  <c r="Q231" i="3"/>
  <c r="O231" i="3"/>
  <c r="Q230" i="3"/>
  <c r="O230" i="3"/>
  <c r="J230" i="3"/>
  <c r="Q229" i="3"/>
  <c r="O229" i="3"/>
  <c r="J229" i="3"/>
  <c r="R228" i="3"/>
  <c r="Q228" i="3"/>
  <c r="O228" i="3"/>
  <c r="R227" i="3"/>
  <c r="Q227" i="3"/>
  <c r="O227" i="3"/>
  <c r="F227" i="3"/>
  <c r="R226" i="3"/>
  <c r="Q226" i="3"/>
  <c r="O226" i="3"/>
  <c r="Q225" i="3"/>
  <c r="R225" i="3" s="1"/>
  <c r="O225" i="3"/>
  <c r="J225" i="3"/>
  <c r="Q224" i="3"/>
  <c r="O224" i="3"/>
  <c r="Q223" i="3"/>
  <c r="O223" i="3"/>
  <c r="Q222" i="3"/>
  <c r="O222" i="3"/>
  <c r="Q221" i="3"/>
  <c r="R221" i="3" s="1"/>
  <c r="O221" i="3"/>
  <c r="F221" i="3"/>
  <c r="Q220" i="3"/>
  <c r="O220" i="3"/>
  <c r="Q219" i="3"/>
  <c r="O219" i="3"/>
  <c r="J219" i="3"/>
  <c r="Q218" i="3"/>
  <c r="O218" i="3"/>
  <c r="J218" i="3"/>
  <c r="Q217" i="3"/>
  <c r="O217" i="3"/>
  <c r="R216" i="3"/>
  <c r="Q216" i="3"/>
  <c r="O216" i="3"/>
  <c r="J216" i="3"/>
  <c r="R215" i="3"/>
  <c r="Q215" i="3"/>
  <c r="O215" i="3"/>
  <c r="J215" i="3"/>
  <c r="R214" i="3"/>
  <c r="Q214" i="3"/>
  <c r="O214" i="3"/>
  <c r="J214" i="3"/>
  <c r="R213" i="3"/>
  <c r="Q213" i="3"/>
  <c r="O213" i="3"/>
  <c r="J213" i="3"/>
  <c r="R212" i="3"/>
  <c r="Q212" i="3"/>
  <c r="O212" i="3"/>
  <c r="J212" i="3"/>
  <c r="R211" i="3"/>
  <c r="Q211" i="3"/>
  <c r="O211" i="3"/>
  <c r="J211" i="3"/>
  <c r="R210" i="3"/>
  <c r="Q210" i="3"/>
  <c r="O210" i="3"/>
  <c r="J210" i="3"/>
  <c r="Q209" i="3"/>
  <c r="O209" i="3"/>
  <c r="J209" i="3"/>
  <c r="Q208" i="3"/>
  <c r="O208" i="3"/>
  <c r="J208" i="3"/>
  <c r="Q207" i="3"/>
  <c r="O207" i="3"/>
  <c r="J207" i="3"/>
  <c r="Q206" i="3"/>
  <c r="O206" i="3"/>
  <c r="R205" i="3"/>
  <c r="Q205" i="3"/>
  <c r="O205" i="3"/>
  <c r="J205" i="3"/>
  <c r="R204" i="3"/>
  <c r="Q204" i="3"/>
  <c r="O204" i="3"/>
  <c r="J204" i="3"/>
  <c r="R203" i="3"/>
  <c r="Q203" i="3"/>
  <c r="O203" i="3"/>
  <c r="J203" i="3"/>
  <c r="R202" i="3"/>
  <c r="Q202" i="3"/>
  <c r="O202" i="3"/>
  <c r="J202" i="3"/>
  <c r="R201" i="3"/>
  <c r="Q201" i="3"/>
  <c r="O201" i="3"/>
  <c r="J201" i="3"/>
  <c r="R200" i="3"/>
  <c r="Q200" i="3"/>
  <c r="O200" i="3"/>
  <c r="J200" i="3"/>
  <c r="R199" i="3"/>
  <c r="Q199" i="3"/>
  <c r="O199" i="3"/>
  <c r="J199" i="3"/>
  <c r="R198" i="3"/>
  <c r="Q198" i="3"/>
  <c r="O198" i="3"/>
  <c r="J198" i="3"/>
  <c r="R197" i="3"/>
  <c r="Q197" i="3"/>
  <c r="O197" i="3"/>
  <c r="J197" i="3"/>
  <c r="R196" i="3"/>
  <c r="Q196" i="3"/>
  <c r="O196" i="3"/>
  <c r="J196" i="3"/>
  <c r="Q195" i="3"/>
  <c r="O195" i="3"/>
  <c r="J195" i="3"/>
  <c r="Q194" i="3"/>
  <c r="O194" i="3"/>
  <c r="J194" i="3"/>
  <c r="Q193" i="3"/>
  <c r="O193" i="3"/>
  <c r="J193" i="3"/>
  <c r="Q192" i="3"/>
  <c r="O192" i="3"/>
  <c r="Q191" i="3"/>
  <c r="O191" i="3"/>
  <c r="Q190" i="3"/>
  <c r="O190" i="3"/>
  <c r="J190" i="3"/>
  <c r="Q189" i="3"/>
  <c r="R189" i="3" s="1"/>
  <c r="O189" i="3"/>
  <c r="J189" i="3"/>
  <c r="Q188" i="3"/>
  <c r="O188" i="3"/>
  <c r="R187" i="3"/>
  <c r="Q187" i="3"/>
  <c r="O187" i="3"/>
  <c r="J187" i="3"/>
  <c r="Q186" i="3"/>
  <c r="O186" i="3"/>
  <c r="Q185" i="3"/>
  <c r="O185" i="3"/>
  <c r="Q184" i="3"/>
  <c r="O184" i="3"/>
  <c r="J184" i="3"/>
  <c r="Q183" i="3"/>
  <c r="O183" i="3"/>
  <c r="J183" i="3"/>
  <c r="R182" i="3"/>
  <c r="Q182" i="3"/>
  <c r="O182" i="3"/>
  <c r="J182" i="3"/>
  <c r="Q181" i="3"/>
  <c r="O181" i="3"/>
  <c r="J181" i="3"/>
  <c r="Q180" i="3"/>
  <c r="O180" i="3"/>
  <c r="J180" i="3"/>
  <c r="R179" i="3"/>
  <c r="Q179" i="3"/>
  <c r="O179" i="3"/>
  <c r="J179" i="3"/>
  <c r="Q178" i="3"/>
  <c r="O178" i="3"/>
  <c r="Q177" i="3"/>
  <c r="O177" i="3"/>
  <c r="Q176" i="3"/>
  <c r="O176" i="3"/>
  <c r="Q175" i="3"/>
  <c r="O175" i="3"/>
  <c r="Q174" i="3"/>
  <c r="O174" i="3"/>
  <c r="Q173" i="3"/>
  <c r="R173" i="3" s="1"/>
  <c r="O173" i="3"/>
  <c r="J173" i="3"/>
  <c r="R172" i="3"/>
  <c r="Q172" i="3"/>
  <c r="O172" i="3"/>
  <c r="J172" i="3"/>
  <c r="Q171" i="3"/>
  <c r="R171" i="3" s="1"/>
  <c r="O171" i="3"/>
  <c r="J171" i="3"/>
  <c r="Q170" i="3"/>
  <c r="O170" i="3"/>
  <c r="J170" i="3"/>
  <c r="Q169" i="3"/>
  <c r="R169" i="3" s="1"/>
  <c r="O169" i="3"/>
  <c r="J169" i="3"/>
  <c r="R168" i="3"/>
  <c r="Q168" i="3"/>
  <c r="O168" i="3"/>
  <c r="J168" i="3"/>
  <c r="R167" i="3"/>
  <c r="Q167" i="3"/>
  <c r="O167" i="3"/>
  <c r="J167" i="3"/>
  <c r="R166" i="3"/>
  <c r="Q166" i="3"/>
  <c r="O166" i="3"/>
  <c r="J166" i="3"/>
  <c r="Q165" i="3"/>
  <c r="R165" i="3" s="1"/>
  <c r="O165" i="3"/>
  <c r="J165" i="3"/>
  <c r="R164" i="3"/>
  <c r="Q164" i="3"/>
  <c r="O164" i="3"/>
  <c r="J164" i="3"/>
  <c r="R163" i="3"/>
  <c r="Q163" i="3"/>
  <c r="O163" i="3"/>
  <c r="J163" i="3"/>
  <c r="Q162" i="3"/>
  <c r="O162" i="3"/>
  <c r="J162" i="3"/>
  <c r="Q161" i="3"/>
  <c r="O161" i="3"/>
  <c r="J161" i="3"/>
  <c r="Q160" i="3"/>
  <c r="O160" i="3"/>
  <c r="J160" i="3"/>
  <c r="Q159" i="3"/>
  <c r="O159" i="3"/>
  <c r="J159" i="3"/>
  <c r="Q158" i="3"/>
  <c r="O158" i="3"/>
  <c r="Q157" i="3"/>
  <c r="R157" i="3" s="1"/>
  <c r="O157" i="3"/>
  <c r="J157" i="3"/>
  <c r="R156" i="3"/>
  <c r="Q156" i="3"/>
  <c r="O156" i="3"/>
  <c r="J156" i="3"/>
  <c r="R155" i="3"/>
  <c r="Q155" i="3"/>
  <c r="O155" i="3"/>
  <c r="J155" i="3"/>
  <c r="R154" i="3"/>
  <c r="Q154" i="3"/>
  <c r="O154" i="3"/>
  <c r="J154" i="3"/>
  <c r="Q153" i="3"/>
  <c r="R153" i="3" s="1"/>
  <c r="O153" i="3"/>
  <c r="J153" i="3"/>
  <c r="R152" i="3"/>
  <c r="Q152" i="3"/>
  <c r="O152" i="3"/>
  <c r="J152" i="3"/>
  <c r="R151" i="3"/>
  <c r="Q151" i="3"/>
  <c r="O151" i="3"/>
  <c r="J151" i="3"/>
  <c r="R150" i="3"/>
  <c r="Q150" i="3"/>
  <c r="O150" i="3"/>
  <c r="J150" i="3"/>
  <c r="Q149" i="3"/>
  <c r="R149" i="3" s="1"/>
  <c r="O149" i="3"/>
  <c r="J149" i="3"/>
  <c r="Q148" i="3"/>
  <c r="O148" i="3"/>
  <c r="J148" i="3"/>
  <c r="Q147" i="3"/>
  <c r="R147" i="3" s="1"/>
  <c r="O147" i="3"/>
  <c r="J147" i="3"/>
  <c r="Q146" i="3"/>
  <c r="O146" i="3"/>
  <c r="J146" i="3"/>
  <c r="Q145" i="3"/>
  <c r="O145" i="3"/>
  <c r="J145" i="3"/>
  <c r="Q144" i="3"/>
  <c r="O144" i="3"/>
  <c r="J144" i="3"/>
  <c r="Q143" i="3"/>
  <c r="O143" i="3"/>
  <c r="J143" i="3"/>
  <c r="Q142" i="3"/>
  <c r="O142" i="3"/>
  <c r="J142" i="3"/>
  <c r="Q141" i="3"/>
  <c r="O141" i="3"/>
  <c r="Q140" i="3"/>
  <c r="O140" i="3"/>
  <c r="Q139" i="3"/>
  <c r="R139" i="3" s="1"/>
  <c r="O139" i="3"/>
  <c r="J139" i="3"/>
  <c r="F139" i="3"/>
  <c r="Q138" i="3"/>
  <c r="O138" i="3"/>
  <c r="J138" i="3"/>
  <c r="Q137" i="3"/>
  <c r="R137" i="3" s="1"/>
  <c r="O137" i="3"/>
  <c r="J137" i="3"/>
  <c r="Q136" i="3"/>
  <c r="O136" i="3"/>
  <c r="Q135" i="3"/>
  <c r="R135" i="3" s="1"/>
  <c r="O135" i="3"/>
  <c r="Q134" i="3"/>
  <c r="O134" i="3"/>
  <c r="Q133" i="3"/>
  <c r="O133" i="3"/>
  <c r="F133" i="3"/>
  <c r="Q132" i="3"/>
  <c r="O132" i="3"/>
  <c r="Q131" i="3"/>
  <c r="O131" i="3"/>
  <c r="Q130" i="3"/>
  <c r="O130" i="3"/>
  <c r="Q129" i="3"/>
  <c r="O129" i="3"/>
  <c r="Q128" i="3"/>
  <c r="O128" i="3"/>
  <c r="Q127" i="3"/>
  <c r="O127" i="3"/>
  <c r="J127" i="3"/>
  <c r="Q126" i="3"/>
  <c r="O126" i="3"/>
  <c r="J126" i="3"/>
  <c r="Q125" i="3"/>
  <c r="O125" i="3"/>
  <c r="J125" i="3"/>
  <c r="F125" i="3"/>
  <c r="Q124" i="3"/>
  <c r="O124" i="3"/>
  <c r="Q123" i="3"/>
  <c r="O123" i="3"/>
  <c r="Q122" i="3"/>
  <c r="O122" i="3"/>
  <c r="J122" i="3"/>
  <c r="Q121" i="3"/>
  <c r="R121" i="3" s="1"/>
  <c r="O121" i="3"/>
  <c r="J121" i="3"/>
  <c r="Q120" i="3"/>
  <c r="O120" i="3"/>
  <c r="Q119" i="3"/>
  <c r="O119" i="3"/>
  <c r="J119" i="3"/>
  <c r="R118" i="3"/>
  <c r="Q118" i="3"/>
  <c r="O118" i="3"/>
  <c r="J118" i="3"/>
  <c r="Q117" i="3"/>
  <c r="R117" i="3" s="1"/>
  <c r="O117" i="3"/>
  <c r="J117" i="3"/>
  <c r="Q116" i="3"/>
  <c r="O116" i="3"/>
  <c r="J116" i="3"/>
  <c r="Q115" i="3"/>
  <c r="R115" i="3" s="1"/>
  <c r="O115" i="3"/>
  <c r="J115" i="3"/>
  <c r="Q114" i="3"/>
  <c r="O114" i="3"/>
  <c r="J114" i="3"/>
  <c r="Q113" i="3"/>
  <c r="R113" i="3" s="1"/>
  <c r="O113" i="3"/>
  <c r="J113" i="3"/>
  <c r="Q112" i="3"/>
  <c r="O112" i="3"/>
  <c r="Q111" i="3"/>
  <c r="O111" i="3"/>
  <c r="Q110" i="3"/>
  <c r="O110" i="3"/>
  <c r="Q109" i="3"/>
  <c r="R109" i="3" s="1"/>
  <c r="O109" i="3"/>
  <c r="J109" i="3"/>
  <c r="Q108" i="3"/>
  <c r="O108" i="3"/>
  <c r="Q107" i="3"/>
  <c r="R107" i="3" s="1"/>
  <c r="O107" i="3"/>
  <c r="F107" i="3"/>
  <c r="Q106" i="3"/>
  <c r="O106" i="3"/>
  <c r="J106" i="3"/>
  <c r="Q105" i="3"/>
  <c r="R105" i="3" s="1"/>
  <c r="O105" i="3"/>
  <c r="J105" i="3"/>
  <c r="Q104" i="3"/>
  <c r="O104" i="3"/>
  <c r="J104" i="3"/>
  <c r="Q103" i="3"/>
  <c r="R103" i="3" s="1"/>
  <c r="O103" i="3"/>
  <c r="J103" i="3"/>
  <c r="Q102" i="3"/>
  <c r="O102" i="3"/>
  <c r="J102" i="3"/>
  <c r="Q101" i="3"/>
  <c r="O101" i="3"/>
  <c r="R100" i="3"/>
  <c r="Q100" i="3"/>
  <c r="O100" i="3"/>
  <c r="J100" i="3"/>
  <c r="Q99" i="3"/>
  <c r="O99" i="3"/>
  <c r="J99" i="3"/>
  <c r="Q98" i="3"/>
  <c r="O98" i="3"/>
  <c r="J98" i="3"/>
  <c r="Q97" i="3"/>
  <c r="O97" i="3"/>
  <c r="Q96" i="3"/>
  <c r="O96" i="3"/>
  <c r="Q95" i="3"/>
  <c r="O95" i="3"/>
  <c r="F95" i="3"/>
  <c r="Q94" i="3"/>
  <c r="O94" i="3"/>
  <c r="J94" i="3"/>
  <c r="Q93" i="3"/>
  <c r="O93" i="3"/>
  <c r="J93" i="3"/>
  <c r="Q92" i="3"/>
  <c r="O92" i="3"/>
  <c r="J92" i="3"/>
  <c r="Q91" i="3"/>
  <c r="O91" i="3"/>
  <c r="J91" i="3"/>
  <c r="Q90" i="3"/>
  <c r="O90" i="3"/>
  <c r="J90" i="3"/>
  <c r="Q89" i="3"/>
  <c r="R89" i="3" s="1"/>
  <c r="O89" i="3"/>
  <c r="J89" i="3"/>
  <c r="Q88" i="3"/>
  <c r="O88" i="3"/>
  <c r="J88" i="3"/>
  <c r="Q87" i="3"/>
  <c r="O87" i="3"/>
  <c r="J87" i="3"/>
  <c r="Q86" i="3"/>
  <c r="O86" i="3"/>
  <c r="J86" i="3"/>
  <c r="Q85" i="3"/>
  <c r="R85" i="3" s="1"/>
  <c r="O85" i="3"/>
  <c r="J85" i="3"/>
  <c r="Q84" i="3"/>
  <c r="O84" i="3"/>
  <c r="J84" i="3"/>
  <c r="Q83" i="3"/>
  <c r="O83" i="3"/>
  <c r="J83" i="3"/>
  <c r="Q82" i="3"/>
  <c r="O82" i="3"/>
  <c r="J82" i="3"/>
  <c r="Q81" i="3"/>
  <c r="O81" i="3"/>
  <c r="J81" i="3"/>
  <c r="R80" i="3"/>
  <c r="Q80" i="3"/>
  <c r="O80" i="3"/>
  <c r="J80" i="3"/>
  <c r="Q79" i="3"/>
  <c r="R79" i="3" s="1"/>
  <c r="O79" i="3"/>
  <c r="R78" i="3"/>
  <c r="Q78" i="3"/>
  <c r="O78" i="3"/>
  <c r="F78" i="3"/>
  <c r="Q77" i="3"/>
  <c r="R77" i="3" s="1"/>
  <c r="O77" i="3"/>
  <c r="J77" i="3"/>
  <c r="Q76" i="3"/>
  <c r="O76" i="3"/>
  <c r="F76" i="3"/>
  <c r="Q75" i="3"/>
  <c r="O75" i="3"/>
  <c r="F75" i="3"/>
  <c r="R74" i="3"/>
  <c r="Q74" i="3"/>
  <c r="O74" i="3"/>
  <c r="J74" i="3"/>
  <c r="F74" i="3"/>
  <c r="Q73" i="3"/>
  <c r="R73" i="3" s="1"/>
  <c r="O73" i="3"/>
  <c r="J73" i="3"/>
  <c r="Q72" i="3"/>
  <c r="O72" i="3"/>
  <c r="J72" i="3"/>
  <c r="Q71" i="3"/>
  <c r="R71" i="3" s="1"/>
  <c r="O71" i="3"/>
  <c r="J71" i="3"/>
  <c r="Q70" i="3"/>
  <c r="O70" i="3"/>
  <c r="J70" i="3"/>
  <c r="Q69" i="3"/>
  <c r="O69" i="3"/>
  <c r="Q68" i="3"/>
  <c r="R68" i="3" s="1"/>
  <c r="O68" i="3"/>
  <c r="Q67" i="3"/>
  <c r="R67" i="3" s="1"/>
  <c r="O67" i="3"/>
  <c r="J67" i="3"/>
  <c r="Q66" i="3"/>
  <c r="R66" i="3" s="1"/>
  <c r="O66" i="3"/>
  <c r="Q65" i="3"/>
  <c r="R65" i="3" s="1"/>
  <c r="O65" i="3"/>
  <c r="J65" i="3"/>
  <c r="Q64" i="3"/>
  <c r="R64" i="3" s="1"/>
  <c r="O64" i="3"/>
  <c r="J64" i="3"/>
  <c r="F64" i="3"/>
  <c r="Q63" i="3"/>
  <c r="O63" i="3"/>
  <c r="J63" i="3"/>
  <c r="R62" i="3"/>
  <c r="Q62" i="3"/>
  <c r="O62" i="3"/>
  <c r="R61" i="3"/>
  <c r="Q61" i="3"/>
  <c r="O61" i="3"/>
  <c r="F61" i="3"/>
  <c r="Q60" i="3"/>
  <c r="R60" i="3" s="1"/>
  <c r="O60" i="3"/>
  <c r="J60" i="3"/>
  <c r="Q59" i="3"/>
  <c r="R59" i="3" s="1"/>
  <c r="O59" i="3"/>
  <c r="J59" i="3"/>
  <c r="Q58" i="3"/>
  <c r="O58" i="3"/>
  <c r="J58" i="3"/>
  <c r="Q57" i="3"/>
  <c r="O57" i="3"/>
  <c r="Q56" i="3"/>
  <c r="R56" i="3" s="1"/>
  <c r="O56" i="3"/>
  <c r="F56" i="3"/>
  <c r="Q55" i="3"/>
  <c r="R55" i="3" s="1"/>
  <c r="O55" i="3"/>
  <c r="Q54" i="3"/>
  <c r="R54" i="3" s="1"/>
  <c r="O54" i="3"/>
  <c r="F54" i="3"/>
  <c r="Q53" i="3"/>
  <c r="O53" i="3"/>
  <c r="Q52" i="3"/>
  <c r="R52" i="3" s="1"/>
  <c r="O52" i="3"/>
  <c r="J52" i="3"/>
  <c r="Q51" i="3"/>
  <c r="R51" i="3" s="1"/>
  <c r="O51" i="3"/>
  <c r="J51" i="3"/>
  <c r="Q50" i="3"/>
  <c r="R50" i="3" s="1"/>
  <c r="O50" i="3"/>
  <c r="J50" i="3"/>
  <c r="Q49" i="3"/>
  <c r="R49" i="3" s="1"/>
  <c r="O49" i="3"/>
  <c r="K49" i="3"/>
  <c r="J49" i="3"/>
  <c r="F49" i="3"/>
  <c r="Q48" i="3"/>
  <c r="O48" i="3"/>
  <c r="J48" i="3"/>
  <c r="Q47" i="3"/>
  <c r="R47" i="3" s="1"/>
  <c r="O47" i="3"/>
  <c r="J47" i="3"/>
  <c r="F47" i="3"/>
  <c r="Q46" i="3"/>
  <c r="O46" i="3"/>
  <c r="Q45" i="3"/>
  <c r="R45" i="3" s="1"/>
  <c r="O45" i="3"/>
  <c r="J45" i="3"/>
  <c r="Q44" i="3"/>
  <c r="O44" i="3"/>
  <c r="J44" i="3"/>
  <c r="O43" i="3"/>
  <c r="O42" i="3"/>
  <c r="O41" i="3"/>
  <c r="O40" i="3"/>
  <c r="Q39" i="3"/>
  <c r="O39" i="3"/>
  <c r="Q38" i="3"/>
  <c r="O38" i="3"/>
  <c r="Q37" i="3"/>
  <c r="R37" i="3" s="1"/>
  <c r="O37" i="3"/>
  <c r="J37" i="3"/>
  <c r="Q36" i="3"/>
  <c r="O36" i="3"/>
  <c r="J36" i="3"/>
  <c r="Q35" i="3"/>
  <c r="R35" i="3" s="1"/>
  <c r="O35" i="3"/>
  <c r="Q34" i="3"/>
  <c r="R38" i="3" s="1"/>
  <c r="O34" i="3"/>
  <c r="Q33" i="3"/>
  <c r="O33" i="3"/>
  <c r="Q32" i="3"/>
  <c r="R32" i="3" s="1"/>
  <c r="O32" i="3"/>
  <c r="J32" i="3"/>
  <c r="Q31" i="3"/>
  <c r="R31" i="3" s="1"/>
  <c r="O31" i="3"/>
  <c r="J31" i="3"/>
  <c r="Q30" i="3"/>
  <c r="R30" i="3" s="1"/>
  <c r="O30" i="3"/>
  <c r="J30" i="3"/>
  <c r="Q29" i="3"/>
  <c r="R29" i="3" s="1"/>
  <c r="O29" i="3"/>
  <c r="Q28" i="3"/>
  <c r="R28" i="3" s="1"/>
  <c r="O28" i="3"/>
  <c r="J28" i="3"/>
  <c r="Q27" i="3"/>
  <c r="R27" i="3" s="1"/>
  <c r="O27" i="3"/>
  <c r="J27" i="3"/>
  <c r="Q26" i="3"/>
  <c r="R26" i="3" s="1"/>
  <c r="O26" i="3"/>
  <c r="J26" i="3"/>
  <c r="Q25" i="3"/>
  <c r="R25" i="3" s="1"/>
  <c r="O25" i="3"/>
  <c r="Q24" i="3"/>
  <c r="O24" i="3"/>
  <c r="J24" i="3"/>
  <c r="Q23" i="3"/>
  <c r="O23" i="3"/>
  <c r="J23" i="3"/>
  <c r="R22" i="3"/>
  <c r="Q22" i="3"/>
  <c r="O22" i="3"/>
  <c r="J22" i="3"/>
  <c r="F22" i="3"/>
  <c r="Q21" i="3"/>
  <c r="O21" i="3"/>
  <c r="J21" i="3"/>
  <c r="Q20" i="3"/>
  <c r="O20" i="3"/>
  <c r="J20" i="3"/>
  <c r="F20" i="3"/>
  <c r="Q19" i="3"/>
  <c r="O19" i="3"/>
  <c r="J19" i="3"/>
  <c r="F19" i="3"/>
  <c r="F18" i="3" s="1"/>
  <c r="Q18" i="3"/>
  <c r="O18" i="3"/>
  <c r="J18" i="3"/>
  <c r="Q17" i="3"/>
  <c r="O17" i="3"/>
  <c r="J17" i="3"/>
  <c r="Q16" i="3"/>
  <c r="O16" i="3"/>
  <c r="J16" i="3"/>
  <c r="Q15" i="3"/>
  <c r="O15" i="3"/>
  <c r="J15" i="3"/>
  <c r="F15" i="3"/>
  <c r="Q14" i="3"/>
  <c r="O14" i="3"/>
  <c r="J14" i="3"/>
  <c r="F14" i="3"/>
  <c r="Q13" i="3"/>
  <c r="O13" i="3"/>
  <c r="J13" i="3"/>
  <c r="F13" i="3"/>
  <c r="Q12" i="3"/>
  <c r="O12" i="3"/>
  <c r="J12" i="3"/>
  <c r="Q11" i="3"/>
  <c r="O11" i="3"/>
  <c r="J11" i="3"/>
  <c r="F11" i="3"/>
  <c r="Q10" i="3"/>
  <c r="O10" i="3"/>
  <c r="J10" i="3"/>
  <c r="Q9" i="3"/>
  <c r="O9" i="3"/>
  <c r="Q8" i="3"/>
  <c r="O8" i="3"/>
  <c r="Q7" i="3"/>
  <c r="R7" i="3" s="1"/>
  <c r="O7" i="3"/>
  <c r="Q6" i="3"/>
  <c r="R23" i="3" s="1"/>
  <c r="O6" i="3"/>
  <c r="Q5" i="3"/>
  <c r="R174" i="3" s="1"/>
  <c r="O5" i="3"/>
  <c r="K5" i="3"/>
  <c r="J5" i="3"/>
  <c r="D353" i="2"/>
  <c r="D348" i="2"/>
  <c r="D347" i="2"/>
  <c r="D346" i="2"/>
  <c r="F660" i="3" s="1"/>
  <c r="D345" i="2"/>
  <c r="F659" i="3" s="1"/>
  <c r="D344" i="2"/>
  <c r="F661" i="3" s="1"/>
  <c r="D342" i="2"/>
  <c r="F654" i="3" s="1"/>
  <c r="D341" i="2"/>
  <c r="F657" i="3" s="1"/>
  <c r="D340" i="2"/>
  <c r="F656" i="3" s="1"/>
  <c r="D339" i="2"/>
  <c r="F655" i="3" s="1"/>
  <c r="D337" i="2"/>
  <c r="F652" i="3" s="1"/>
  <c r="D336" i="2"/>
  <c r="F651" i="3" s="1"/>
  <c r="D335" i="2"/>
  <c r="F658" i="3" s="1"/>
  <c r="D333" i="2"/>
  <c r="D334" i="2" s="1"/>
  <c r="D328" i="2"/>
  <c r="D327" i="2"/>
  <c r="F647" i="3" s="1"/>
  <c r="D325" i="2"/>
  <c r="D324" i="2"/>
  <c r="F627" i="3" s="1"/>
  <c r="D323" i="2"/>
  <c r="D322" i="2"/>
  <c r="F634" i="3" s="1"/>
  <c r="J633" i="3" s="1"/>
  <c r="D321" i="2"/>
  <c r="F633" i="3" s="1"/>
  <c r="D320" i="2"/>
  <c r="D319" i="2"/>
  <c r="F632" i="3" s="1"/>
  <c r="D318" i="2"/>
  <c r="D317" i="2"/>
  <c r="D316" i="2"/>
  <c r="F601" i="3" s="1"/>
  <c r="D315" i="2"/>
  <c r="F599" i="3" s="1"/>
  <c r="D314" i="2"/>
  <c r="F598" i="3" s="1"/>
  <c r="D313" i="2"/>
  <c r="F596" i="3" s="1"/>
  <c r="D312" i="2"/>
  <c r="F594" i="3" s="1"/>
  <c r="D311" i="2"/>
  <c r="F592" i="3" s="1"/>
  <c r="F591" i="3" s="1"/>
  <c r="D310" i="2"/>
  <c r="F590" i="3" s="1"/>
  <c r="F589" i="3" s="1"/>
  <c r="D309" i="2"/>
  <c r="D308" i="2"/>
  <c r="F586" i="3" s="1"/>
  <c r="F585" i="3" s="1"/>
  <c r="D307" i="2"/>
  <c r="F584" i="3" s="1"/>
  <c r="D306" i="2"/>
  <c r="F581" i="3" s="1"/>
  <c r="D305" i="2"/>
  <c r="F579" i="3" s="1"/>
  <c r="D303" i="2"/>
  <c r="F565" i="3" s="1"/>
  <c r="F564" i="3" s="1"/>
  <c r="F563" i="3" s="1"/>
  <c r="D302" i="2"/>
  <c r="F570" i="3" s="1"/>
  <c r="D301" i="2"/>
  <c r="F568" i="3" s="1"/>
  <c r="F567" i="3" s="1"/>
  <c r="D300" i="2"/>
  <c r="F566" i="3" s="1"/>
  <c r="D299" i="2"/>
  <c r="D298" i="2"/>
  <c r="D297" i="2"/>
  <c r="D296" i="2"/>
  <c r="D295" i="2"/>
  <c r="D294" i="2"/>
  <c r="D293" i="2"/>
  <c r="D292" i="2"/>
  <c r="D291" i="2"/>
  <c r="D290" i="2"/>
  <c r="D289" i="2"/>
  <c r="D288" i="2"/>
  <c r="D287" i="2"/>
  <c r="D286" i="2"/>
  <c r="D285" i="2"/>
  <c r="D284" i="2"/>
  <c r="D283" i="2"/>
  <c r="D282" i="2"/>
  <c r="D281" i="2"/>
  <c r="D280" i="2"/>
  <c r="D279" i="2"/>
  <c r="D278" i="2"/>
  <c r="D277" i="2"/>
  <c r="F556" i="3" s="1"/>
  <c r="D276" i="2"/>
  <c r="F529" i="3" s="1"/>
  <c r="D275" i="2"/>
  <c r="F528" i="3" s="1"/>
  <c r="D274" i="2"/>
  <c r="F554" i="3" s="1"/>
  <c r="D273" i="2"/>
  <c r="F553" i="3" s="1"/>
  <c r="D272" i="2"/>
  <c r="D271" i="2"/>
  <c r="D270" i="2"/>
  <c r="D269" i="2"/>
  <c r="D268" i="2"/>
  <c r="D267" i="2"/>
  <c r="D266" i="2"/>
  <c r="D265" i="2"/>
  <c r="D264" i="2"/>
  <c r="D263" i="2"/>
  <c r="D262" i="2"/>
  <c r="D261" i="2"/>
  <c r="D260" i="2"/>
  <c r="D259" i="2"/>
  <c r="D258" i="2"/>
  <c r="D257" i="2"/>
  <c r="D256" i="2"/>
  <c r="D255" i="2"/>
  <c r="D254" i="2"/>
  <c r="D253" i="2"/>
  <c r="D252" i="2"/>
  <c r="D251" i="2"/>
  <c r="F497" i="3" s="1"/>
  <c r="D250" i="2"/>
  <c r="D249" i="2"/>
  <c r="D248" i="2"/>
  <c r="F495" i="3" s="1"/>
  <c r="D247" i="2"/>
  <c r="D246" i="2"/>
  <c r="D245" i="2"/>
  <c r="F493" i="3" s="1"/>
  <c r="F492" i="3" s="1"/>
  <c r="D244" i="2"/>
  <c r="D243" i="2"/>
  <c r="D242" i="2"/>
  <c r="D241" i="2"/>
  <c r="D240" i="2"/>
  <c r="D239" i="2"/>
  <c r="F486" i="3" s="1"/>
  <c r="F485" i="3" s="1"/>
  <c r="D238" i="2"/>
  <c r="D237" i="2"/>
  <c r="D236" i="2"/>
  <c r="F628" i="3" s="1"/>
  <c r="D235" i="2"/>
  <c r="D234" i="2"/>
  <c r="D233" i="2"/>
  <c r="D232" i="2"/>
  <c r="D231" i="2"/>
  <c r="D230" i="2"/>
  <c r="D229" i="2"/>
  <c r="D227" i="2"/>
  <c r="D226" i="2"/>
  <c r="D225" i="2"/>
  <c r="D224" i="2"/>
  <c r="F469" i="3" s="1"/>
  <c r="D223" i="2"/>
  <c r="D222" i="2"/>
  <c r="D221" i="2"/>
  <c r="D220" i="2"/>
  <c r="D219" i="2"/>
  <c r="D218" i="2"/>
  <c r="D217" i="2"/>
  <c r="J216" i="2"/>
  <c r="D216" i="2"/>
  <c r="D215" i="2"/>
  <c r="D214" i="2"/>
  <c r="J456" i="3" s="1"/>
  <c r="D213" i="2"/>
  <c r="D212" i="2"/>
  <c r="D211" i="2"/>
  <c r="D210" i="2"/>
  <c r="F455" i="3" s="1"/>
  <c r="D209" i="2"/>
  <c r="F454" i="3" s="1"/>
  <c r="D208" i="2"/>
  <c r="J447" i="3" s="1"/>
  <c r="D207" i="2"/>
  <c r="J451" i="3" s="1"/>
  <c r="D206" i="2"/>
  <c r="D205" i="2"/>
  <c r="F449" i="3" s="1"/>
  <c r="D204" i="2"/>
  <c r="F448" i="3" s="1"/>
  <c r="D203" i="2"/>
  <c r="J446" i="3" s="1"/>
  <c r="D202" i="2"/>
  <c r="D201" i="2"/>
  <c r="D200" i="2"/>
  <c r="F446" i="3" s="1"/>
  <c r="D199" i="2"/>
  <c r="D198" i="2"/>
  <c r="D197" i="2"/>
  <c r="D196" i="2"/>
  <c r="D195" i="2"/>
  <c r="F393" i="3" s="1"/>
  <c r="J194" i="2"/>
  <c r="D194" i="2"/>
  <c r="D193" i="2"/>
  <c r="F389" i="3" s="1"/>
  <c r="D192" i="2"/>
  <c r="D191" i="2"/>
  <c r="F387" i="3" s="1"/>
  <c r="D190" i="2"/>
  <c r="F386" i="3" s="1"/>
  <c r="D189" i="2"/>
  <c r="D188" i="2"/>
  <c r="D187" i="2"/>
  <c r="F379" i="3" s="1"/>
  <c r="D186" i="2"/>
  <c r="D185" i="2"/>
  <c r="D184" i="2"/>
  <c r="D183" i="2"/>
  <c r="F364" i="3" s="1"/>
  <c r="D182" i="2"/>
  <c r="D181" i="2"/>
  <c r="D180" i="2"/>
  <c r="F361" i="3" s="1"/>
  <c r="D179" i="2"/>
  <c r="D178" i="2"/>
  <c r="F357" i="3" s="1"/>
  <c r="D177" i="2"/>
  <c r="F352" i="3" s="1"/>
  <c r="D176" i="2"/>
  <c r="D175" i="2"/>
  <c r="D174" i="2"/>
  <c r="F346" i="3" s="1"/>
  <c r="D173" i="2"/>
  <c r="F345" i="3" s="1"/>
  <c r="D172" i="2"/>
  <c r="D171" i="2"/>
  <c r="F339" i="3" s="1"/>
  <c r="D170" i="2"/>
  <c r="F338" i="3" s="1"/>
  <c r="D169" i="2"/>
  <c r="F333" i="3" s="1"/>
  <c r="D168" i="2"/>
  <c r="D167" i="2"/>
  <c r="F330" i="3" s="1"/>
  <c r="D166" i="2"/>
  <c r="D165" i="2"/>
  <c r="D164" i="2"/>
  <c r="D163" i="2"/>
  <c r="F324" i="3" s="1"/>
  <c r="D162" i="2"/>
  <c r="F342" i="3" s="1"/>
  <c r="D161" i="2"/>
  <c r="F325" i="3" s="1"/>
  <c r="D160" i="2"/>
  <c r="F321" i="3" s="1"/>
  <c r="D159" i="2"/>
  <c r="D158" i="2"/>
  <c r="F317" i="3" s="1"/>
  <c r="D157" i="2"/>
  <c r="D156" i="2"/>
  <c r="F311" i="3" s="1"/>
  <c r="D155" i="2"/>
  <c r="D154" i="2"/>
  <c r="F307" i="3" s="1"/>
  <c r="D153" i="2"/>
  <c r="D152" i="2"/>
  <c r="D151" i="2"/>
  <c r="F306" i="3" s="1"/>
  <c r="D150" i="2"/>
  <c r="F303" i="3" s="1"/>
  <c r="D149" i="2"/>
  <c r="D148" i="2"/>
  <c r="D147" i="2"/>
  <c r="F297" i="3" s="1"/>
  <c r="D146" i="2"/>
  <c r="F296" i="3" s="1"/>
  <c r="D145" i="2"/>
  <c r="D144" i="2"/>
  <c r="F294" i="3" s="1"/>
  <c r="D143" i="2"/>
  <c r="F293" i="3" s="1"/>
  <c r="F292" i="3" s="1"/>
  <c r="D142" i="2"/>
  <c r="F291" i="3" s="1"/>
  <c r="D141" i="2"/>
  <c r="F290" i="3" s="1"/>
  <c r="F289" i="3" s="1"/>
  <c r="D140" i="2"/>
  <c r="D139" i="2"/>
  <c r="F287" i="3" s="1"/>
  <c r="D138" i="2"/>
  <c r="F286" i="3" s="1"/>
  <c r="F285" i="3" s="1"/>
  <c r="D137" i="2"/>
  <c r="F284" i="3" s="1"/>
  <c r="D136" i="2"/>
  <c r="F283" i="3" s="1"/>
  <c r="F282" i="3" s="1"/>
  <c r="D135" i="2"/>
  <c r="F281" i="3" s="1"/>
  <c r="D134" i="2"/>
  <c r="F280" i="3" s="1"/>
  <c r="F279" i="3" s="1"/>
  <c r="D133" i="2"/>
  <c r="F278" i="3" s="1"/>
  <c r="D132" i="2"/>
  <c r="F277" i="3" s="1"/>
  <c r="D130" i="2"/>
  <c r="D129" i="2"/>
  <c r="F273" i="3" s="1"/>
  <c r="D128" i="2"/>
  <c r="F272" i="3" s="1"/>
  <c r="D127" i="2"/>
  <c r="D126" i="2"/>
  <c r="D125" i="2"/>
  <c r="D124" i="2"/>
  <c r="D123" i="2"/>
  <c r="D121" i="2"/>
  <c r="F248" i="3" s="1"/>
  <c r="D120" i="2"/>
  <c r="F245" i="3" s="1"/>
  <c r="D119" i="2"/>
  <c r="F259" i="3" s="1"/>
  <c r="D118" i="2"/>
  <c r="F267" i="3" s="1"/>
  <c r="D117" i="2"/>
  <c r="F266" i="3" s="1"/>
  <c r="D116" i="2"/>
  <c r="D115" i="2"/>
  <c r="F263" i="3" s="1"/>
  <c r="D114" i="2"/>
  <c r="F242" i="3" s="1"/>
  <c r="D113" i="2"/>
  <c r="F243" i="3" s="1"/>
  <c r="D112" i="2"/>
  <c r="F240" i="3" s="1"/>
  <c r="D111" i="2"/>
  <c r="F241" i="3" s="1"/>
  <c r="D110" i="2"/>
  <c r="F238" i="3" s="1"/>
  <c r="D109" i="2"/>
  <c r="F237" i="3" s="1"/>
  <c r="D108" i="2"/>
  <c r="F232" i="3" s="1"/>
  <c r="D107" i="2"/>
  <c r="F235" i="3" s="1"/>
  <c r="D106" i="2"/>
  <c r="F234" i="3" s="1"/>
  <c r="D105" i="2"/>
  <c r="F230" i="3" s="1"/>
  <c r="D104" i="2"/>
  <c r="D103" i="2"/>
  <c r="D102" i="2"/>
  <c r="D101" i="2"/>
  <c r="D100" i="2"/>
  <c r="D99" i="2"/>
  <c r="D98" i="2"/>
  <c r="F219" i="3" s="1"/>
  <c r="D97" i="2"/>
  <c r="F218" i="3" s="1"/>
  <c r="F26" i="3" s="1"/>
  <c r="D96" i="2"/>
  <c r="F217" i="3" s="1"/>
  <c r="D95" i="2"/>
  <c r="F207" i="3" s="1"/>
  <c r="D94" i="2"/>
  <c r="F193" i="3" s="1"/>
  <c r="D93" i="2"/>
  <c r="F209" i="3" s="1"/>
  <c r="D92" i="2"/>
  <c r="F195" i="3" s="1"/>
  <c r="D91" i="2"/>
  <c r="F190" i="3" s="1"/>
  <c r="D90" i="2"/>
  <c r="F189" i="3" s="1"/>
  <c r="F188" i="3" s="1"/>
  <c r="D89" i="2"/>
  <c r="F185" i="3" s="1"/>
  <c r="D88" i="2"/>
  <c r="F184" i="3" s="1"/>
  <c r="F183" i="3" s="1"/>
  <c r="J185" i="3" s="1"/>
  <c r="D87" i="2"/>
  <c r="F181" i="3" s="1"/>
  <c r="D85" i="2"/>
  <c r="D84" i="2"/>
  <c r="D83" i="2"/>
  <c r="D82" i="2"/>
  <c r="D81" i="2"/>
  <c r="F159" i="3" s="1"/>
  <c r="D80" i="2"/>
  <c r="F171" i="3" s="1"/>
  <c r="D79" i="2"/>
  <c r="F162" i="3" s="1"/>
  <c r="D78" i="2"/>
  <c r="F268" i="3" s="1"/>
  <c r="F142" i="3" s="1"/>
  <c r="D77" i="2"/>
  <c r="F168" i="3" s="1"/>
  <c r="D76" i="2"/>
  <c r="F149" i="3" s="1"/>
  <c r="D75" i="2"/>
  <c r="F144" i="3" s="1"/>
  <c r="D74" i="2"/>
  <c r="D73" i="2"/>
  <c r="F138" i="3" s="1"/>
  <c r="D72" i="2"/>
  <c r="F137" i="3" s="1"/>
  <c r="D71" i="2"/>
  <c r="F135" i="3" s="1"/>
  <c r="D70" i="2"/>
  <c r="F257" i="3" s="1"/>
  <c r="D69" i="2"/>
  <c r="D68" i="2"/>
  <c r="D67" i="2"/>
  <c r="J262" i="3" s="1"/>
  <c r="D66" i="2"/>
  <c r="F128" i="3" s="1"/>
  <c r="D65" i="2"/>
  <c r="F127" i="3" s="1"/>
  <c r="D64" i="2"/>
  <c r="F113" i="3" s="1"/>
  <c r="D63" i="2"/>
  <c r="F114" i="3" s="1"/>
  <c r="D62" i="2"/>
  <c r="F126" i="3" s="1"/>
  <c r="D61" i="2"/>
  <c r="F247" i="3" s="1"/>
  <c r="J60" i="2"/>
  <c r="D60" i="2"/>
  <c r="D59" i="2"/>
  <c r="F123" i="3" s="1"/>
  <c r="D58" i="2"/>
  <c r="D57" i="2"/>
  <c r="F110" i="3" s="1"/>
  <c r="D56" i="2"/>
  <c r="F109" i="3" s="1"/>
  <c r="D55" i="2"/>
  <c r="F108" i="3" s="1"/>
  <c r="D54" i="2"/>
  <c r="D53" i="2"/>
  <c r="F104" i="3" s="1"/>
  <c r="D52" i="2"/>
  <c r="D51" i="2"/>
  <c r="F37" i="3" s="1"/>
  <c r="D50" i="2"/>
  <c r="F93" i="3" s="1"/>
  <c r="D49" i="2"/>
  <c r="F94" i="3" s="1"/>
  <c r="D48" i="2"/>
  <c r="F91" i="3" s="1"/>
  <c r="D47" i="2"/>
  <c r="F90" i="3" s="1"/>
  <c r="D46" i="2"/>
  <c r="F89" i="3" s="1"/>
  <c r="D45" i="2"/>
  <c r="F87" i="3" s="1"/>
  <c r="D44" i="2"/>
  <c r="F86" i="3" s="1"/>
  <c r="D43" i="2"/>
  <c r="F85" i="3" s="1"/>
  <c r="D42" i="2"/>
  <c r="F84" i="3" s="1"/>
  <c r="D41" i="2"/>
  <c r="F33" i="3" s="1"/>
  <c r="D40" i="2"/>
  <c r="F32" i="3" s="1"/>
  <c r="D39" i="2"/>
  <c r="F269" i="3" s="1"/>
  <c r="D38" i="2"/>
  <c r="D37" i="2"/>
  <c r="D36" i="2"/>
  <c r="D35" i="2"/>
  <c r="D34" i="2"/>
  <c r="D33" i="2"/>
  <c r="D32" i="2"/>
  <c r="D31" i="2"/>
  <c r="F71" i="3" s="1"/>
  <c r="D30" i="2"/>
  <c r="D29" i="2"/>
  <c r="J76" i="3" s="1"/>
  <c r="D28" i="2"/>
  <c r="F73" i="3" s="1"/>
  <c r="D27" i="2"/>
  <c r="F24" i="3" s="1"/>
  <c r="D26" i="2"/>
  <c r="F23" i="3" s="1"/>
  <c r="F21" i="3" s="1"/>
  <c r="D25" i="2"/>
  <c r="D24" i="2"/>
  <c r="F66" i="3" s="1"/>
  <c r="D23" i="2"/>
  <c r="D22" i="2"/>
  <c r="D21" i="2"/>
  <c r="F50" i="3" s="1"/>
  <c r="D20" i="2"/>
  <c r="J53" i="3" s="1"/>
  <c r="D19" i="2"/>
  <c r="F53" i="3" s="1"/>
  <c r="D18" i="2"/>
  <c r="F52" i="3" s="1"/>
  <c r="D17" i="2"/>
  <c r="F59" i="3" s="1"/>
  <c r="D16" i="2"/>
  <c r="F65" i="3" s="1"/>
  <c r="F63" i="3" s="1"/>
  <c r="D15" i="2"/>
  <c r="D12" i="2"/>
  <c r="F99" i="3" s="1"/>
  <c r="D11" i="2"/>
  <c r="J101" i="3" s="1"/>
  <c r="J9" i="2"/>
  <c r="D9" i="2"/>
  <c r="F153" i="3" s="1"/>
  <c r="J8" i="2"/>
  <c r="D8" i="2"/>
  <c r="F212" i="3" s="1"/>
  <c r="J7" i="2"/>
  <c r="D7" i="2"/>
  <c r="F199" i="3" s="1"/>
  <c r="J6" i="2"/>
  <c r="D6" i="2"/>
  <c r="F196" i="3" s="1"/>
  <c r="J5" i="2"/>
  <c r="D5" i="2"/>
  <c r="F136" i="3" l="1"/>
  <c r="F88" i="3"/>
  <c r="F83" i="3" s="1"/>
  <c r="F82" i="3" s="1"/>
  <c r="F92" i="3"/>
  <c r="J650" i="3"/>
  <c r="J660" i="3"/>
  <c r="J657" i="3"/>
  <c r="J655" i="3"/>
  <c r="J653" i="3"/>
  <c r="K661" i="3"/>
  <c r="J659" i="3"/>
  <c r="J661" i="3"/>
  <c r="F649" i="3"/>
  <c r="J656" i="3"/>
  <c r="D349" i="2"/>
  <c r="F666" i="3" s="1"/>
  <c r="R133" i="3"/>
  <c r="F678" i="3"/>
  <c r="F679" i="3"/>
  <c r="F597" i="3" s="1"/>
  <c r="F580" i="3"/>
  <c r="F417" i="3"/>
  <c r="F403" i="3"/>
  <c r="F410" i="3"/>
  <c r="F380" i="3"/>
  <c r="F326" i="3"/>
  <c r="F394" i="3"/>
  <c r="F434" i="3"/>
  <c r="F428" i="3"/>
  <c r="F422" i="3"/>
  <c r="F344" i="3"/>
  <c r="F343" i="3" s="1"/>
  <c r="F381" i="3"/>
  <c r="F398" i="3"/>
  <c r="J517" i="3"/>
  <c r="F517" i="3"/>
  <c r="F519" i="3"/>
  <c r="F582" i="3"/>
  <c r="F588" i="3"/>
  <c r="R8" i="3"/>
  <c r="R83" i="3"/>
  <c r="F120" i="3"/>
  <c r="R124" i="3"/>
  <c r="R134" i="3"/>
  <c r="F155" i="3"/>
  <c r="R162" i="3"/>
  <c r="R192" i="3"/>
  <c r="R308" i="3"/>
  <c r="F400" i="3"/>
  <c r="F392" i="3"/>
  <c r="F542" i="3"/>
  <c r="F496" i="3"/>
  <c r="F600" i="3"/>
  <c r="F578" i="3"/>
  <c r="J579" i="3"/>
  <c r="D332" i="2"/>
  <c r="F646" i="3" s="1"/>
  <c r="R6" i="3"/>
  <c r="R95" i="3"/>
  <c r="R129" i="3"/>
  <c r="R176" i="3"/>
  <c r="R271" i="3"/>
  <c r="R278" i="3"/>
  <c r="R296" i="3"/>
  <c r="J313" i="3"/>
  <c r="J393" i="3"/>
  <c r="F318" i="3"/>
  <c r="R39" i="3"/>
  <c r="R58" i="3"/>
  <c r="R72" i="3"/>
  <c r="R81" i="3"/>
  <c r="R88" i="3"/>
  <c r="F150" i="3"/>
  <c r="F148" i="3" s="1"/>
  <c r="R186" i="3"/>
  <c r="R234" i="3"/>
  <c r="R243" i="3"/>
  <c r="R111" i="3"/>
  <c r="F507" i="3"/>
  <c r="F353" i="3"/>
  <c r="F172" i="3"/>
  <c r="F170" i="3" s="1"/>
  <c r="F314" i="3"/>
  <c r="F173" i="3"/>
  <c r="F216" i="3"/>
  <c r="F100" i="3"/>
  <c r="F271" i="3"/>
  <c r="F430" i="3"/>
  <c r="F464" i="3"/>
  <c r="F436" i="3"/>
  <c r="F424" i="3"/>
  <c r="F523" i="3"/>
  <c r="F522" i="3" s="1"/>
  <c r="F521" i="3"/>
  <c r="F520" i="3" s="1"/>
  <c r="F239" i="3"/>
  <c r="F236" i="3" s="1"/>
  <c r="F320" i="3"/>
  <c r="F413" i="3"/>
  <c r="F351" i="3"/>
  <c r="F356" i="3"/>
  <c r="F355" i="3" s="1"/>
  <c r="F406" i="3"/>
  <c r="F420" i="3"/>
  <c r="F451" i="3"/>
  <c r="F450" i="3" s="1"/>
  <c r="F447" i="3"/>
  <c r="F546" i="3"/>
  <c r="R93" i="3"/>
  <c r="F101" i="3"/>
  <c r="F118" i="3"/>
  <c r="R122" i="3"/>
  <c r="F187" i="3"/>
  <c r="R279" i="3"/>
  <c r="R284" i="3"/>
  <c r="F211" i="3"/>
  <c r="F210" i="3" s="1"/>
  <c r="F151" i="3"/>
  <c r="F164" i="3"/>
  <c r="F163" i="3" s="1"/>
  <c r="F161" i="3" s="1"/>
  <c r="F295" i="3"/>
  <c r="F421" i="3"/>
  <c r="F407" i="3"/>
  <c r="F414" i="3"/>
  <c r="J388" i="3"/>
  <c r="F388" i="3"/>
  <c r="F383" i="3" s="1"/>
  <c r="F465" i="3"/>
  <c r="F437" i="3"/>
  <c r="F431" i="3"/>
  <c r="F425" i="3"/>
  <c r="J670" i="3"/>
  <c r="F630" i="3"/>
  <c r="F503" i="3"/>
  <c r="F502" i="3" s="1"/>
  <c r="F505" i="3"/>
  <c r="F504" i="3" s="1"/>
  <c r="R33" i="3"/>
  <c r="R70" i="3"/>
  <c r="F80" i="3"/>
  <c r="R86" i="3"/>
  <c r="R98" i="3"/>
  <c r="R110" i="3"/>
  <c r="R127" i="3"/>
  <c r="R132" i="3"/>
  <c r="F166" i="3"/>
  <c r="R177" i="3"/>
  <c r="R180" i="3"/>
  <c r="R193" i="3"/>
  <c r="F215" i="3"/>
  <c r="R257" i="3"/>
  <c r="R322" i="3"/>
  <c r="F57" i="3"/>
  <c r="R142" i="3"/>
  <c r="R183" i="3"/>
  <c r="R208" i="3"/>
  <c r="R239" i="3"/>
  <c r="R291" i="3"/>
  <c r="R352" i="3"/>
  <c r="F439" i="3"/>
  <c r="F433" i="3"/>
  <c r="F427" i="3"/>
  <c r="F474" i="3"/>
  <c r="F476" i="3"/>
  <c r="F475" i="3" s="1"/>
  <c r="J261" i="3"/>
  <c r="F261" i="3"/>
  <c r="F260" i="3" s="1"/>
  <c r="F274" i="3"/>
  <c r="J296" i="3"/>
  <c r="F463" i="3"/>
  <c r="F204" i="3"/>
  <c r="F156" i="3"/>
  <c r="F200" i="3"/>
  <c r="F198" i="3" s="1"/>
  <c r="F262" i="3"/>
  <c r="J132" i="3"/>
  <c r="F132" i="3"/>
  <c r="F220" i="3"/>
  <c r="F27" i="3" s="1"/>
  <c r="J221" i="3" s="1"/>
  <c r="F254" i="3"/>
  <c r="F226" i="3"/>
  <c r="R91" i="3"/>
  <c r="R120" i="3"/>
  <c r="R125" i="3"/>
  <c r="R190" i="3"/>
  <c r="F203" i="3"/>
  <c r="F202" i="3" s="1"/>
  <c r="R218" i="3"/>
  <c r="F531" i="3"/>
  <c r="F533" i="3"/>
  <c r="F532" i="3" s="1"/>
  <c r="F535" i="3"/>
  <c r="F298" i="3"/>
  <c r="F620" i="3"/>
  <c r="F667" i="3" s="1"/>
  <c r="J621" i="3" s="1"/>
  <c r="F624" i="3"/>
  <c r="F360" i="3"/>
  <c r="F359" i="3" s="1"/>
  <c r="M22" i="5"/>
  <c r="F552" i="3"/>
  <c r="R9" i="3"/>
  <c r="R11" i="3"/>
  <c r="R13" i="3"/>
  <c r="R15" i="3"/>
  <c r="R17" i="3"/>
  <c r="R19" i="3"/>
  <c r="R21" i="3"/>
  <c r="R63" i="3"/>
  <c r="R75" i="3"/>
  <c r="R96" i="3"/>
  <c r="R130" i="3"/>
  <c r="J133" i="3"/>
  <c r="R235" i="3"/>
  <c r="R274" i="3"/>
  <c r="R292" i="3"/>
  <c r="F213" i="3"/>
  <c r="F201" i="3"/>
  <c r="F205" i="3"/>
  <c r="F222" i="3"/>
  <c r="F256" i="3"/>
  <c r="F299" i="3"/>
  <c r="F395" i="3"/>
  <c r="F491" i="3"/>
  <c r="F489" i="3"/>
  <c r="F508" i="3"/>
  <c r="F510" i="3"/>
  <c r="F509" i="3" s="1"/>
  <c r="M23" i="5"/>
  <c r="F555" i="3"/>
  <c r="J669" i="3"/>
  <c r="J668" i="3"/>
  <c r="J654" i="3"/>
  <c r="R625" i="3"/>
  <c r="R547" i="3"/>
  <c r="R632" i="3"/>
  <c r="R666" i="3"/>
  <c r="R642" i="3"/>
  <c r="R634" i="3"/>
  <c r="R633" i="3"/>
  <c r="R517" i="3"/>
  <c r="R449" i="3"/>
  <c r="R401" i="3"/>
  <c r="R528" i="3"/>
  <c r="R521" i="3"/>
  <c r="R474" i="3"/>
  <c r="R453" i="3"/>
  <c r="R554" i="3"/>
  <c r="R516" i="3"/>
  <c r="R542" i="3"/>
  <c r="R525" i="3"/>
  <c r="R509" i="3"/>
  <c r="R455" i="3"/>
  <c r="R486" i="3"/>
  <c r="R534" i="3"/>
  <c r="R630" i="3"/>
  <c r="R522" i="3"/>
  <c r="R506" i="3"/>
  <c r="R452" i="3"/>
  <c r="R461" i="3"/>
  <c r="R445" i="3"/>
  <c r="R381" i="3"/>
  <c r="R333" i="3"/>
  <c r="R313" i="3"/>
  <c r="R300" i="3"/>
  <c r="R283" i="3"/>
  <c r="R559" i="3"/>
  <c r="R427" i="3"/>
  <c r="R457" i="3"/>
  <c r="R527" i="3"/>
  <c r="R460" i="3"/>
  <c r="R447" i="3"/>
  <c r="R444" i="3"/>
  <c r="R518" i="3"/>
  <c r="R472" i="3"/>
  <c r="R463" i="3"/>
  <c r="R372" i="3"/>
  <c r="R360" i="3"/>
  <c r="R346" i="3"/>
  <c r="R325" i="3"/>
  <c r="R377" i="3"/>
  <c r="R268" i="3"/>
  <c r="R423" i="3"/>
  <c r="R395" i="3"/>
  <c r="R387" i="3"/>
  <c r="R512" i="3"/>
  <c r="R497" i="3"/>
  <c r="R493" i="3"/>
  <c r="R471" i="3"/>
  <c r="R446" i="3"/>
  <c r="R405" i="3"/>
  <c r="R389" i="3"/>
  <c r="R545" i="3"/>
  <c r="R489" i="3"/>
  <c r="R511" i="3"/>
  <c r="R391" i="3"/>
  <c r="R383" i="3"/>
  <c r="R363" i="3"/>
  <c r="R294" i="3"/>
  <c r="R148" i="3"/>
  <c r="R116" i="3"/>
  <c r="R84" i="3"/>
  <c r="R459" i="3"/>
  <c r="R443" i="3"/>
  <c r="R319" i="3"/>
  <c r="R242" i="3"/>
  <c r="R339" i="3"/>
  <c r="R305" i="3"/>
  <c r="R299" i="3"/>
  <c r="R288" i="3"/>
  <c r="R275" i="3"/>
  <c r="R272" i="3"/>
  <c r="R267" i="3"/>
  <c r="R379" i="3"/>
  <c r="R375" i="3"/>
  <c r="R244" i="3"/>
  <c r="R425" i="3"/>
  <c r="R407" i="3"/>
  <c r="R394" i="3"/>
  <c r="R362" i="3"/>
  <c r="R321" i="3"/>
  <c r="R280" i="3"/>
  <c r="R347" i="3"/>
  <c r="R332" i="3"/>
  <c r="R307" i="3"/>
  <c r="R246" i="3"/>
  <c r="R230" i="3"/>
  <c r="R223" i="3"/>
  <c r="R344" i="3"/>
  <c r="R304" i="3"/>
  <c r="R293" i="3"/>
  <c r="R282" i="3"/>
  <c r="R160" i="3"/>
  <c r="R355" i="3"/>
  <c r="R248" i="3"/>
  <c r="R232" i="3"/>
  <c r="R184" i="3"/>
  <c r="R323" i="3"/>
  <c r="R301" i="3"/>
  <c r="R298" i="3"/>
  <c r="R369" i="3"/>
  <c r="R312" i="3"/>
  <c r="R309" i="3"/>
  <c r="R295" i="3"/>
  <c r="R266" i="3"/>
  <c r="R393" i="3"/>
  <c r="R361" i="3"/>
  <c r="R320" i="3"/>
  <c r="R306" i="3"/>
  <c r="R331" i="3"/>
  <c r="R236" i="3"/>
  <c r="R229" i="3"/>
  <c r="R220" i="3"/>
  <c r="R188" i="3"/>
  <c r="R181" i="3"/>
  <c r="R170" i="3"/>
  <c r="R343" i="3"/>
  <c r="R140" i="3"/>
  <c r="R108" i="3"/>
  <c r="R384" i="3"/>
  <c r="R368" i="3"/>
  <c r="R357" i="3"/>
  <c r="R351" i="3"/>
  <c r="R286" i="3"/>
  <c r="R273" i="3"/>
  <c r="R238" i="3"/>
  <c r="R231" i="3"/>
  <c r="R222" i="3"/>
  <c r="R388" i="3"/>
  <c r="R317" i="3"/>
  <c r="R281" i="3"/>
  <c r="R144" i="3"/>
  <c r="R112" i="3"/>
  <c r="R263" i="3"/>
  <c r="R258" i="3"/>
  <c r="R240" i="3"/>
  <c r="R224" i="3"/>
  <c r="R217" i="3"/>
  <c r="F12" i="3"/>
  <c r="F488" i="3" s="1"/>
  <c r="F131" i="3"/>
  <c r="F130" i="3" s="1"/>
  <c r="R145" i="3"/>
  <c r="R158" i="3"/>
  <c r="R245" i="3"/>
  <c r="R328" i="3"/>
  <c r="R358" i="3"/>
  <c r="J256" i="3"/>
  <c r="J223" i="3"/>
  <c r="F223" i="3"/>
  <c r="J254" i="3"/>
  <c r="F334" i="3"/>
  <c r="F329" i="3"/>
  <c r="F328" i="3" s="1"/>
  <c r="J334" i="3"/>
  <c r="F621" i="3"/>
  <c r="F367" i="3"/>
  <c r="F435" i="3"/>
  <c r="F429" i="3"/>
  <c r="F423" i="3"/>
  <c r="J423" i="3"/>
  <c r="J435" i="3"/>
  <c r="J429" i="3"/>
  <c r="E117" i="6"/>
  <c r="D122" i="2" s="1"/>
  <c r="F246" i="3" s="1"/>
  <c r="F244" i="3" s="1"/>
  <c r="R5" i="3"/>
  <c r="J55" i="3"/>
  <c r="R82" i="3"/>
  <c r="R101" i="3"/>
  <c r="R106" i="3"/>
  <c r="R123" i="3"/>
  <c r="F146" i="3"/>
  <c r="R178" i="3"/>
  <c r="R194" i="3"/>
  <c r="R206" i="3"/>
  <c r="R209" i="3"/>
  <c r="J224" i="3"/>
  <c r="F397" i="3"/>
  <c r="F335" i="3"/>
  <c r="J335" i="3" s="1"/>
  <c r="F373" i="3"/>
  <c r="F363" i="3"/>
  <c r="F362" i="3" s="1"/>
  <c r="J364" i="3" s="1"/>
  <c r="F441" i="3"/>
  <c r="F440" i="3" s="1"/>
  <c r="F432" i="3"/>
  <c r="F438" i="3"/>
  <c r="F426" i="3"/>
  <c r="F458" i="3"/>
  <c r="F457" i="3" s="1"/>
  <c r="F456" i="3"/>
  <c r="F453" i="3" s="1"/>
  <c r="F452" i="3" s="1"/>
  <c r="F490" i="3"/>
  <c r="F62" i="3"/>
  <c r="R94" i="3"/>
  <c r="F124" i="3"/>
  <c r="F122" i="3" s="1"/>
  <c r="R128" i="3"/>
  <c r="J131" i="3"/>
  <c r="R138" i="3"/>
  <c r="F228" i="3"/>
  <c r="R259" i="3"/>
  <c r="R329" i="3"/>
  <c r="R161" i="3"/>
  <c r="R191" i="3"/>
  <c r="F224" i="3"/>
  <c r="R241" i="3"/>
  <c r="R264" i="3"/>
  <c r="R287" i="3"/>
  <c r="F229" i="3"/>
  <c r="F30" i="3" s="1"/>
  <c r="F233" i="3"/>
  <c r="F231" i="3" s="1"/>
  <c r="F642" i="3"/>
  <c r="F305" i="3" s="1"/>
  <c r="F308" i="3"/>
  <c r="R57" i="3"/>
  <c r="R87" i="3"/>
  <c r="M17" i="5"/>
  <c r="J160" i="2" s="1"/>
  <c r="F304" i="3"/>
  <c r="F302" i="3" s="1"/>
  <c r="J331" i="3"/>
  <c r="F331" i="3"/>
  <c r="J330" i="3"/>
  <c r="J329" i="3"/>
  <c r="F442" i="3"/>
  <c r="F513" i="3"/>
  <c r="F506" i="3" s="1"/>
  <c r="F515" i="3"/>
  <c r="F514" i="3" s="1"/>
  <c r="F512" i="3"/>
  <c r="F511" i="3" s="1"/>
  <c r="F539" i="3"/>
  <c r="F538" i="3" s="1"/>
  <c r="F17" i="3" s="1"/>
  <c r="F16" i="3" s="1"/>
  <c r="F10" i="3" s="1"/>
  <c r="F9" i="3" s="1"/>
  <c r="F541" i="3"/>
  <c r="F540" i="3" s="1"/>
  <c r="F537" i="3"/>
  <c r="F536" i="3" s="1"/>
  <c r="R34" i="3"/>
  <c r="R48" i="3"/>
  <c r="F79" i="3"/>
  <c r="R99" i="3"/>
  <c r="R104" i="3"/>
  <c r="R143" i="3"/>
  <c r="R175" i="3"/>
  <c r="R219" i="3"/>
  <c r="J255" i="3"/>
  <c r="F264" i="3"/>
  <c r="F258" i="3" s="1"/>
  <c r="R330" i="3"/>
  <c r="R337" i="3"/>
  <c r="F385" i="3"/>
  <c r="F384" i="3" s="1"/>
  <c r="J384" i="3" s="1"/>
  <c r="J462" i="3"/>
  <c r="F460" i="3"/>
  <c r="F462" i="3"/>
  <c r="J460" i="3"/>
  <c r="F480" i="3"/>
  <c r="F479" i="3" s="1"/>
  <c r="F481" i="3"/>
  <c r="F560" i="3"/>
  <c r="F559" i="3" s="1"/>
  <c r="F558" i="3"/>
  <c r="F557" i="3" s="1"/>
  <c r="F593" i="3"/>
  <c r="F67" i="3"/>
  <c r="R76" i="3"/>
  <c r="R92" i="3"/>
  <c r="F105" i="3"/>
  <c r="F103" i="3" s="1"/>
  <c r="F117" i="3"/>
  <c r="F116" i="3" s="1"/>
  <c r="R126" i="3"/>
  <c r="R136" i="3"/>
  <c r="F157" i="3"/>
  <c r="F154" i="3" s="1"/>
  <c r="F176" i="3"/>
  <c r="J295" i="3" s="1"/>
  <c r="R237" i="3"/>
  <c r="R36" i="3"/>
  <c r="F310" i="3"/>
  <c r="F309" i="3" s="1"/>
  <c r="J311" i="3" s="1"/>
  <c r="F341" i="3"/>
  <c r="F340" i="3" s="1"/>
  <c r="F374" i="3"/>
  <c r="F494" i="3"/>
  <c r="M18" i="5"/>
  <c r="M25" i="5"/>
  <c r="D326" i="2" s="1"/>
  <c r="M24" i="5"/>
  <c r="D13" i="2" s="1"/>
  <c r="F631" i="3"/>
  <c r="F574" i="3"/>
  <c r="F587" i="3"/>
  <c r="D329" i="2"/>
  <c r="R44" i="3"/>
  <c r="R46" i="3"/>
  <c r="R69" i="3"/>
  <c r="R97" i="3"/>
  <c r="R102" i="3"/>
  <c r="F152" i="3"/>
  <c r="F165" i="3"/>
  <c r="R185" i="3"/>
  <c r="R260" i="3"/>
  <c r="F288" i="3"/>
  <c r="F175" i="3" s="1"/>
  <c r="F378" i="3"/>
  <c r="F377" i="3" s="1"/>
  <c r="F445" i="3"/>
  <c r="F444" i="3" s="1"/>
  <c r="F459" i="3"/>
  <c r="F543" i="3"/>
  <c r="F671" i="3"/>
  <c r="F562" i="3"/>
  <c r="F569" i="3"/>
  <c r="R10" i="3"/>
  <c r="R12" i="3"/>
  <c r="R14" i="3"/>
  <c r="R16" i="3"/>
  <c r="R18" i="3"/>
  <c r="R20" i="3"/>
  <c r="R24" i="3"/>
  <c r="R53" i="3"/>
  <c r="R90" i="3"/>
  <c r="F98" i="3"/>
  <c r="R114" i="3"/>
  <c r="R119" i="3"/>
  <c r="R131" i="3"/>
  <c r="R141" i="3"/>
  <c r="R146" i="3"/>
  <c r="R159" i="3"/>
  <c r="R195" i="3"/>
  <c r="R207" i="3"/>
  <c r="R265" i="3"/>
  <c r="R277" i="3"/>
  <c r="R502" i="3"/>
  <c r="R270" i="3"/>
  <c r="R297" i="3"/>
  <c r="R303" i="3"/>
  <c r="R311" i="3"/>
  <c r="R340" i="3"/>
  <c r="R392" i="3"/>
  <c r="R289" i="3"/>
  <c r="F322" i="3"/>
  <c r="J324" i="3" s="1"/>
  <c r="R364" i="3"/>
  <c r="R338" i="3"/>
  <c r="R475" i="3"/>
  <c r="R318" i="3"/>
  <c r="R365" i="3"/>
  <c r="R424" i="3"/>
  <c r="R532" i="3"/>
  <c r="R290" i="3"/>
  <c r="R378" i="3"/>
  <c r="R382" i="3"/>
  <c r="R269" i="3"/>
  <c r="R359" i="3"/>
  <c r="R386" i="3"/>
  <c r="R324" i="3"/>
  <c r="R366" i="3"/>
  <c r="R442" i="3"/>
  <c r="R448" i="3"/>
  <c r="R285" i="3"/>
  <c r="R310" i="3"/>
  <c r="R345" i="3"/>
  <c r="R426" i="3"/>
  <c r="R548" i="3"/>
  <c r="L442" i="3"/>
  <c r="R454" i="3"/>
  <c r="R482" i="3"/>
  <c r="R496" i="3"/>
  <c r="F549" i="3"/>
  <c r="F545" i="3"/>
  <c r="R335" i="3"/>
  <c r="R402" i="3"/>
  <c r="R503" i="3"/>
  <c r="R520" i="3"/>
  <c r="R524" i="3"/>
  <c r="R538" i="3"/>
  <c r="R479" i="3"/>
  <c r="L493" i="3"/>
  <c r="R550" i="3"/>
  <c r="R302" i="3"/>
  <c r="R376" i="3"/>
  <c r="R504" i="3"/>
  <c r="R485" i="3"/>
  <c r="R526" i="3"/>
  <c r="R551" i="3"/>
  <c r="R508" i="3"/>
  <c r="R557" i="3"/>
  <c r="R350" i="3"/>
  <c r="R374" i="3"/>
  <c r="R440" i="3"/>
  <c r="R552" i="3"/>
  <c r="R456" i="3"/>
  <c r="R494" i="3"/>
  <c r="R540" i="3"/>
  <c r="R367" i="3"/>
  <c r="R450" i="3"/>
  <c r="R530" i="3"/>
  <c r="R390" i="3"/>
  <c r="L427" i="3"/>
  <c r="R469" i="3"/>
  <c r="R536" i="3"/>
  <c r="F470" i="3"/>
  <c r="R488" i="3"/>
  <c r="R495" i="3"/>
  <c r="R514" i="3"/>
  <c r="L433" i="3"/>
  <c r="L439" i="3"/>
  <c r="R537" i="3"/>
  <c r="R556" i="3"/>
  <c r="R529" i="3"/>
  <c r="R553" i="3"/>
  <c r="R652" i="3"/>
  <c r="R480" i="3"/>
  <c r="R492" i="3"/>
  <c r="R654" i="3"/>
  <c r="R490" i="3"/>
  <c r="R546" i="3"/>
  <c r="R627" i="3"/>
  <c r="R558" i="3"/>
  <c r="R656" i="3"/>
  <c r="R555" i="3"/>
  <c r="R628" i="3"/>
  <c r="R543" i="3"/>
  <c r="L547" i="3"/>
  <c r="R636" i="3"/>
  <c r="R531" i="3"/>
  <c r="R644" i="3"/>
  <c r="R659" i="3"/>
  <c r="R668" i="3"/>
  <c r="J37" i="9"/>
  <c r="K37" i="9"/>
  <c r="R651" i="3"/>
  <c r="R655" i="3"/>
  <c r="R648" i="3"/>
  <c r="R660" i="3"/>
  <c r="R669" i="3"/>
  <c r="R645" i="3"/>
  <c r="R670" i="3"/>
  <c r="R649" i="3"/>
  <c r="R635" i="3"/>
  <c r="R661" i="3"/>
  <c r="R646" i="3"/>
  <c r="R653" i="3"/>
  <c r="R657" i="3"/>
  <c r="R671" i="3"/>
  <c r="R658" i="3"/>
  <c r="R667" i="3"/>
  <c r="R650" i="3"/>
  <c r="R647" i="3"/>
  <c r="F672" i="3"/>
  <c r="J15" i="9"/>
  <c r="K15" i="9"/>
  <c r="F10" i="9"/>
  <c r="J34" i="9"/>
  <c r="K9" i="9"/>
  <c r="J9" i="9"/>
  <c r="F31" i="9"/>
  <c r="K10" i="9"/>
  <c r="J10" i="9"/>
  <c r="F26" i="9"/>
  <c r="J7" i="9"/>
  <c r="K22" i="9"/>
  <c r="J22" i="9"/>
  <c r="F8" i="9"/>
  <c r="F38" i="9"/>
  <c r="F6" i="9"/>
  <c r="J21" i="9"/>
  <c r="K33" i="9"/>
  <c r="I12" i="9"/>
  <c r="K11" i="9"/>
  <c r="J11" i="9"/>
  <c r="J24" i="9"/>
  <c r="F20" i="9"/>
  <c r="F11" i="9"/>
  <c r="F5" i="9"/>
  <c r="F17" i="9"/>
  <c r="F19" i="9"/>
  <c r="J27" i="9"/>
  <c r="F35" i="9"/>
  <c r="F4" i="9"/>
  <c r="I4" i="9"/>
  <c r="K4" i="9" s="1"/>
  <c r="K6" i="9"/>
  <c r="I19" i="9"/>
  <c r="K39" i="9"/>
  <c r="J41" i="9"/>
  <c r="F34" i="9"/>
  <c r="F18" i="9"/>
  <c r="F2" i="9"/>
  <c r="F29" i="9"/>
  <c r="F13" i="9"/>
  <c r="F40" i="9"/>
  <c r="F24" i="9"/>
  <c r="F28" i="9"/>
  <c r="F12" i="9"/>
  <c r="F37" i="9"/>
  <c r="F21" i="9"/>
  <c r="F30" i="9"/>
  <c r="F14" i="9"/>
  <c r="F39" i="9"/>
  <c r="F23" i="9"/>
  <c r="F7" i="9"/>
  <c r="F32" i="9"/>
  <c r="F16" i="9"/>
  <c r="F27" i="9"/>
  <c r="F41" i="9"/>
  <c r="F22" i="9"/>
  <c r="F15" i="9"/>
  <c r="J35" i="9"/>
  <c r="F9" i="9"/>
  <c r="J25" i="9"/>
  <c r="K29" i="9"/>
  <c r="J36" i="9"/>
  <c r="M16" i="5"/>
  <c r="J13" i="9"/>
  <c r="J16" i="9"/>
  <c r="F25" i="9"/>
  <c r="F36" i="9"/>
  <c r="J8" i="9"/>
  <c r="J18" i="9"/>
  <c r="F33" i="9"/>
  <c r="I25" i="9"/>
  <c r="K25" i="9" s="1"/>
  <c r="I26" i="9"/>
  <c r="I40" i="9"/>
  <c r="K40" i="9" s="1"/>
  <c r="I30" i="9"/>
  <c r="K38" i="9"/>
  <c r="J38" i="9"/>
  <c r="I14" i="9"/>
  <c r="I32" i="9"/>
  <c r="I34" i="9"/>
  <c r="K34" i="9" s="1"/>
  <c r="I36" i="9"/>
  <c r="K36" i="9" s="1"/>
  <c r="I2" i="9"/>
  <c r="K2" i="9" s="1"/>
  <c r="I41" i="9"/>
  <c r="K41" i="9" s="1"/>
  <c r="I23" i="9"/>
  <c r="K23" i="9" s="1"/>
  <c r="I20" i="9"/>
  <c r="J383" i="3" l="1"/>
  <c r="F382" i="3"/>
  <c r="F376" i="3" s="1"/>
  <c r="J390" i="3"/>
  <c r="J231" i="3"/>
  <c r="J269" i="3"/>
  <c r="F31" i="3"/>
  <c r="F29" i="3" s="1"/>
  <c r="J639" i="3"/>
  <c r="F411" i="3"/>
  <c r="F639" i="3"/>
  <c r="F418" i="3"/>
  <c r="F416" i="3" s="1"/>
  <c r="J305" i="3"/>
  <c r="F404" i="3"/>
  <c r="F115" i="3"/>
  <c r="J258" i="3"/>
  <c r="F134" i="3"/>
  <c r="J135" i="3" s="1"/>
  <c r="J257" i="3"/>
  <c r="J244" i="3"/>
  <c r="J120" i="3"/>
  <c r="J236" i="3"/>
  <c r="F106" i="3"/>
  <c r="F102" i="3" s="1"/>
  <c r="F97" i="3" s="1"/>
  <c r="J107" i="3"/>
  <c r="J108" i="3"/>
  <c r="J282" i="3"/>
  <c r="J285" i="3"/>
  <c r="J279" i="3"/>
  <c r="J492" i="3"/>
  <c r="J288" i="3"/>
  <c r="F121" i="3"/>
  <c r="F119" i="3" s="1"/>
  <c r="J123" i="3"/>
  <c r="J124" i="3"/>
  <c r="J597" i="3"/>
  <c r="J594" i="3"/>
  <c r="K32" i="9"/>
  <c r="J32" i="9"/>
  <c r="F28" i="3"/>
  <c r="J289" i="3"/>
  <c r="J14" i="9"/>
  <c r="K14" i="9"/>
  <c r="J222" i="3"/>
  <c r="J292" i="3"/>
  <c r="K30" i="9"/>
  <c r="J30" i="9"/>
  <c r="J4" i="9"/>
  <c r="F461" i="3"/>
  <c r="J220" i="3"/>
  <c r="F443" i="3"/>
  <c r="F25" i="3"/>
  <c r="J26" i="9"/>
  <c r="K26" i="9"/>
  <c r="F595" i="3"/>
  <c r="F572" i="3"/>
  <c r="F225" i="3"/>
  <c r="F419" i="3"/>
  <c r="J421" i="3" s="1"/>
  <c r="J398" i="3"/>
  <c r="J490" i="3"/>
  <c r="F405" i="3"/>
  <c r="J407" i="3" s="1"/>
  <c r="F270" i="3"/>
  <c r="J387" i="3"/>
  <c r="L661" i="3"/>
  <c r="J570" i="3"/>
  <c r="J386" i="3"/>
  <c r="F409" i="3"/>
  <c r="K20" i="9"/>
  <c r="J20" i="9"/>
  <c r="F179" i="3"/>
  <c r="F7" i="3"/>
  <c r="J2" i="9"/>
  <c r="F648" i="3"/>
  <c r="D331" i="2"/>
  <c r="F550" i="3"/>
  <c r="F81" i="3" s="1"/>
  <c r="F412" i="3"/>
  <c r="J414" i="3" s="1"/>
  <c r="F402" i="3"/>
  <c r="J549" i="3"/>
  <c r="F548" i="3"/>
  <c r="J131" i="2"/>
  <c r="D131" i="2"/>
  <c r="F129" i="3"/>
  <c r="J134" i="3" s="1"/>
  <c r="M10" i="5"/>
  <c r="J315" i="3"/>
  <c r="J302" i="3"/>
  <c r="F315" i="3"/>
  <c r="F301" i="3"/>
  <c r="F300" i="3" s="1"/>
  <c r="F358" i="3"/>
  <c r="J361" i="3"/>
  <c r="F401" i="3"/>
  <c r="J422" i="3"/>
  <c r="F372" i="3"/>
  <c r="J23" i="9"/>
  <c r="J19" i="9"/>
  <c r="K19" i="9"/>
  <c r="J40" i="9"/>
  <c r="F366" i="3"/>
  <c r="F408" i="3"/>
  <c r="F348" i="3" s="1"/>
  <c r="J428" i="3"/>
  <c r="J679" i="3"/>
  <c r="J599" i="3"/>
  <c r="J598" i="3"/>
  <c r="K12" i="9"/>
  <c r="J12" i="9"/>
  <c r="J86" i="2"/>
  <c r="D86" i="2"/>
  <c r="M19" i="5"/>
  <c r="F527" i="3"/>
  <c r="F526" i="3" s="1"/>
  <c r="F530" i="3" s="1"/>
  <c r="J385" i="3"/>
  <c r="A399" i="4"/>
  <c r="A383" i="4"/>
  <c r="A367" i="4"/>
  <c r="A351" i="4"/>
  <c r="A335" i="4"/>
  <c r="A386" i="4"/>
  <c r="A364" i="4"/>
  <c r="A347" i="4"/>
  <c r="A402" i="4"/>
  <c r="A387" i="4"/>
  <c r="A370" i="4"/>
  <c r="A394" i="4"/>
  <c r="A377" i="4"/>
  <c r="A355" i="4"/>
  <c r="A343" i="4"/>
  <c r="A330" i="4"/>
  <c r="A320" i="4"/>
  <c r="A313" i="4"/>
  <c r="A297" i="4"/>
  <c r="A331" i="4"/>
  <c r="A321" i="4"/>
  <c r="A307" i="4"/>
  <c r="A349" i="4"/>
  <c r="A336" i="4"/>
  <c r="A316" i="4"/>
  <c r="A300" i="4"/>
  <c r="A284" i="4"/>
  <c r="A372" i="4"/>
  <c r="A328" i="4"/>
  <c r="A325" i="4"/>
  <c r="A322" i="4"/>
  <c r="A305" i="4"/>
  <c r="A302" i="4"/>
  <c r="A400" i="4"/>
  <c r="A396" i="4"/>
  <c r="A374" i="4"/>
  <c r="A363" i="4"/>
  <c r="A359" i="4"/>
  <c r="A392" i="4"/>
  <c r="A366" i="4"/>
  <c r="A352" i="4"/>
  <c r="A339" i="4"/>
  <c r="A287" i="4"/>
  <c r="A270" i="4"/>
  <c r="A254" i="4"/>
  <c r="A238" i="4"/>
  <c r="A398" i="4"/>
  <c r="A389" i="4"/>
  <c r="A380" i="4"/>
  <c r="A357" i="4"/>
  <c r="A353" i="4"/>
  <c r="A259" i="4"/>
  <c r="A237" i="4"/>
  <c r="A230" i="4"/>
  <c r="A214" i="4"/>
  <c r="A198" i="4"/>
  <c r="A182" i="4"/>
  <c r="A166" i="4"/>
  <c r="A150" i="4"/>
  <c r="A134" i="4"/>
  <c r="A118" i="4"/>
  <c r="A102" i="4"/>
  <c r="A86" i="4"/>
  <c r="A70" i="4"/>
  <c r="A54" i="4"/>
  <c r="A38" i="4"/>
  <c r="A22" i="4"/>
  <c r="A384" i="4"/>
  <c r="A342" i="4"/>
  <c r="A324" i="4"/>
  <c r="A317" i="4"/>
  <c r="A314" i="4"/>
  <c r="A301" i="4"/>
  <c r="A298" i="4"/>
  <c r="A295" i="4"/>
  <c r="A292" i="4"/>
  <c r="A271" i="4"/>
  <c r="A249" i="4"/>
  <c r="A223" i="4"/>
  <c r="A393" i="4"/>
  <c r="A375" i="4"/>
  <c r="A327" i="4"/>
  <c r="A304" i="4"/>
  <c r="A276" i="4"/>
  <c r="A266" i="4"/>
  <c r="A244" i="4"/>
  <c r="A232" i="4"/>
  <c r="A216" i="4"/>
  <c r="A388" i="4"/>
  <c r="A401" i="4"/>
  <c r="A365" i="4"/>
  <c r="A356" i="4"/>
  <c r="A341" i="4"/>
  <c r="A323" i="4"/>
  <c r="A273" i="4"/>
  <c r="A268" i="4"/>
  <c r="A263" i="4"/>
  <c r="A246" i="4"/>
  <c r="A227" i="4"/>
  <c r="A211" i="4"/>
  <c r="A344" i="4"/>
  <c r="A326" i="4"/>
  <c r="A319" i="4"/>
  <c r="A306" i="4"/>
  <c r="A291" i="4"/>
  <c r="A265" i="4"/>
  <c r="A248" i="4"/>
  <c r="A222" i="4"/>
  <c r="A206" i="4"/>
  <c r="A190" i="4"/>
  <c r="A174" i="4"/>
  <c r="A158" i="4"/>
  <c r="A142" i="4"/>
  <c r="A126" i="4"/>
  <c r="A110" i="4"/>
  <c r="A94" i="4"/>
  <c r="A78" i="4"/>
  <c r="A62" i="4"/>
  <c r="A46" i="4"/>
  <c r="A30" i="4"/>
  <c r="A373" i="4"/>
  <c r="A333" i="4"/>
  <c r="A309" i="4"/>
  <c r="A288" i="4"/>
  <c r="A275" i="4"/>
  <c r="A260" i="4"/>
  <c r="A243" i="4"/>
  <c r="A231" i="4"/>
  <c r="A391" i="4"/>
  <c r="A382" i="4"/>
  <c r="A368" i="4"/>
  <c r="A340" i="4"/>
  <c r="A329" i="4"/>
  <c r="A299" i="4"/>
  <c r="A280" i="4"/>
  <c r="A272" i="4"/>
  <c r="A255" i="4"/>
  <c r="A224" i="4"/>
  <c r="A208" i="4"/>
  <c r="A192" i="4"/>
  <c r="A395" i="4"/>
  <c r="A315" i="4"/>
  <c r="A312" i="4"/>
  <c r="A296" i="4"/>
  <c r="A285" i="4"/>
  <c r="A277" i="4"/>
  <c r="A267" i="4"/>
  <c r="A250" i="4"/>
  <c r="A233" i="4"/>
  <c r="A217" i="4"/>
  <c r="A201" i="4"/>
  <c r="A185" i="4"/>
  <c r="A169" i="4"/>
  <c r="A153" i="4"/>
  <c r="A137" i="4"/>
  <c r="A121" i="4"/>
  <c r="A105" i="4"/>
  <c r="A376" i="4"/>
  <c r="A350" i="4"/>
  <c r="A308" i="4"/>
  <c r="A274" i="4"/>
  <c r="A269" i="4"/>
  <c r="A168" i="4"/>
  <c r="A154" i="4"/>
  <c r="A140" i="4"/>
  <c r="A381" i="4"/>
  <c r="A354" i="4"/>
  <c r="A332" i="4"/>
  <c r="A318" i="4"/>
  <c r="A293" i="4"/>
  <c r="A262" i="4"/>
  <c r="A212" i="4"/>
  <c r="A205" i="4"/>
  <c r="A167" i="4"/>
  <c r="A136" i="4"/>
  <c r="A122" i="4"/>
  <c r="A108" i="4"/>
  <c r="A91" i="4"/>
  <c r="A390" i="4"/>
  <c r="A362" i="4"/>
  <c r="A252" i="4"/>
  <c r="A247" i="4"/>
  <c r="A228" i="4"/>
  <c r="A219" i="4"/>
  <c r="A175" i="4"/>
  <c r="A161" i="4"/>
  <c r="A371" i="4"/>
  <c r="A346" i="4"/>
  <c r="A311" i="4"/>
  <c r="A242" i="4"/>
  <c r="A215" i="4"/>
  <c r="A195" i="4"/>
  <c r="A189" i="4"/>
  <c r="A144" i="4"/>
  <c r="A361" i="4"/>
  <c r="A338" i="4"/>
  <c r="A281" i="4"/>
  <c r="A261" i="4"/>
  <c r="A256" i="4"/>
  <c r="A186" i="4"/>
  <c r="A172" i="4"/>
  <c r="A385" i="4"/>
  <c r="A289" i="4"/>
  <c r="A253" i="4"/>
  <c r="A245" i="4"/>
  <c r="A213" i="4"/>
  <c r="A177" i="4"/>
  <c r="A151" i="4"/>
  <c r="A81" i="4"/>
  <c r="A68" i="4"/>
  <c r="A47" i="4"/>
  <c r="A34" i="4"/>
  <c r="A21" i="4"/>
  <c r="A11" i="4"/>
  <c r="A378" i="4"/>
  <c r="A278" i="4"/>
  <c r="A210" i="4"/>
  <c r="A196" i="4"/>
  <c r="A183" i="4"/>
  <c r="A171" i="4"/>
  <c r="A139" i="4"/>
  <c r="A310" i="4"/>
  <c r="A241" i="4"/>
  <c r="A221" i="4"/>
  <c r="A200" i="4"/>
  <c r="A191" i="4"/>
  <c r="A179" i="4"/>
  <c r="A85" i="4"/>
  <c r="A77" i="4"/>
  <c r="A56" i="4"/>
  <c r="A43" i="4"/>
  <c r="A234" i="4"/>
  <c r="A187" i="4"/>
  <c r="A163" i="4"/>
  <c r="A156" i="4"/>
  <c r="A149" i="4"/>
  <c r="A236" i="4"/>
  <c r="A226" i="4"/>
  <c r="A218" i="4"/>
  <c r="A176" i="4"/>
  <c r="A129" i="4"/>
  <c r="A113" i="4"/>
  <c r="A95" i="4"/>
  <c r="A82" i="4"/>
  <c r="A79" i="4"/>
  <c r="A73" i="4"/>
  <c r="A17" i="4"/>
  <c r="A345" i="4"/>
  <c r="A264" i="4"/>
  <c r="A181" i="4"/>
  <c r="A170" i="4"/>
  <c r="A165" i="4"/>
  <c r="A155" i="4"/>
  <c r="A125" i="4"/>
  <c r="A117" i="4"/>
  <c r="A76" i="4"/>
  <c r="A67" i="4"/>
  <c r="A64" i="4"/>
  <c r="A61" i="4"/>
  <c r="A58" i="4"/>
  <c r="A55" i="4"/>
  <c r="A52" i="4"/>
  <c r="A49" i="4"/>
  <c r="A40" i="4"/>
  <c r="A31" i="4"/>
  <c r="A360" i="4"/>
  <c r="A294" i="4"/>
  <c r="A283" i="4"/>
  <c r="A235" i="4"/>
  <c r="A160" i="4"/>
  <c r="A146" i="4"/>
  <c r="A141" i="4"/>
  <c r="A133" i="4"/>
  <c r="A109" i="4"/>
  <c r="A98" i="4"/>
  <c r="A88" i="4"/>
  <c r="A37" i="4"/>
  <c r="A28" i="4"/>
  <c r="A25" i="4"/>
  <c r="A282" i="4"/>
  <c r="A225" i="4"/>
  <c r="A203" i="4"/>
  <c r="A180" i="4"/>
  <c r="A159" i="4"/>
  <c r="A14" i="4"/>
  <c r="A379" i="4"/>
  <c r="A209" i="4"/>
  <c r="A197" i="4"/>
  <c r="A145" i="4"/>
  <c r="A132" i="4"/>
  <c r="A120" i="4"/>
  <c r="A116" i="4"/>
  <c r="A358" i="4"/>
  <c r="A303" i="4"/>
  <c r="A251" i="4"/>
  <c r="A164" i="4"/>
  <c r="A128" i="4"/>
  <c r="A101" i="4"/>
  <c r="A19" i="4"/>
  <c r="A397" i="4"/>
  <c r="A290" i="4"/>
  <c r="A202" i="4"/>
  <c r="A124" i="4"/>
  <c r="A112" i="4"/>
  <c r="A104" i="4"/>
  <c r="A75" i="4"/>
  <c r="A72" i="4"/>
  <c r="A69" i="4"/>
  <c r="A66" i="4"/>
  <c r="A63" i="4"/>
  <c r="A60" i="4"/>
  <c r="A57" i="4"/>
  <c r="A48" i="4"/>
  <c r="A39" i="4"/>
  <c r="A240" i="4"/>
  <c r="A87" i="4"/>
  <c r="A84" i="4"/>
  <c r="A51" i="4"/>
  <c r="A45" i="4"/>
  <c r="A42" i="4"/>
  <c r="A36" i="4"/>
  <c r="A33" i="4"/>
  <c r="A27" i="4"/>
  <c r="A16" i="4"/>
  <c r="A279" i="4"/>
  <c r="A207" i="4"/>
  <c r="A173" i="4"/>
  <c r="A135" i="4"/>
  <c r="A123" i="4"/>
  <c r="A119" i="4"/>
  <c r="A111" i="4"/>
  <c r="A107" i="4"/>
  <c r="A97" i="4"/>
  <c r="A90" i="4"/>
  <c r="A24" i="4"/>
  <c r="A184" i="4"/>
  <c r="A178" i="4"/>
  <c r="A131" i="4"/>
  <c r="A127" i="4"/>
  <c r="A13" i="4"/>
  <c r="A337" i="4"/>
  <c r="A239" i="4"/>
  <c r="A194" i="4"/>
  <c r="A162" i="4"/>
  <c r="A148" i="4"/>
  <c r="A115" i="4"/>
  <c r="A100" i="4"/>
  <c r="A93" i="4"/>
  <c r="A18" i="4"/>
  <c r="A369" i="4"/>
  <c r="A258" i="4"/>
  <c r="A152" i="4"/>
  <c r="A83" i="4"/>
  <c r="A80" i="4"/>
  <c r="A74" i="4"/>
  <c r="A71" i="4"/>
  <c r="A65" i="4"/>
  <c r="A286" i="4"/>
  <c r="A157" i="4"/>
  <c r="A143" i="4"/>
  <c r="A138" i="4"/>
  <c r="A114" i="4"/>
  <c r="A103" i="4"/>
  <c r="A96" i="4"/>
  <c r="A59" i="4"/>
  <c r="A53" i="4"/>
  <c r="A50" i="4"/>
  <c r="A44" i="4"/>
  <c r="A41" i="4"/>
  <c r="A35" i="4"/>
  <c r="A32" i="4"/>
  <c r="A26" i="4"/>
  <c r="A15" i="4"/>
  <c r="A257" i="4"/>
  <c r="A220" i="4"/>
  <c r="A188" i="4"/>
  <c r="A130" i="4"/>
  <c r="A89" i="4"/>
  <c r="A29" i="4"/>
  <c r="A23" i="4"/>
  <c r="A204" i="4"/>
  <c r="A199" i="4"/>
  <c r="A92" i="4"/>
  <c r="A20" i="4"/>
  <c r="A193" i="4"/>
  <c r="A348" i="4"/>
  <c r="A147" i="4"/>
  <c r="A334" i="4"/>
  <c r="A12" i="4"/>
  <c r="A229" i="4"/>
  <c r="A106" i="4"/>
  <c r="A99" i="4"/>
  <c r="R561" i="3"/>
  <c r="F313" i="3"/>
  <c r="J318" i="3" s="1"/>
  <c r="F415" i="3"/>
  <c r="J434" i="3"/>
  <c r="F375" i="3" l="1"/>
  <c r="F96" i="3" s="1"/>
  <c r="J376" i="3"/>
  <c r="F8" i="3"/>
  <c r="J29" i="3"/>
  <c r="F399" i="3"/>
  <c r="F391" i="3" s="1"/>
  <c r="J392" i="3" s="1"/>
  <c r="E210" i="4"/>
  <c r="G210" i="4"/>
  <c r="G97" i="4"/>
  <c r="E97" i="4"/>
  <c r="G12" i="4"/>
  <c r="E12" i="4"/>
  <c r="G87" i="4"/>
  <c r="E87" i="4"/>
  <c r="G368" i="4"/>
  <c r="E368" i="4"/>
  <c r="E326" i="4"/>
  <c r="G326" i="4"/>
  <c r="G388" i="4"/>
  <c r="E388" i="4"/>
  <c r="E292" i="4"/>
  <c r="G292" i="4"/>
  <c r="E102" i="4"/>
  <c r="G102" i="4"/>
  <c r="E400" i="4"/>
  <c r="G400" i="4"/>
  <c r="G75" i="4"/>
  <c r="E75" i="4"/>
  <c r="E96" i="4"/>
  <c r="G96" i="4"/>
  <c r="G64" i="4"/>
  <c r="E64" i="4"/>
  <c r="G103" i="4"/>
  <c r="E103" i="4"/>
  <c r="G100" i="4"/>
  <c r="E100" i="4"/>
  <c r="G124" i="4"/>
  <c r="E124" i="4"/>
  <c r="E145" i="4"/>
  <c r="G145" i="4"/>
  <c r="G95" i="4"/>
  <c r="E95" i="4"/>
  <c r="G77" i="4"/>
  <c r="E77" i="4"/>
  <c r="E219" i="4"/>
  <c r="G219" i="4"/>
  <c r="E293" i="4"/>
  <c r="G293" i="4"/>
  <c r="G312" i="4"/>
  <c r="E312" i="4"/>
  <c r="G62" i="4"/>
  <c r="E62" i="4"/>
  <c r="G89" i="4"/>
  <c r="G23" i="10" s="1"/>
  <c r="H23" i="10" s="1"/>
  <c r="E89" i="4"/>
  <c r="E114" i="4"/>
  <c r="G114" i="4"/>
  <c r="G115" i="4"/>
  <c r="E115" i="4"/>
  <c r="G111" i="4"/>
  <c r="E111" i="4"/>
  <c r="E240" i="4"/>
  <c r="G240" i="4"/>
  <c r="E202" i="4"/>
  <c r="G202" i="4"/>
  <c r="G197" i="4"/>
  <c r="E197" i="4"/>
  <c r="E141" i="4"/>
  <c r="G141" i="4"/>
  <c r="G76" i="4"/>
  <c r="E76" i="4"/>
  <c r="E113" i="4"/>
  <c r="G113" i="4"/>
  <c r="G85" i="4"/>
  <c r="E85" i="4"/>
  <c r="G167" i="10"/>
  <c r="H167" i="10" s="1"/>
  <c r="G74" i="10"/>
  <c r="H74" i="10" s="1"/>
  <c r="G156" i="10"/>
  <c r="H156" i="10" s="1"/>
  <c r="G44" i="10"/>
  <c r="G46" i="10"/>
  <c r="H46" i="10" s="1"/>
  <c r="G69" i="10"/>
  <c r="H69" i="10" s="1"/>
  <c r="G11" i="4"/>
  <c r="E11" i="4"/>
  <c r="C11" i="4"/>
  <c r="F11" i="4" s="1"/>
  <c r="B11" i="4"/>
  <c r="E256" i="4"/>
  <c r="G256" i="4"/>
  <c r="G228" i="4"/>
  <c r="E228" i="4"/>
  <c r="C318" i="4"/>
  <c r="F318" i="4" s="1"/>
  <c r="E318" i="4"/>
  <c r="D318" i="4"/>
  <c r="G318" i="4"/>
  <c r="B318" i="4"/>
  <c r="E315" i="4"/>
  <c r="G315" i="4"/>
  <c r="G40" i="10" s="1"/>
  <c r="H40" i="10" s="1"/>
  <c r="G382" i="4"/>
  <c r="E382" i="4"/>
  <c r="G78" i="4"/>
  <c r="E78" i="4"/>
  <c r="E344" i="4"/>
  <c r="G344" i="4"/>
  <c r="G216" i="4"/>
  <c r="E216" i="4"/>
  <c r="E295" i="4"/>
  <c r="G295" i="4"/>
  <c r="G118" i="4"/>
  <c r="E118" i="4"/>
  <c r="J367" i="3"/>
  <c r="E369" i="4"/>
  <c r="G369" i="4"/>
  <c r="G73" i="4"/>
  <c r="E73" i="4"/>
  <c r="E117" i="4"/>
  <c r="G117" i="4"/>
  <c r="E129" i="4"/>
  <c r="G129" i="4"/>
  <c r="G179" i="4"/>
  <c r="E179" i="4"/>
  <c r="G21" i="4"/>
  <c r="E21" i="4"/>
  <c r="E261" i="4"/>
  <c r="G261" i="4"/>
  <c r="G247" i="4"/>
  <c r="E247" i="4"/>
  <c r="E332" i="4"/>
  <c r="G332" i="4"/>
  <c r="E105" i="4"/>
  <c r="G105" i="4"/>
  <c r="E395" i="4"/>
  <c r="G395" i="4"/>
  <c r="G391" i="4"/>
  <c r="E391" i="4"/>
  <c r="C391" i="4"/>
  <c r="D391" i="4" s="1"/>
  <c r="B391" i="4"/>
  <c r="G94" i="4"/>
  <c r="E94" i="4"/>
  <c r="G232" i="4"/>
  <c r="E232" i="4"/>
  <c r="G298" i="4"/>
  <c r="E298" i="4"/>
  <c r="G134" i="4"/>
  <c r="E134" i="4"/>
  <c r="E284" i="4"/>
  <c r="G284" i="4"/>
  <c r="G297" i="4"/>
  <c r="E297" i="4"/>
  <c r="G24" i="4"/>
  <c r="E24" i="4"/>
  <c r="E234" i="4"/>
  <c r="G234" i="4"/>
  <c r="G112" i="4"/>
  <c r="E112" i="4"/>
  <c r="G107" i="4"/>
  <c r="E107" i="4"/>
  <c r="G188" i="4"/>
  <c r="E188" i="4"/>
  <c r="G143" i="4"/>
  <c r="E143" i="4"/>
  <c r="E162" i="4"/>
  <c r="G162" i="4"/>
  <c r="G123" i="4"/>
  <c r="E123" i="4"/>
  <c r="G397" i="4"/>
  <c r="E397" i="4"/>
  <c r="E379" i="4"/>
  <c r="G379" i="4"/>
  <c r="G160" i="4"/>
  <c r="E160" i="4"/>
  <c r="E125" i="4"/>
  <c r="G125" i="4"/>
  <c r="E176" i="4"/>
  <c r="G176" i="4"/>
  <c r="G191" i="4"/>
  <c r="E191" i="4"/>
  <c r="E34" i="4"/>
  <c r="G34" i="4"/>
  <c r="G281" i="4"/>
  <c r="E281" i="4"/>
  <c r="G252" i="4"/>
  <c r="E252" i="4"/>
  <c r="G354" i="4"/>
  <c r="E354" i="4"/>
  <c r="G121" i="4"/>
  <c r="E121" i="4"/>
  <c r="E231" i="4"/>
  <c r="G231" i="4"/>
  <c r="G110" i="4"/>
  <c r="E110" i="4"/>
  <c r="E211" i="4"/>
  <c r="G211" i="4"/>
  <c r="G244" i="4"/>
  <c r="E244" i="4"/>
  <c r="E301" i="4"/>
  <c r="G301" i="4"/>
  <c r="G150" i="4"/>
  <c r="E150" i="4"/>
  <c r="E238" i="4"/>
  <c r="G238" i="4"/>
  <c r="G14" i="10" s="1"/>
  <c r="H14" i="10" s="1"/>
  <c r="G300" i="4"/>
  <c r="E300" i="4"/>
  <c r="G313" i="4"/>
  <c r="E313" i="4"/>
  <c r="J543" i="3"/>
  <c r="J542" i="3"/>
  <c r="G53" i="4"/>
  <c r="E53" i="4"/>
  <c r="E58" i="4"/>
  <c r="G58" i="4"/>
  <c r="G36" i="10" s="1"/>
  <c r="G84" i="4"/>
  <c r="E84" i="4"/>
  <c r="G67" i="4"/>
  <c r="E67" i="4"/>
  <c r="E130" i="4"/>
  <c r="G130" i="4"/>
  <c r="E138" i="4"/>
  <c r="G138" i="4"/>
  <c r="G119" i="4"/>
  <c r="E119" i="4"/>
  <c r="G209" i="4"/>
  <c r="E209" i="4"/>
  <c r="G334" i="4"/>
  <c r="E334" i="4"/>
  <c r="G220" i="4"/>
  <c r="E220" i="4"/>
  <c r="E157" i="4"/>
  <c r="G157" i="4"/>
  <c r="E194" i="4"/>
  <c r="G194" i="4"/>
  <c r="E135" i="4"/>
  <c r="G135" i="4"/>
  <c r="G180" i="10" s="1"/>
  <c r="H180" i="10" s="1"/>
  <c r="G14" i="4"/>
  <c r="E14" i="4"/>
  <c r="G235" i="4"/>
  <c r="G13" i="10" s="1"/>
  <c r="H13" i="10" s="1"/>
  <c r="E235" i="4"/>
  <c r="G155" i="4"/>
  <c r="E155" i="4"/>
  <c r="E218" i="4"/>
  <c r="G218" i="4"/>
  <c r="G200" i="4"/>
  <c r="E200" i="4"/>
  <c r="G47" i="4"/>
  <c r="E47" i="4"/>
  <c r="E338" i="4"/>
  <c r="G338" i="4"/>
  <c r="E362" i="4"/>
  <c r="G362" i="4"/>
  <c r="G381" i="4"/>
  <c r="E381" i="4"/>
  <c r="G137" i="4"/>
  <c r="E137" i="4"/>
  <c r="E243" i="4"/>
  <c r="G243" i="4"/>
  <c r="E126" i="4"/>
  <c r="G126" i="4"/>
  <c r="E227" i="4"/>
  <c r="G227" i="4"/>
  <c r="G266" i="4"/>
  <c r="E266" i="4"/>
  <c r="E314" i="4"/>
  <c r="G314" i="4"/>
  <c r="E166" i="4"/>
  <c r="G166" i="4"/>
  <c r="G254" i="4"/>
  <c r="E254" i="4"/>
  <c r="G316" i="4"/>
  <c r="G41" i="10" s="1"/>
  <c r="E316" i="4"/>
  <c r="E320" i="4"/>
  <c r="G320" i="4"/>
  <c r="G370" i="4"/>
  <c r="E370" i="4"/>
  <c r="E347" i="4"/>
  <c r="G347" i="4"/>
  <c r="F645" i="3"/>
  <c r="J648" i="3" s="1"/>
  <c r="J227" i="3"/>
  <c r="J228" i="3"/>
  <c r="J226" i="3"/>
  <c r="F60" i="3"/>
  <c r="J348" i="3" s="1"/>
  <c r="E88" i="4"/>
  <c r="G88" i="4"/>
  <c r="G204" i="4"/>
  <c r="E204" i="4"/>
  <c r="G229" i="4"/>
  <c r="E229" i="4"/>
  <c r="E93" i="4"/>
  <c r="G93" i="4"/>
  <c r="G132" i="4"/>
  <c r="E132" i="4"/>
  <c r="G133" i="4"/>
  <c r="E133" i="4"/>
  <c r="G290" i="4"/>
  <c r="E290" i="4"/>
  <c r="E147" i="4"/>
  <c r="G147" i="4"/>
  <c r="E257" i="4"/>
  <c r="G257" i="4"/>
  <c r="E286" i="4"/>
  <c r="G286" i="4"/>
  <c r="E173" i="4"/>
  <c r="G173" i="4"/>
  <c r="G19" i="4"/>
  <c r="E19" i="4"/>
  <c r="G283" i="4"/>
  <c r="E283" i="4"/>
  <c r="G221" i="4"/>
  <c r="E221" i="4"/>
  <c r="G68" i="4"/>
  <c r="E68" i="4"/>
  <c r="E361" i="4"/>
  <c r="G361" i="4"/>
  <c r="G390" i="4"/>
  <c r="E390" i="4"/>
  <c r="G153" i="4"/>
  <c r="E153" i="4"/>
  <c r="G260" i="4"/>
  <c r="E260" i="4"/>
  <c r="G142" i="4"/>
  <c r="E142" i="4"/>
  <c r="E246" i="4"/>
  <c r="G246" i="4"/>
  <c r="G276" i="4"/>
  <c r="E276" i="4"/>
  <c r="E317" i="4"/>
  <c r="G317" i="4"/>
  <c r="G52" i="10" s="1"/>
  <c r="G182" i="4"/>
  <c r="E182" i="4"/>
  <c r="G270" i="4"/>
  <c r="E270" i="4"/>
  <c r="E336" i="4"/>
  <c r="G336" i="4"/>
  <c r="G330" i="4"/>
  <c r="E330" i="4"/>
  <c r="E387" i="4"/>
  <c r="G387" i="4"/>
  <c r="G364" i="4"/>
  <c r="E364" i="4"/>
  <c r="J551" i="3"/>
  <c r="J555" i="3"/>
  <c r="J552" i="3"/>
  <c r="J10" i="2"/>
  <c r="D10" i="2"/>
  <c r="J509" i="3"/>
  <c r="G236" i="4"/>
  <c r="G12" i="10" s="1"/>
  <c r="H12" i="10" s="1"/>
  <c r="E236" i="4"/>
  <c r="G241" i="4"/>
  <c r="E241" i="4"/>
  <c r="G81" i="4"/>
  <c r="E81" i="4"/>
  <c r="E144" i="4"/>
  <c r="G144" i="4"/>
  <c r="G140" i="4"/>
  <c r="E140" i="4"/>
  <c r="G169" i="4"/>
  <c r="E169" i="4"/>
  <c r="E275" i="4"/>
  <c r="G275" i="4"/>
  <c r="E158" i="4"/>
  <c r="G158" i="4"/>
  <c r="G263" i="4"/>
  <c r="E263" i="4"/>
  <c r="E304" i="4"/>
  <c r="G304" i="4"/>
  <c r="G324" i="4"/>
  <c r="E324" i="4"/>
  <c r="G198" i="4"/>
  <c r="E198" i="4"/>
  <c r="G287" i="4"/>
  <c r="E287" i="4"/>
  <c r="E349" i="4"/>
  <c r="G349" i="4"/>
  <c r="G343" i="4"/>
  <c r="E343" i="4"/>
  <c r="G386" i="4"/>
  <c r="E386" i="4"/>
  <c r="F534" i="3"/>
  <c r="F525" i="3"/>
  <c r="J130" i="3"/>
  <c r="F312" i="3"/>
  <c r="G116" i="4"/>
  <c r="E116" i="4"/>
  <c r="E106" i="4"/>
  <c r="G106" i="4"/>
  <c r="E23" i="4"/>
  <c r="G23" i="4"/>
  <c r="E109" i="4"/>
  <c r="G109" i="4"/>
  <c r="G29" i="4"/>
  <c r="E29" i="4"/>
  <c r="E186" i="4"/>
  <c r="G186" i="4"/>
  <c r="G148" i="4"/>
  <c r="E148" i="4"/>
  <c r="E146" i="4"/>
  <c r="G146" i="4"/>
  <c r="G239" i="4"/>
  <c r="E239" i="4"/>
  <c r="G39" i="4"/>
  <c r="E39" i="4"/>
  <c r="G159" i="4"/>
  <c r="E159" i="4"/>
  <c r="G165" i="4"/>
  <c r="E165" i="4"/>
  <c r="E226" i="4"/>
  <c r="G226" i="4"/>
  <c r="G348" i="4"/>
  <c r="G99" i="10" s="1"/>
  <c r="H99" i="10" s="1"/>
  <c r="E348" i="4"/>
  <c r="G15" i="4"/>
  <c r="E15" i="4"/>
  <c r="G65" i="4"/>
  <c r="E65" i="4"/>
  <c r="G337" i="4"/>
  <c r="E337" i="4"/>
  <c r="G207" i="4"/>
  <c r="E207" i="4"/>
  <c r="G48" i="4"/>
  <c r="E48" i="4"/>
  <c r="G101" i="4"/>
  <c r="E101" i="4"/>
  <c r="G180" i="4"/>
  <c r="E180" i="4"/>
  <c r="G294" i="4"/>
  <c r="E294" i="4"/>
  <c r="E170" i="4"/>
  <c r="G170" i="4"/>
  <c r="G32" i="10" s="1"/>
  <c r="H32" i="10" s="1"/>
  <c r="R562" i="3"/>
  <c r="E193" i="4"/>
  <c r="G193" i="4"/>
  <c r="E26" i="4"/>
  <c r="G26" i="4"/>
  <c r="G5" i="10" s="1"/>
  <c r="H5" i="10" s="1"/>
  <c r="G71" i="4"/>
  <c r="E71" i="4"/>
  <c r="G279" i="4"/>
  <c r="G54" i="10" s="1"/>
  <c r="E279" i="4"/>
  <c r="E57" i="4"/>
  <c r="G57" i="4"/>
  <c r="G128" i="4"/>
  <c r="E128" i="4"/>
  <c r="G203" i="4"/>
  <c r="E203" i="4"/>
  <c r="E360" i="4"/>
  <c r="G360" i="4"/>
  <c r="G181" i="4"/>
  <c r="E181" i="4"/>
  <c r="G310" i="4"/>
  <c r="E310" i="4"/>
  <c r="G151" i="4"/>
  <c r="E151" i="4"/>
  <c r="E189" i="4"/>
  <c r="G189" i="4"/>
  <c r="E154" i="4"/>
  <c r="G154" i="4"/>
  <c r="G185" i="4"/>
  <c r="E185" i="4"/>
  <c r="E192" i="4"/>
  <c r="G192" i="4"/>
  <c r="E288" i="4"/>
  <c r="G288" i="4"/>
  <c r="G174" i="4"/>
  <c r="E174" i="4"/>
  <c r="E268" i="4"/>
  <c r="G268" i="4"/>
  <c r="E327" i="4"/>
  <c r="G327" i="4"/>
  <c r="G342" i="4"/>
  <c r="E342" i="4"/>
  <c r="G214" i="4"/>
  <c r="E214" i="4"/>
  <c r="E339" i="4"/>
  <c r="G339" i="4"/>
  <c r="A403" i="4"/>
  <c r="E32" i="4"/>
  <c r="G32" i="4"/>
  <c r="G13" i="4"/>
  <c r="E13" i="4"/>
  <c r="G60" i="4"/>
  <c r="E60" i="4"/>
  <c r="G31" i="4"/>
  <c r="E31" i="4"/>
  <c r="G264" i="4"/>
  <c r="E264" i="4"/>
  <c r="G177" i="4"/>
  <c r="E177" i="4"/>
  <c r="G195" i="4"/>
  <c r="E195" i="4"/>
  <c r="G91" i="4"/>
  <c r="E91" i="4"/>
  <c r="G168" i="4"/>
  <c r="E168" i="4"/>
  <c r="G201" i="4"/>
  <c r="E201" i="4"/>
  <c r="G208" i="4"/>
  <c r="E208" i="4"/>
  <c r="G309" i="4"/>
  <c r="E309" i="4"/>
  <c r="E190" i="4"/>
  <c r="G190" i="4"/>
  <c r="E273" i="4"/>
  <c r="G273" i="4"/>
  <c r="G11" i="10" s="1"/>
  <c r="H11" i="10" s="1"/>
  <c r="G375" i="4"/>
  <c r="E375" i="4"/>
  <c r="E384" i="4"/>
  <c r="G384" i="4"/>
  <c r="G28" i="10" s="1"/>
  <c r="G230" i="4"/>
  <c r="E230" i="4"/>
  <c r="G352" i="4"/>
  <c r="E352" i="4"/>
  <c r="G302" i="4"/>
  <c r="E302" i="4"/>
  <c r="F182" i="3"/>
  <c r="F180" i="3"/>
  <c r="F178" i="3"/>
  <c r="J678" i="3"/>
  <c r="J593" i="3"/>
  <c r="J596" i="3"/>
  <c r="E345" i="4"/>
  <c r="G345" i="4"/>
  <c r="G68" i="10" s="1"/>
  <c r="H68" i="10" s="1"/>
  <c r="E149" i="4"/>
  <c r="G149" i="4"/>
  <c r="G139" i="4"/>
  <c r="G173" i="10" s="1"/>
  <c r="H173" i="10" s="1"/>
  <c r="E139" i="4"/>
  <c r="G213" i="4"/>
  <c r="E213" i="4"/>
  <c r="E215" i="4"/>
  <c r="G215" i="4"/>
  <c r="G108" i="4"/>
  <c r="E108" i="4"/>
  <c r="G269" i="4"/>
  <c r="E269" i="4"/>
  <c r="G217" i="4"/>
  <c r="E217" i="4"/>
  <c r="G224" i="4"/>
  <c r="E224" i="4"/>
  <c r="E333" i="4"/>
  <c r="G333" i="4"/>
  <c r="G27" i="10" s="1"/>
  <c r="G206" i="4"/>
  <c r="E206" i="4"/>
  <c r="G323" i="4"/>
  <c r="E323" i="4"/>
  <c r="E393" i="4"/>
  <c r="G393" i="4"/>
  <c r="G237" i="4"/>
  <c r="E237" i="4"/>
  <c r="E366" i="4"/>
  <c r="G366" i="4"/>
  <c r="G305" i="4"/>
  <c r="E305" i="4"/>
  <c r="G25" i="4"/>
  <c r="E25" i="4"/>
  <c r="G49" i="4"/>
  <c r="E49" i="4"/>
  <c r="G156" i="4"/>
  <c r="E156" i="4"/>
  <c r="G171" i="4"/>
  <c r="G31" i="10" s="1"/>
  <c r="H31" i="10" s="1"/>
  <c r="E171" i="4"/>
  <c r="E245" i="4"/>
  <c r="G245" i="4"/>
  <c r="E242" i="4"/>
  <c r="G242" i="4"/>
  <c r="E122" i="4"/>
  <c r="G122" i="4"/>
  <c r="G274" i="4"/>
  <c r="E274" i="4"/>
  <c r="G233" i="4"/>
  <c r="E233" i="4"/>
  <c r="E255" i="4"/>
  <c r="G255" i="4"/>
  <c r="G373" i="4"/>
  <c r="E373" i="4"/>
  <c r="G222" i="4"/>
  <c r="E222" i="4"/>
  <c r="G341" i="4"/>
  <c r="E341" i="4"/>
  <c r="G259" i="4"/>
  <c r="E259" i="4"/>
  <c r="E392" i="4"/>
  <c r="G392" i="4"/>
  <c r="G322" i="4"/>
  <c r="E322" i="4"/>
  <c r="F347" i="3"/>
  <c r="J136" i="3"/>
  <c r="G20" i="4"/>
  <c r="E20" i="4"/>
  <c r="G164" i="4"/>
  <c r="E164" i="4"/>
  <c r="G35" i="4"/>
  <c r="E35" i="4"/>
  <c r="G127" i="4"/>
  <c r="E127" i="4"/>
  <c r="G63" i="4"/>
  <c r="E63" i="4"/>
  <c r="E251" i="4"/>
  <c r="G251" i="4"/>
  <c r="G40" i="4"/>
  <c r="E40" i="4"/>
  <c r="E99" i="4"/>
  <c r="G99" i="4"/>
  <c r="G41" i="4"/>
  <c r="E41" i="4"/>
  <c r="G83" i="4"/>
  <c r="E83" i="4"/>
  <c r="G33" i="4"/>
  <c r="E33" i="4"/>
  <c r="E66" i="4"/>
  <c r="G66" i="4"/>
  <c r="G199" i="4"/>
  <c r="E199" i="4"/>
  <c r="G44" i="4"/>
  <c r="E44" i="4"/>
  <c r="G152" i="4"/>
  <c r="G20" i="10" s="1"/>
  <c r="E152" i="4"/>
  <c r="E178" i="4"/>
  <c r="G178" i="4"/>
  <c r="G36" i="4"/>
  <c r="E36" i="4"/>
  <c r="G69" i="4"/>
  <c r="E69" i="4"/>
  <c r="G358" i="4"/>
  <c r="E358" i="4"/>
  <c r="G28" i="4"/>
  <c r="E28" i="4"/>
  <c r="G52" i="4"/>
  <c r="E52" i="4"/>
  <c r="G163" i="4"/>
  <c r="E163" i="4"/>
  <c r="G183" i="4"/>
  <c r="E183" i="4"/>
  <c r="G253" i="4"/>
  <c r="G15" i="10" s="1"/>
  <c r="E253" i="4"/>
  <c r="E311" i="4"/>
  <c r="G311" i="4"/>
  <c r="G136" i="4"/>
  <c r="E136" i="4"/>
  <c r="G308" i="4"/>
  <c r="E308" i="4"/>
  <c r="G250" i="4"/>
  <c r="E250" i="4"/>
  <c r="E272" i="4"/>
  <c r="G272" i="4"/>
  <c r="G248" i="4"/>
  <c r="E248" i="4"/>
  <c r="G356" i="4"/>
  <c r="E356" i="4"/>
  <c r="E22" i="4"/>
  <c r="G22" i="4"/>
  <c r="C353" i="4"/>
  <c r="E353" i="4"/>
  <c r="B353" i="4"/>
  <c r="D353" i="4" s="1"/>
  <c r="G353" i="4"/>
  <c r="G325" i="4"/>
  <c r="G26" i="10" s="1"/>
  <c r="E325" i="4"/>
  <c r="G335" i="4"/>
  <c r="E335" i="4"/>
  <c r="F643" i="3"/>
  <c r="D330" i="2"/>
  <c r="F644" i="3" s="1"/>
  <c r="F276" i="3"/>
  <c r="F275" i="3" s="1"/>
  <c r="F69" i="3"/>
  <c r="J273" i="3"/>
  <c r="J271" i="3"/>
  <c r="J272" i="3"/>
  <c r="J274" i="3"/>
  <c r="E74" i="4"/>
  <c r="G74" i="4"/>
  <c r="G16" i="4"/>
  <c r="E16" i="4"/>
  <c r="G225" i="4"/>
  <c r="E225" i="4"/>
  <c r="F349" i="3"/>
  <c r="G92" i="4"/>
  <c r="E92" i="4"/>
  <c r="G80" i="4"/>
  <c r="E80" i="4"/>
  <c r="G27" i="4"/>
  <c r="E27" i="4"/>
  <c r="G282" i="4"/>
  <c r="E282" i="4"/>
  <c r="G131" i="4"/>
  <c r="E131" i="4"/>
  <c r="G303" i="4"/>
  <c r="E303" i="4"/>
  <c r="E50" i="4"/>
  <c r="G50" i="4"/>
  <c r="D50" i="4"/>
  <c r="C50" i="4"/>
  <c r="B50" i="4"/>
  <c r="F50" i="4" s="1"/>
  <c r="E258" i="4"/>
  <c r="G258" i="4"/>
  <c r="G184" i="4"/>
  <c r="E184" i="4"/>
  <c r="E42" i="4"/>
  <c r="G42" i="4"/>
  <c r="G72" i="4"/>
  <c r="E72" i="4"/>
  <c r="G37" i="4"/>
  <c r="E37" i="4"/>
  <c r="G55" i="4"/>
  <c r="E55" i="4"/>
  <c r="G17" i="4"/>
  <c r="E17" i="4"/>
  <c r="G187" i="4"/>
  <c r="E187" i="4"/>
  <c r="G196" i="4"/>
  <c r="E196" i="4"/>
  <c r="E289" i="4"/>
  <c r="G289" i="4"/>
  <c r="E346" i="4"/>
  <c r="G346" i="4"/>
  <c r="G167" i="4"/>
  <c r="E167" i="4"/>
  <c r="G350" i="4"/>
  <c r="G60" i="10" s="1"/>
  <c r="H60" i="10" s="1"/>
  <c r="E350" i="4"/>
  <c r="G267" i="4"/>
  <c r="E267" i="4"/>
  <c r="G280" i="4"/>
  <c r="E280" i="4"/>
  <c r="E265" i="4"/>
  <c r="G265" i="4"/>
  <c r="G365" i="4"/>
  <c r="G45" i="10" s="1"/>
  <c r="E365" i="4"/>
  <c r="G38" i="4"/>
  <c r="E38" i="4"/>
  <c r="G357" i="4"/>
  <c r="G62" i="10" s="1"/>
  <c r="E357" i="4"/>
  <c r="G359" i="4"/>
  <c r="G63" i="10" s="1"/>
  <c r="E359" i="4"/>
  <c r="G328" i="4"/>
  <c r="E328" i="4"/>
  <c r="E307" i="4"/>
  <c r="G307" i="4"/>
  <c r="G351" i="4"/>
  <c r="E351" i="4"/>
  <c r="J25" i="3"/>
  <c r="J506" i="3"/>
  <c r="G385" i="4"/>
  <c r="E385" i="4"/>
  <c r="E371" i="4"/>
  <c r="G371" i="4"/>
  <c r="E205" i="4"/>
  <c r="G205" i="4"/>
  <c r="B376" i="4"/>
  <c r="C376" i="4"/>
  <c r="D376" i="4" s="1"/>
  <c r="G376" i="4"/>
  <c r="F376" i="4"/>
  <c r="E376" i="4"/>
  <c r="E277" i="4"/>
  <c r="G277" i="4"/>
  <c r="E299" i="4"/>
  <c r="G299" i="4"/>
  <c r="G291" i="4"/>
  <c r="E291" i="4"/>
  <c r="G401" i="4"/>
  <c r="E401" i="4"/>
  <c r="G223" i="4"/>
  <c r="E223" i="4"/>
  <c r="G54" i="4"/>
  <c r="E54" i="4"/>
  <c r="G380" i="4"/>
  <c r="E380" i="4"/>
  <c r="G363" i="4"/>
  <c r="E363" i="4"/>
  <c r="E372" i="4"/>
  <c r="G372" i="4"/>
  <c r="G321" i="4"/>
  <c r="E321" i="4"/>
  <c r="E355" i="4"/>
  <c r="G355" i="4"/>
  <c r="E367" i="4"/>
  <c r="G367" i="4"/>
  <c r="F547" i="3"/>
  <c r="F369" i="3" s="1"/>
  <c r="F668" i="3" s="1"/>
  <c r="F635" i="3" s="1"/>
  <c r="M20" i="5"/>
  <c r="F112" i="3"/>
  <c r="E45" i="4"/>
  <c r="G45" i="4"/>
  <c r="G59" i="4"/>
  <c r="E59" i="4"/>
  <c r="E18" i="4"/>
  <c r="G18" i="4"/>
  <c r="G38" i="10" s="1"/>
  <c r="E90" i="4"/>
  <c r="G90" i="4"/>
  <c r="G51" i="4"/>
  <c r="E51" i="4"/>
  <c r="G104" i="4"/>
  <c r="E104" i="4"/>
  <c r="E120" i="4"/>
  <c r="G120" i="4"/>
  <c r="E98" i="4"/>
  <c r="G98" i="4"/>
  <c r="G61" i="4"/>
  <c r="E61" i="4"/>
  <c r="E79" i="4"/>
  <c r="G79" i="4"/>
  <c r="G43" i="4"/>
  <c r="E43" i="4"/>
  <c r="G278" i="4"/>
  <c r="E278" i="4"/>
  <c r="G161" i="4"/>
  <c r="E161" i="4"/>
  <c r="G212" i="4"/>
  <c r="E212" i="4"/>
  <c r="G285" i="4"/>
  <c r="E285" i="4"/>
  <c r="G329" i="4"/>
  <c r="E329" i="4"/>
  <c r="G30" i="4"/>
  <c r="E30" i="4"/>
  <c r="G306" i="4"/>
  <c r="E306" i="4"/>
  <c r="E249" i="4"/>
  <c r="G249" i="4"/>
  <c r="E70" i="4"/>
  <c r="G70" i="4"/>
  <c r="G389" i="4"/>
  <c r="G151" i="10" s="1"/>
  <c r="H151" i="10" s="1"/>
  <c r="E389" i="4"/>
  <c r="G374" i="4"/>
  <c r="E374" i="4"/>
  <c r="E331" i="4"/>
  <c r="G331" i="4"/>
  <c r="C377" i="4"/>
  <c r="D377" i="4" s="1"/>
  <c r="B377" i="4"/>
  <c r="G377" i="4"/>
  <c r="E377" i="4"/>
  <c r="E402" i="4"/>
  <c r="G402" i="4"/>
  <c r="E383" i="4"/>
  <c r="G383" i="4"/>
  <c r="E82" i="4"/>
  <c r="G82" i="4"/>
  <c r="G56" i="4"/>
  <c r="G111" i="10" s="1"/>
  <c r="H111" i="10" s="1"/>
  <c r="E56" i="4"/>
  <c r="D378" i="4"/>
  <c r="F378" i="4"/>
  <c r="C378" i="4"/>
  <c r="B378" i="4"/>
  <c r="G378" i="4"/>
  <c r="E378" i="4"/>
  <c r="G172" i="4"/>
  <c r="G33" i="10" s="1"/>
  <c r="H33" i="10" s="1"/>
  <c r="E172" i="4"/>
  <c r="G175" i="4"/>
  <c r="E175" i="4"/>
  <c r="E262" i="4"/>
  <c r="G262" i="4"/>
  <c r="G17" i="10" s="1"/>
  <c r="H17" i="10" s="1"/>
  <c r="G296" i="4"/>
  <c r="G22" i="10" s="1"/>
  <c r="E296" i="4"/>
  <c r="G340" i="4"/>
  <c r="E340" i="4"/>
  <c r="G46" i="4"/>
  <c r="E46" i="4"/>
  <c r="E319" i="4"/>
  <c r="G319" i="4"/>
  <c r="G271" i="4"/>
  <c r="E271" i="4"/>
  <c r="E86" i="4"/>
  <c r="G86" i="4"/>
  <c r="G398" i="4"/>
  <c r="E398" i="4"/>
  <c r="G396" i="4"/>
  <c r="E396" i="4"/>
  <c r="E394" i="4"/>
  <c r="G394" i="4"/>
  <c r="E399" i="4"/>
  <c r="G399" i="4"/>
  <c r="J511" i="3"/>
  <c r="G48" i="10" l="1"/>
  <c r="G18" i="10"/>
  <c r="G35" i="10"/>
  <c r="G55" i="10"/>
  <c r="H55" i="10" s="1"/>
  <c r="G171" i="10"/>
  <c r="H171" i="10" s="1"/>
  <c r="G137" i="10"/>
  <c r="G170" i="10"/>
  <c r="H170" i="10" s="1"/>
  <c r="G147" i="10"/>
  <c r="H147" i="10" s="1"/>
  <c r="G181" i="10"/>
  <c r="H181" i="10" s="1"/>
  <c r="G172" i="10"/>
  <c r="H172" i="10" s="1"/>
  <c r="J178" i="3"/>
  <c r="F6" i="3"/>
  <c r="E210" i="6"/>
  <c r="D228" i="2" s="1"/>
  <c r="F472" i="3" s="1"/>
  <c r="F473" i="3"/>
  <c r="F336" i="3"/>
  <c r="F354" i="3"/>
  <c r="F350" i="3" s="1"/>
  <c r="F197" i="3"/>
  <c r="F194" i="3" s="1"/>
  <c r="F192" i="3" s="1"/>
  <c r="F327" i="3"/>
  <c r="F319" i="3" s="1"/>
  <c r="F214" i="3"/>
  <c r="F208" i="3" s="1"/>
  <c r="F206" i="3" s="1"/>
  <c r="F147" i="3"/>
  <c r="F145" i="3" s="1"/>
  <c r="F143" i="3" s="1"/>
  <c r="F141" i="3" s="1"/>
  <c r="F169" i="3"/>
  <c r="F167" i="3" s="1"/>
  <c r="F160" i="3" s="1"/>
  <c r="F158" i="3" s="1"/>
  <c r="E266" i="6"/>
  <c r="D304" i="2" s="1"/>
  <c r="F670" i="3"/>
  <c r="F625" i="3" s="1"/>
  <c r="F669" i="3"/>
  <c r="F636" i="3" s="1"/>
  <c r="G6" i="10"/>
  <c r="G34" i="10"/>
  <c r="G4" i="10"/>
  <c r="G65" i="10"/>
  <c r="H65" i="10" s="1"/>
  <c r="G126" i="10"/>
  <c r="H126" i="10" s="1"/>
  <c r="G58" i="10"/>
  <c r="G25" i="10"/>
  <c r="G168" i="10"/>
  <c r="H168" i="10" s="1"/>
  <c r="G125" i="10"/>
  <c r="H125" i="10" s="1"/>
  <c r="G176" i="10"/>
  <c r="H176" i="10" s="1"/>
  <c r="G39" i="10"/>
  <c r="H39" i="10" s="1"/>
  <c r="G160" i="10"/>
  <c r="H160" i="10" s="1"/>
  <c r="G107" i="10"/>
  <c r="H107" i="10" s="1"/>
  <c r="E403" i="4"/>
  <c r="G403" i="4"/>
  <c r="G83" i="10" s="1"/>
  <c r="H83" i="10" s="1"/>
  <c r="G129" i="10"/>
  <c r="H129" i="10" s="1"/>
  <c r="G101" i="10"/>
  <c r="H101" i="10" s="1"/>
  <c r="F377" i="4"/>
  <c r="F111" i="3"/>
  <c r="J112" i="3" s="1"/>
  <c r="J347" i="3"/>
  <c r="M13" i="5"/>
  <c r="M14" i="5" s="1"/>
  <c r="M15" i="5" s="1"/>
  <c r="J25" i="2" s="1"/>
  <c r="F55" i="3"/>
  <c r="G61" i="10"/>
  <c r="G158" i="10"/>
  <c r="H158" i="10" s="1"/>
  <c r="G124" i="10"/>
  <c r="H124" i="10" s="1"/>
  <c r="G169" i="10"/>
  <c r="H169" i="10" s="1"/>
  <c r="G154" i="10"/>
  <c r="G53" i="10"/>
  <c r="R563" i="3"/>
  <c r="F332" i="3"/>
  <c r="G145" i="10"/>
  <c r="G72" i="10"/>
  <c r="H72" i="10" s="1"/>
  <c r="G135" i="10"/>
  <c r="H135" i="10" s="1"/>
  <c r="G144" i="10"/>
  <c r="G119" i="10"/>
  <c r="H119" i="10" s="1"/>
  <c r="G108" i="10"/>
  <c r="H108" i="10" s="1"/>
  <c r="G162" i="10"/>
  <c r="H162" i="10" s="1"/>
  <c r="G97" i="10"/>
  <c r="H97" i="10" s="1"/>
  <c r="G51" i="10"/>
  <c r="G103" i="10"/>
  <c r="H103" i="10" s="1"/>
  <c r="G92" i="10"/>
  <c r="H92" i="10" s="1"/>
  <c r="G157" i="10"/>
  <c r="H157" i="10" s="1"/>
  <c r="G183" i="10"/>
  <c r="H183" i="10" s="1"/>
  <c r="G141" i="10"/>
  <c r="H141" i="10" s="1"/>
  <c r="G149" i="10"/>
  <c r="H149" i="10" s="1"/>
  <c r="H635" i="3"/>
  <c r="F482" i="3"/>
  <c r="A404" i="4"/>
  <c r="H312" i="3"/>
  <c r="G94" i="10"/>
  <c r="H94" i="10" s="1"/>
  <c r="F77" i="3"/>
  <c r="G164" i="10"/>
  <c r="H164" i="10" s="1"/>
  <c r="G10" i="10"/>
  <c r="H10" i="10" s="1"/>
  <c r="G95" i="10"/>
  <c r="H95" i="10" s="1"/>
  <c r="G105" i="10"/>
  <c r="H105" i="10" s="1"/>
  <c r="G122" i="10"/>
  <c r="H122" i="10" s="1"/>
  <c r="G100" i="10"/>
  <c r="H100" i="10" s="1"/>
  <c r="G3" i="10"/>
  <c r="G127" i="10"/>
  <c r="H127" i="10" s="1"/>
  <c r="G57" i="10"/>
  <c r="G16" i="10"/>
  <c r="G64" i="10"/>
  <c r="F353" i="4"/>
  <c r="G30" i="10"/>
  <c r="H30" i="10" s="1"/>
  <c r="G29" i="10"/>
  <c r="H29" i="10" s="1"/>
  <c r="G42" i="10"/>
  <c r="H42" i="10" s="1"/>
  <c r="G7" i="10"/>
  <c r="H7" i="10" s="1"/>
  <c r="J375" i="3"/>
  <c r="J97" i="3"/>
  <c r="J110" i="3"/>
  <c r="J440" i="3"/>
  <c r="E37" i="9"/>
  <c r="G37" i="9" s="1"/>
  <c r="G43" i="10"/>
  <c r="G110" i="10"/>
  <c r="H110" i="10" s="1"/>
  <c r="F391" i="4"/>
  <c r="G59" i="10"/>
  <c r="G120" i="10"/>
  <c r="H120" i="10" s="1"/>
  <c r="G131" i="10"/>
  <c r="G159" i="10"/>
  <c r="H159" i="10" s="1"/>
  <c r="G177" i="10"/>
  <c r="H177" i="10" s="1"/>
  <c r="G70" i="10"/>
  <c r="H70" i="10" s="1"/>
  <c r="G121" i="10"/>
  <c r="H121" i="10" s="1"/>
  <c r="G8" i="10"/>
  <c r="H8" i="10" s="1"/>
  <c r="G136" i="10"/>
  <c r="H136" i="10" s="1"/>
  <c r="G19" i="10"/>
  <c r="G2" i="10"/>
  <c r="D11" i="4"/>
  <c r="G24" i="10"/>
  <c r="G47" i="10"/>
  <c r="G9" i="10"/>
  <c r="G146" i="10"/>
  <c r="G148" i="10"/>
  <c r="H148" i="10" s="1"/>
  <c r="J33" i="3"/>
  <c r="J7" i="3"/>
  <c r="J8" i="3"/>
  <c r="J9" i="3"/>
  <c r="G21" i="10"/>
  <c r="H21" i="10" s="1"/>
  <c r="G123" i="10"/>
  <c r="H123" i="10" s="1"/>
  <c r="G56" i="10"/>
  <c r="G67" i="10"/>
  <c r="F524" i="3"/>
  <c r="J525" i="3" s="1"/>
  <c r="G50" i="10"/>
  <c r="G93" i="10"/>
  <c r="H93" i="10" s="1"/>
  <c r="J391" i="3"/>
  <c r="J62" i="3"/>
  <c r="F58" i="3"/>
  <c r="J61" i="3"/>
  <c r="G66" i="10"/>
  <c r="H66" i="10" s="1"/>
  <c r="G140" i="10"/>
  <c r="H140" i="10" s="1"/>
  <c r="G73" i="10"/>
  <c r="H73" i="10" s="1"/>
  <c r="H482" i="3" l="1"/>
  <c r="J482" i="3"/>
  <c r="F368" i="3"/>
  <c r="J625" i="3" s="1"/>
  <c r="J54" i="3"/>
  <c r="J56" i="3"/>
  <c r="F51" i="3"/>
  <c r="F48" i="3" s="1"/>
  <c r="F46" i="3" s="1"/>
  <c r="J57" i="3"/>
  <c r="J635" i="3"/>
  <c r="J524" i="3"/>
  <c r="J532" i="3"/>
  <c r="F177" i="3"/>
  <c r="F516" i="3"/>
  <c r="F396" i="3"/>
  <c r="F337" i="3" s="1"/>
  <c r="F518" i="3"/>
  <c r="J636" i="3"/>
  <c r="H636" i="3"/>
  <c r="J128" i="3"/>
  <c r="H625" i="3"/>
  <c r="F577" i="3"/>
  <c r="F576" i="3" s="1"/>
  <c r="F575" i="3" s="1"/>
  <c r="H574" i="3"/>
  <c r="J343" i="3"/>
  <c r="J463" i="3"/>
  <c r="J475" i="3"/>
  <c r="J158" i="3"/>
  <c r="J75" i="3"/>
  <c r="J79" i="3"/>
  <c r="J78" i="3"/>
  <c r="F72" i="3"/>
  <c r="F70" i="3" s="1"/>
  <c r="F365" i="3"/>
  <c r="A406" i="4"/>
  <c r="R564" i="3"/>
  <c r="A405" i="4"/>
  <c r="F191" i="3"/>
  <c r="J349" i="3"/>
  <c r="G404" i="4"/>
  <c r="E404" i="4"/>
  <c r="J473" i="3"/>
  <c r="J472" i="3"/>
  <c r="J474" i="3"/>
  <c r="F471" i="3"/>
  <c r="F583" i="3" l="1"/>
  <c r="J584" i="3" s="1"/>
  <c r="F571" i="3"/>
  <c r="J297" i="3"/>
  <c r="J299" i="3"/>
  <c r="J298" i="3"/>
  <c r="J520" i="3"/>
  <c r="J522" i="3"/>
  <c r="F45" i="3"/>
  <c r="J46" i="3"/>
  <c r="H365" i="3"/>
  <c r="H366" i="3"/>
  <c r="F140" i="3"/>
  <c r="J672" i="3"/>
  <c r="R566" i="3"/>
  <c r="R565" i="3"/>
  <c r="R567" i="3"/>
  <c r="G85" i="10"/>
  <c r="H85" i="10" s="1"/>
  <c r="D343" i="2"/>
  <c r="F68" i="3"/>
  <c r="F653" i="3" s="1"/>
  <c r="G406" i="4"/>
  <c r="E406" i="4"/>
  <c r="J206" i="3"/>
  <c r="J192" i="3"/>
  <c r="J191" i="3"/>
  <c r="J188" i="3"/>
  <c r="J217" i="3"/>
  <c r="F186" i="3"/>
  <c r="A407" i="4"/>
  <c r="J368" i="3"/>
  <c r="H368" i="3"/>
  <c r="J141" i="3"/>
  <c r="J518" i="3"/>
  <c r="G405" i="4"/>
  <c r="E405" i="4"/>
  <c r="G132" i="10"/>
  <c r="H132" i="10" s="1"/>
  <c r="J338" i="3"/>
  <c r="J340" i="3"/>
  <c r="J396" i="3"/>
  <c r="J337" i="3"/>
  <c r="J397" i="3"/>
  <c r="J339" i="3"/>
  <c r="F174" i="3"/>
  <c r="G407" i="4" l="1"/>
  <c r="E407" i="4"/>
  <c r="H140" i="3"/>
  <c r="J485" i="3"/>
  <c r="J312" i="3"/>
  <c r="J585" i="3"/>
  <c r="J589" i="3"/>
  <c r="J575" i="3"/>
  <c r="J583" i="3"/>
  <c r="J591" i="3"/>
  <c r="F561" i="3"/>
  <c r="J278" i="3"/>
  <c r="J496" i="3"/>
  <c r="J494" i="3"/>
  <c r="J502" i="3"/>
  <c r="J559" i="3"/>
  <c r="J270" i="3"/>
  <c r="J372" i="3"/>
  <c r="J275" i="3"/>
  <c r="A409" i="4"/>
  <c r="R568" i="3"/>
  <c r="A410" i="4"/>
  <c r="A408" i="4"/>
  <c r="J365" i="3"/>
  <c r="F44" i="3"/>
  <c r="J66" i="3"/>
  <c r="J563" i="3" l="1"/>
  <c r="J567" i="3"/>
  <c r="J571" i="3"/>
  <c r="G409" i="4"/>
  <c r="E409" i="4"/>
  <c r="M21" i="5"/>
  <c r="F650" i="3"/>
  <c r="D338" i="2"/>
  <c r="F39" i="3"/>
  <c r="R569" i="3"/>
  <c r="G410" i="4"/>
  <c r="E410" i="4"/>
  <c r="G408" i="4"/>
  <c r="E408" i="4"/>
  <c r="R570" i="3" l="1"/>
  <c r="R571" i="3" s="1"/>
  <c r="R572" i="3" s="1"/>
  <c r="R574" i="3" s="1"/>
  <c r="R575" i="3" s="1"/>
  <c r="R576" i="3" s="1"/>
  <c r="R577" i="3" s="1"/>
  <c r="R578" i="3" s="1"/>
  <c r="R579" i="3" s="1"/>
  <c r="R581" i="3" s="1"/>
  <c r="R582" i="3" s="1"/>
  <c r="R583" i="3" s="1"/>
  <c r="R584" i="3" s="1"/>
  <c r="R585" i="3" s="1"/>
  <c r="R586" i="3" s="1"/>
  <c r="R589" i="3" s="1"/>
  <c r="R590" i="3" s="1"/>
  <c r="R591" i="3" s="1"/>
  <c r="R592" i="3" s="1"/>
  <c r="R593" i="3" s="1"/>
  <c r="R594" i="3" s="1"/>
  <c r="R595" i="3" s="1"/>
  <c r="R596" i="3" s="1"/>
  <c r="R597" i="3" s="1"/>
  <c r="R598" i="3" s="1"/>
  <c r="R599" i="3" s="1"/>
  <c r="R600" i="3" s="1"/>
  <c r="R601" i="3" s="1"/>
  <c r="R672" i="3" s="1"/>
  <c r="R673" i="3" s="1"/>
  <c r="R674" i="3" s="1"/>
  <c r="R675" i="3" s="1"/>
  <c r="R677" i="3" s="1"/>
  <c r="J644" i="3"/>
  <c r="J647" i="3"/>
  <c r="J646" i="3"/>
  <c r="J645" i="3"/>
  <c r="F38" i="3"/>
  <c r="A497" i="4" l="1"/>
  <c r="A411" i="4"/>
  <c r="A436" i="4"/>
  <c r="A449" i="4"/>
  <c r="A412" i="4"/>
  <c r="A489" i="4"/>
  <c r="A448" i="4"/>
  <c r="A495" i="4"/>
  <c r="A431" i="4"/>
  <c r="A441" i="4"/>
  <c r="A481" i="4"/>
  <c r="A432" i="4"/>
  <c r="A467" i="4"/>
  <c r="A413" i="4"/>
  <c r="A414" i="4"/>
  <c r="A453" i="4"/>
  <c r="A450" i="4"/>
  <c r="A461" i="4"/>
  <c r="A501" i="4"/>
  <c r="A446" i="4"/>
  <c r="A425" i="4"/>
  <c r="A483" i="4"/>
  <c r="A426" i="4"/>
  <c r="A424" i="4"/>
  <c r="A415" i="4"/>
  <c r="A475" i="4"/>
  <c r="A463" i="4"/>
  <c r="A443" i="4"/>
  <c r="A444" i="4"/>
  <c r="A486" i="4"/>
  <c r="A485" i="4"/>
  <c r="A438" i="4"/>
  <c r="A480" i="4"/>
  <c r="A430" i="4"/>
  <c r="A473" i="4"/>
  <c r="A422" i="4"/>
  <c r="A500" i="4"/>
  <c r="A439" i="4"/>
  <c r="A423" i="4"/>
  <c r="A433" i="4"/>
  <c r="A465" i="4"/>
  <c r="A434" i="4"/>
  <c r="A499" i="4"/>
  <c r="A470" i="4"/>
  <c r="A488" i="4"/>
  <c r="A487" i="4"/>
  <c r="A452" i="4"/>
  <c r="A471" i="4"/>
  <c r="A482" i="4"/>
  <c r="A427" i="4"/>
  <c r="A454" i="4"/>
  <c r="A416" i="4"/>
  <c r="A445" i="4"/>
  <c r="A458" i="4"/>
  <c r="A455" i="4"/>
  <c r="A502" i="4"/>
  <c r="A479" i="4"/>
  <c r="A469" i="4"/>
  <c r="A504" i="4"/>
  <c r="A456" i="4"/>
  <c r="A476" i="4"/>
  <c r="A498" i="4"/>
  <c r="A451" i="4"/>
  <c r="A417" i="4"/>
  <c r="A466" i="4"/>
  <c r="A493" i="4"/>
  <c r="A472" i="4"/>
  <c r="A457" i="4"/>
  <c r="A429" i="4"/>
  <c r="A474" i="4"/>
  <c r="A440" i="4"/>
  <c r="A419" i="4"/>
  <c r="A477" i="4"/>
  <c r="A435" i="4"/>
  <c r="A490" i="4"/>
  <c r="A491" i="4"/>
  <c r="A478" i="4"/>
  <c r="A428" i="4"/>
  <c r="A459" i="4"/>
  <c r="A468" i="4"/>
  <c r="A503" i="4"/>
  <c r="A492" i="4"/>
  <c r="A496" i="4"/>
  <c r="A462" i="4"/>
  <c r="A442" i="4"/>
  <c r="A418" i="4"/>
  <c r="A437" i="4"/>
  <c r="A420" i="4"/>
  <c r="A460" i="4"/>
  <c r="A464" i="4"/>
  <c r="A494" i="4"/>
  <c r="A421" i="4"/>
  <c r="A447" i="4"/>
  <c r="A484" i="4"/>
  <c r="J350" i="3"/>
  <c r="J39" i="3"/>
  <c r="J319" i="3"/>
  <c r="J332" i="3"/>
  <c r="J38" i="3"/>
  <c r="J68" i="3"/>
  <c r="J675" i="3"/>
  <c r="F36" i="3"/>
  <c r="F35" i="3" s="1"/>
  <c r="J479" i="3"/>
  <c r="J504" i="3"/>
  <c r="J444" i="3"/>
  <c r="J569" i="3"/>
  <c r="J488" i="3"/>
  <c r="J595" i="3"/>
  <c r="J534" i="3"/>
  <c r="J471" i="3"/>
  <c r="J516" i="3"/>
  <c r="E465" i="4" l="1"/>
  <c r="G465" i="4"/>
  <c r="G500" i="4"/>
  <c r="B500" i="4"/>
  <c r="F500" i="4"/>
  <c r="C500" i="4"/>
  <c r="E500" i="4"/>
  <c r="D500" i="4"/>
  <c r="G446" i="4"/>
  <c r="E446" i="4"/>
  <c r="E417" i="4"/>
  <c r="G417" i="4"/>
  <c r="E453" i="4"/>
  <c r="G453" i="4"/>
  <c r="E459" i="4"/>
  <c r="G459" i="4"/>
  <c r="E452" i="4"/>
  <c r="G452" i="4"/>
  <c r="G414" i="4"/>
  <c r="E414" i="4"/>
  <c r="G484" i="4"/>
  <c r="F484" i="4"/>
  <c r="D484" i="4"/>
  <c r="B484" i="4"/>
  <c r="E484" i="4"/>
  <c r="C484" i="4"/>
  <c r="G428" i="4"/>
  <c r="E428" i="4"/>
  <c r="E498" i="4"/>
  <c r="C498" i="4"/>
  <c r="F498" i="4"/>
  <c r="B498" i="4"/>
  <c r="D498" i="4"/>
  <c r="G498" i="4"/>
  <c r="E487" i="4"/>
  <c r="B487" i="4"/>
  <c r="G487" i="4"/>
  <c r="F487" i="4"/>
  <c r="C487" i="4"/>
  <c r="D487" i="4"/>
  <c r="F486" i="4"/>
  <c r="C486" i="4"/>
  <c r="E486" i="4"/>
  <c r="D486" i="4"/>
  <c r="B486" i="4"/>
  <c r="G486" i="4"/>
  <c r="G413" i="4"/>
  <c r="E413" i="4"/>
  <c r="F479" i="4"/>
  <c r="G479" i="4"/>
  <c r="D479" i="4"/>
  <c r="B479" i="4"/>
  <c r="C479" i="4"/>
  <c r="E479" i="4"/>
  <c r="G429" i="4"/>
  <c r="E429" i="4"/>
  <c r="G462" i="4"/>
  <c r="E462" i="4"/>
  <c r="E472" i="4"/>
  <c r="G472" i="4"/>
  <c r="E438" i="4"/>
  <c r="G438" i="4"/>
  <c r="G451" i="4"/>
  <c r="E451" i="4"/>
  <c r="C485" i="4"/>
  <c r="F485" i="4"/>
  <c r="E485" i="4"/>
  <c r="B485" i="4"/>
  <c r="G485" i="4"/>
  <c r="D485" i="4"/>
  <c r="E447" i="4"/>
  <c r="G447" i="4"/>
  <c r="E478" i="4"/>
  <c r="G478" i="4"/>
  <c r="G476" i="4"/>
  <c r="E476" i="4"/>
  <c r="C488" i="4"/>
  <c r="G488" i="4"/>
  <c r="F488" i="4"/>
  <c r="E488" i="4"/>
  <c r="D488" i="4"/>
  <c r="B488" i="4"/>
  <c r="G444" i="4"/>
  <c r="E444" i="4"/>
  <c r="C467" i="4"/>
  <c r="G467" i="4"/>
  <c r="E467" i="4"/>
  <c r="B467" i="4"/>
  <c r="F467" i="4" s="1"/>
  <c r="G425" i="4"/>
  <c r="E425" i="4"/>
  <c r="G457" i="4"/>
  <c r="E457" i="4"/>
  <c r="G454" i="4"/>
  <c r="E454" i="4"/>
  <c r="E470" i="4"/>
  <c r="G470" i="4"/>
  <c r="G443" i="4"/>
  <c r="E443" i="4"/>
  <c r="E432" i="4"/>
  <c r="G432" i="4"/>
  <c r="E460" i="4"/>
  <c r="G460" i="4"/>
  <c r="G445" i="4"/>
  <c r="E445" i="4"/>
  <c r="E416" i="4"/>
  <c r="G416" i="4"/>
  <c r="F496" i="4"/>
  <c r="C496" i="4"/>
  <c r="B496" i="4"/>
  <c r="D496" i="4"/>
  <c r="E496" i="4"/>
  <c r="G496" i="4"/>
  <c r="G468" i="4"/>
  <c r="E468" i="4"/>
  <c r="B468" i="4"/>
  <c r="D468" i="4" s="1"/>
  <c r="C468" i="4"/>
  <c r="F468" i="4"/>
  <c r="E471" i="4"/>
  <c r="G471" i="4"/>
  <c r="G421" i="4"/>
  <c r="E421" i="4"/>
  <c r="F491" i="4"/>
  <c r="C491" i="4"/>
  <c r="E491" i="4"/>
  <c r="B491" i="4"/>
  <c r="D491" i="4"/>
  <c r="G491" i="4"/>
  <c r="G456" i="4"/>
  <c r="E456" i="4"/>
  <c r="D494" i="4"/>
  <c r="G494" i="4"/>
  <c r="F494" i="4"/>
  <c r="C494" i="4"/>
  <c r="E494" i="4"/>
  <c r="B494" i="4"/>
  <c r="C490" i="4"/>
  <c r="B490" i="4"/>
  <c r="F490" i="4"/>
  <c r="E490" i="4"/>
  <c r="G490" i="4"/>
  <c r="D490" i="4"/>
  <c r="D504" i="4"/>
  <c r="F504" i="4"/>
  <c r="B504" i="4"/>
  <c r="G504" i="4"/>
  <c r="E504" i="4"/>
  <c r="C504" i="4"/>
  <c r="G499" i="4"/>
  <c r="D499" i="4"/>
  <c r="C499" i="4"/>
  <c r="F499" i="4"/>
  <c r="E499" i="4"/>
  <c r="B499" i="4"/>
  <c r="E463" i="4"/>
  <c r="G463" i="4"/>
  <c r="B481" i="4"/>
  <c r="F481" i="4"/>
  <c r="D481" i="4"/>
  <c r="G481" i="4"/>
  <c r="C481" i="4"/>
  <c r="E481" i="4"/>
  <c r="G412" i="4"/>
  <c r="E412" i="4"/>
  <c r="F86" i="10"/>
  <c r="G143" i="10"/>
  <c r="G109" i="10"/>
  <c r="H109" i="10" s="1"/>
  <c r="F116" i="10"/>
  <c r="G174" i="10"/>
  <c r="H174" i="10" s="1"/>
  <c r="G117" i="10"/>
  <c r="H117" i="10" s="1"/>
  <c r="G81" i="10"/>
  <c r="H81" i="10" s="1"/>
  <c r="F185" i="10"/>
  <c r="G86" i="10"/>
  <c r="H86" i="10" s="1"/>
  <c r="F82" i="10"/>
  <c r="G75" i="10"/>
  <c r="H75" i="10" s="1"/>
  <c r="G155" i="10"/>
  <c r="H155" i="10" s="1"/>
  <c r="F37" i="10"/>
  <c r="F79" i="10"/>
  <c r="G78" i="10"/>
  <c r="H78" i="10" s="1"/>
  <c r="G187" i="10"/>
  <c r="H187" i="10" s="1"/>
  <c r="G77" i="10"/>
  <c r="H77" i="10" s="1"/>
  <c r="G106" i="10"/>
  <c r="H106" i="10" s="1"/>
  <c r="G130" i="10"/>
  <c r="H130" i="10" s="1"/>
  <c r="F152" i="10"/>
  <c r="G153" i="10"/>
  <c r="H153" i="10" s="1"/>
  <c r="F91" i="10"/>
  <c r="G184" i="10"/>
  <c r="H184" i="10" s="1"/>
  <c r="F77" i="10"/>
  <c r="F166" i="10"/>
  <c r="F75" i="10"/>
  <c r="G188" i="10"/>
  <c r="H188" i="10" s="1"/>
  <c r="F186" i="10"/>
  <c r="G90" i="10"/>
  <c r="H90" i="10" s="1"/>
  <c r="G115" i="10"/>
  <c r="H115" i="10" s="1"/>
  <c r="F49" i="10"/>
  <c r="H49" i="10" s="1"/>
  <c r="G104" i="10"/>
  <c r="H104" i="10" s="1"/>
  <c r="F113" i="10"/>
  <c r="F163" i="10"/>
  <c r="F161" i="10"/>
  <c r="H161" i="10" s="1"/>
  <c r="E35" i="9" s="1"/>
  <c r="G35" i="9" s="1"/>
  <c r="F187" i="10"/>
  <c r="F88" i="10"/>
  <c r="F189" i="10"/>
  <c r="F104" i="10"/>
  <c r="F89" i="10"/>
  <c r="F81" i="10"/>
  <c r="F174" i="10"/>
  <c r="G112" i="10"/>
  <c r="H112" i="10" s="1"/>
  <c r="F106" i="10"/>
  <c r="F98" i="10"/>
  <c r="F80" i="10"/>
  <c r="F153" i="10"/>
  <c r="G133" i="10"/>
  <c r="H133" i="10" s="1"/>
  <c r="F112" i="10"/>
  <c r="G118" i="10"/>
  <c r="H118" i="10" s="1"/>
  <c r="E27" i="9" s="1"/>
  <c r="G27" i="9" s="1"/>
  <c r="G464" i="4"/>
  <c r="E464" i="4"/>
  <c r="E435" i="4"/>
  <c r="G435" i="4"/>
  <c r="E469" i="4"/>
  <c r="G469" i="4"/>
  <c r="G434" i="4"/>
  <c r="E434" i="4"/>
  <c r="G475" i="4"/>
  <c r="E475" i="4"/>
  <c r="E441" i="4"/>
  <c r="G441" i="4"/>
  <c r="G431" i="4"/>
  <c r="E431" i="4"/>
  <c r="C495" i="4"/>
  <c r="F495" i="4"/>
  <c r="E495" i="4"/>
  <c r="D495" i="4"/>
  <c r="B495" i="4"/>
  <c r="G495" i="4"/>
  <c r="G448" i="4"/>
  <c r="E448" i="4"/>
  <c r="E477" i="4"/>
  <c r="G477" i="4"/>
  <c r="E415" i="4"/>
  <c r="G415" i="4"/>
  <c r="G420" i="4"/>
  <c r="E420" i="4"/>
  <c r="E419" i="4"/>
  <c r="G419" i="4"/>
  <c r="B502" i="4"/>
  <c r="G502" i="4"/>
  <c r="F502" i="4"/>
  <c r="E502" i="4"/>
  <c r="C502" i="4"/>
  <c r="D502" i="4"/>
  <c r="G433" i="4"/>
  <c r="E433" i="4"/>
  <c r="G424" i="4"/>
  <c r="E424" i="4"/>
  <c r="G437" i="4"/>
  <c r="E437" i="4"/>
  <c r="G440" i="4"/>
  <c r="E440" i="4"/>
  <c r="E455" i="4"/>
  <c r="G455" i="4"/>
  <c r="G423" i="4"/>
  <c r="E423" i="4"/>
  <c r="G426" i="4"/>
  <c r="E426" i="4"/>
  <c r="J35" i="3"/>
  <c r="F34" i="3"/>
  <c r="G418" i="4"/>
  <c r="E418" i="4"/>
  <c r="E474" i="4"/>
  <c r="G474" i="4"/>
  <c r="G458" i="4"/>
  <c r="E458" i="4"/>
  <c r="E439" i="4"/>
  <c r="G439" i="4"/>
  <c r="D483" i="4"/>
  <c r="C483" i="4"/>
  <c r="G483" i="4"/>
  <c r="F483" i="4"/>
  <c r="E483" i="4"/>
  <c r="B483" i="4"/>
  <c r="G489" i="4"/>
  <c r="D489" i="4"/>
  <c r="F489" i="4"/>
  <c r="C489" i="4"/>
  <c r="B489" i="4"/>
  <c r="E489" i="4"/>
  <c r="G449" i="4"/>
  <c r="E449" i="4"/>
  <c r="G436" i="4"/>
  <c r="E436" i="4"/>
  <c r="E427" i="4"/>
  <c r="G427" i="4"/>
  <c r="G430" i="4"/>
  <c r="E430" i="4"/>
  <c r="G461" i="4"/>
  <c r="E461" i="4"/>
  <c r="G411" i="4"/>
  <c r="E411" i="4"/>
  <c r="G185" i="10"/>
  <c r="H185" i="10" s="1"/>
  <c r="G88" i="10"/>
  <c r="H88" i="10" s="1"/>
  <c r="F71" i="10"/>
  <c r="F142" i="10"/>
  <c r="G128" i="10"/>
  <c r="H128" i="10" s="1"/>
  <c r="E28" i="9" s="1"/>
  <c r="G28" i="9" s="1"/>
  <c r="G134" i="10"/>
  <c r="H134" i="10" s="1"/>
  <c r="G175" i="10"/>
  <c r="H175" i="10" s="1"/>
  <c r="F150" i="10"/>
  <c r="G178" i="10"/>
  <c r="H178" i="10" s="1"/>
  <c r="E39" i="9" s="1"/>
  <c r="G39" i="9" s="1"/>
  <c r="G80" i="10"/>
  <c r="H80" i="10" s="1"/>
  <c r="F76" i="10"/>
  <c r="G79" i="10"/>
  <c r="H79" i="10" s="1"/>
  <c r="F115" i="10"/>
  <c r="G189" i="10"/>
  <c r="H189" i="10" s="1"/>
  <c r="F165" i="10"/>
  <c r="G179" i="10"/>
  <c r="H179" i="10" s="1"/>
  <c r="F78" i="10"/>
  <c r="G49" i="10"/>
  <c r="F128" i="10"/>
  <c r="G114" i="10"/>
  <c r="H114" i="10" s="1"/>
  <c r="F155" i="10"/>
  <c r="G96" i="10"/>
  <c r="H96" i="10" s="1"/>
  <c r="G142" i="10"/>
  <c r="H142" i="10" s="1"/>
  <c r="G89" i="10"/>
  <c r="H89" i="10" s="1"/>
  <c r="F133" i="10"/>
  <c r="F138" i="10"/>
  <c r="G113" i="10"/>
  <c r="H113" i="10" s="1"/>
  <c r="F109" i="10"/>
  <c r="F117" i="10"/>
  <c r="G139" i="10"/>
  <c r="H139" i="10" s="1"/>
  <c r="F102" i="10"/>
  <c r="F87" i="10"/>
  <c r="G163" i="10"/>
  <c r="H163" i="10" s="1"/>
  <c r="G98" i="10"/>
  <c r="H98" i="10" s="1"/>
  <c r="E23" i="9" s="1"/>
  <c r="G23" i="9" s="1"/>
  <c r="G186" i="10"/>
  <c r="H186" i="10" s="1"/>
  <c r="G166" i="10"/>
  <c r="H166" i="10" s="1"/>
  <c r="G116" i="10"/>
  <c r="H116" i="10" s="1"/>
  <c r="G71" i="10"/>
  <c r="H71" i="10" s="1"/>
  <c r="E18" i="9" s="1"/>
  <c r="G18" i="9" s="1"/>
  <c r="G150" i="10"/>
  <c r="H150" i="10" s="1"/>
  <c r="E33" i="9" s="1"/>
  <c r="G33" i="9" s="1"/>
  <c r="F96" i="10"/>
  <c r="F118" i="10"/>
  <c r="G76" i="10"/>
  <c r="H76" i="10" s="1"/>
  <c r="G182" i="10"/>
  <c r="H182" i="10" s="1"/>
  <c r="E40" i="9" s="1"/>
  <c r="G40" i="9" s="1"/>
  <c r="G102" i="10"/>
  <c r="H102" i="10" s="1"/>
  <c r="F139" i="10"/>
  <c r="G87" i="10"/>
  <c r="H87" i="10" s="1"/>
  <c r="F90" i="10"/>
  <c r="F178" i="10"/>
  <c r="F143" i="10"/>
  <c r="H143" i="10" s="1"/>
  <c r="G91" i="10"/>
  <c r="H91" i="10" s="1"/>
  <c r="E22" i="9" s="1"/>
  <c r="G22" i="9" s="1"/>
  <c r="G152" i="10"/>
  <c r="H152" i="10" s="1"/>
  <c r="G138" i="10"/>
  <c r="H138" i="10" s="1"/>
  <c r="G84" i="10"/>
  <c r="H84" i="10" s="1"/>
  <c r="E20" i="9" s="1"/>
  <c r="G20" i="9" s="1"/>
  <c r="G161" i="10"/>
  <c r="F114" i="10"/>
  <c r="F184" i="10"/>
  <c r="G165" i="10"/>
  <c r="H165" i="10" s="1"/>
  <c r="F182" i="10"/>
  <c r="G37" i="10"/>
  <c r="H37" i="10" s="1"/>
  <c r="F134" i="10"/>
  <c r="F188" i="10"/>
  <c r="F175" i="10"/>
  <c r="G82" i="10"/>
  <c r="H82" i="10" s="1"/>
  <c r="F179" i="10"/>
  <c r="G442" i="4"/>
  <c r="E442" i="4"/>
  <c r="E422" i="4"/>
  <c r="G422" i="4"/>
  <c r="G473" i="4"/>
  <c r="E473" i="4"/>
  <c r="C501" i="4"/>
  <c r="F501" i="4"/>
  <c r="E501" i="4"/>
  <c r="D501" i="4"/>
  <c r="G501" i="4"/>
  <c r="B501" i="4"/>
  <c r="B492" i="4"/>
  <c r="E492" i="4"/>
  <c r="D492" i="4"/>
  <c r="G492" i="4"/>
  <c r="F492" i="4"/>
  <c r="C492" i="4"/>
  <c r="B493" i="4"/>
  <c r="G493" i="4"/>
  <c r="F493" i="4"/>
  <c r="D493" i="4"/>
  <c r="C493" i="4"/>
  <c r="E493" i="4"/>
  <c r="E503" i="4"/>
  <c r="B503" i="4"/>
  <c r="G503" i="4"/>
  <c r="D503" i="4"/>
  <c r="C503" i="4"/>
  <c r="F503" i="4"/>
  <c r="E466" i="4"/>
  <c r="G466" i="4"/>
  <c r="E482" i="4"/>
  <c r="G482" i="4"/>
  <c r="F482" i="4"/>
  <c r="C482" i="4"/>
  <c r="B482" i="4"/>
  <c r="D482" i="4"/>
  <c r="F480" i="4"/>
  <c r="C480" i="4"/>
  <c r="E480" i="4"/>
  <c r="G480" i="4"/>
  <c r="D480" i="4"/>
  <c r="B480" i="4"/>
  <c r="G450" i="4"/>
  <c r="E450" i="4"/>
  <c r="E497" i="4"/>
  <c r="B497" i="4"/>
  <c r="F497" i="4"/>
  <c r="G497" i="4"/>
  <c r="C497" i="4"/>
  <c r="D497" i="4"/>
  <c r="D467" i="4" l="1"/>
  <c r="E21" i="9"/>
  <c r="G21" i="9" s="1"/>
  <c r="E31" i="9"/>
  <c r="G31" i="9" s="1"/>
  <c r="E36" i="9"/>
  <c r="G36" i="9" s="1"/>
  <c r="E38" i="9"/>
  <c r="G38" i="9" s="1"/>
  <c r="J95" i="3"/>
  <c r="J540" i="3"/>
  <c r="J457" i="3"/>
  <c r="J443" i="3"/>
  <c r="F5" i="3"/>
  <c r="E25" i="9"/>
  <c r="G25" i="9" s="1"/>
  <c r="E19" i="9"/>
  <c r="G19" i="9" s="1"/>
  <c r="E24" i="9"/>
  <c r="G24" i="9" s="1"/>
  <c r="E26" i="9"/>
  <c r="G26" i="9" s="1"/>
  <c r="E41" i="9"/>
  <c r="G41" i="9" s="1"/>
  <c r="H529" i="3" l="1"/>
  <c r="J561" i="3"/>
  <c r="K561" i="3" s="1"/>
  <c r="H528" i="3"/>
  <c r="K356" i="3"/>
  <c r="K341" i="3"/>
  <c r="K541" i="3"/>
  <c r="K495" i="3"/>
  <c r="K486" i="3"/>
  <c r="H527" i="3"/>
  <c r="K533" i="3"/>
  <c r="K503" i="3"/>
  <c r="H427" i="3"/>
  <c r="H49" i="3"/>
  <c r="K342" i="3"/>
  <c r="K441" i="3"/>
  <c r="K510" i="3"/>
  <c r="K560" i="3"/>
  <c r="H433" i="3"/>
  <c r="H493" i="3"/>
  <c r="K521" i="3"/>
  <c r="K512" i="3"/>
  <c r="H547" i="3"/>
  <c r="H5" i="3"/>
  <c r="H442" i="3"/>
  <c r="H439" i="3"/>
  <c r="K497" i="3"/>
  <c r="K523" i="3"/>
  <c r="K373" i="3"/>
  <c r="J176" i="3"/>
  <c r="K176" i="3" s="1"/>
  <c r="J175" i="3"/>
  <c r="K175" i="3" s="1"/>
  <c r="J600" i="3"/>
  <c r="K600" i="3" s="1"/>
  <c r="H661" i="3"/>
  <c r="J355" i="3"/>
  <c r="K355" i="3" s="1"/>
  <c r="K531" i="3"/>
  <c r="J129" i="3"/>
  <c r="K129" i="3" s="1"/>
  <c r="K312" i="3"/>
  <c r="J96" i="3"/>
  <c r="K96" i="3" s="1"/>
  <c r="J111" i="3"/>
  <c r="K111" i="3" s="1"/>
  <c r="K141" i="3"/>
  <c r="K158" i="3"/>
  <c r="K482" i="3"/>
  <c r="J6" i="3"/>
  <c r="K6" i="3" s="1"/>
  <c r="K625" i="3"/>
  <c r="K574" i="3"/>
  <c r="K368" i="3"/>
  <c r="K365" i="3"/>
  <c r="J177" i="3"/>
  <c r="K177" i="3" s="1"/>
  <c r="J140" i="3"/>
  <c r="K140" i="3" s="1"/>
  <c r="J174" i="3"/>
  <c r="K174" i="3" s="1"/>
  <c r="J186" i="3"/>
  <c r="K186" i="3" s="1"/>
  <c r="K535" i="3"/>
  <c r="J34" i="3"/>
  <c r="K34" i="3" s="1"/>
  <c r="H510" i="3" l="1"/>
  <c r="L510" i="3"/>
  <c r="L600" i="3"/>
  <c r="H600" i="3"/>
  <c r="K601" i="3"/>
  <c r="B439" i="4"/>
  <c r="C438" i="4"/>
  <c r="C439" i="4"/>
  <c r="B438" i="4"/>
  <c r="L441" i="3"/>
  <c r="H441" i="3"/>
  <c r="H342" i="3"/>
  <c r="L342" i="3"/>
  <c r="K492" i="3"/>
  <c r="K490" i="3"/>
  <c r="K279" i="3"/>
  <c r="K288" i="3"/>
  <c r="K285" i="3"/>
  <c r="K282" i="3"/>
  <c r="H175" i="3"/>
  <c r="L175" i="3"/>
  <c r="C145" i="4"/>
  <c r="B145" i="4"/>
  <c r="K178" i="3"/>
  <c r="L6" i="3"/>
  <c r="K8" i="3"/>
  <c r="H6" i="3"/>
  <c r="K7" i="3"/>
  <c r="C12" i="4"/>
  <c r="B12" i="4"/>
  <c r="L497" i="3"/>
  <c r="H497" i="3"/>
  <c r="C357" i="4"/>
  <c r="B357" i="4"/>
  <c r="L533" i="3"/>
  <c r="H533" i="3"/>
  <c r="K635" i="3"/>
  <c r="K636" i="3"/>
  <c r="B346" i="4"/>
  <c r="C346" i="4"/>
  <c r="K292" i="3"/>
  <c r="L176" i="3"/>
  <c r="K289" i="3"/>
  <c r="K296" i="3"/>
  <c r="K295" i="3"/>
  <c r="H176" i="3"/>
  <c r="C146" i="4"/>
  <c r="B146" i="4"/>
  <c r="H523" i="3"/>
  <c r="L523" i="3"/>
  <c r="L158" i="3"/>
  <c r="H158" i="3"/>
  <c r="K173" i="3"/>
  <c r="K159" i="3"/>
  <c r="K160" i="3"/>
  <c r="C137" i="4"/>
  <c r="B137" i="4"/>
  <c r="H486" i="3"/>
  <c r="L486" i="3"/>
  <c r="C348" i="4"/>
  <c r="B348" i="4"/>
  <c r="B287" i="4"/>
  <c r="C287" i="4"/>
  <c r="K628" i="3"/>
  <c r="K670" i="3"/>
  <c r="K627" i="3"/>
  <c r="K630" i="3"/>
  <c r="C440" i="4"/>
  <c r="B440" i="4"/>
  <c r="K142" i="3"/>
  <c r="K154" i="3"/>
  <c r="L141" i="3"/>
  <c r="H141" i="3"/>
  <c r="K143" i="3"/>
  <c r="C129" i="4"/>
  <c r="B129" i="4"/>
  <c r="L495" i="3"/>
  <c r="H495" i="3"/>
  <c r="C355" i="4"/>
  <c r="B355" i="4"/>
  <c r="K475" i="3"/>
  <c r="K343" i="3"/>
  <c r="K463" i="3"/>
  <c r="K112" i="3"/>
  <c r="L111" i="3"/>
  <c r="K128" i="3"/>
  <c r="H111" i="3"/>
  <c r="C102" i="4"/>
  <c r="C101" i="4"/>
  <c r="B102" i="4"/>
  <c r="B101" i="4"/>
  <c r="L541" i="3"/>
  <c r="H541" i="3"/>
  <c r="H373" i="3"/>
  <c r="L373" i="3"/>
  <c r="K375" i="3"/>
  <c r="K440" i="3"/>
  <c r="L96" i="3"/>
  <c r="K110" i="3"/>
  <c r="K97" i="3"/>
  <c r="H96" i="3"/>
  <c r="B88" i="4"/>
  <c r="C88" i="4"/>
  <c r="L512" i="3"/>
  <c r="H512" i="3"/>
  <c r="L341" i="3"/>
  <c r="H341" i="3"/>
  <c r="H503" i="3"/>
  <c r="L503" i="3"/>
  <c r="K457" i="3"/>
  <c r="K540" i="3"/>
  <c r="K443" i="3"/>
  <c r="K35" i="3"/>
  <c r="K95" i="3"/>
  <c r="L34" i="3"/>
  <c r="H34" i="3"/>
  <c r="B39" i="4"/>
  <c r="C39" i="4"/>
  <c r="K481" i="3"/>
  <c r="K548" i="3"/>
  <c r="K393" i="3"/>
  <c r="K313" i="3"/>
  <c r="K317" i="3"/>
  <c r="K318" i="3"/>
  <c r="B245" i="4"/>
  <c r="C245" i="4"/>
  <c r="H521" i="3"/>
  <c r="L521" i="3"/>
  <c r="C371" i="4"/>
  <c r="B371" i="4"/>
  <c r="H356" i="3"/>
  <c r="L356" i="3"/>
  <c r="K485" i="3"/>
  <c r="L140" i="3"/>
  <c r="B128" i="4"/>
  <c r="C128" i="4"/>
  <c r="L535" i="3"/>
  <c r="H535" i="3"/>
  <c r="K506" i="3"/>
  <c r="K509" i="3"/>
  <c r="K511" i="3"/>
  <c r="K134" i="3"/>
  <c r="L129" i="3"/>
  <c r="H129" i="3"/>
  <c r="K136" i="3"/>
  <c r="K135" i="3"/>
  <c r="K130" i="3"/>
  <c r="B117" i="4"/>
  <c r="C117" i="4"/>
  <c r="K524" i="3"/>
  <c r="K522" i="3"/>
  <c r="K520" i="3"/>
  <c r="K298" i="3"/>
  <c r="K297" i="3"/>
  <c r="K299" i="3"/>
  <c r="L177" i="3"/>
  <c r="H177" i="3"/>
  <c r="B147" i="4"/>
  <c r="C147" i="4"/>
  <c r="L186" i="3"/>
  <c r="K188" i="3"/>
  <c r="H186" i="3"/>
  <c r="K191" i="3"/>
  <c r="K187" i="3"/>
  <c r="K217" i="3"/>
  <c r="C154" i="4"/>
  <c r="B154" i="4"/>
  <c r="L531" i="3"/>
  <c r="H531" i="3"/>
  <c r="C380" i="4"/>
  <c r="B380" i="4"/>
  <c r="K562" i="3"/>
  <c r="K567" i="3"/>
  <c r="K571" i="3"/>
  <c r="K563" i="3"/>
  <c r="C403" i="4"/>
  <c r="B403" i="4"/>
  <c r="K672" i="3"/>
  <c r="B284" i="4"/>
  <c r="C284" i="4"/>
  <c r="K518" i="3"/>
  <c r="K502" i="3"/>
  <c r="K559" i="3"/>
  <c r="K494" i="3"/>
  <c r="K275" i="3"/>
  <c r="K496" i="3"/>
  <c r="K337" i="3"/>
  <c r="K278" i="3"/>
  <c r="K372" i="3"/>
  <c r="L174" i="3"/>
  <c r="K270" i="3"/>
  <c r="H174" i="3"/>
  <c r="C144" i="4"/>
  <c r="B144" i="4"/>
  <c r="K357" i="3"/>
  <c r="C275" i="4" s="1"/>
  <c r="H355" i="3"/>
  <c r="L355" i="3"/>
  <c r="B276" i="4"/>
  <c r="B275" i="4"/>
  <c r="H560" i="3"/>
  <c r="L560" i="3"/>
  <c r="L524" i="3" l="1"/>
  <c r="H524" i="3"/>
  <c r="K525" i="3"/>
  <c r="K532" i="3"/>
  <c r="B373" i="4"/>
  <c r="C373" i="4"/>
  <c r="D284" i="4"/>
  <c r="F284" i="4"/>
  <c r="K206" i="3"/>
  <c r="K192" i="3"/>
  <c r="H191" i="3"/>
  <c r="L191" i="3"/>
  <c r="B158" i="4"/>
  <c r="C158" i="4"/>
  <c r="L130" i="3"/>
  <c r="H130" i="3"/>
  <c r="K131" i="3"/>
  <c r="K133" i="3"/>
  <c r="K132" i="3"/>
  <c r="C118" i="4"/>
  <c r="B118" i="4"/>
  <c r="K294" i="3"/>
  <c r="H292" i="3"/>
  <c r="K293" i="3"/>
  <c r="L292" i="3"/>
  <c r="C225" i="4"/>
  <c r="B225" i="4"/>
  <c r="K274" i="3"/>
  <c r="L270" i="3"/>
  <c r="K273" i="3"/>
  <c r="H270" i="3"/>
  <c r="K272" i="3"/>
  <c r="K271" i="3"/>
  <c r="C204" i="4"/>
  <c r="B204" i="4"/>
  <c r="K465" i="3"/>
  <c r="H463" i="3"/>
  <c r="K464" i="3"/>
  <c r="L463" i="3"/>
  <c r="C338" i="4"/>
  <c r="B338" i="4"/>
  <c r="L372" i="3"/>
  <c r="H372" i="3"/>
  <c r="K374" i="3"/>
  <c r="C289" i="4"/>
  <c r="B289" i="4"/>
  <c r="H670" i="3"/>
  <c r="C472" i="4"/>
  <c r="B472" i="4"/>
  <c r="H496" i="3"/>
  <c r="L496" i="3"/>
  <c r="C356" i="4"/>
  <c r="B356" i="4"/>
  <c r="H297" i="3"/>
  <c r="L297" i="3"/>
  <c r="B230" i="4"/>
  <c r="C230" i="4"/>
  <c r="K639" i="3"/>
  <c r="K632" i="3"/>
  <c r="K631" i="3"/>
  <c r="K314" i="3"/>
  <c r="L313" i="3"/>
  <c r="H313" i="3"/>
  <c r="K315" i="3"/>
  <c r="C246" i="4"/>
  <c r="B246" i="4"/>
  <c r="D355" i="4"/>
  <c r="F355" i="4"/>
  <c r="C442" i="4"/>
  <c r="B442" i="4"/>
  <c r="D146" i="4"/>
  <c r="F146" i="4"/>
  <c r="H279" i="3"/>
  <c r="L279" i="3"/>
  <c r="K281" i="3"/>
  <c r="K280" i="3"/>
  <c r="C212" i="4"/>
  <c r="B212" i="4"/>
  <c r="L217" i="3"/>
  <c r="H217" i="3"/>
  <c r="B167" i="4"/>
  <c r="C167" i="4"/>
  <c r="D371" i="4"/>
  <c r="F371" i="4"/>
  <c r="D145" i="4"/>
  <c r="F145" i="4"/>
  <c r="L110" i="3"/>
  <c r="H110" i="3"/>
  <c r="C100" i="4"/>
  <c r="B100" i="4"/>
  <c r="D147" i="4"/>
  <c r="F147" i="4"/>
  <c r="L134" i="3"/>
  <c r="K258" i="3"/>
  <c r="K257" i="3"/>
  <c r="H134" i="3"/>
  <c r="C122" i="4"/>
  <c r="B122" i="4"/>
  <c r="K458" i="3"/>
  <c r="L457" i="3"/>
  <c r="H457" i="3"/>
  <c r="B334" i="4"/>
  <c r="C334" i="4"/>
  <c r="K345" i="3"/>
  <c r="H343" i="3"/>
  <c r="K344" i="3"/>
  <c r="K346" i="3"/>
  <c r="L343" i="3"/>
  <c r="C267" i="4"/>
  <c r="B267" i="4"/>
  <c r="H511" i="3"/>
  <c r="L511" i="3"/>
  <c r="B364" i="4"/>
  <c r="C364" i="4"/>
  <c r="K397" i="3"/>
  <c r="K340" i="3"/>
  <c r="K396" i="3"/>
  <c r="K339" i="3"/>
  <c r="K338" i="3"/>
  <c r="L337" i="3"/>
  <c r="H337" i="3"/>
  <c r="B263" i="4"/>
  <c r="C263" i="4"/>
  <c r="H288" i="3"/>
  <c r="L288" i="3"/>
  <c r="B221" i="4"/>
  <c r="C221" i="4"/>
  <c r="C276" i="4"/>
  <c r="K658" i="3"/>
  <c r="K659" i="3"/>
  <c r="H275" i="3"/>
  <c r="K277" i="3"/>
  <c r="L275" i="3"/>
  <c r="K276" i="3"/>
  <c r="B209" i="4"/>
  <c r="C209" i="4"/>
  <c r="L298" i="3"/>
  <c r="H298" i="3"/>
  <c r="C231" i="4"/>
  <c r="B231" i="4"/>
  <c r="H393" i="3"/>
  <c r="L393" i="3"/>
  <c r="C307" i="4"/>
  <c r="B307" i="4"/>
  <c r="H490" i="3"/>
  <c r="K491" i="3"/>
  <c r="L490" i="3"/>
  <c r="C351" i="4"/>
  <c r="B351" i="4"/>
  <c r="L485" i="3"/>
  <c r="H485" i="3"/>
  <c r="C347" i="4"/>
  <c r="B347" i="4"/>
  <c r="D144" i="4"/>
  <c r="F144" i="4"/>
  <c r="F403" i="4"/>
  <c r="D403" i="4"/>
  <c r="K514" i="3"/>
  <c r="K537" i="3"/>
  <c r="K536" i="3"/>
  <c r="K459" i="3"/>
  <c r="K452" i="3"/>
  <c r="H35" i="3"/>
  <c r="K36" i="3"/>
  <c r="K82" i="3"/>
  <c r="L35" i="3"/>
  <c r="B40" i="4"/>
  <c r="C40" i="4"/>
  <c r="F439" i="4"/>
  <c r="D439" i="4"/>
  <c r="K564" i="3"/>
  <c r="K566" i="3"/>
  <c r="C405" i="4"/>
  <c r="B405" i="4"/>
  <c r="L540" i="3"/>
  <c r="H540" i="3"/>
  <c r="C386" i="4"/>
  <c r="B386" i="4"/>
  <c r="K568" i="3"/>
  <c r="C410" i="4"/>
  <c r="B410" i="4"/>
  <c r="C409" i="4"/>
  <c r="B409" i="4"/>
  <c r="D380" i="4"/>
  <c r="F380" i="4"/>
  <c r="H299" i="3"/>
  <c r="L299" i="3"/>
  <c r="C232" i="4"/>
  <c r="B232" i="4"/>
  <c r="K508" i="3"/>
  <c r="K513" i="3"/>
  <c r="H506" i="3"/>
  <c r="L506" i="3"/>
  <c r="K507" i="3"/>
  <c r="C361" i="4"/>
  <c r="B361" i="4"/>
  <c r="L317" i="3"/>
  <c r="H317" i="3"/>
  <c r="C247" i="4"/>
  <c r="B247" i="4"/>
  <c r="H494" i="3"/>
  <c r="L494" i="3"/>
  <c r="C354" i="4"/>
  <c r="B354" i="4"/>
  <c r="H520" i="3"/>
  <c r="L520" i="3"/>
  <c r="B370" i="4"/>
  <c r="C370" i="4"/>
  <c r="K549" i="3"/>
  <c r="L548" i="3"/>
  <c r="H548" i="3"/>
  <c r="B392" i="4"/>
  <c r="C392" i="4"/>
  <c r="D287" i="4"/>
  <c r="F287" i="4"/>
  <c r="F12" i="4"/>
  <c r="D12" i="4"/>
  <c r="H492" i="3"/>
  <c r="L492" i="3"/>
  <c r="C352" i="4"/>
  <c r="B352" i="4"/>
  <c r="F275" i="4"/>
  <c r="D275" i="4"/>
  <c r="L559" i="3"/>
  <c r="H559" i="3"/>
  <c r="B402" i="4"/>
  <c r="C402" i="4"/>
  <c r="F101" i="4"/>
  <c r="D101" i="4"/>
  <c r="F348" i="4"/>
  <c r="D348" i="4"/>
  <c r="H295" i="3"/>
  <c r="L295" i="3"/>
  <c r="C228" i="4"/>
  <c r="B228" i="4"/>
  <c r="D128" i="4"/>
  <c r="F128" i="4"/>
  <c r="H502" i="3"/>
  <c r="L502" i="3"/>
  <c r="B358" i="4"/>
  <c r="C358" i="4"/>
  <c r="D129" i="4"/>
  <c r="F129" i="4"/>
  <c r="L296" i="3"/>
  <c r="H296" i="3"/>
  <c r="C229" i="4"/>
  <c r="B229" i="4"/>
  <c r="L7" i="3"/>
  <c r="H7" i="3"/>
  <c r="H289" i="3"/>
  <c r="K291" i="3"/>
  <c r="K290" i="3"/>
  <c r="L289" i="3"/>
  <c r="C222" i="4"/>
  <c r="B222" i="4"/>
  <c r="F117" i="4"/>
  <c r="D117" i="4"/>
  <c r="K366" i="3"/>
  <c r="K148" i="3"/>
  <c r="L143" i="3"/>
  <c r="H143" i="3"/>
  <c r="K145" i="3"/>
  <c r="K144" i="3"/>
  <c r="B131" i="4"/>
  <c r="C131" i="4"/>
  <c r="L8" i="3"/>
  <c r="H8" i="3"/>
  <c r="K9" i="3"/>
  <c r="K25" i="3"/>
  <c r="K29" i="3"/>
  <c r="K33" i="3"/>
  <c r="C14" i="4"/>
  <c r="B14" i="4"/>
  <c r="D154" i="4"/>
  <c r="F154" i="4"/>
  <c r="L522" i="3"/>
  <c r="H522" i="3"/>
  <c r="B372" i="4"/>
  <c r="C372" i="4"/>
  <c r="H481" i="3"/>
  <c r="L481" i="3"/>
  <c r="F438" i="4"/>
  <c r="D438" i="4"/>
  <c r="K519" i="3"/>
  <c r="L518" i="3"/>
  <c r="H518" i="3"/>
  <c r="C369" i="4"/>
  <c r="B369" i="4"/>
  <c r="H187" i="3"/>
  <c r="L187" i="3"/>
  <c r="L357" i="3"/>
  <c r="H357" i="3"/>
  <c r="F102" i="4"/>
  <c r="D102" i="4"/>
  <c r="L188" i="3"/>
  <c r="K190" i="3"/>
  <c r="C155" i="4" s="1"/>
  <c r="K189" i="3"/>
  <c r="H188" i="3"/>
  <c r="L112" i="3"/>
  <c r="H112" i="3"/>
  <c r="K114" i="3"/>
  <c r="K113" i="3"/>
  <c r="K115" i="3"/>
  <c r="K127" i="3"/>
  <c r="L142" i="3"/>
  <c r="K268" i="3"/>
  <c r="H142" i="3"/>
  <c r="B130" i="4"/>
  <c r="C130" i="4"/>
  <c r="K669" i="3"/>
  <c r="B448" i="4"/>
  <c r="C448" i="4"/>
  <c r="D276" i="4"/>
  <c r="F276" i="4"/>
  <c r="D88" i="4"/>
  <c r="F88" i="4"/>
  <c r="L128" i="3"/>
  <c r="H128" i="3"/>
  <c r="C116" i="4"/>
  <c r="B116" i="4"/>
  <c r="L178" i="3"/>
  <c r="K180" i="3"/>
  <c r="K179" i="3"/>
  <c r="C13" i="4" s="1"/>
  <c r="K181" i="3"/>
  <c r="H178" i="3"/>
  <c r="B148" i="4"/>
  <c r="C148" i="4"/>
  <c r="L136" i="3"/>
  <c r="K138" i="3"/>
  <c r="K139" i="3"/>
  <c r="H136" i="3"/>
  <c r="K137" i="3"/>
  <c r="B124" i="4"/>
  <c r="C124" i="4"/>
  <c r="D137" i="4"/>
  <c r="F137" i="4"/>
  <c r="L672" i="3"/>
  <c r="K674" i="3"/>
  <c r="H672" i="3"/>
  <c r="K673" i="3"/>
  <c r="C474" i="4"/>
  <c r="B474" i="4"/>
  <c r="L135" i="3"/>
  <c r="H135" i="3"/>
  <c r="C123" i="4"/>
  <c r="B123" i="4"/>
  <c r="L95" i="3"/>
  <c r="H95" i="3"/>
  <c r="C87" i="4"/>
  <c r="B87" i="4"/>
  <c r="F39" i="4"/>
  <c r="D39" i="4"/>
  <c r="F346" i="4"/>
  <c r="D346" i="4"/>
  <c r="H443" i="3"/>
  <c r="L443" i="3"/>
  <c r="K449" i="3"/>
  <c r="C321" i="4"/>
  <c r="B321" i="4"/>
  <c r="K102" i="3"/>
  <c r="L97" i="3"/>
  <c r="H97" i="3"/>
  <c r="K98" i="3"/>
  <c r="L159" i="3"/>
  <c r="H159" i="3"/>
  <c r="C138" i="4"/>
  <c r="B138" i="4"/>
  <c r="D440" i="4"/>
  <c r="F440" i="4"/>
  <c r="H173" i="3"/>
  <c r="L173" i="3"/>
  <c r="K668" i="3"/>
  <c r="B447" i="4"/>
  <c r="C447" i="4"/>
  <c r="L601" i="3"/>
  <c r="H601" i="3"/>
  <c r="K589" i="3"/>
  <c r="K591" i="3"/>
  <c r="K582" i="3"/>
  <c r="K572" i="3"/>
  <c r="K575" i="3"/>
  <c r="K585" i="3"/>
  <c r="K583" i="3"/>
  <c r="C413" i="4"/>
  <c r="B413" i="4"/>
  <c r="D245" i="4"/>
  <c r="F245" i="4"/>
  <c r="L440" i="3"/>
  <c r="H440" i="3"/>
  <c r="B320" i="4"/>
  <c r="C320" i="4"/>
  <c r="B319" i="4"/>
  <c r="C319" i="4"/>
  <c r="K476" i="3"/>
  <c r="H475" i="3"/>
  <c r="L475" i="3"/>
  <c r="C343" i="4"/>
  <c r="B343" i="4"/>
  <c r="B443" i="4"/>
  <c r="C443" i="4"/>
  <c r="K283" i="3"/>
  <c r="L282" i="3"/>
  <c r="K284" i="3"/>
  <c r="H282" i="3"/>
  <c r="B215" i="4"/>
  <c r="C215" i="4"/>
  <c r="L278" i="3"/>
  <c r="H278" i="3"/>
  <c r="C211" i="4"/>
  <c r="B211" i="4"/>
  <c r="B404" i="4"/>
  <c r="C404" i="4"/>
  <c r="H509" i="3"/>
  <c r="L509" i="3"/>
  <c r="C363" i="4"/>
  <c r="B363" i="4"/>
  <c r="H318" i="3"/>
  <c r="L318" i="3"/>
  <c r="C248" i="4"/>
  <c r="B248" i="4"/>
  <c r="H375" i="3"/>
  <c r="L375" i="3"/>
  <c r="K392" i="3"/>
  <c r="K376" i="3"/>
  <c r="K391" i="3"/>
  <c r="B291" i="4"/>
  <c r="C291" i="4"/>
  <c r="B441" i="4"/>
  <c r="C441" i="4"/>
  <c r="F357" i="4"/>
  <c r="F62" i="10" s="1"/>
  <c r="H62" i="10" s="1"/>
  <c r="D357" i="4"/>
  <c r="H285" i="3"/>
  <c r="K286" i="3"/>
  <c r="L285" i="3"/>
  <c r="K287" i="3"/>
  <c r="B218" i="4"/>
  <c r="C218" i="4"/>
  <c r="L154" i="3"/>
  <c r="K157" i="3"/>
  <c r="H154" i="3"/>
  <c r="K156" i="3"/>
  <c r="K155" i="3"/>
  <c r="L160" i="3"/>
  <c r="K170" i="3"/>
  <c r="K167" i="3"/>
  <c r="K161" i="3"/>
  <c r="H160" i="3"/>
  <c r="B139" i="4"/>
  <c r="C139" i="4"/>
  <c r="D443" i="4" l="1"/>
  <c r="F443" i="4"/>
  <c r="H583" i="3"/>
  <c r="K584" i="3"/>
  <c r="L583" i="3"/>
  <c r="C423" i="4"/>
  <c r="B423" i="4"/>
  <c r="L589" i="3"/>
  <c r="K590" i="3"/>
  <c r="H589" i="3"/>
  <c r="C427" i="4"/>
  <c r="B427" i="4"/>
  <c r="L98" i="3"/>
  <c r="H98" i="3"/>
  <c r="K100" i="3"/>
  <c r="K99" i="3"/>
  <c r="K101" i="3"/>
  <c r="B90" i="4"/>
  <c r="C90" i="4"/>
  <c r="D222" i="4"/>
  <c r="F222" i="4"/>
  <c r="H549" i="3"/>
  <c r="L549" i="3"/>
  <c r="F319" i="4"/>
  <c r="D319" i="4"/>
  <c r="F123" i="4"/>
  <c r="D123" i="4"/>
  <c r="L139" i="3"/>
  <c r="H139" i="3"/>
  <c r="C127" i="4"/>
  <c r="B127" i="4"/>
  <c r="B157" i="4"/>
  <c r="K32" i="3"/>
  <c r="K30" i="3"/>
  <c r="L29" i="3"/>
  <c r="K31" i="3"/>
  <c r="H29" i="3"/>
  <c r="B34" i="4"/>
  <c r="C34" i="4"/>
  <c r="F358" i="4"/>
  <c r="D358" i="4"/>
  <c r="L536" i="3"/>
  <c r="H536" i="3"/>
  <c r="C383" i="4"/>
  <c r="B383" i="4"/>
  <c r="F307" i="4"/>
  <c r="D307" i="4"/>
  <c r="L315" i="3"/>
  <c r="H315" i="3"/>
  <c r="H272" i="3"/>
  <c r="L272" i="3"/>
  <c r="C206" i="4"/>
  <c r="B206" i="4"/>
  <c r="H286" i="3"/>
  <c r="L286" i="3"/>
  <c r="C219" i="4"/>
  <c r="B219" i="4"/>
  <c r="L376" i="3"/>
  <c r="K377" i="3"/>
  <c r="H376" i="3"/>
  <c r="K382" i="3"/>
  <c r="B292" i="4"/>
  <c r="C292" i="4"/>
  <c r="H157" i="3"/>
  <c r="L157" i="3"/>
  <c r="L392" i="3"/>
  <c r="H392" i="3"/>
  <c r="L138" i="3"/>
  <c r="H138" i="3"/>
  <c r="C126" i="4"/>
  <c r="B126" i="4"/>
  <c r="C157" i="4"/>
  <c r="K28" i="3"/>
  <c r="K26" i="3"/>
  <c r="L25" i="3"/>
  <c r="K27" i="3"/>
  <c r="H25" i="3"/>
  <c r="B30" i="4"/>
  <c r="C30" i="4"/>
  <c r="D370" i="4"/>
  <c r="F370" i="4"/>
  <c r="H513" i="3"/>
  <c r="L513" i="3"/>
  <c r="L537" i="3"/>
  <c r="H537" i="3"/>
  <c r="H257" i="3"/>
  <c r="L257" i="3"/>
  <c r="C193" i="4"/>
  <c r="B193" i="4"/>
  <c r="L181" i="3"/>
  <c r="H181" i="3"/>
  <c r="C150" i="4"/>
  <c r="B150" i="4"/>
  <c r="L156" i="3"/>
  <c r="H156" i="3"/>
  <c r="H391" i="3"/>
  <c r="K400" i="3"/>
  <c r="L391" i="3"/>
  <c r="K399" i="3"/>
  <c r="C305" i="4"/>
  <c r="B305" i="4"/>
  <c r="F320" i="4"/>
  <c r="D320" i="4"/>
  <c r="L102" i="3"/>
  <c r="K106" i="3"/>
  <c r="H102" i="3"/>
  <c r="K103" i="3"/>
  <c r="C93" i="4"/>
  <c r="B93" i="4"/>
  <c r="B155" i="4"/>
  <c r="H519" i="3"/>
  <c r="L519" i="3"/>
  <c r="K10" i="3"/>
  <c r="L9" i="3"/>
  <c r="K21" i="3"/>
  <c r="H9" i="3"/>
  <c r="C15" i="4"/>
  <c r="B15" i="4"/>
  <c r="H290" i="3"/>
  <c r="L290" i="3"/>
  <c r="B223" i="4"/>
  <c r="C223" i="4"/>
  <c r="L508" i="3"/>
  <c r="H508" i="3"/>
  <c r="C362" i="4"/>
  <c r="B362" i="4"/>
  <c r="D405" i="4"/>
  <c r="F405" i="4"/>
  <c r="K515" i="3"/>
  <c r="L514" i="3"/>
  <c r="H514" i="3"/>
  <c r="C366" i="4"/>
  <c r="B366" i="4"/>
  <c r="F221" i="4"/>
  <c r="D221" i="4"/>
  <c r="D267" i="4"/>
  <c r="F267" i="4"/>
  <c r="K263" i="3"/>
  <c r="L258" i="3"/>
  <c r="K260" i="3"/>
  <c r="H258" i="3"/>
  <c r="K264" i="3"/>
  <c r="K259" i="3"/>
  <c r="C194" i="4"/>
  <c r="B194" i="4"/>
  <c r="D212" i="4"/>
  <c r="F212" i="4"/>
  <c r="D289" i="4"/>
  <c r="F289" i="4"/>
  <c r="H273" i="3"/>
  <c r="L273" i="3"/>
  <c r="C207" i="4"/>
  <c r="B207" i="4"/>
  <c r="F215" i="4"/>
  <c r="D215" i="4"/>
  <c r="F321" i="4"/>
  <c r="D321" i="4"/>
  <c r="F448" i="4"/>
  <c r="D448" i="4"/>
  <c r="D352" i="4"/>
  <c r="F352" i="4"/>
  <c r="D232" i="4"/>
  <c r="F232" i="4"/>
  <c r="L314" i="3"/>
  <c r="H314" i="3"/>
  <c r="F158" i="4"/>
  <c r="D158" i="4"/>
  <c r="L673" i="3"/>
  <c r="H673" i="3"/>
  <c r="F447" i="4"/>
  <c r="D447" i="4"/>
  <c r="H291" i="3"/>
  <c r="L291" i="3"/>
  <c r="B224" i="4"/>
  <c r="C224" i="4"/>
  <c r="F218" i="4"/>
  <c r="D218" i="4"/>
  <c r="D248" i="4"/>
  <c r="F248" i="4"/>
  <c r="H668" i="3"/>
  <c r="K369" i="3"/>
  <c r="C470" i="4"/>
  <c r="B470" i="4"/>
  <c r="F474" i="4"/>
  <c r="D474" i="4"/>
  <c r="F148" i="4"/>
  <c r="D148" i="4"/>
  <c r="H669" i="3"/>
  <c r="B471" i="4"/>
  <c r="C471" i="4"/>
  <c r="D354" i="4"/>
  <c r="F354" i="4"/>
  <c r="B408" i="4"/>
  <c r="C408" i="4"/>
  <c r="F129" i="10"/>
  <c r="F83" i="10"/>
  <c r="F231" i="4"/>
  <c r="D231" i="4"/>
  <c r="L280" i="3"/>
  <c r="H280" i="3"/>
  <c r="C213" i="4"/>
  <c r="B213" i="4"/>
  <c r="B415" i="4"/>
  <c r="C415" i="4"/>
  <c r="L374" i="3"/>
  <c r="H374" i="3"/>
  <c r="B290" i="4"/>
  <c r="C290" i="4"/>
  <c r="L274" i="3"/>
  <c r="H274" i="3"/>
  <c r="C208" i="4"/>
  <c r="B208" i="4"/>
  <c r="H287" i="3"/>
  <c r="L287" i="3"/>
  <c r="B220" i="4"/>
  <c r="C220" i="4"/>
  <c r="L284" i="3"/>
  <c r="H284" i="3"/>
  <c r="C217" i="4"/>
  <c r="B217" i="4"/>
  <c r="H449" i="3"/>
  <c r="L449" i="3"/>
  <c r="C327" i="4"/>
  <c r="B327" i="4"/>
  <c r="L189" i="3"/>
  <c r="H189" i="3"/>
  <c r="C156" i="4"/>
  <c r="B156" i="4"/>
  <c r="B13" i="4"/>
  <c r="F228" i="4"/>
  <c r="D228" i="4"/>
  <c r="K565" i="3"/>
  <c r="B406" i="4"/>
  <c r="C406" i="4"/>
  <c r="H346" i="3"/>
  <c r="L346" i="3"/>
  <c r="B270" i="4"/>
  <c r="C270" i="4"/>
  <c r="H281" i="3"/>
  <c r="L281" i="3"/>
  <c r="C214" i="4"/>
  <c r="B214" i="4"/>
  <c r="C444" i="4"/>
  <c r="B444" i="4"/>
  <c r="F225" i="4"/>
  <c r="D225" i="4"/>
  <c r="D130" i="4"/>
  <c r="F130" i="4"/>
  <c r="L190" i="3"/>
  <c r="H190" i="3"/>
  <c r="D131" i="4"/>
  <c r="F131" i="4"/>
  <c r="D263" i="4"/>
  <c r="F263" i="4"/>
  <c r="H344" i="3"/>
  <c r="L344" i="3"/>
  <c r="D100" i="4"/>
  <c r="F100" i="4"/>
  <c r="L639" i="3"/>
  <c r="H639" i="3"/>
  <c r="L192" i="3"/>
  <c r="K202" i="3"/>
  <c r="K194" i="3"/>
  <c r="K193" i="3"/>
  <c r="H192" i="3"/>
  <c r="C159" i="4"/>
  <c r="B159" i="4"/>
  <c r="F413" i="4"/>
  <c r="D413" i="4"/>
  <c r="L179" i="3"/>
  <c r="H179" i="3"/>
  <c r="L144" i="3"/>
  <c r="H144" i="3"/>
  <c r="C132" i="4"/>
  <c r="B132" i="4"/>
  <c r="F127" i="10"/>
  <c r="F57" i="10"/>
  <c r="H57" i="10" s="1"/>
  <c r="D347" i="4"/>
  <c r="F347" i="4"/>
  <c r="D338" i="4"/>
  <c r="F338" i="4"/>
  <c r="L206" i="3"/>
  <c r="K216" i="3"/>
  <c r="K208" i="3"/>
  <c r="H206" i="3"/>
  <c r="K207" i="3"/>
  <c r="C163" i="4"/>
  <c r="B163" i="4"/>
  <c r="H283" i="3"/>
  <c r="L283" i="3"/>
  <c r="C216" i="4"/>
  <c r="B216" i="4"/>
  <c r="D139" i="4"/>
  <c r="F139" i="4"/>
  <c r="F173" i="10" s="1"/>
  <c r="D363" i="4"/>
  <c r="F363" i="4"/>
  <c r="L674" i="3"/>
  <c r="H674" i="3"/>
  <c r="B476" i="4"/>
  <c r="C476" i="4"/>
  <c r="L180" i="3"/>
  <c r="H180" i="3"/>
  <c r="H268" i="3"/>
  <c r="L268" i="3"/>
  <c r="C202" i="4"/>
  <c r="B202" i="4"/>
  <c r="F372" i="4"/>
  <c r="D372" i="4"/>
  <c r="H145" i="3"/>
  <c r="K146" i="3"/>
  <c r="L145" i="3"/>
  <c r="K147" i="3"/>
  <c r="C133" i="4"/>
  <c r="B133" i="4"/>
  <c r="F247" i="4"/>
  <c r="D247" i="4"/>
  <c r="L345" i="3"/>
  <c r="H345" i="3"/>
  <c r="C269" i="4"/>
  <c r="B269" i="4"/>
  <c r="F230" i="4"/>
  <c r="D230" i="4"/>
  <c r="H293" i="3"/>
  <c r="L293" i="3"/>
  <c r="C226" i="4"/>
  <c r="B226" i="4"/>
  <c r="F229" i="4"/>
  <c r="D229" i="4"/>
  <c r="F409" i="4"/>
  <c r="D409" i="4"/>
  <c r="D40" i="4"/>
  <c r="F40" i="4"/>
  <c r="D209" i="4"/>
  <c r="F209" i="4"/>
  <c r="H338" i="3"/>
  <c r="L338" i="3"/>
  <c r="C264" i="4"/>
  <c r="B264" i="4"/>
  <c r="K667" i="3"/>
  <c r="K162" i="3"/>
  <c r="L161" i="3"/>
  <c r="H161" i="3"/>
  <c r="K163" i="3"/>
  <c r="B140" i="4"/>
  <c r="C140" i="4"/>
  <c r="D343" i="4"/>
  <c r="F343" i="4"/>
  <c r="H585" i="3"/>
  <c r="K586" i="3"/>
  <c r="L585" i="3"/>
  <c r="C425" i="4"/>
  <c r="B425" i="4"/>
  <c r="F116" i="4"/>
  <c r="D116" i="4"/>
  <c r="K469" i="3"/>
  <c r="L127" i="3"/>
  <c r="H127" i="3"/>
  <c r="C115" i="4"/>
  <c r="B115" i="4"/>
  <c r="F148" i="10"/>
  <c r="F69" i="10"/>
  <c r="F136" i="10"/>
  <c r="F110" i="10"/>
  <c r="F120" i="10"/>
  <c r="F50" i="10"/>
  <c r="H50" i="10" s="1"/>
  <c r="F99" i="10"/>
  <c r="F140" i="10"/>
  <c r="F73" i="10"/>
  <c r="F93" i="10"/>
  <c r="F156" i="10"/>
  <c r="F146" i="10"/>
  <c r="H146" i="10" s="1"/>
  <c r="H276" i="3"/>
  <c r="L276" i="3"/>
  <c r="L339" i="3"/>
  <c r="H339" i="3"/>
  <c r="C265" i="4"/>
  <c r="B265" i="4"/>
  <c r="F334" i="4"/>
  <c r="D334" i="4"/>
  <c r="D442" i="4"/>
  <c r="F442" i="4"/>
  <c r="L464" i="3"/>
  <c r="H464" i="3"/>
  <c r="L294" i="3"/>
  <c r="H294" i="3"/>
  <c r="C227" i="4"/>
  <c r="B227" i="4"/>
  <c r="K119" i="3"/>
  <c r="K116" i="3"/>
  <c r="L115" i="3"/>
  <c r="H115" i="3"/>
  <c r="B105" i="4"/>
  <c r="C105" i="4"/>
  <c r="L148" i="3"/>
  <c r="K149" i="3"/>
  <c r="H148" i="3"/>
  <c r="K150" i="3"/>
  <c r="B135" i="4"/>
  <c r="C135" i="4"/>
  <c r="F410" i="4"/>
  <c r="D410" i="4"/>
  <c r="L82" i="3"/>
  <c r="K83" i="3"/>
  <c r="K92" i="3"/>
  <c r="H82" i="3"/>
  <c r="K91" i="3"/>
  <c r="C74" i="4"/>
  <c r="B74" i="4"/>
  <c r="F351" i="4"/>
  <c r="D351" i="4"/>
  <c r="L396" i="3"/>
  <c r="H396" i="3"/>
  <c r="F356" i="4"/>
  <c r="D356" i="4"/>
  <c r="F118" i="4"/>
  <c r="D118" i="4"/>
  <c r="F373" i="4"/>
  <c r="D373" i="4"/>
  <c r="K671" i="3"/>
  <c r="F87" i="4"/>
  <c r="D87" i="4"/>
  <c r="H113" i="3"/>
  <c r="L113" i="3"/>
  <c r="C103" i="4"/>
  <c r="B103" i="4"/>
  <c r="K624" i="3"/>
  <c r="H624" i="3" s="1"/>
  <c r="K367" i="3"/>
  <c r="C285" i="4"/>
  <c r="B285" i="4"/>
  <c r="D392" i="4"/>
  <c r="F392" i="4"/>
  <c r="F361" i="4"/>
  <c r="D361" i="4"/>
  <c r="K675" i="3"/>
  <c r="K516" i="3"/>
  <c r="K504" i="3"/>
  <c r="K595" i="3"/>
  <c r="K479" i="3"/>
  <c r="K569" i="3"/>
  <c r="K534" i="3"/>
  <c r="K505" i="3"/>
  <c r="K444" i="3"/>
  <c r="K480" i="3"/>
  <c r="K471" i="3"/>
  <c r="K488" i="3"/>
  <c r="K37" i="3"/>
  <c r="L36" i="3"/>
  <c r="K38" i="3"/>
  <c r="H36" i="3"/>
  <c r="B41" i="4"/>
  <c r="C41" i="4"/>
  <c r="H277" i="3"/>
  <c r="L277" i="3"/>
  <c r="C210" i="4"/>
  <c r="B210" i="4"/>
  <c r="H340" i="3"/>
  <c r="K395" i="3"/>
  <c r="K394" i="3"/>
  <c r="L340" i="3"/>
  <c r="C266" i="4"/>
  <c r="B266" i="4"/>
  <c r="F126" i="10"/>
  <c r="F58" i="10"/>
  <c r="H58" i="10" s="1"/>
  <c r="H465" i="3"/>
  <c r="L465" i="3"/>
  <c r="L532" i="3"/>
  <c r="H532" i="3"/>
  <c r="B381" i="4"/>
  <c r="C381" i="4"/>
  <c r="F138" i="4"/>
  <c r="D138" i="4"/>
  <c r="K576" i="3"/>
  <c r="K580" i="3"/>
  <c r="L575" i="3"/>
  <c r="H575" i="3"/>
  <c r="K581" i="3"/>
  <c r="C416" i="4"/>
  <c r="B416" i="4"/>
  <c r="L170" i="3"/>
  <c r="H170" i="3"/>
  <c r="K172" i="3"/>
  <c r="K171" i="3"/>
  <c r="C142" i="4"/>
  <c r="B142" i="4"/>
  <c r="D404" i="4"/>
  <c r="F404" i="4"/>
  <c r="L582" i="3"/>
  <c r="H582" i="3"/>
  <c r="F124" i="4"/>
  <c r="D124" i="4"/>
  <c r="L114" i="3"/>
  <c r="H114" i="3"/>
  <c r="C104" i="4"/>
  <c r="B104" i="4"/>
  <c r="D14" i="4"/>
  <c r="F14" i="4"/>
  <c r="L397" i="3"/>
  <c r="H397" i="3"/>
  <c r="L458" i="3"/>
  <c r="H458" i="3"/>
  <c r="D204" i="4"/>
  <c r="F204" i="4"/>
  <c r="L132" i="3"/>
  <c r="H132" i="3"/>
  <c r="H525" i="3"/>
  <c r="L525" i="3"/>
  <c r="K530" i="3"/>
  <c r="C374" i="4"/>
  <c r="B374" i="4"/>
  <c r="K169" i="3"/>
  <c r="L167" i="3"/>
  <c r="H167" i="3"/>
  <c r="K168" i="3"/>
  <c r="D441" i="4"/>
  <c r="F441" i="4"/>
  <c r="L155" i="3"/>
  <c r="H155" i="3"/>
  <c r="D291" i="4"/>
  <c r="F291" i="4"/>
  <c r="F211" i="4"/>
  <c r="D211" i="4"/>
  <c r="L476" i="3"/>
  <c r="H476" i="3"/>
  <c r="L591" i="3"/>
  <c r="H591" i="3"/>
  <c r="K592" i="3"/>
  <c r="C429" i="4"/>
  <c r="B429" i="4"/>
  <c r="H137" i="3"/>
  <c r="L137" i="3"/>
  <c r="B125" i="4"/>
  <c r="C125" i="4"/>
  <c r="F369" i="4"/>
  <c r="D369" i="4"/>
  <c r="F402" i="4"/>
  <c r="D402" i="4"/>
  <c r="H507" i="3"/>
  <c r="L507" i="3"/>
  <c r="F386" i="4"/>
  <c r="D386" i="4"/>
  <c r="L452" i="3"/>
  <c r="H452" i="3"/>
  <c r="K453" i="3"/>
  <c r="C329" i="4"/>
  <c r="B329" i="4"/>
  <c r="L491" i="3"/>
  <c r="H491" i="3"/>
  <c r="L659" i="3"/>
  <c r="H659" i="3"/>
  <c r="C465" i="4"/>
  <c r="B465" i="4"/>
  <c r="F122" i="4"/>
  <c r="D122" i="4"/>
  <c r="F246" i="4"/>
  <c r="D246" i="4"/>
  <c r="L133" i="3"/>
  <c r="H133" i="3"/>
  <c r="C121" i="4"/>
  <c r="B121" i="4"/>
  <c r="H33" i="3"/>
  <c r="L33" i="3"/>
  <c r="C38" i="4"/>
  <c r="B38" i="4"/>
  <c r="H459" i="3"/>
  <c r="K460" i="3"/>
  <c r="L459" i="3"/>
  <c r="B335" i="4"/>
  <c r="C335" i="4"/>
  <c r="C464" i="4"/>
  <c r="B464" i="4"/>
  <c r="D364" i="4"/>
  <c r="F364" i="4"/>
  <c r="D167" i="4"/>
  <c r="F167" i="4"/>
  <c r="D472" i="4"/>
  <c r="F472" i="4"/>
  <c r="H271" i="3"/>
  <c r="L271" i="3"/>
  <c r="C205" i="4"/>
  <c r="B205" i="4"/>
  <c r="L131" i="3"/>
  <c r="H131" i="3"/>
  <c r="F335" i="4" l="1"/>
  <c r="D335" i="4"/>
  <c r="F210" i="4"/>
  <c r="D210" i="4"/>
  <c r="K570" i="3"/>
  <c r="B411" i="4"/>
  <c r="C411" i="4"/>
  <c r="L168" i="3"/>
  <c r="H168" i="3"/>
  <c r="K678" i="3"/>
  <c r="K587" i="3"/>
  <c r="H595" i="3"/>
  <c r="K588" i="3"/>
  <c r="L595" i="3"/>
  <c r="K593" i="3"/>
  <c r="K596" i="3"/>
  <c r="B433" i="4"/>
  <c r="C433" i="4"/>
  <c r="F374" i="4"/>
  <c r="D374" i="4"/>
  <c r="L172" i="3"/>
  <c r="H172" i="3"/>
  <c r="B473" i="4"/>
  <c r="C473" i="4"/>
  <c r="K450" i="3"/>
  <c r="K88" i="3"/>
  <c r="L83" i="3"/>
  <c r="H83" i="3"/>
  <c r="K85" i="3"/>
  <c r="K87" i="3"/>
  <c r="K84" i="3"/>
  <c r="K86" i="3"/>
  <c r="C75" i="4"/>
  <c r="B75" i="4"/>
  <c r="F227" i="4"/>
  <c r="D227" i="4"/>
  <c r="H469" i="3"/>
  <c r="L469" i="3"/>
  <c r="L162" i="3"/>
  <c r="H162" i="3"/>
  <c r="B141" i="4"/>
  <c r="C141" i="4"/>
  <c r="L202" i="3"/>
  <c r="K204" i="3"/>
  <c r="K205" i="3"/>
  <c r="K203" i="3"/>
  <c r="H202" i="3"/>
  <c r="C407" i="4"/>
  <c r="B407" i="4"/>
  <c r="H263" i="3"/>
  <c r="L263" i="3"/>
  <c r="C197" i="4"/>
  <c r="B197" i="4"/>
  <c r="F30" i="4"/>
  <c r="D30" i="4"/>
  <c r="D157" i="4"/>
  <c r="F157" i="4"/>
  <c r="L99" i="3"/>
  <c r="H99" i="3"/>
  <c r="C91" i="4"/>
  <c r="B91" i="4"/>
  <c r="F104" i="4"/>
  <c r="D104" i="4"/>
  <c r="K660" i="3"/>
  <c r="K351" i="3"/>
  <c r="K332" i="3"/>
  <c r="K319" i="3"/>
  <c r="K350" i="3"/>
  <c r="K39" i="3"/>
  <c r="L38" i="3"/>
  <c r="K68" i="3"/>
  <c r="H38" i="3"/>
  <c r="C43" i="4"/>
  <c r="B43" i="4"/>
  <c r="H667" i="3"/>
  <c r="K621" i="3"/>
  <c r="H621" i="3" s="1"/>
  <c r="K620" i="3"/>
  <c r="H620" i="3" s="1"/>
  <c r="C469" i="4"/>
  <c r="B469" i="4"/>
  <c r="F220" i="4"/>
  <c r="D220" i="4"/>
  <c r="F470" i="4"/>
  <c r="D470" i="4"/>
  <c r="F207" i="4"/>
  <c r="D207" i="4"/>
  <c r="D223" i="4"/>
  <c r="F223" i="4"/>
  <c r="L106" i="3"/>
  <c r="K236" i="3"/>
  <c r="H106" i="3"/>
  <c r="K107" i="3"/>
  <c r="K109" i="3"/>
  <c r="K108" i="3"/>
  <c r="C96" i="4"/>
  <c r="B96" i="4"/>
  <c r="F193" i="4"/>
  <c r="D193" i="4"/>
  <c r="F127" i="4"/>
  <c r="D127" i="4"/>
  <c r="L100" i="3"/>
  <c r="H100" i="3"/>
  <c r="F74" i="4"/>
  <c r="D74" i="4"/>
  <c r="K526" i="3"/>
  <c r="H530" i="3"/>
  <c r="L530" i="3"/>
  <c r="C379" i="4"/>
  <c r="B379" i="4"/>
  <c r="F264" i="4"/>
  <c r="D264" i="4"/>
  <c r="F202" i="4"/>
  <c r="D202" i="4"/>
  <c r="F216" i="4"/>
  <c r="D216" i="4"/>
  <c r="K222" i="3"/>
  <c r="K220" i="3"/>
  <c r="K221" i="3"/>
  <c r="L27" i="3"/>
  <c r="H27" i="3"/>
  <c r="B32" i="4"/>
  <c r="C32" i="4"/>
  <c r="D292" i="4"/>
  <c r="F292" i="4"/>
  <c r="L479" i="3"/>
  <c r="H479" i="3"/>
  <c r="B344" i="4"/>
  <c r="C344" i="4"/>
  <c r="F464" i="4"/>
  <c r="D464" i="4"/>
  <c r="F416" i="4"/>
  <c r="D416" i="4"/>
  <c r="H37" i="3"/>
  <c r="L37" i="3"/>
  <c r="C42" i="4"/>
  <c r="B42" i="4"/>
  <c r="F425" i="4"/>
  <c r="D425" i="4"/>
  <c r="D132" i="4"/>
  <c r="F132" i="4"/>
  <c r="D13" i="4"/>
  <c r="F13" i="4"/>
  <c r="K633" i="3"/>
  <c r="K634" i="3"/>
  <c r="K546" i="3"/>
  <c r="B288" i="4"/>
  <c r="C288" i="4"/>
  <c r="L382" i="3"/>
  <c r="H382" i="3"/>
  <c r="K383" i="3"/>
  <c r="K390" i="3"/>
  <c r="C297" i="4"/>
  <c r="B297" i="4"/>
  <c r="D383" i="4"/>
  <c r="F383" i="4"/>
  <c r="D266" i="4"/>
  <c r="F266" i="4"/>
  <c r="H488" i="3"/>
  <c r="L488" i="3"/>
  <c r="K489" i="3"/>
  <c r="C349" i="4"/>
  <c r="B349" i="4"/>
  <c r="D285" i="4"/>
  <c r="F285" i="4"/>
  <c r="F269" i="4"/>
  <c r="D269" i="4"/>
  <c r="D444" i="4"/>
  <c r="F444" i="4"/>
  <c r="D156" i="4"/>
  <c r="F156" i="4"/>
  <c r="F208" i="4"/>
  <c r="D208" i="4"/>
  <c r="D15" i="4"/>
  <c r="F15" i="4"/>
  <c r="K218" i="3"/>
  <c r="L26" i="3"/>
  <c r="K219" i="3"/>
  <c r="H26" i="3"/>
  <c r="B31" i="4"/>
  <c r="C31" i="4"/>
  <c r="D427" i="4"/>
  <c r="F427" i="4"/>
  <c r="H480" i="3"/>
  <c r="L480" i="3"/>
  <c r="B345" i="4"/>
  <c r="C345" i="4"/>
  <c r="L444" i="3"/>
  <c r="K445" i="3"/>
  <c r="K448" i="3"/>
  <c r="H444" i="3"/>
  <c r="B322" i="4"/>
  <c r="C322" i="4"/>
  <c r="H581" i="3"/>
  <c r="L581" i="3"/>
  <c r="B421" i="4"/>
  <c r="C421" i="4"/>
  <c r="K472" i="3"/>
  <c r="H471" i="3"/>
  <c r="L471" i="3"/>
  <c r="C340" i="4"/>
  <c r="B340" i="4"/>
  <c r="F135" i="4"/>
  <c r="D135" i="4"/>
  <c r="D366" i="4"/>
  <c r="F366" i="4"/>
  <c r="F305" i="4"/>
  <c r="D305" i="4"/>
  <c r="K224" i="3"/>
  <c r="K256" i="3"/>
  <c r="K225" i="3"/>
  <c r="K254" i="3"/>
  <c r="K255" i="3"/>
  <c r="H28" i="3"/>
  <c r="K223" i="3"/>
  <c r="L28" i="3"/>
  <c r="C33" i="4"/>
  <c r="B33" i="4"/>
  <c r="H377" i="3"/>
  <c r="K381" i="3"/>
  <c r="K378" i="3"/>
  <c r="L377" i="3"/>
  <c r="B293" i="4"/>
  <c r="C293" i="4"/>
  <c r="F465" i="4"/>
  <c r="D465" i="4"/>
  <c r="L150" i="3"/>
  <c r="H150" i="3"/>
  <c r="K153" i="3"/>
  <c r="K151" i="3"/>
  <c r="K152" i="3"/>
  <c r="D214" i="4"/>
  <c r="F214" i="4"/>
  <c r="F408" i="4"/>
  <c r="D408" i="4"/>
  <c r="K24" i="3"/>
  <c r="K22" i="3"/>
  <c r="L21" i="3"/>
  <c r="K23" i="3"/>
  <c r="H21" i="3"/>
  <c r="C27" i="4"/>
  <c r="B27" i="4"/>
  <c r="L399" i="3"/>
  <c r="H399" i="3"/>
  <c r="B89" i="4"/>
  <c r="C89" i="4"/>
  <c r="D126" i="4"/>
  <c r="F126" i="4"/>
  <c r="F219" i="4"/>
  <c r="D219" i="4"/>
  <c r="L590" i="3"/>
  <c r="H590" i="3"/>
  <c r="B428" i="4"/>
  <c r="C428" i="4"/>
  <c r="D163" i="4"/>
  <c r="F163" i="4"/>
  <c r="L394" i="3"/>
  <c r="H394" i="3"/>
  <c r="C308" i="4"/>
  <c r="B308" i="4"/>
  <c r="L460" i="3"/>
  <c r="H460" i="3"/>
  <c r="L580" i="3"/>
  <c r="H580" i="3"/>
  <c r="H395" i="3"/>
  <c r="L395" i="3"/>
  <c r="B309" i="4"/>
  <c r="C309" i="4"/>
  <c r="H505" i="3"/>
  <c r="L505" i="3"/>
  <c r="B359" i="4"/>
  <c r="C359" i="4"/>
  <c r="F103" i="4"/>
  <c r="D103" i="4"/>
  <c r="H149" i="3"/>
  <c r="L149" i="3"/>
  <c r="C136" i="4"/>
  <c r="B136" i="4"/>
  <c r="H207" i="3"/>
  <c r="L207" i="3"/>
  <c r="B164" i="4"/>
  <c r="C164" i="4"/>
  <c r="D327" i="4"/>
  <c r="F327" i="4"/>
  <c r="L576" i="3"/>
  <c r="H576" i="3"/>
  <c r="K577" i="3"/>
  <c r="K579" i="3"/>
  <c r="K578" i="3"/>
  <c r="C417" i="4"/>
  <c r="B417" i="4"/>
  <c r="F290" i="4"/>
  <c r="D290" i="4"/>
  <c r="F194" i="4"/>
  <c r="D194" i="4"/>
  <c r="H515" i="3"/>
  <c r="L515" i="3"/>
  <c r="L10" i="3"/>
  <c r="K16" i="3"/>
  <c r="K12" i="3"/>
  <c r="H10" i="3"/>
  <c r="K11" i="3"/>
  <c r="C16" i="4"/>
  <c r="B16" i="4"/>
  <c r="L400" i="3"/>
  <c r="H400" i="3"/>
  <c r="C365" i="4"/>
  <c r="F423" i="4"/>
  <c r="D423" i="4"/>
  <c r="L367" i="3"/>
  <c r="H367" i="3"/>
  <c r="C286" i="4"/>
  <c r="B286" i="4"/>
  <c r="D125" i="4"/>
  <c r="F125" i="4"/>
  <c r="D133" i="4"/>
  <c r="F133" i="4"/>
  <c r="L208" i="3"/>
  <c r="K214" i="3"/>
  <c r="K210" i="3"/>
  <c r="K215" i="3"/>
  <c r="K209" i="3"/>
  <c r="H208" i="3"/>
  <c r="C165" i="4"/>
  <c r="B165" i="4"/>
  <c r="D224" i="4"/>
  <c r="F224" i="4"/>
  <c r="B365" i="4"/>
  <c r="F34" i="4"/>
  <c r="D34" i="4"/>
  <c r="L586" i="3"/>
  <c r="H586" i="3"/>
  <c r="B426" i="4"/>
  <c r="C426" i="4"/>
  <c r="D476" i="4"/>
  <c r="F476" i="4"/>
  <c r="L216" i="3"/>
  <c r="H216" i="3"/>
  <c r="F159" i="4"/>
  <c r="D159" i="4"/>
  <c r="D270" i="4"/>
  <c r="F270" i="4"/>
  <c r="F471" i="4"/>
  <c r="D471" i="4"/>
  <c r="H259" i="3"/>
  <c r="L259" i="3"/>
  <c r="B195" i="4"/>
  <c r="C195" i="4"/>
  <c r="C306" i="4"/>
  <c r="F206" i="4"/>
  <c r="D206" i="4"/>
  <c r="D362" i="4"/>
  <c r="F362" i="4"/>
  <c r="F44" i="10" s="1"/>
  <c r="H44" i="10" s="1"/>
  <c r="F155" i="4"/>
  <c r="D155" i="4"/>
  <c r="B306" i="4"/>
  <c r="K231" i="3"/>
  <c r="H31" i="3"/>
  <c r="K269" i="3"/>
  <c r="L31" i="3"/>
  <c r="C36" i="4"/>
  <c r="B36" i="4"/>
  <c r="L584" i="3"/>
  <c r="H584" i="3"/>
  <c r="B424" i="4"/>
  <c r="C424" i="4"/>
  <c r="D265" i="4"/>
  <c r="F265" i="4"/>
  <c r="D329" i="4"/>
  <c r="F329" i="4"/>
  <c r="F115" i="4"/>
  <c r="D115" i="4"/>
  <c r="L147" i="3"/>
  <c r="H147" i="3"/>
  <c r="F429" i="4"/>
  <c r="D429" i="4"/>
  <c r="F142" i="4"/>
  <c r="D142" i="4"/>
  <c r="F381" i="4"/>
  <c r="D381" i="4"/>
  <c r="L504" i="3"/>
  <c r="H504" i="3"/>
  <c r="B360" i="4"/>
  <c r="C360" i="4"/>
  <c r="L91" i="3"/>
  <c r="H91" i="3"/>
  <c r="B83" i="4"/>
  <c r="C83" i="4"/>
  <c r="K166" i="3"/>
  <c r="K164" i="3"/>
  <c r="L163" i="3"/>
  <c r="H163" i="3"/>
  <c r="K165" i="3"/>
  <c r="D415" i="4"/>
  <c r="F415" i="4"/>
  <c r="D93" i="4"/>
  <c r="F93" i="4"/>
  <c r="F150" i="4"/>
  <c r="D150" i="4"/>
  <c r="F124" i="10"/>
  <c r="F169" i="10"/>
  <c r="D205" i="4"/>
  <c r="F205" i="4"/>
  <c r="H534" i="3"/>
  <c r="L534" i="3"/>
  <c r="B382" i="4"/>
  <c r="C382" i="4"/>
  <c r="D105" i="4"/>
  <c r="F105" i="4"/>
  <c r="D217" i="4"/>
  <c r="F217" i="4"/>
  <c r="K265" i="3"/>
  <c r="K267" i="3"/>
  <c r="L264" i="3"/>
  <c r="K266" i="3"/>
  <c r="H264" i="3"/>
  <c r="B198" i="4"/>
  <c r="C198" i="4"/>
  <c r="D121" i="4"/>
  <c r="F121" i="4"/>
  <c r="K454" i="3"/>
  <c r="L453" i="3"/>
  <c r="H453" i="3"/>
  <c r="K455" i="3"/>
  <c r="K456" i="3"/>
  <c r="B330" i="4"/>
  <c r="C330" i="4"/>
  <c r="K517" i="3"/>
  <c r="H516" i="3"/>
  <c r="L516" i="3"/>
  <c r="B367" i="4"/>
  <c r="C367" i="4"/>
  <c r="L116" i="3"/>
  <c r="K117" i="3"/>
  <c r="H116" i="3"/>
  <c r="K118" i="3"/>
  <c r="D226" i="4"/>
  <c r="F226" i="4"/>
  <c r="L146" i="3"/>
  <c r="H146" i="3"/>
  <c r="C134" i="4"/>
  <c r="B134" i="4"/>
  <c r="L193" i="3"/>
  <c r="H193" i="3"/>
  <c r="C160" i="4"/>
  <c r="B160" i="4"/>
  <c r="F213" i="4"/>
  <c r="D213" i="4"/>
  <c r="K261" i="3"/>
  <c r="L260" i="3"/>
  <c r="H260" i="3"/>
  <c r="K262" i="3"/>
  <c r="C196" i="4"/>
  <c r="B196" i="4"/>
  <c r="K230" i="3"/>
  <c r="K229" i="3"/>
  <c r="L30" i="3"/>
  <c r="H30" i="3"/>
  <c r="B35" i="4"/>
  <c r="C35" i="4"/>
  <c r="D90" i="4"/>
  <c r="F90" i="4"/>
  <c r="F38" i="4"/>
  <c r="D38" i="4"/>
  <c r="F140" i="4"/>
  <c r="D140" i="4"/>
  <c r="F147" i="10"/>
  <c r="F181" i="10"/>
  <c r="F170" i="10"/>
  <c r="F172" i="10"/>
  <c r="L592" i="3"/>
  <c r="H592" i="3"/>
  <c r="B430" i="4"/>
  <c r="C430" i="4"/>
  <c r="L169" i="3"/>
  <c r="H169" i="3"/>
  <c r="L171" i="3"/>
  <c r="H171" i="3"/>
  <c r="B143" i="4"/>
  <c r="C143" i="4"/>
  <c r="D41" i="4"/>
  <c r="F41" i="4"/>
  <c r="K676" i="3"/>
  <c r="L675" i="3"/>
  <c r="K677" i="3"/>
  <c r="H675" i="3"/>
  <c r="C477" i="4"/>
  <c r="B477" i="4"/>
  <c r="L92" i="3"/>
  <c r="K93" i="3"/>
  <c r="H92" i="3"/>
  <c r="K94" i="3"/>
  <c r="C84" i="4"/>
  <c r="B84" i="4"/>
  <c r="K244" i="3"/>
  <c r="L119" i="3"/>
  <c r="K121" i="3"/>
  <c r="K126" i="3"/>
  <c r="H119" i="3"/>
  <c r="K120" i="3"/>
  <c r="B107" i="4"/>
  <c r="C107" i="4"/>
  <c r="L194" i="3"/>
  <c r="K198" i="3"/>
  <c r="K196" i="3"/>
  <c r="K195" i="3"/>
  <c r="K197" i="3"/>
  <c r="H194" i="3"/>
  <c r="C161" i="4"/>
  <c r="B161" i="4"/>
  <c r="D406" i="4"/>
  <c r="F406" i="4"/>
  <c r="K104" i="3"/>
  <c r="L103" i="3"/>
  <c r="K105" i="3"/>
  <c r="H103" i="3"/>
  <c r="C94" i="4"/>
  <c r="B94" i="4"/>
  <c r="L32" i="3"/>
  <c r="H32" i="3"/>
  <c r="C37" i="4"/>
  <c r="B37" i="4"/>
  <c r="L101" i="3"/>
  <c r="H101" i="3"/>
  <c r="C92" i="4"/>
  <c r="B92" i="4"/>
  <c r="D160" i="4" l="1"/>
  <c r="F160" i="4"/>
  <c r="L197" i="3"/>
  <c r="H197" i="3"/>
  <c r="F35" i="4"/>
  <c r="D35" i="4"/>
  <c r="H267" i="3"/>
  <c r="L267" i="3"/>
  <c r="B201" i="4"/>
  <c r="C201" i="4"/>
  <c r="F424" i="4"/>
  <c r="D424" i="4"/>
  <c r="D426" i="4"/>
  <c r="F426" i="4"/>
  <c r="L23" i="3"/>
  <c r="H23" i="3"/>
  <c r="C28" i="4"/>
  <c r="B28" i="4"/>
  <c r="F293" i="4"/>
  <c r="D293" i="4"/>
  <c r="L108" i="3"/>
  <c r="H108" i="3"/>
  <c r="B98" i="4"/>
  <c r="C98" i="4"/>
  <c r="H203" i="3"/>
  <c r="L203" i="3"/>
  <c r="L86" i="3"/>
  <c r="H86" i="3"/>
  <c r="C78" i="4"/>
  <c r="B78" i="4"/>
  <c r="L596" i="3"/>
  <c r="H596" i="3"/>
  <c r="C434" i="4"/>
  <c r="B434" i="4"/>
  <c r="F37" i="4"/>
  <c r="D37" i="4"/>
  <c r="L195" i="3"/>
  <c r="H195" i="3"/>
  <c r="C162" i="4"/>
  <c r="B162" i="4"/>
  <c r="H93" i="3"/>
  <c r="L93" i="3"/>
  <c r="C85" i="4"/>
  <c r="B85" i="4"/>
  <c r="F134" i="4"/>
  <c r="D134" i="4"/>
  <c r="H517" i="3"/>
  <c r="L517" i="3"/>
  <c r="C368" i="4"/>
  <c r="B368" i="4"/>
  <c r="H265" i="3"/>
  <c r="L265" i="3"/>
  <c r="B199" i="4"/>
  <c r="C199" i="4"/>
  <c r="L12" i="3"/>
  <c r="H12" i="3"/>
  <c r="K14" i="3"/>
  <c r="K15" i="3"/>
  <c r="K13" i="3"/>
  <c r="L448" i="3"/>
  <c r="H448" i="3"/>
  <c r="C326" i="4"/>
  <c r="B326" i="4"/>
  <c r="F379" i="4"/>
  <c r="D379" i="4"/>
  <c r="L109" i="3"/>
  <c r="H109" i="3"/>
  <c r="C99" i="4"/>
  <c r="B99" i="4"/>
  <c r="F91" i="4"/>
  <c r="D91" i="4"/>
  <c r="L205" i="3"/>
  <c r="H205" i="3"/>
  <c r="L84" i="3"/>
  <c r="H84" i="3"/>
  <c r="C76" i="4"/>
  <c r="B76" i="4"/>
  <c r="L593" i="3"/>
  <c r="K597" i="3"/>
  <c r="H593" i="3"/>
  <c r="K594" i="3"/>
  <c r="B431" i="4"/>
  <c r="C431" i="4"/>
  <c r="L196" i="3"/>
  <c r="H196" i="3"/>
  <c r="D430" i="4"/>
  <c r="F430" i="4"/>
  <c r="D195" i="4"/>
  <c r="F195" i="4"/>
  <c r="L16" i="3"/>
  <c r="K18" i="3"/>
  <c r="H16" i="3"/>
  <c r="K17" i="3"/>
  <c r="C22" i="4"/>
  <c r="B22" i="4"/>
  <c r="D309" i="4"/>
  <c r="F309" i="4"/>
  <c r="F428" i="4"/>
  <c r="D428" i="4"/>
  <c r="L22" i="3"/>
  <c r="H22" i="3"/>
  <c r="L378" i="3"/>
  <c r="K380" i="3"/>
  <c r="K379" i="3"/>
  <c r="H378" i="3"/>
  <c r="B294" i="4"/>
  <c r="C294" i="4"/>
  <c r="L445" i="3"/>
  <c r="H445" i="3"/>
  <c r="K447" i="3"/>
  <c r="K446" i="3"/>
  <c r="C323" i="4"/>
  <c r="B323" i="4"/>
  <c r="L107" i="3"/>
  <c r="H107" i="3"/>
  <c r="C97" i="4"/>
  <c r="B97" i="4"/>
  <c r="L204" i="3"/>
  <c r="H204" i="3"/>
  <c r="L87" i="3"/>
  <c r="H87" i="3"/>
  <c r="C79" i="4"/>
  <c r="B79" i="4"/>
  <c r="D161" i="4"/>
  <c r="F161" i="4"/>
  <c r="L198" i="3"/>
  <c r="K200" i="3"/>
  <c r="K201" i="3"/>
  <c r="H198" i="3"/>
  <c r="K199" i="3"/>
  <c r="D477" i="4"/>
  <c r="F477" i="4"/>
  <c r="H229" i="3"/>
  <c r="L229" i="3"/>
  <c r="B175" i="4"/>
  <c r="D330" i="4"/>
  <c r="F330" i="4"/>
  <c r="F36" i="4"/>
  <c r="D36" i="4"/>
  <c r="L24" i="3"/>
  <c r="H24" i="3"/>
  <c r="B29" i="4"/>
  <c r="C29" i="4"/>
  <c r="L381" i="3"/>
  <c r="H381" i="3"/>
  <c r="H85" i="3"/>
  <c r="L85" i="3"/>
  <c r="C77" i="4"/>
  <c r="B77" i="4"/>
  <c r="L588" i="3"/>
  <c r="H588" i="3"/>
  <c r="B422" i="4"/>
  <c r="C422" i="4"/>
  <c r="L230" i="3"/>
  <c r="H230" i="3"/>
  <c r="C176" i="4"/>
  <c r="B176" i="4"/>
  <c r="L456" i="3"/>
  <c r="H456" i="3"/>
  <c r="B333" i="4"/>
  <c r="C333" i="4"/>
  <c r="H165" i="3"/>
  <c r="L165" i="3"/>
  <c r="D286" i="4"/>
  <c r="F286" i="4"/>
  <c r="D164" i="4"/>
  <c r="F164" i="4"/>
  <c r="F167" i="10"/>
  <c r="F74" i="10"/>
  <c r="F159" i="10"/>
  <c r="F180" i="10"/>
  <c r="L236" i="3"/>
  <c r="K242" i="3"/>
  <c r="K238" i="3"/>
  <c r="K237" i="3"/>
  <c r="K243" i="3"/>
  <c r="H236" i="3"/>
  <c r="K239" i="3"/>
  <c r="C181" i="4"/>
  <c r="B181" i="4"/>
  <c r="F43" i="4"/>
  <c r="D43" i="4"/>
  <c r="D94" i="4"/>
  <c r="F94" i="4"/>
  <c r="D196" i="4"/>
  <c r="F196" i="4"/>
  <c r="L455" i="3"/>
  <c r="H455" i="3"/>
  <c r="C332" i="4"/>
  <c r="B332" i="4"/>
  <c r="D365" i="4"/>
  <c r="F365" i="4"/>
  <c r="F45" i="10" s="1"/>
  <c r="H45" i="10" s="1"/>
  <c r="D33" i="4"/>
  <c r="F33" i="4"/>
  <c r="D340" i="4"/>
  <c r="F340" i="4"/>
  <c r="F345" i="4"/>
  <c r="D345" i="4"/>
  <c r="D297" i="4"/>
  <c r="F297" i="4"/>
  <c r="F32" i="4"/>
  <c r="D32" i="4"/>
  <c r="L526" i="3"/>
  <c r="H526" i="3"/>
  <c r="C375" i="4"/>
  <c r="B375" i="4"/>
  <c r="F141" i="4"/>
  <c r="D141" i="4"/>
  <c r="H587" i="3"/>
  <c r="L587" i="3"/>
  <c r="B414" i="4"/>
  <c r="C414" i="4"/>
  <c r="D107" i="4"/>
  <c r="F107" i="4"/>
  <c r="H269" i="3"/>
  <c r="L269" i="3"/>
  <c r="C203" i="4"/>
  <c r="B203" i="4"/>
  <c r="F42" i="4"/>
  <c r="D42" i="4"/>
  <c r="L88" i="3"/>
  <c r="K89" i="3"/>
  <c r="H88" i="3"/>
  <c r="K90" i="3"/>
  <c r="C80" i="4"/>
  <c r="B80" i="4"/>
  <c r="L678" i="3"/>
  <c r="H678" i="3"/>
  <c r="L262" i="3"/>
  <c r="H262" i="3"/>
  <c r="C120" i="4"/>
  <c r="B120" i="4"/>
  <c r="D382" i="4"/>
  <c r="F382" i="4"/>
  <c r="L164" i="3"/>
  <c r="H164" i="3"/>
  <c r="F136" i="4"/>
  <c r="D136" i="4"/>
  <c r="L390" i="3"/>
  <c r="H390" i="3"/>
  <c r="C304" i="4"/>
  <c r="B304" i="4"/>
  <c r="K653" i="3"/>
  <c r="K557" i="3"/>
  <c r="L68" i="3"/>
  <c r="K558" i="3"/>
  <c r="K358" i="3"/>
  <c r="H68" i="3"/>
  <c r="K300" i="3"/>
  <c r="K363" i="3"/>
  <c r="K360" i="3"/>
  <c r="K310" i="3"/>
  <c r="K81" i="3"/>
  <c r="K69" i="3"/>
  <c r="K183" i="3"/>
  <c r="K70" i="3"/>
  <c r="C65" i="4"/>
  <c r="B65" i="4"/>
  <c r="L450" i="3"/>
  <c r="K451" i="3"/>
  <c r="H450" i="3"/>
  <c r="B328" i="4"/>
  <c r="C328" i="4"/>
  <c r="L120" i="3"/>
  <c r="H120" i="3"/>
  <c r="B108" i="4"/>
  <c r="C108" i="4"/>
  <c r="H105" i="3"/>
  <c r="L105" i="3"/>
  <c r="L676" i="3"/>
  <c r="H676" i="3"/>
  <c r="C475" i="4"/>
  <c r="B475" i="4"/>
  <c r="L454" i="3"/>
  <c r="H454" i="3"/>
  <c r="C331" i="4"/>
  <c r="B331" i="4"/>
  <c r="L166" i="3"/>
  <c r="H166" i="3"/>
  <c r="K234" i="3"/>
  <c r="K232" i="3"/>
  <c r="L231" i="3"/>
  <c r="K233" i="3"/>
  <c r="H231" i="3"/>
  <c r="K235" i="3"/>
  <c r="B177" i="4"/>
  <c r="C177" i="4"/>
  <c r="D165" i="4"/>
  <c r="F165" i="4"/>
  <c r="L152" i="3"/>
  <c r="H152" i="3"/>
  <c r="H223" i="3"/>
  <c r="L223" i="3"/>
  <c r="B173" i="4"/>
  <c r="C173" i="4"/>
  <c r="K388" i="3"/>
  <c r="H383" i="3"/>
  <c r="K389" i="3"/>
  <c r="K384" i="3"/>
  <c r="L383" i="3"/>
  <c r="B298" i="4"/>
  <c r="C298" i="4"/>
  <c r="L221" i="3"/>
  <c r="H221" i="3"/>
  <c r="C171" i="4"/>
  <c r="L677" i="3"/>
  <c r="H677" i="3"/>
  <c r="B478" i="4"/>
  <c r="C478" i="4"/>
  <c r="L126" i="3"/>
  <c r="H126" i="3"/>
  <c r="B114" i="4"/>
  <c r="C114" i="4"/>
  <c r="L118" i="3"/>
  <c r="H118" i="3"/>
  <c r="F306" i="4"/>
  <c r="D306" i="4"/>
  <c r="L151" i="3"/>
  <c r="H151" i="3"/>
  <c r="K474" i="3"/>
  <c r="L472" i="3"/>
  <c r="H472" i="3"/>
  <c r="K473" i="3"/>
  <c r="C341" i="4"/>
  <c r="B341" i="4"/>
  <c r="L220" i="3"/>
  <c r="H220" i="3"/>
  <c r="B170" i="4"/>
  <c r="K647" i="3"/>
  <c r="K645" i="3"/>
  <c r="K646" i="3"/>
  <c r="K644" i="3"/>
  <c r="K650" i="3"/>
  <c r="K649" i="3"/>
  <c r="L39" i="3"/>
  <c r="H39" i="3"/>
  <c r="K44" i="3"/>
  <c r="C44" i="4"/>
  <c r="B44" i="4"/>
  <c r="F197" i="4"/>
  <c r="D197" i="4"/>
  <c r="D473" i="4"/>
  <c r="F473" i="4"/>
  <c r="K125" i="3"/>
  <c r="H121" i="3"/>
  <c r="L121" i="3"/>
  <c r="K122" i="3"/>
  <c r="C109" i="4"/>
  <c r="B109" i="4"/>
  <c r="F83" i="4"/>
  <c r="D83" i="4"/>
  <c r="F417" i="4"/>
  <c r="D417" i="4"/>
  <c r="D89" i="4"/>
  <c r="F89" i="4"/>
  <c r="H153" i="3"/>
  <c r="L153" i="3"/>
  <c r="H255" i="3"/>
  <c r="L255" i="3"/>
  <c r="L222" i="3"/>
  <c r="H222" i="3"/>
  <c r="H350" i="3"/>
  <c r="K353" i="3"/>
  <c r="L350" i="3"/>
  <c r="K352" i="3"/>
  <c r="K354" i="3"/>
  <c r="C272" i="4"/>
  <c r="B272" i="4"/>
  <c r="F411" i="4"/>
  <c r="D411" i="4"/>
  <c r="L104" i="3"/>
  <c r="H104" i="3"/>
  <c r="B95" i="4"/>
  <c r="C95" i="4"/>
  <c r="H261" i="3"/>
  <c r="L261" i="3"/>
  <c r="C119" i="4"/>
  <c r="B119" i="4"/>
  <c r="F85" i="10"/>
  <c r="F132" i="10"/>
  <c r="H117" i="3"/>
  <c r="L117" i="3"/>
  <c r="L209" i="3"/>
  <c r="H209" i="3"/>
  <c r="C166" i="4"/>
  <c r="B166" i="4"/>
  <c r="D308" i="4"/>
  <c r="F308" i="4"/>
  <c r="H254" i="3"/>
  <c r="L254" i="3"/>
  <c r="D421" i="4"/>
  <c r="F421" i="4"/>
  <c r="D31" i="4"/>
  <c r="F31" i="4"/>
  <c r="K325" i="3"/>
  <c r="K327" i="3"/>
  <c r="L319" i="3"/>
  <c r="H319" i="3"/>
  <c r="K326" i="3"/>
  <c r="K323" i="3"/>
  <c r="K320" i="3"/>
  <c r="B249" i="4"/>
  <c r="C249" i="4"/>
  <c r="L570" i="3"/>
  <c r="H570" i="3"/>
  <c r="C412" i="4"/>
  <c r="B412" i="4"/>
  <c r="K470" i="3"/>
  <c r="L244" i="3"/>
  <c r="K248" i="3"/>
  <c r="K246" i="3"/>
  <c r="K247" i="3"/>
  <c r="H244" i="3"/>
  <c r="K245" i="3"/>
  <c r="B189" i="4"/>
  <c r="C189" i="4"/>
  <c r="F143" i="4"/>
  <c r="D143" i="4"/>
  <c r="F198" i="4"/>
  <c r="D198" i="4"/>
  <c r="L215" i="3"/>
  <c r="H215" i="3"/>
  <c r="L578" i="3"/>
  <c r="H578" i="3"/>
  <c r="C419" i="4"/>
  <c r="B419" i="4"/>
  <c r="K228" i="3"/>
  <c r="K226" i="3"/>
  <c r="C170" i="4" s="1"/>
  <c r="L225" i="3"/>
  <c r="K227" i="3"/>
  <c r="H225" i="3"/>
  <c r="D349" i="4"/>
  <c r="F349" i="4"/>
  <c r="F288" i="4"/>
  <c r="D288" i="4"/>
  <c r="K643" i="3"/>
  <c r="H332" i="3"/>
  <c r="K333" i="3"/>
  <c r="K336" i="3"/>
  <c r="K335" i="3"/>
  <c r="L332" i="3"/>
  <c r="K334" i="3"/>
  <c r="C260" i="4"/>
  <c r="B260" i="4"/>
  <c r="F84" i="4"/>
  <c r="D84" i="4"/>
  <c r="L210" i="3"/>
  <c r="K212" i="3"/>
  <c r="K213" i="3"/>
  <c r="H210" i="3"/>
  <c r="K211" i="3"/>
  <c r="F16" i="4"/>
  <c r="D16" i="4"/>
  <c r="L579" i="3"/>
  <c r="H579" i="3"/>
  <c r="B420" i="4"/>
  <c r="C420" i="4"/>
  <c r="F27" i="4"/>
  <c r="D27" i="4"/>
  <c r="H256" i="3"/>
  <c r="L256" i="3"/>
  <c r="H219" i="3"/>
  <c r="L219" i="3"/>
  <c r="C169" i="4"/>
  <c r="B169" i="4"/>
  <c r="L546" i="3"/>
  <c r="H546" i="3"/>
  <c r="K545" i="3"/>
  <c r="C390" i="4"/>
  <c r="B390" i="4"/>
  <c r="L351" i="3"/>
  <c r="H351" i="3"/>
  <c r="F407" i="4"/>
  <c r="D407" i="4"/>
  <c r="F125" i="10"/>
  <c r="F168" i="10"/>
  <c r="F367" i="4"/>
  <c r="D367" i="4"/>
  <c r="L266" i="3"/>
  <c r="H266" i="3"/>
  <c r="C200" i="4"/>
  <c r="B200" i="4"/>
  <c r="D360" i="4"/>
  <c r="F360" i="4"/>
  <c r="L214" i="3"/>
  <c r="H214" i="3"/>
  <c r="L577" i="3"/>
  <c r="H577" i="3"/>
  <c r="C418" i="4"/>
  <c r="B418" i="4"/>
  <c r="D359" i="4"/>
  <c r="F359" i="4"/>
  <c r="F63" i="10" s="1"/>
  <c r="H63" i="10" s="1"/>
  <c r="L224" i="3"/>
  <c r="H224" i="3"/>
  <c r="B174" i="4"/>
  <c r="C174" i="4"/>
  <c r="H489" i="3"/>
  <c r="L489" i="3"/>
  <c r="C350" i="4"/>
  <c r="B350" i="4"/>
  <c r="C446" i="4"/>
  <c r="B446" i="4"/>
  <c r="F96" i="4"/>
  <c r="D96" i="4"/>
  <c r="L660" i="3"/>
  <c r="H660" i="3"/>
  <c r="C466" i="4"/>
  <c r="B466" i="4"/>
  <c r="D75" i="4"/>
  <c r="F75" i="4"/>
  <c r="F92" i="4"/>
  <c r="D92" i="4"/>
  <c r="L94" i="3"/>
  <c r="H94" i="3"/>
  <c r="C86" i="4"/>
  <c r="B86" i="4"/>
  <c r="L11" i="3"/>
  <c r="H11" i="3"/>
  <c r="C17" i="4"/>
  <c r="B17" i="4"/>
  <c r="F322" i="4"/>
  <c r="D322" i="4"/>
  <c r="L218" i="3"/>
  <c r="H218" i="3"/>
  <c r="B168" i="4"/>
  <c r="C168" i="4"/>
  <c r="C445" i="4"/>
  <c r="B445" i="4"/>
  <c r="F344" i="4"/>
  <c r="D344" i="4"/>
  <c r="D469" i="4"/>
  <c r="F469" i="4"/>
  <c r="F433" i="4"/>
  <c r="D433" i="4"/>
  <c r="H336" i="3" l="1"/>
  <c r="L336" i="3"/>
  <c r="F412" i="4"/>
  <c r="D412" i="4"/>
  <c r="L647" i="3"/>
  <c r="H647" i="3"/>
  <c r="C453" i="4"/>
  <c r="B453" i="4"/>
  <c r="L384" i="3"/>
  <c r="K386" i="3"/>
  <c r="H384" i="3"/>
  <c r="K398" i="3"/>
  <c r="K387" i="3"/>
  <c r="K385" i="3"/>
  <c r="C299" i="4"/>
  <c r="B299" i="4"/>
  <c r="L233" i="3"/>
  <c r="H233" i="3"/>
  <c r="H360" i="3"/>
  <c r="L360" i="3"/>
  <c r="B279" i="4"/>
  <c r="C279" i="4"/>
  <c r="L447" i="3"/>
  <c r="H447" i="3"/>
  <c r="B325" i="4"/>
  <c r="C325" i="4"/>
  <c r="D174" i="4"/>
  <c r="F174" i="4"/>
  <c r="L474" i="3"/>
  <c r="H474" i="3"/>
  <c r="C342" i="4"/>
  <c r="B342" i="4"/>
  <c r="F86" i="4"/>
  <c r="D86" i="4"/>
  <c r="F350" i="4"/>
  <c r="F60" i="10" s="1"/>
  <c r="D350" i="4"/>
  <c r="D390" i="4"/>
  <c r="F390" i="4"/>
  <c r="L333" i="3"/>
  <c r="H333" i="3"/>
  <c r="C261" i="4"/>
  <c r="B261" i="4"/>
  <c r="L125" i="3"/>
  <c r="H125" i="3"/>
  <c r="B113" i="4"/>
  <c r="C113" i="4"/>
  <c r="H389" i="3"/>
  <c r="L389" i="3"/>
  <c r="B303" i="4"/>
  <c r="C303" i="4"/>
  <c r="D108" i="4"/>
  <c r="F108" i="4"/>
  <c r="H363" i="3"/>
  <c r="L363" i="3"/>
  <c r="B282" i="4"/>
  <c r="C282" i="4"/>
  <c r="D203" i="4"/>
  <c r="F203" i="4"/>
  <c r="K539" i="3"/>
  <c r="K538" i="3"/>
  <c r="L17" i="3"/>
  <c r="H17" i="3"/>
  <c r="C23" i="4"/>
  <c r="B23" i="4"/>
  <c r="F76" i="4"/>
  <c r="D76" i="4"/>
  <c r="F95" i="4"/>
  <c r="D95" i="4"/>
  <c r="F114" i="4"/>
  <c r="D114" i="4"/>
  <c r="L232" i="3"/>
  <c r="H232" i="3"/>
  <c r="B178" i="4"/>
  <c r="C178" i="4"/>
  <c r="L300" i="3"/>
  <c r="H300" i="3"/>
  <c r="K301" i="3"/>
  <c r="C233" i="4"/>
  <c r="B233" i="4"/>
  <c r="F29" i="10"/>
  <c r="F30" i="10"/>
  <c r="D78" i="4"/>
  <c r="F78" i="4"/>
  <c r="F170" i="4"/>
  <c r="F32" i="10" s="1"/>
  <c r="D170" i="4"/>
  <c r="F200" i="4"/>
  <c r="D200" i="4"/>
  <c r="L545" i="3"/>
  <c r="H545" i="3"/>
  <c r="B389" i="4"/>
  <c r="C389" i="4"/>
  <c r="L643" i="3"/>
  <c r="H643" i="3"/>
  <c r="L388" i="3"/>
  <c r="H388" i="3"/>
  <c r="C302" i="4"/>
  <c r="B302" i="4"/>
  <c r="L234" i="3"/>
  <c r="H234" i="3"/>
  <c r="C179" i="4"/>
  <c r="B179" i="4"/>
  <c r="D120" i="4"/>
  <c r="F120" i="4"/>
  <c r="F422" i="4"/>
  <c r="D422" i="4"/>
  <c r="F79" i="4"/>
  <c r="D79" i="4"/>
  <c r="L18" i="3"/>
  <c r="K20" i="3"/>
  <c r="H18" i="3"/>
  <c r="K19" i="3"/>
  <c r="C24" i="4"/>
  <c r="B24" i="4"/>
  <c r="L211" i="3"/>
  <c r="H211" i="3"/>
  <c r="H358" i="3"/>
  <c r="K359" i="3"/>
  <c r="L358" i="3"/>
  <c r="K362" i="3"/>
  <c r="B277" i="4"/>
  <c r="C277" i="4"/>
  <c r="D294" i="4"/>
  <c r="F294" i="4"/>
  <c r="F85" i="4"/>
  <c r="D85" i="4"/>
  <c r="F445" i="4"/>
  <c r="D445" i="4"/>
  <c r="D249" i="4"/>
  <c r="F249" i="4"/>
  <c r="F166" i="4"/>
  <c r="D166" i="4"/>
  <c r="F341" i="4"/>
  <c r="D341" i="4"/>
  <c r="F173" i="4"/>
  <c r="D173" i="4"/>
  <c r="D328" i="4"/>
  <c r="F328" i="4"/>
  <c r="H558" i="3"/>
  <c r="L558" i="3"/>
  <c r="B401" i="4"/>
  <c r="C401" i="4"/>
  <c r="L13" i="3"/>
  <c r="H13" i="3"/>
  <c r="C19" i="4"/>
  <c r="B19" i="4"/>
  <c r="D169" i="4"/>
  <c r="F169" i="4"/>
  <c r="H213" i="3"/>
  <c r="L213" i="3"/>
  <c r="H320" i="3"/>
  <c r="K322" i="3"/>
  <c r="K321" i="3"/>
  <c r="L320" i="3"/>
  <c r="C250" i="4"/>
  <c r="B250" i="4"/>
  <c r="F23" i="10"/>
  <c r="F123" i="10"/>
  <c r="D44" i="4"/>
  <c r="F44" i="4"/>
  <c r="D478" i="4"/>
  <c r="F478" i="4"/>
  <c r="D331" i="4"/>
  <c r="F331" i="4"/>
  <c r="F183" i="10"/>
  <c r="F92" i="10"/>
  <c r="F157" i="10"/>
  <c r="F141" i="10"/>
  <c r="F108" i="10"/>
  <c r="F135" i="10"/>
  <c r="F119" i="10"/>
  <c r="F149" i="10"/>
  <c r="F103" i="10"/>
  <c r="F144" i="10"/>
  <c r="H144" i="10" s="1"/>
  <c r="F72" i="10"/>
  <c r="F68" i="10"/>
  <c r="F97" i="10"/>
  <c r="F162" i="10"/>
  <c r="F51" i="10"/>
  <c r="H51" i="10" s="1"/>
  <c r="D77" i="4"/>
  <c r="F77" i="4"/>
  <c r="C175" i="4"/>
  <c r="F175" i="4" s="1"/>
  <c r="L379" i="3"/>
  <c r="H379" i="3"/>
  <c r="C295" i="4"/>
  <c r="B295" i="4"/>
  <c r="L15" i="3"/>
  <c r="H15" i="3"/>
  <c r="C21" i="4"/>
  <c r="B21" i="4"/>
  <c r="H323" i="3"/>
  <c r="L323" i="3"/>
  <c r="C253" i="4"/>
  <c r="B253" i="4"/>
  <c r="L451" i="3"/>
  <c r="H451" i="3"/>
  <c r="L557" i="3"/>
  <c r="H557" i="3"/>
  <c r="C400" i="4"/>
  <c r="B400" i="4"/>
  <c r="F181" i="4"/>
  <c r="D181" i="4"/>
  <c r="D175" i="4"/>
  <c r="L380" i="3"/>
  <c r="H380" i="3"/>
  <c r="L14" i="3"/>
  <c r="H14" i="3"/>
  <c r="B20" i="4"/>
  <c r="C20" i="4"/>
  <c r="D201" i="4"/>
  <c r="F201" i="4"/>
  <c r="L212" i="3"/>
  <c r="H212" i="3"/>
  <c r="D272" i="4"/>
  <c r="F272" i="4"/>
  <c r="H473" i="3"/>
  <c r="L473" i="3"/>
  <c r="D168" i="4"/>
  <c r="F168" i="4"/>
  <c r="D189" i="4"/>
  <c r="F189" i="4"/>
  <c r="H326" i="3"/>
  <c r="L326" i="3"/>
  <c r="K461" i="3"/>
  <c r="K328" i="3"/>
  <c r="K182" i="3"/>
  <c r="K67" i="3"/>
  <c r="L44" i="3"/>
  <c r="H44" i="3"/>
  <c r="K45" i="3"/>
  <c r="C45" i="4"/>
  <c r="B45" i="4"/>
  <c r="L653" i="3"/>
  <c r="H653" i="3"/>
  <c r="K654" i="3"/>
  <c r="K657" i="3"/>
  <c r="K656" i="3"/>
  <c r="K655" i="3"/>
  <c r="C459" i="4"/>
  <c r="B459" i="4"/>
  <c r="D414" i="4"/>
  <c r="F414" i="4"/>
  <c r="D162" i="4"/>
  <c r="F162" i="4"/>
  <c r="D466" i="4"/>
  <c r="F466" i="4"/>
  <c r="L227" i="3"/>
  <c r="H227" i="3"/>
  <c r="H245" i="3"/>
  <c r="L245" i="3"/>
  <c r="C190" i="4"/>
  <c r="B190" i="4"/>
  <c r="H354" i="3"/>
  <c r="L354" i="3"/>
  <c r="B171" i="4"/>
  <c r="F65" i="4"/>
  <c r="D65" i="4"/>
  <c r="F304" i="4"/>
  <c r="D304" i="4"/>
  <c r="F80" i="4"/>
  <c r="D80" i="4"/>
  <c r="K240" i="3"/>
  <c r="K241" i="3"/>
  <c r="H239" i="3"/>
  <c r="L239" i="3"/>
  <c r="C184" i="4"/>
  <c r="B184" i="4"/>
  <c r="F97" i="4"/>
  <c r="D97" i="4"/>
  <c r="F99" i="4"/>
  <c r="D99" i="4"/>
  <c r="F98" i="4"/>
  <c r="D98" i="4"/>
  <c r="F475" i="4"/>
  <c r="D475" i="4"/>
  <c r="H352" i="3"/>
  <c r="L352" i="3"/>
  <c r="C274" i="4"/>
  <c r="B274" i="4"/>
  <c r="F418" i="4"/>
  <c r="D418" i="4"/>
  <c r="F260" i="4"/>
  <c r="D260" i="4"/>
  <c r="L226" i="3"/>
  <c r="H226" i="3"/>
  <c r="L247" i="3"/>
  <c r="H247" i="3"/>
  <c r="L327" i="3"/>
  <c r="H327" i="3"/>
  <c r="B455" i="4"/>
  <c r="C455" i="4"/>
  <c r="L70" i="3"/>
  <c r="H70" i="3"/>
  <c r="K72" i="3"/>
  <c r="K71" i="3"/>
  <c r="K80" i="3"/>
  <c r="C67" i="4"/>
  <c r="B67" i="4"/>
  <c r="L90" i="3"/>
  <c r="H90" i="3"/>
  <c r="B82" i="4"/>
  <c r="C82" i="4"/>
  <c r="L243" i="3"/>
  <c r="H243" i="3"/>
  <c r="C188" i="4"/>
  <c r="B188" i="4"/>
  <c r="D333" i="4"/>
  <c r="F333" i="4"/>
  <c r="F27" i="10" s="1"/>
  <c r="H27" i="10" s="1"/>
  <c r="F199" i="4"/>
  <c r="D199" i="4"/>
  <c r="L228" i="3"/>
  <c r="H228" i="3"/>
  <c r="L246" i="3"/>
  <c r="H246" i="3"/>
  <c r="B191" i="4"/>
  <c r="C191" i="4"/>
  <c r="L325" i="3"/>
  <c r="H325" i="3"/>
  <c r="C255" i="4"/>
  <c r="B255" i="4"/>
  <c r="H353" i="3"/>
  <c r="L353" i="3"/>
  <c r="F109" i="4"/>
  <c r="D109" i="4"/>
  <c r="K651" i="3"/>
  <c r="L650" i="3"/>
  <c r="H650" i="3"/>
  <c r="K652" i="3"/>
  <c r="C456" i="4"/>
  <c r="B456" i="4"/>
  <c r="K184" i="3"/>
  <c r="L183" i="3"/>
  <c r="K185" i="3"/>
  <c r="H183" i="3"/>
  <c r="B151" i="4"/>
  <c r="C151" i="4"/>
  <c r="L237" i="3"/>
  <c r="H237" i="3"/>
  <c r="C182" i="4"/>
  <c r="B182" i="4"/>
  <c r="L199" i="3"/>
  <c r="H199" i="3"/>
  <c r="D431" i="4"/>
  <c r="F431" i="4"/>
  <c r="F419" i="4"/>
  <c r="D419" i="4"/>
  <c r="L248" i="3"/>
  <c r="H248" i="3"/>
  <c r="B192" i="4"/>
  <c r="C192" i="4"/>
  <c r="D177" i="4"/>
  <c r="F177" i="4"/>
  <c r="H69" i="3"/>
  <c r="C66" i="4"/>
  <c r="B66" i="4"/>
  <c r="H89" i="3"/>
  <c r="L89" i="3"/>
  <c r="C81" i="4"/>
  <c r="B81" i="4"/>
  <c r="D375" i="4"/>
  <c r="F375" i="4"/>
  <c r="F332" i="4"/>
  <c r="D332" i="4"/>
  <c r="L238" i="3"/>
  <c r="H238" i="3"/>
  <c r="B183" i="4"/>
  <c r="C183" i="4"/>
  <c r="F323" i="4"/>
  <c r="D323" i="4"/>
  <c r="L594" i="3"/>
  <c r="H594" i="3"/>
  <c r="C432" i="4"/>
  <c r="B432" i="4"/>
  <c r="D17" i="4"/>
  <c r="F17" i="4"/>
  <c r="B172" i="4"/>
  <c r="L122" i="3"/>
  <c r="H122" i="3"/>
  <c r="K124" i="3"/>
  <c r="K123" i="3"/>
  <c r="C110" i="4"/>
  <c r="B110" i="4"/>
  <c r="L646" i="3"/>
  <c r="H646" i="3"/>
  <c r="C452" i="4"/>
  <c r="B452" i="4"/>
  <c r="F298" i="4"/>
  <c r="D298" i="4"/>
  <c r="H235" i="3"/>
  <c r="L235" i="3"/>
  <c r="B180" i="4"/>
  <c r="C180" i="4"/>
  <c r="K550" i="3"/>
  <c r="L81" i="3"/>
  <c r="H81" i="3"/>
  <c r="C73" i="4"/>
  <c r="B73" i="4"/>
  <c r="L242" i="3"/>
  <c r="H242" i="3"/>
  <c r="C187" i="4"/>
  <c r="B187" i="4"/>
  <c r="F176" i="4"/>
  <c r="D176" i="4"/>
  <c r="L201" i="3"/>
  <c r="H201" i="3"/>
  <c r="D368" i="4"/>
  <c r="F368" i="4"/>
  <c r="F434" i="4"/>
  <c r="D434" i="4"/>
  <c r="D28" i="4"/>
  <c r="F28" i="4"/>
  <c r="H334" i="3"/>
  <c r="L334" i="3"/>
  <c r="D119" i="4"/>
  <c r="F119" i="4"/>
  <c r="L644" i="3"/>
  <c r="H644" i="3"/>
  <c r="C450" i="4"/>
  <c r="B450" i="4"/>
  <c r="D446" i="4"/>
  <c r="F446" i="4"/>
  <c r="F420" i="4"/>
  <c r="D420" i="4"/>
  <c r="L335" i="3"/>
  <c r="H335" i="3"/>
  <c r="C262" i="4"/>
  <c r="B262" i="4"/>
  <c r="H470" i="3"/>
  <c r="L470" i="3"/>
  <c r="C339" i="4"/>
  <c r="B339" i="4"/>
  <c r="C172" i="4"/>
  <c r="L645" i="3"/>
  <c r="K648" i="3"/>
  <c r="H645" i="3"/>
  <c r="C451" i="4"/>
  <c r="B451" i="4"/>
  <c r="H310" i="3"/>
  <c r="L310" i="3"/>
  <c r="B243" i="4"/>
  <c r="C243" i="4"/>
  <c r="F29" i="4"/>
  <c r="D29" i="4"/>
  <c r="L200" i="3"/>
  <c r="H200" i="3"/>
  <c r="L446" i="3"/>
  <c r="H446" i="3"/>
  <c r="B324" i="4"/>
  <c r="C324" i="4"/>
  <c r="D22" i="4"/>
  <c r="F22" i="4"/>
  <c r="K679" i="3"/>
  <c r="L597" i="3"/>
  <c r="K599" i="3"/>
  <c r="H597" i="3"/>
  <c r="K598" i="3"/>
  <c r="B435" i="4"/>
  <c r="C435" i="4"/>
  <c r="D326" i="4"/>
  <c r="F326" i="4"/>
  <c r="D183" i="4" l="1"/>
  <c r="F183" i="4"/>
  <c r="L19" i="3"/>
  <c r="H19" i="3"/>
  <c r="C25" i="4"/>
  <c r="B25" i="4"/>
  <c r="D233" i="4"/>
  <c r="F233" i="4"/>
  <c r="D73" i="4"/>
  <c r="F73" i="4"/>
  <c r="F192" i="4"/>
  <c r="D192" i="4"/>
  <c r="L185" i="3"/>
  <c r="H185" i="3"/>
  <c r="B153" i="4"/>
  <c r="C153" i="4"/>
  <c r="F82" i="4"/>
  <c r="D82" i="4"/>
  <c r="L655" i="3"/>
  <c r="H655" i="3"/>
  <c r="C461" i="4"/>
  <c r="B461" i="4"/>
  <c r="L385" i="3"/>
  <c r="H385" i="3"/>
  <c r="L123" i="3"/>
  <c r="H123" i="3"/>
  <c r="C111" i="4"/>
  <c r="B111" i="4"/>
  <c r="F190" i="4"/>
  <c r="D190" i="4"/>
  <c r="L656" i="3"/>
  <c r="H656" i="3"/>
  <c r="B462" i="4"/>
  <c r="C462" i="4"/>
  <c r="F21" i="4"/>
  <c r="D21" i="4"/>
  <c r="L20" i="3"/>
  <c r="H20" i="3"/>
  <c r="H301" i="3"/>
  <c r="K309" i="3"/>
  <c r="L301" i="3"/>
  <c r="K302" i="3"/>
  <c r="K305" i="3"/>
  <c r="C234" i="4"/>
  <c r="B234" i="4"/>
  <c r="D113" i="4"/>
  <c r="F113" i="4"/>
  <c r="L387" i="3"/>
  <c r="H387" i="3"/>
  <c r="B301" i="4"/>
  <c r="C301" i="4"/>
  <c r="D262" i="4"/>
  <c r="F262" i="4"/>
  <c r="F17" i="10" s="1"/>
  <c r="L124" i="3"/>
  <c r="H124" i="3"/>
  <c r="C112" i="4"/>
  <c r="B112" i="4"/>
  <c r="L184" i="3"/>
  <c r="H184" i="3"/>
  <c r="C152" i="4"/>
  <c r="B152" i="4"/>
  <c r="F191" i="4"/>
  <c r="D191" i="4"/>
  <c r="F184" i="4"/>
  <c r="D184" i="4"/>
  <c r="L657" i="3"/>
  <c r="H657" i="3"/>
  <c r="B463" i="4"/>
  <c r="C463" i="4"/>
  <c r="F401" i="4"/>
  <c r="D401" i="4"/>
  <c r="L538" i="3"/>
  <c r="H538" i="3"/>
  <c r="C385" i="4"/>
  <c r="B385" i="4"/>
  <c r="L398" i="3"/>
  <c r="H398" i="3"/>
  <c r="C296" i="4"/>
  <c r="B296" i="4"/>
  <c r="F110" i="4"/>
  <c r="D110" i="4"/>
  <c r="F456" i="4"/>
  <c r="D456" i="4"/>
  <c r="D67" i="4"/>
  <c r="F67" i="4"/>
  <c r="L654" i="3"/>
  <c r="H654" i="3"/>
  <c r="B460" i="4"/>
  <c r="C460" i="4"/>
  <c r="D250" i="4"/>
  <c r="F250" i="4"/>
  <c r="H539" i="3"/>
  <c r="L539" i="3"/>
  <c r="C384" i="4"/>
  <c r="B384" i="4"/>
  <c r="F339" i="4"/>
  <c r="D339" i="4"/>
  <c r="D435" i="4"/>
  <c r="F435" i="4"/>
  <c r="K555" i="3"/>
  <c r="L550" i="3"/>
  <c r="H550" i="3"/>
  <c r="K552" i="3"/>
  <c r="K551" i="3"/>
  <c r="C393" i="4"/>
  <c r="B393" i="4"/>
  <c r="D389" i="4"/>
  <c r="F389" i="4"/>
  <c r="F151" i="10" s="1"/>
  <c r="D261" i="4"/>
  <c r="F261" i="4"/>
  <c r="L386" i="3"/>
  <c r="H386" i="3"/>
  <c r="B300" i="4"/>
  <c r="C300" i="4"/>
  <c r="L598" i="3"/>
  <c r="H598" i="3"/>
  <c r="B436" i="4"/>
  <c r="C436" i="4"/>
  <c r="F243" i="4"/>
  <c r="D243" i="4"/>
  <c r="F172" i="4"/>
  <c r="F33" i="10" s="1"/>
  <c r="D172" i="4"/>
  <c r="L652" i="3"/>
  <c r="H652" i="3"/>
  <c r="B458" i="4"/>
  <c r="C458" i="4"/>
  <c r="L80" i="3"/>
  <c r="H80" i="3"/>
  <c r="F295" i="4"/>
  <c r="D295" i="4"/>
  <c r="F178" i="4"/>
  <c r="D178" i="4"/>
  <c r="F325" i="4"/>
  <c r="F26" i="10" s="1"/>
  <c r="H26" i="10" s="1"/>
  <c r="D325" i="4"/>
  <c r="F81" i="4"/>
  <c r="D81" i="4"/>
  <c r="L71" i="3"/>
  <c r="H71" i="3"/>
  <c r="C68" i="4"/>
  <c r="B68" i="4"/>
  <c r="F274" i="4"/>
  <c r="D274" i="4"/>
  <c r="L241" i="3"/>
  <c r="H241" i="3"/>
  <c r="C186" i="4"/>
  <c r="B186" i="4"/>
  <c r="F45" i="4"/>
  <c r="D45" i="4"/>
  <c r="H321" i="3"/>
  <c r="L321" i="3"/>
  <c r="C251" i="4"/>
  <c r="B251" i="4"/>
  <c r="F277" i="4"/>
  <c r="D277" i="4"/>
  <c r="D453" i="4"/>
  <c r="F453" i="4"/>
  <c r="L599" i="3"/>
  <c r="H599" i="3"/>
  <c r="B437" i="4"/>
  <c r="C437" i="4"/>
  <c r="L72" i="3"/>
  <c r="K74" i="3"/>
  <c r="B26" i="4" s="1"/>
  <c r="H72" i="3"/>
  <c r="K76" i="3"/>
  <c r="K73" i="3"/>
  <c r="K75" i="3"/>
  <c r="K77" i="3"/>
  <c r="B69" i="4"/>
  <c r="C69" i="4"/>
  <c r="L240" i="3"/>
  <c r="H240" i="3"/>
  <c r="B185" i="4"/>
  <c r="C185" i="4"/>
  <c r="D400" i="4"/>
  <c r="F400" i="4"/>
  <c r="H322" i="3"/>
  <c r="K324" i="3"/>
  <c r="L322" i="3"/>
  <c r="C252" i="4"/>
  <c r="B252" i="4"/>
  <c r="H362" i="3"/>
  <c r="K364" i="3"/>
  <c r="L362" i="3"/>
  <c r="C281" i="4"/>
  <c r="B281" i="4"/>
  <c r="F282" i="4"/>
  <c r="D282" i="4"/>
  <c r="F451" i="4"/>
  <c r="D451" i="4"/>
  <c r="D432" i="4"/>
  <c r="F432" i="4"/>
  <c r="H651" i="3"/>
  <c r="L651" i="3"/>
  <c r="C457" i="4"/>
  <c r="B457" i="4"/>
  <c r="K46" i="3"/>
  <c r="K66" i="3"/>
  <c r="L45" i="3"/>
  <c r="H45" i="3"/>
  <c r="B46" i="4"/>
  <c r="C46" i="4"/>
  <c r="L679" i="3"/>
  <c r="H679" i="3"/>
  <c r="B106" i="4"/>
  <c r="C106" i="4"/>
  <c r="F182" i="4"/>
  <c r="D182" i="4"/>
  <c r="L359" i="3"/>
  <c r="H359" i="3"/>
  <c r="K361" i="3"/>
  <c r="C278" i="4"/>
  <c r="B278" i="4"/>
  <c r="D179" i="4"/>
  <c r="F179" i="4"/>
  <c r="D279" i="4"/>
  <c r="F279" i="4"/>
  <c r="F54" i="10" s="1"/>
  <c r="H54" i="10" s="1"/>
  <c r="D450" i="4"/>
  <c r="F450" i="4"/>
  <c r="F66" i="4"/>
  <c r="D66" i="4"/>
  <c r="D452" i="4"/>
  <c r="F452" i="4"/>
  <c r="F188" i="4"/>
  <c r="D188" i="4"/>
  <c r="F455" i="4"/>
  <c r="D455" i="4"/>
  <c r="H67" i="3"/>
  <c r="L67" i="3"/>
  <c r="F130" i="10"/>
  <c r="F84" i="10"/>
  <c r="L648" i="3"/>
  <c r="H648" i="3"/>
  <c r="C454" i="4"/>
  <c r="B454" i="4"/>
  <c r="F187" i="4"/>
  <c r="D187" i="4"/>
  <c r="L182" i="3"/>
  <c r="H182" i="3"/>
  <c r="C149" i="4"/>
  <c r="B149" i="4"/>
  <c r="D180" i="4"/>
  <c r="F180" i="4"/>
  <c r="F324" i="4"/>
  <c r="D324" i="4"/>
  <c r="F255" i="4"/>
  <c r="D255" i="4"/>
  <c r="H328" i="3"/>
  <c r="K331" i="3"/>
  <c r="K330" i="3"/>
  <c r="K329" i="3"/>
  <c r="L328" i="3"/>
  <c r="C256" i="4"/>
  <c r="B256" i="4"/>
  <c r="F253" i="4"/>
  <c r="F15" i="10" s="1"/>
  <c r="H15" i="10" s="1"/>
  <c r="D253" i="4"/>
  <c r="F19" i="4"/>
  <c r="D19" i="4"/>
  <c r="F24" i="4"/>
  <c r="D24" i="4"/>
  <c r="D302" i="4"/>
  <c r="F302" i="4"/>
  <c r="D303" i="4"/>
  <c r="F303" i="4"/>
  <c r="F151" i="4"/>
  <c r="D151" i="4"/>
  <c r="F171" i="4"/>
  <c r="F31" i="10" s="1"/>
  <c r="D171" i="4"/>
  <c r="D459" i="4"/>
  <c r="F459" i="4"/>
  <c r="K543" i="3"/>
  <c r="L461" i="3"/>
  <c r="K542" i="3"/>
  <c r="H461" i="3"/>
  <c r="K462" i="3"/>
  <c r="B337" i="4"/>
  <c r="C337" i="4"/>
  <c r="F20" i="4"/>
  <c r="D20" i="4"/>
  <c r="D23" i="4"/>
  <c r="F23" i="4"/>
  <c r="F342" i="4"/>
  <c r="D342" i="4"/>
  <c r="D299" i="4"/>
  <c r="F299" i="4"/>
  <c r="F256" i="4" l="1"/>
  <c r="D256" i="4"/>
  <c r="F458" i="4"/>
  <c r="D458" i="4"/>
  <c r="D152" i="4"/>
  <c r="F152" i="4"/>
  <c r="F20" i="10" s="1"/>
  <c r="H20" i="10" s="1"/>
  <c r="D234" i="4"/>
  <c r="F234" i="4"/>
  <c r="D106" i="4"/>
  <c r="F106" i="4"/>
  <c r="F68" i="4"/>
  <c r="D68" i="4"/>
  <c r="F153" i="4"/>
  <c r="D153" i="4"/>
  <c r="D185" i="4"/>
  <c r="F185" i="4"/>
  <c r="D385" i="4"/>
  <c r="F385" i="4"/>
  <c r="K642" i="3"/>
  <c r="H305" i="3"/>
  <c r="K307" i="3"/>
  <c r="L305" i="3"/>
  <c r="K306" i="3"/>
  <c r="L329" i="3"/>
  <c r="H329" i="3"/>
  <c r="C257" i="4"/>
  <c r="B257" i="4"/>
  <c r="F454" i="4"/>
  <c r="D454" i="4"/>
  <c r="F53" i="10"/>
  <c r="H53" i="10" s="1"/>
  <c r="F154" i="10"/>
  <c r="H154" i="10" s="1"/>
  <c r="E34" i="9" s="1"/>
  <c r="G34" i="9" s="1"/>
  <c r="D393" i="4"/>
  <c r="F393" i="4"/>
  <c r="K308" i="3"/>
  <c r="K303" i="3"/>
  <c r="L302" i="3"/>
  <c r="H302" i="3"/>
  <c r="K304" i="3"/>
  <c r="C235" i="4"/>
  <c r="B235" i="4"/>
  <c r="F281" i="4"/>
  <c r="D281" i="4"/>
  <c r="F112" i="4"/>
  <c r="D112" i="4"/>
  <c r="D111" i="4"/>
  <c r="F111" i="4"/>
  <c r="F46" i="4"/>
  <c r="D46" i="4"/>
  <c r="F69" i="4"/>
  <c r="D69" i="4"/>
  <c r="F251" i="4"/>
  <c r="D251" i="4"/>
  <c r="H551" i="3"/>
  <c r="L551" i="3"/>
  <c r="C394" i="4"/>
  <c r="B394" i="4"/>
  <c r="D460" i="4"/>
  <c r="F460" i="4"/>
  <c r="H309" i="3"/>
  <c r="L309" i="3"/>
  <c r="K311" i="3"/>
  <c r="B242" i="4"/>
  <c r="C242" i="4"/>
  <c r="K78" i="3"/>
  <c r="K349" i="3"/>
  <c r="K79" i="3"/>
  <c r="H77" i="3"/>
  <c r="L77" i="3"/>
  <c r="K553" i="3"/>
  <c r="L552" i="3"/>
  <c r="H552" i="3"/>
  <c r="K554" i="3"/>
  <c r="C395" i="4"/>
  <c r="B395" i="4"/>
  <c r="F55" i="10"/>
  <c r="F35" i="10"/>
  <c r="H35" i="10" s="1"/>
  <c r="F137" i="10"/>
  <c r="H137" i="10" s="1"/>
  <c r="E30" i="9" s="1"/>
  <c r="G30" i="9" s="1"/>
  <c r="F171" i="10"/>
  <c r="F94" i="10"/>
  <c r="F48" i="10"/>
  <c r="H48" i="10" s="1"/>
  <c r="F18" i="10"/>
  <c r="H18" i="10" s="1"/>
  <c r="F101" i="10"/>
  <c r="L331" i="3"/>
  <c r="H331" i="3"/>
  <c r="C259" i="4"/>
  <c r="B259" i="4"/>
  <c r="H364" i="3"/>
  <c r="L364" i="3"/>
  <c r="C283" i="4"/>
  <c r="B283" i="4"/>
  <c r="L75" i="3"/>
  <c r="H75" i="3"/>
  <c r="B71" i="4"/>
  <c r="C71" i="4"/>
  <c r="F64" i="10"/>
  <c r="H64" i="10" s="1"/>
  <c r="E16" i="9" s="1"/>
  <c r="G16" i="9" s="1"/>
  <c r="F16" i="10"/>
  <c r="H16" i="10" s="1"/>
  <c r="C26" i="4"/>
  <c r="D26" i="4" s="1"/>
  <c r="L66" i="3"/>
  <c r="H66" i="3"/>
  <c r="C64" i="4"/>
  <c r="B64" i="4"/>
  <c r="L73" i="3"/>
  <c r="H73" i="3"/>
  <c r="C70" i="4"/>
  <c r="B70" i="4"/>
  <c r="F436" i="4"/>
  <c r="D436" i="4"/>
  <c r="F278" i="4"/>
  <c r="D278" i="4"/>
  <c r="K48" i="3"/>
  <c r="K58" i="3"/>
  <c r="L46" i="3"/>
  <c r="H46" i="3"/>
  <c r="K47" i="3"/>
  <c r="C47" i="4"/>
  <c r="B47" i="4"/>
  <c r="F252" i="4"/>
  <c r="D252" i="4"/>
  <c r="L76" i="3"/>
  <c r="H76" i="3"/>
  <c r="C72" i="4"/>
  <c r="B72" i="4"/>
  <c r="H555" i="3"/>
  <c r="K556" i="3"/>
  <c r="L555" i="3"/>
  <c r="B398" i="4"/>
  <c r="C398" i="4"/>
  <c r="F463" i="4"/>
  <c r="D463" i="4"/>
  <c r="F337" i="4"/>
  <c r="D337" i="4"/>
  <c r="D457" i="4"/>
  <c r="F457" i="4"/>
  <c r="F461" i="4"/>
  <c r="D461" i="4"/>
  <c r="D25" i="4"/>
  <c r="F25" i="4"/>
  <c r="H330" i="3"/>
  <c r="L330" i="3"/>
  <c r="B258" i="4"/>
  <c r="C258" i="4"/>
  <c r="D186" i="4"/>
  <c r="F186" i="4"/>
  <c r="D301" i="4"/>
  <c r="F301" i="4"/>
  <c r="L462" i="3"/>
  <c r="H462" i="3"/>
  <c r="B336" i="4"/>
  <c r="C336" i="4"/>
  <c r="L361" i="3"/>
  <c r="H361" i="3"/>
  <c r="C280" i="4"/>
  <c r="B280" i="4"/>
  <c r="L74" i="3"/>
  <c r="H74" i="3"/>
  <c r="H324" i="3"/>
  <c r="L324" i="3"/>
  <c r="C254" i="4"/>
  <c r="B254" i="4"/>
  <c r="D300" i="4"/>
  <c r="F300" i="4"/>
  <c r="L542" i="3"/>
  <c r="H542" i="3"/>
  <c r="B387" i="4"/>
  <c r="C387" i="4"/>
  <c r="F149" i="4"/>
  <c r="D149" i="4"/>
  <c r="D437" i="4"/>
  <c r="F437" i="4"/>
  <c r="D384" i="4"/>
  <c r="F384" i="4"/>
  <c r="F28" i="10" s="1"/>
  <c r="H28" i="10" s="1"/>
  <c r="D296" i="4"/>
  <c r="F296" i="4"/>
  <c r="F22" i="10" s="1"/>
  <c r="H22" i="10" s="1"/>
  <c r="L543" i="3"/>
  <c r="H543" i="3"/>
  <c r="B388" i="4"/>
  <c r="C388" i="4"/>
  <c r="E4" i="9"/>
  <c r="G4" i="9" s="1"/>
  <c r="D462" i="4"/>
  <c r="F462" i="4"/>
  <c r="F258" i="4" l="1"/>
  <c r="D258" i="4"/>
  <c r="H556" i="3"/>
  <c r="C399" i="4"/>
  <c r="B399" i="4"/>
  <c r="D257" i="4"/>
  <c r="F257" i="4"/>
  <c r="F72" i="4"/>
  <c r="D72" i="4"/>
  <c r="F283" i="4"/>
  <c r="D283" i="4"/>
  <c r="F395" i="4"/>
  <c r="D395" i="4"/>
  <c r="F280" i="4"/>
  <c r="D280" i="4"/>
  <c r="F70" i="4"/>
  <c r="D70" i="4"/>
  <c r="H554" i="3"/>
  <c r="B397" i="4"/>
  <c r="C397" i="4"/>
  <c r="F394" i="4"/>
  <c r="D394" i="4"/>
  <c r="F235" i="4"/>
  <c r="F13" i="10" s="1"/>
  <c r="D235" i="4"/>
  <c r="F39" i="10"/>
  <c r="F176" i="10"/>
  <c r="F160" i="10"/>
  <c r="F107" i="10"/>
  <c r="F259" i="4"/>
  <c r="D259" i="4"/>
  <c r="L304" i="3"/>
  <c r="H304" i="3"/>
  <c r="B237" i="4"/>
  <c r="C237" i="4"/>
  <c r="H553" i="3"/>
  <c r="L553" i="3"/>
  <c r="B396" i="4"/>
  <c r="C396" i="4"/>
  <c r="H306" i="3"/>
  <c r="L306" i="3"/>
  <c r="B239" i="4"/>
  <c r="C239" i="4"/>
  <c r="F336" i="4"/>
  <c r="D336" i="4"/>
  <c r="F47" i="4"/>
  <c r="D47" i="4"/>
  <c r="F387" i="4"/>
  <c r="D387" i="4"/>
  <c r="H303" i="3"/>
  <c r="L303" i="3"/>
  <c r="B236" i="4"/>
  <c r="C236" i="4"/>
  <c r="H307" i="3"/>
  <c r="L307" i="3"/>
  <c r="C240" i="4"/>
  <c r="B240" i="4"/>
  <c r="L47" i="3"/>
  <c r="H47" i="3"/>
  <c r="C48" i="4"/>
  <c r="B48" i="4"/>
  <c r="H79" i="3"/>
  <c r="L79" i="3"/>
  <c r="L308" i="3"/>
  <c r="H308" i="3"/>
  <c r="B241" i="4"/>
  <c r="C241" i="4"/>
  <c r="F64" i="4"/>
  <c r="D64" i="4"/>
  <c r="K419" i="3"/>
  <c r="K415" i="3"/>
  <c r="K420" i="3"/>
  <c r="K416" i="3"/>
  <c r="L349" i="3"/>
  <c r="H349" i="3"/>
  <c r="C449" i="4"/>
  <c r="B449" i="4"/>
  <c r="D388" i="4"/>
  <c r="F388" i="4"/>
  <c r="L78" i="3"/>
  <c r="H78" i="3"/>
  <c r="D254" i="4"/>
  <c r="F254" i="4"/>
  <c r="L58" i="3"/>
  <c r="K60" i="3"/>
  <c r="H58" i="3"/>
  <c r="K59" i="3"/>
  <c r="K63" i="3"/>
  <c r="C59" i="4"/>
  <c r="B59" i="4"/>
  <c r="F398" i="4"/>
  <c r="D398" i="4"/>
  <c r="K51" i="3"/>
  <c r="L48" i="3"/>
  <c r="H48" i="3"/>
  <c r="K50" i="3"/>
  <c r="B49" i="4"/>
  <c r="C49" i="4"/>
  <c r="F242" i="4"/>
  <c r="D242" i="4"/>
  <c r="F26" i="4"/>
  <c r="F71" i="4"/>
  <c r="D71" i="4"/>
  <c r="H311" i="3"/>
  <c r="L311" i="3"/>
  <c r="C244" i="4"/>
  <c r="B244" i="4"/>
  <c r="F244" i="4" l="1"/>
  <c r="D244" i="4"/>
  <c r="K55" i="3"/>
  <c r="H51" i="3"/>
  <c r="L51" i="3"/>
  <c r="K53" i="3"/>
  <c r="K52" i="3"/>
  <c r="K54" i="3"/>
  <c r="C52" i="4"/>
  <c r="B52" i="4"/>
  <c r="D449" i="4"/>
  <c r="F449" i="4"/>
  <c r="D48" i="4"/>
  <c r="F48" i="4"/>
  <c r="F25" i="10"/>
  <c r="H25" i="10" s="1"/>
  <c r="E7" i="9" s="1"/>
  <c r="G7" i="9" s="1"/>
  <c r="F6" i="10"/>
  <c r="H6" i="10" s="1"/>
  <c r="F34" i="10"/>
  <c r="H34" i="10" s="1"/>
  <c r="E8" i="9" s="1"/>
  <c r="G8" i="9" s="1"/>
  <c r="D59" i="4"/>
  <c r="F59" i="4"/>
  <c r="L416" i="3"/>
  <c r="K418" i="3"/>
  <c r="H416" i="3"/>
  <c r="K417" i="3"/>
  <c r="F239" i="4"/>
  <c r="D239" i="4"/>
  <c r="K64" i="3"/>
  <c r="L63" i="3"/>
  <c r="K65" i="3"/>
  <c r="H63" i="3"/>
  <c r="C61" i="4"/>
  <c r="B61" i="4"/>
  <c r="L420" i="3"/>
  <c r="H420" i="3"/>
  <c r="F240" i="4"/>
  <c r="D240" i="4"/>
  <c r="L59" i="3"/>
  <c r="H59" i="3"/>
  <c r="B60" i="4"/>
  <c r="C60" i="4"/>
  <c r="K438" i="3"/>
  <c r="K435" i="3"/>
  <c r="K434" i="3"/>
  <c r="K436" i="3"/>
  <c r="L415" i="3"/>
  <c r="H415" i="3"/>
  <c r="K437" i="3"/>
  <c r="F177" i="10"/>
  <c r="F5" i="10"/>
  <c r="K421" i="3"/>
  <c r="L419" i="3"/>
  <c r="H419" i="3"/>
  <c r="L60" i="3"/>
  <c r="K348" i="3"/>
  <c r="K62" i="3"/>
  <c r="H60" i="3"/>
  <c r="K61" i="3"/>
  <c r="F396" i="4"/>
  <c r="D396" i="4"/>
  <c r="D399" i="4"/>
  <c r="F399" i="4"/>
  <c r="F236" i="4"/>
  <c r="D236" i="4"/>
  <c r="F397" i="4"/>
  <c r="D397" i="4"/>
  <c r="F241" i="4"/>
  <c r="D241" i="4"/>
  <c r="F237" i="4"/>
  <c r="D237" i="4"/>
  <c r="D49" i="4"/>
  <c r="F49" i="4"/>
  <c r="L50" i="3"/>
  <c r="H50" i="3"/>
  <c r="B51" i="4"/>
  <c r="C51" i="4"/>
  <c r="F66" i="10" l="1"/>
  <c r="F70" i="10"/>
  <c r="F21" i="10"/>
  <c r="F12" i="10"/>
  <c r="L65" i="3"/>
  <c r="H65" i="3"/>
  <c r="B63" i="4"/>
  <c r="C63" i="4"/>
  <c r="L437" i="3"/>
  <c r="H437" i="3"/>
  <c r="L436" i="3"/>
  <c r="H436" i="3"/>
  <c r="L434" i="3"/>
  <c r="H434" i="3"/>
  <c r="L64" i="3"/>
  <c r="H64" i="3"/>
  <c r="C62" i="4"/>
  <c r="B62" i="4"/>
  <c r="F52" i="4"/>
  <c r="D52" i="4"/>
  <c r="L61" i="3"/>
  <c r="H61" i="3"/>
  <c r="L438" i="3"/>
  <c r="H438" i="3"/>
  <c r="L54" i="3"/>
  <c r="H54" i="3"/>
  <c r="C55" i="4"/>
  <c r="B55" i="4"/>
  <c r="L417" i="3"/>
  <c r="H417" i="3"/>
  <c r="L52" i="3"/>
  <c r="H52" i="3"/>
  <c r="B53" i="4"/>
  <c r="C53" i="4"/>
  <c r="F60" i="4"/>
  <c r="D60" i="4"/>
  <c r="L53" i="3"/>
  <c r="H53" i="3"/>
  <c r="C54" i="4"/>
  <c r="B54" i="4"/>
  <c r="F61" i="4"/>
  <c r="D61" i="4"/>
  <c r="L62" i="3"/>
  <c r="H62" i="3"/>
  <c r="H348" i="3"/>
  <c r="K413" i="3"/>
  <c r="K409" i="3"/>
  <c r="K412" i="3"/>
  <c r="K408" i="3"/>
  <c r="L348" i="3"/>
  <c r="L418" i="3"/>
  <c r="H418" i="3"/>
  <c r="L435" i="3"/>
  <c r="H435" i="3"/>
  <c r="K347" i="3"/>
  <c r="L55" i="3"/>
  <c r="K57" i="3"/>
  <c r="H55" i="3"/>
  <c r="K56" i="3"/>
  <c r="C56" i="4"/>
  <c r="B56" i="4"/>
  <c r="F51" i="4"/>
  <c r="D51" i="4"/>
  <c r="L421" i="3"/>
  <c r="H421" i="3"/>
  <c r="L412" i="3" l="1"/>
  <c r="H412" i="3"/>
  <c r="K414" i="3"/>
  <c r="L409" i="3"/>
  <c r="H409" i="3"/>
  <c r="K411" i="3"/>
  <c r="K410" i="3"/>
  <c r="L413" i="3"/>
  <c r="H413" i="3"/>
  <c r="F56" i="4"/>
  <c r="D56" i="4"/>
  <c r="F55" i="4"/>
  <c r="D55" i="4"/>
  <c r="L56" i="3"/>
  <c r="H56" i="3"/>
  <c r="C57" i="4"/>
  <c r="B57" i="4"/>
  <c r="L57" i="3"/>
  <c r="H57" i="3"/>
  <c r="B58" i="4"/>
  <c r="C58" i="4"/>
  <c r="F63" i="4"/>
  <c r="D63" i="4"/>
  <c r="F54" i="4"/>
  <c r="D54" i="4"/>
  <c r="K406" i="3"/>
  <c r="K402" i="3"/>
  <c r="K401" i="3"/>
  <c r="K405" i="3"/>
  <c r="L347" i="3"/>
  <c r="H347" i="3"/>
  <c r="B271" i="4"/>
  <c r="C271" i="4"/>
  <c r="F62" i="4"/>
  <c r="D62" i="4"/>
  <c r="L408" i="3"/>
  <c r="K429" i="3"/>
  <c r="K430" i="3"/>
  <c r="K432" i="3"/>
  <c r="K431" i="3"/>
  <c r="K428" i="3"/>
  <c r="H408" i="3"/>
  <c r="D53" i="4"/>
  <c r="F53" i="4"/>
  <c r="K422" i="3" l="1"/>
  <c r="K425" i="3"/>
  <c r="K424" i="3"/>
  <c r="L401" i="3"/>
  <c r="H401" i="3"/>
  <c r="K423" i="3"/>
  <c r="K426" i="3"/>
  <c r="B310" i="4"/>
  <c r="C310" i="4"/>
  <c r="L402" i="3"/>
  <c r="K404" i="3"/>
  <c r="K403" i="3"/>
  <c r="H402" i="3"/>
  <c r="B311" i="4"/>
  <c r="C311" i="4"/>
  <c r="F164" i="10"/>
  <c r="F122" i="10"/>
  <c r="F3" i="10"/>
  <c r="H3" i="10" s="1"/>
  <c r="F105" i="10"/>
  <c r="F100" i="10"/>
  <c r="F111" i="10"/>
  <c r="F10" i="10"/>
  <c r="F95" i="10"/>
  <c r="H405" i="3"/>
  <c r="K407" i="3"/>
  <c r="L405" i="3"/>
  <c r="C312" i="4"/>
  <c r="B312" i="4"/>
  <c r="F271" i="4"/>
  <c r="D271" i="4"/>
  <c r="L432" i="3"/>
  <c r="H432" i="3"/>
  <c r="L410" i="3"/>
  <c r="H410" i="3"/>
  <c r="L406" i="3"/>
  <c r="H406" i="3"/>
  <c r="C273" i="4"/>
  <c r="B273" i="4"/>
  <c r="L430" i="3"/>
  <c r="H430" i="3"/>
  <c r="H411" i="3"/>
  <c r="L411" i="3"/>
  <c r="F58" i="4"/>
  <c r="D58" i="4"/>
  <c r="L428" i="3"/>
  <c r="H428" i="3"/>
  <c r="L431" i="3"/>
  <c r="H431" i="3"/>
  <c r="L414" i="3"/>
  <c r="H414" i="3"/>
  <c r="L429" i="3"/>
  <c r="H429" i="3"/>
  <c r="D57" i="4"/>
  <c r="F57" i="4"/>
  <c r="D311" i="4" l="1"/>
  <c r="F311" i="4"/>
  <c r="D312" i="4"/>
  <c r="F312" i="4"/>
  <c r="L403" i="3"/>
  <c r="H403" i="3"/>
  <c r="C18" i="4"/>
  <c r="B18" i="4"/>
  <c r="L404" i="3"/>
  <c r="H404" i="3"/>
  <c r="C238" i="4"/>
  <c r="B238" i="4"/>
  <c r="F310" i="4"/>
  <c r="D310" i="4"/>
  <c r="F24" i="10"/>
  <c r="H24" i="10" s="1"/>
  <c r="E6" i="9" s="1"/>
  <c r="G6" i="9" s="1"/>
  <c r="F19" i="10"/>
  <c r="H19" i="10" s="1"/>
  <c r="E5" i="9" s="1"/>
  <c r="G5" i="9" s="1"/>
  <c r="F131" i="10"/>
  <c r="H131" i="10" s="1"/>
  <c r="E29" i="9" s="1"/>
  <c r="G29" i="9" s="1"/>
  <c r="F121" i="10"/>
  <c r="F47" i="10"/>
  <c r="H47" i="10" s="1"/>
  <c r="F59" i="10"/>
  <c r="H59" i="10" s="1"/>
  <c r="E14" i="9" s="1"/>
  <c r="G14" i="9" s="1"/>
  <c r="F43" i="10"/>
  <c r="H43" i="10" s="1"/>
  <c r="E11" i="9" s="1"/>
  <c r="G11" i="9" s="1"/>
  <c r="F2" i="10"/>
  <c r="H2" i="10" s="1"/>
  <c r="F67" i="10"/>
  <c r="H67" i="10" s="1"/>
  <c r="E17" i="9" s="1"/>
  <c r="G17" i="9" s="1"/>
  <c r="F56" i="10"/>
  <c r="H56" i="10" s="1"/>
  <c r="E13" i="9" s="1"/>
  <c r="G13" i="9" s="1"/>
  <c r="F36" i="10"/>
  <c r="H36" i="10" s="1"/>
  <c r="E9" i="9" s="1"/>
  <c r="G9" i="9" s="1"/>
  <c r="L426" i="3"/>
  <c r="H426" i="3"/>
  <c r="C317" i="4"/>
  <c r="B317" i="4"/>
  <c r="F65" i="10"/>
  <c r="F4" i="10"/>
  <c r="H4" i="10" s="1"/>
  <c r="L423" i="3"/>
  <c r="H423" i="3"/>
  <c r="B314" i="4"/>
  <c r="C314" i="4"/>
  <c r="L407" i="3"/>
  <c r="H407" i="3"/>
  <c r="C313" i="4"/>
  <c r="B313" i="4"/>
  <c r="L424" i="3"/>
  <c r="H424" i="3"/>
  <c r="B315" i="4"/>
  <c r="C315" i="4"/>
  <c r="L425" i="3"/>
  <c r="H425" i="3"/>
  <c r="B316" i="4"/>
  <c r="C316" i="4"/>
  <c r="F273" i="4"/>
  <c r="F11" i="10" s="1"/>
  <c r="D273" i="4"/>
  <c r="L422" i="3"/>
  <c r="H422" i="3"/>
  <c r="B268" i="4"/>
  <c r="C268" i="4"/>
  <c r="D316" i="4" l="1"/>
  <c r="F316" i="4"/>
  <c r="F317" i="4"/>
  <c r="D317" i="4"/>
  <c r="F238" i="4"/>
  <c r="F14" i="10" s="1"/>
  <c r="D238" i="4"/>
  <c r="D315" i="4"/>
  <c r="F315" i="4"/>
  <c r="F18" i="4"/>
  <c r="D18" i="4"/>
  <c r="E2" i="9"/>
  <c r="G2" i="9" s="1"/>
  <c r="D314" i="4"/>
  <c r="F314" i="4"/>
  <c r="D313" i="4"/>
  <c r="F313" i="4"/>
  <c r="D268" i="4"/>
  <c r="F268" i="4"/>
  <c r="F9" i="10" l="1"/>
  <c r="H9" i="10" s="1"/>
  <c r="E3" i="9" s="1"/>
  <c r="G3" i="9" s="1"/>
  <c r="F41" i="10"/>
  <c r="H41" i="10" s="1"/>
  <c r="F38" i="10"/>
  <c r="H38" i="10" s="1"/>
  <c r="E10" i="9" s="1"/>
  <c r="G10" i="9" s="1"/>
  <c r="F158" i="10"/>
  <c r="F61" i="10"/>
  <c r="H61" i="10" s="1"/>
  <c r="E15" i="9" s="1"/>
  <c r="G15" i="9" s="1"/>
  <c r="F8" i="10"/>
  <c r="F46" i="10"/>
  <c r="F40" i="10"/>
  <c r="F7" i="10"/>
  <c r="F42" i="10"/>
  <c r="F145" i="10"/>
  <c r="H145" i="10" s="1"/>
  <c r="E32" i="9" s="1"/>
  <c r="G32" i="9" s="1"/>
  <c r="F52" i="10"/>
  <c r="H52" i="10" s="1"/>
  <c r="E12" i="9" s="1"/>
  <c r="G12" i="9" s="1"/>
</calcChain>
</file>

<file path=xl/sharedStrings.xml><?xml version="1.0" encoding="utf-8"?>
<sst xmlns="http://schemas.openxmlformats.org/spreadsheetml/2006/main" count="15821" uniqueCount="3789">
  <si>
    <t>インバータ重量感度解析 Excel単体版 v3.2（VBAなし）</t>
  </si>
  <si>
    <t>固定要求</t>
  </si>
  <si>
    <t>定格出力 P_out はアプリケーション側で決まる固定要求とし、感度ツリーの子ノードには配置しません。計算式では定数入力として参照します。</t>
  </si>
  <si>
    <t>設計変数</t>
  </si>
  <si>
    <t>V_dc、V_ll、f_sw、チップ面積、耐圧設計、電流密度、冷却流速、バスバー温度余裕、EMI遮断周波数など、設計余地がある変数を感度対象にします。</t>
  </si>
  <si>
    <t>半導体深化</t>
  </si>
  <si>
    <t>V_dc→必要耐圧→ドリフト層厚/ドーピング→比オン抵抗→R_on、およびチップ面積→R_on低下/C_oss増加/チップ重量増加を別経路で表現します。</t>
  </si>
  <si>
    <t>感度</t>
  </si>
  <si>
    <t>局所弾性 ε を親式ごとに定義し、S_child=S_parent×ε でトップ重量まで伝播します。重量列は |S|×M_inv の感度等価重量です。</t>
  </si>
  <si>
    <t>トレードオフ</t>
  </si>
  <si>
    <t>同一変数が複数経路に現れる場合、ダッシュボードで重量増加側・減少側・ネット感度を集計します。</t>
  </si>
  <si>
    <t>Level 12</t>
  </si>
  <si>
    <t>主要枝を最大Level 12まで深化しています。式右辺の変数は下位ノードの変数列に接続します。</t>
  </si>
  <si>
    <t>位置付け</t>
  </si>
  <si>
    <t>説明・デモ用の独立Excel版です。本流の要求仕様書・DB設計・プログラム版には影響させません。</t>
  </si>
  <si>
    <t>式・係数は説明用簡易モデルです。半導体の耐圧―ドリフト層―オン抵抗―寄生容量などの物理関係は方向性とトレードオフをExcelで追跡するための近似です。実設計ではデバイスデータ/TCAD/損失マップへ置換してください。</t>
  </si>
  <si>
    <t>入力体系 v1.1</t>
  </si>
  <si>
    <t>① システム要求</t>
  </si>
  <si>
    <t>07_システム要求を入力</t>
  </si>
  <si>
    <t>② シナリオ設計選択</t>
  </si>
  <si>
    <t>10_シナリオ入力の20項目だけ必要に応じ変更</t>
  </si>
  <si>
    <t>③ 基準仕様</t>
  </si>
  <si>
    <t>09_基準仕様は材料/技術世代変更時のみ編集</t>
  </si>
  <si>
    <t>v2.2ダッシュボード</t>
  </si>
  <si>
    <t>03_ダッシュボードは02_ツリーのQ=変数初出判定、R=変数連番から一意変数を自動表示します。通常QはCOUNTIF初出判定式。artifact_toolの文字列再計算不具合が出る6つの一意変数のみ、構造監査で唯一性を確認したうえでQを=1式としています（固定値手入力ではありません）。</t>
  </si>
  <si>
    <t>感度計算経路</t>
  </si>
  <si>
    <t>主要計算経路は02_ツリーのParent ID、現在値F、説明式I、局所弾性J、正規化感度K、備考Nで追跡します。MAX/IF/トポロジー切替は式と備考に明示します。</t>
  </si>
  <si>
    <t>互換性</t>
  </si>
  <si>
    <t>ダッシュボード式はINDEX/MATCH/SUMIFS/AGGREGATEのみを使用し、スピル配列は不使用。</t>
  </si>
  <si>
    <t>v2.3 双方向GaN</t>
  </si>
  <si>
    <t>R038をmonolithic bidirectional GaNへ深化。CSIで別体逆阻止ダイオード削減、Ron/SW損失、dual-gate、substrate management、1200V適合、高周波化余地をモデル化。</t>
  </si>
  <si>
    <t>評価方法</t>
  </si>
  <si>
    <t>Enable_BD_GaNはCSI=1時のみ有効。Eon/Eoff/Eossが0ならk_BD_GaN_Esw_ratioを使用。高周波化余地は診断値でありf_swを自動変更しない。</t>
  </si>
  <si>
    <t>v3.0</t>
  </si>
  <si>
    <t>物理階層・二重計上・F式・J/K・研究将来技術・シート間参照・表示説明式を再監査。CSI/DCDC/LdcはDCDC機能と独立半導体段を分離し、同一Ldcを1回だけ計上。</t>
  </si>
  <si>
    <t>v3.1</t>
  </si>
  <si>
    <t>v3.0後監査で検出したDPWM局所感度・表示経路とL重量係数J式を是正。DPWM C枝を局所展開し、Enableのシナリオ差分と連続パラメータ感度を分離。</t>
  </si>
  <si>
    <t>v3.2</t>
  </si>
  <si>
    <t>Phase9最終回帰・残件解消を完了。Dashboard 468/468一致、Level自動計算整合、入力/基準仕様640件監査OK、主要シナリオ回帰、Structure/F/J/K/Level/cross-sheet/formula error監査を通過した最終リリース候補。</t>
  </si>
  <si>
    <t>01_入力仕様：固定要求・設計仕様・技術パラメータ</t>
  </si>
  <si>
    <t>システム推奨値</t>
  </si>
  <si>
    <t>自動計算/根拠</t>
  </si>
  <si>
    <t>適用区分</t>
  </si>
  <si>
    <t>手動上書き値</t>
  </si>
  <si>
    <t>新入力分類</t>
  </si>
  <si>
    <t>参照元</t>
  </si>
  <si>
    <t>ユーザー操作</t>
  </si>
  <si>
    <t>入力自動化備考</t>
  </si>
  <si>
    <t>分類</t>
  </si>
  <si>
    <t>仕様 / 技術パラメータ</t>
  </si>
  <si>
    <t>変数</t>
  </si>
  <si>
    <t>入力値</t>
  </si>
  <si>
    <t>単位</t>
  </si>
  <si>
    <t>主な影響先</t>
  </si>
  <si>
    <t>備考</t>
  </si>
  <si>
    <t>入力区分</t>
  </si>
  <si>
    <t>感度対象</t>
  </si>
  <si>
    <t>システム要求</t>
  </si>
  <si>
    <t>定格出力</t>
  </si>
  <si>
    <t>P_out</t>
  </si>
  <si>
    <t>kW</t>
  </si>
  <si>
    <t>電流・損失・容量</t>
  </si>
  <si>
    <t>上位アプリケーションで決定</t>
  </si>
  <si>
    <t>対象外</t>
  </si>
  <si>
    <t>上位システム定格出力</t>
  </si>
  <si>
    <t>自動</t>
  </si>
  <si>
    <t>システム要求→自動計算</t>
  </si>
  <si>
    <t>07_システム要求</t>
  </si>
  <si>
    <t>システム要求のみ編集</t>
  </si>
  <si>
    <t>D列は直接編集せず参照元を編集</t>
  </si>
  <si>
    <t>製品仕様</t>
  </si>
  <si>
    <t>DCバス電圧</t>
  </si>
  <si>
    <t>V_dc</t>
  </si>
  <si>
    <t>V</t>
  </si>
  <si>
    <t>耐圧・Psw・Cdc・Idc・EMI</t>
  </si>
  <si>
    <t>変更余地あり</t>
  </si>
  <si>
    <t>対象</t>
  </si>
  <si>
    <t>DCバス公称電圧</t>
  </si>
  <si>
    <t>モータ線間電圧RMS</t>
  </si>
  <si>
    <t>V_ll</t>
  </si>
  <si>
    <t>相電流</t>
  </si>
  <si>
    <t>モータ巻線構成等で変更余地</t>
  </si>
  <si>
    <t>モータ最大線間電圧。モータ協調設計のため手動上書きを維持</t>
  </si>
  <si>
    <t>推奨のみ</t>
  </si>
  <si>
    <t>力率</t>
  </si>
  <si>
    <t>PF</t>
  </si>
  <si>
    <t>-</t>
  </si>
  <si>
    <t>モータ/制御で改善余地</t>
  </si>
  <si>
    <t>目標力率</t>
  </si>
  <si>
    <t>インバータ効率</t>
  </si>
  <si>
    <t>eta</t>
  </si>
  <si>
    <t>相/DC電流</t>
  </si>
  <si>
    <t>簡易扱い</t>
  </si>
  <si>
    <t>目標変換効率</t>
  </si>
  <si>
    <t>スイッチング周波数</t>
  </si>
  <si>
    <t>f_sw</t>
  </si>
  <si>
    <t>Hz</t>
  </si>
  <si>
    <t>SW損失・EMI</t>
  </si>
  <si>
    <t>主要トレードオフ</t>
  </si>
  <si>
    <t>最高電気周波数×最低PWM回数。可聴域回避要求も考慮</t>
  </si>
  <si>
    <t>許容DC電圧リップル率</t>
  </si>
  <si>
    <t>r_vdc</t>
  </si>
  <si>
    <t>C_req</t>
  </si>
  <si>
    <t>DCリンク電圧リップル許容値5%を基準設計値として採用。物理定数ではなくC_reqを決めるシステム設計要求。実機のDCバス品質要求に合わせて変更する。</t>
  </si>
  <si>
    <t>基準仕様（シナリオ間固定）</t>
  </si>
  <si>
    <t>09_基準仕様</t>
  </si>
  <si>
    <t>通常は編集しない</t>
  </si>
  <si>
    <t>DCリンクバッファ時間</t>
  </si>
  <si>
    <t>t_buf</t>
  </si>
  <si>
    <t>s</t>
  </si>
  <si>
    <t>DCリンクCのエネルギーバッファ時間0.5 msを基準設計値として採用。物理定数ではなくC_reqを決める簡略設計仮定。負荷過渡/制御帯域の要求で校正する。</t>
  </si>
  <si>
    <t>半導体</t>
  </si>
  <si>
    <t>パワーデバイス総数</t>
  </si>
  <si>
    <t>N_power_device_total</t>
  </si>
  <si>
    <t>個</t>
  </si>
  <si>
    <t>M_semi/P_sw</t>
  </si>
  <si>
    <t>トポロジー自動算出</t>
  </si>
  <si>
    <t>通常は直接編集しない</t>
  </si>
  <si>
    <t>VSIトポロジー/CSIから自動算出</t>
  </si>
  <si>
    <t>DC電圧→必要耐圧係数</t>
  </si>
  <si>
    <t>K_vblk</t>
  </si>
  <si>
    <t>V_block_req</t>
  </si>
  <si>
    <t>2L-VSI/CSIでは K_vblk×Vdc+surge。3L-NPC/ANPCでは Vdc/2+surge とし、K_vblkは3L枝に適用しない。</t>
  </si>
  <si>
    <t>技術係数</t>
  </si>
  <si>
    <t>ドリフト層電界利用率</t>
  </si>
  <si>
    <t>k_Euse</t>
  </si>
  <si>
    <t>E_allow</t>
  </si>
  <si>
    <t>材料臨界電界E_critをそのまま使わず72%に制限する設計利用率。欠陥・温度・電界集中・信頼性余裕をまとめた簡略係数で、普遍定数ではない。</t>
  </si>
  <si>
    <t>材料臨界電界</t>
  </si>
  <si>
    <t>E_crit</t>
  </si>
  <si>
    <t>V/m</t>
  </si>
  <si>
    <t>4H-SiCの臨界電界の代表値として2.5 MV/cm (=2.5×10^8 V/m)を採用。結晶方位・ドーピング・温度で変化するため、設計余裕は別変数k_Euseで与える。参考: https://repository.kulib.kyoto-u.ac.jp/dspace/bitstream/2433/288729/1/dkogk05254.pdf</t>
  </si>
  <si>
    <t>材料</t>
  </si>
  <si>
    <t>ドリフト層厚余裕係数</t>
  </si>
  <si>
    <t>K_tdrift</t>
  </si>
  <si>
    <t>t_drift</t>
  </si>
  <si>
    <t>理想ドリフト層厚に15%余裕を持たせる簡略安全係数。端部電界・製造ばらつき等をまとめた設計仮定で、デバイス実測/TCADで校正する。</t>
  </si>
  <si>
    <t>基準ドーピング濃度</t>
  </si>
  <si>
    <t>N_d_ref</t>
  </si>
  <si>
    <t>1/m³</t>
  </si>
  <si>
    <t>N_drift</t>
  </si>
  <si>
    <t>説明用</t>
  </si>
  <si>
    <t>耐圧基準</t>
  </si>
  <si>
    <t>V_ref_nd</t>
  </si>
  <si>
    <t>ドリフト層ドーピングの正規化基準として1200 Vを採用。物理定数ではなく比率式の基準点。1200 V級SiCデバイスを基準にしたモデル正規化値。</t>
  </si>
  <si>
    <t>ドーピング耐圧指数</t>
  </si>
  <si>
    <t>a_nd</t>
  </si>
  <si>
    <t>N∝V^-a</t>
  </si>
  <si>
    <t>電子移動度</t>
  </si>
  <si>
    <t>mu_n</t>
  </si>
  <si>
    <t>m²/(V·s)</t>
  </si>
  <si>
    <t>rho_drift</t>
  </si>
  <si>
    <t>説明用SiC</t>
  </si>
  <si>
    <t>素電荷</t>
  </si>
  <si>
    <t>q_e</t>
  </si>
  <si>
    <t>C</t>
  </si>
  <si>
    <t>物理定数</t>
  </si>
  <si>
    <t>固定定数</t>
  </si>
  <si>
    <t>比オン抵抗補正係数</t>
  </si>
  <si>
    <t>K_rsp</t>
  </si>
  <si>
    <t>Rsp_drift</t>
  </si>
  <si>
    <t>比オン抵抗簡略式の補正係数。初期値1.0は基準モデルをそのまま用いる意味で、実デバイスR_on,spとの比較で校正する。</t>
  </si>
  <si>
    <t>セル/コンタクト抵抗面積積</t>
  </si>
  <si>
    <t>Rsp_cell</t>
  </si>
  <si>
    <t>Ω·mm²</t>
  </si>
  <si>
    <t>Rsp_total</t>
  </si>
  <si>
    <t>チップ面積</t>
  </si>
  <si>
    <t>A_chip</t>
  </si>
  <si>
    <t>mm²</t>
  </si>
  <si>
    <t>Ron,Coss,m_chip</t>
  </si>
  <si>
    <t>現製品基準のチップ面積スケーリング。探索変数なので固定しない</t>
  </si>
  <si>
    <t>チップ厚さ</t>
  </si>
  <si>
    <t>t_chip</t>
  </si>
  <si>
    <t>mm</t>
  </si>
  <si>
    <t>m_chip</t>
  </si>
  <si>
    <t>パワー半導体チップの基準厚さ0.18 mm。物理定数ではなく重量換算用の設計値で、実採用ウェハ/ダイ厚に置換する。</t>
  </si>
  <si>
    <t>チップ密度</t>
  </si>
  <si>
    <t>rho_chip</t>
  </si>
  <si>
    <t>kg/m³</t>
  </si>
  <si>
    <t>SiC</t>
  </si>
  <si>
    <t>出力容量面積係数</t>
  </si>
  <si>
    <t>Coss_area_ref</t>
  </si>
  <si>
    <t>nF/mm²</t>
  </si>
  <si>
    <t>Coss</t>
  </si>
  <si>
    <t>容量耐圧指数</t>
  </si>
  <si>
    <t>b_coss</t>
  </si>
  <si>
    <t>Coss∝V^-b</t>
  </si>
  <si>
    <t>容量耐圧基準</t>
  </si>
  <si>
    <t>V_ref_coss</t>
  </si>
  <si>
    <t>Cossの耐圧依存を正規化する基準電圧1200 V。物理定数ではなく1200 V級デバイスを基準にしたモデル係数。</t>
  </si>
  <si>
    <t>スイッチングエネルギー容量係数</t>
  </si>
  <si>
    <t>K_esw</t>
  </si>
  <si>
    <t>E_sw</t>
  </si>
  <si>
    <t>0.5CV²簡略化</t>
  </si>
  <si>
    <t>チップ数係数</t>
  </si>
  <si>
    <t>k_chip</t>
  </si>
  <si>
    <t>N_chip_mod</t>
  </si>
  <si>
    <t>電流分担・温度・信頼性余裕を含め、理論必要チップ数へ25%余裕を与える簡略係数。実デバイスSOA/熱設計で校正する。</t>
  </si>
  <si>
    <t>チップ許容電流密度</t>
  </si>
  <si>
    <t>J_chip</t>
  </si>
  <si>
    <t>A/mm²</t>
  </si>
  <si>
    <t>I_chip</t>
  </si>
  <si>
    <t>チップ面積推定用の基準電流密度1.15 A/mm²。物理定数ではなく100 kW級の一次面積見積り用設計仮定。採用チップの定格電流・実効面積で必ず校正する。</t>
  </si>
  <si>
    <t>チップ有効面積率</t>
  </si>
  <si>
    <t>k_active</t>
  </si>
  <si>
    <t>A_active</t>
  </si>
  <si>
    <t>ダイ外形面積に対する有効通電領域72%の簡略仮定。端部終端・ゲート/パッド領域を除外する面積利用率で、レイアウト実測で校正する。</t>
  </si>
  <si>
    <t>DBC面積</t>
  </si>
  <si>
    <t>A_dbc</t>
  </si>
  <si>
    <t>m_dbc</t>
  </si>
  <si>
    <t>100 kW級基準モデルのDBC面積として置いた初期設計値。物理定数ではない。m_dbcの一次見積り用で、実機BOM・CAD・採用部品データに置換/校正する。</t>
  </si>
  <si>
    <t>DBC等価厚さ</t>
  </si>
  <si>
    <t>t_dbc</t>
  </si>
  <si>
    <t>100 kW級基準モデルのDBC等価厚さとして置いた初期設計値。物理定数ではない。m_dbcの一次見積り用で、実機BOM・CAD・採用部品データに置換/校正する。</t>
  </si>
  <si>
    <t>DBC等価密度</t>
  </si>
  <si>
    <t>rho_dbc</t>
  </si>
  <si>
    <t>Cu/セラミック/Cu積層を一体化した等価密度4,000 kg/m³。Cu≈8,960 kg/m³、AlN≈3,260 kg/m³と層厚から見て妥当なオーダーの簡略値。実層厚で再計算する。</t>
  </si>
  <si>
    <t>ベース面積</t>
  </si>
  <si>
    <t>A_base</t>
  </si>
  <si>
    <t>m_base</t>
  </si>
  <si>
    <t>100 kW級基準モデルのベース面積として置いた初期設計値。物理定数ではない。m_baseの一次見積り用で、実機BOM・CAD・採用部品データに置換/校正する。</t>
  </si>
  <si>
    <t>ベース厚さ</t>
  </si>
  <si>
    <t>t_base</t>
  </si>
  <si>
    <t>100 kW級基準モデルのベース厚さとして置いた初期設計値。物理定数ではない。m_baseの一次見積り用で、実機BOM・CAD・採用部品データに置換/校正する。</t>
  </si>
  <si>
    <t>ベース密度</t>
  </si>
  <si>
    <t>rho_base</t>
  </si>
  <si>
    <t>Al</t>
  </si>
  <si>
    <t>封止・端子重量/モジュール</t>
  </si>
  <si>
    <t>m_pkg</t>
  </si>
  <si>
    <t>kg</t>
  </si>
  <si>
    <t>m_mod</t>
  </si>
  <si>
    <t>100 kW級基準モデルの封止・端子重量/モジュールとして置いた初期設計値。物理定数ではない。m_modの一次見積り用で、実機BOM・CAD・採用部品データに置換/校正する。</t>
  </si>
  <si>
    <t>冷却</t>
  </si>
  <si>
    <t>基準熱伝達率</t>
  </si>
  <si>
    <t>h_nom</t>
  </si>
  <si>
    <t>W/(m²K)</t>
  </si>
  <si>
    <t>h_eff</t>
  </si>
  <si>
    <t>10 kW/(m²K)は高性能液冷コールドプレートを想定した基準値。一般空冷値ではない。</t>
  </si>
  <si>
    <t>技術仕様</t>
  </si>
  <si>
    <t>流路形状係数</t>
  </si>
  <si>
    <t>k_geom</t>
  </si>
  <si>
    <t>流路形状による熱伝達補正を95%とする経験係数。h_eff簡略式の補正用で普遍定数ではない。CFD/実測で校正する。</t>
  </si>
  <si>
    <t>表面状態係数</t>
  </si>
  <si>
    <t>k_surface</t>
  </si>
  <si>
    <t>表面粗さ・接触状態等による熱伝達補正を95%とする経験係数。h_eff簡略式の補正用で実測校正対象。</t>
  </si>
  <si>
    <t>フィン効率</t>
  </si>
  <si>
    <t>k_fin</t>
  </si>
  <si>
    <t>フィン効率75%を一次設計値として採用。有限熱伝導による実効面積低下を表す簡略係数で、フィン寸法/材料から詳細計算へ置換可能。</t>
  </si>
  <si>
    <t>冷媒流速</t>
  </si>
  <si>
    <t>v_cool</t>
  </si>
  <si>
    <t>m/s</t>
  </si>
  <si>
    <t>冷却流路内の基準流速1.5 m/s。液冷の一次設計値であり物理定数ではない。圧損・キャビテーション・ポンプ仕様と合わせて校正する。</t>
  </si>
  <si>
    <t>基準流速</t>
  </si>
  <si>
    <t>v_ref</t>
  </si>
  <si>
    <t>熱伝達相関の正規化用基準流速1 m/s。物理定数ではなく無次元化の基準値。</t>
  </si>
  <si>
    <t>許容冷媒温度上昇</t>
  </si>
  <si>
    <t>dT_cool</t>
  </si>
  <si>
    <t>K</t>
  </si>
  <si>
    <t>q_cool</t>
  </si>
  <si>
    <t>冷媒温度上昇20 Kを基準設計許容値として採用。熱交換器/冷媒回路のシステム要求により変更する。</t>
  </si>
  <si>
    <t>熱交換器等価厚さ</t>
  </si>
  <si>
    <t>t_hx_eq</t>
  </si>
  <si>
    <t>m</t>
  </si>
  <si>
    <t>sigma_hx</t>
  </si>
  <si>
    <t>100 kW級基準モデルの熱交換器等価厚さとして置いた初期設計値。物理定数ではない。sigma_hxの一次見積り用で、実機BOM・CAD・採用部品データに置換/校正する。</t>
  </si>
  <si>
    <t>熱交換器等価密度</t>
  </si>
  <si>
    <t>rho_hx</t>
  </si>
  <si>
    <t>Al製流路/フィンの空隙を含む等価密度850 kg/m³。Al固体≈2,700 kg/m³より低い値として空隙率を簡略反映。実形状の材料体積から校正する。</t>
  </si>
  <si>
    <t>熱設計マージン</t>
  </si>
  <si>
    <t>K_th</t>
  </si>
  <si>
    <t>Q_req</t>
  </si>
  <si>
    <t>熱設計必要能力へ20%余裕を持たせる簡略安全係数。冷却器選定/環境条件/ばらつきをまとめた設計仮定。</t>
  </si>
  <si>
    <t>冷却補機固定重量</t>
  </si>
  <si>
    <t>m_cool_fix</t>
  </si>
  <si>
    <t>M_cool</t>
  </si>
  <si>
    <t>100 kW級基準モデルの冷却補機固定重量として置いた初期設計値。物理定数ではない。M_coolの一次見積り用で、実機BOM・CAD・採用部品データに置換/校正する。</t>
  </si>
  <si>
    <t>DCリンクC</t>
  </si>
  <si>
    <t>コンデンサ定格電圧係数</t>
  </si>
  <si>
    <t>K_vcap</t>
  </si>
  <si>
    <t>V_cap</t>
  </si>
  <si>
    <t>DCリンクコンデンサ定格電圧をDCバス要求より25%高く取る基準マージン。物理定数ではなく部品選定余裕。</t>
  </si>
  <si>
    <t>基準エネルギー密度</t>
  </si>
  <si>
    <t>e_cap_ref</t>
  </si>
  <si>
    <t>J/kg</t>
  </si>
  <si>
    <t>e_cap</t>
  </si>
  <si>
    <t>完成品DC-link film capacitorの初期基準200 J/kg。KEMET C44U 900V 270µF/610g≈179 J/kg、200µF/645g≈126 J/kg。 Source: https://content.kemet.com/datasheets/KEM_F3049_C44U_RADIAL.pdf</t>
  </si>
  <si>
    <t>誘電体性能係数</t>
  </si>
  <si>
    <t>k_dielectric</t>
  </si>
  <si>
    <t>誘電体エネルギー密度の技術世代補正係数。1.0は基準材料をそのまま用いる意味で、実部品データに合わせて校正する。</t>
  </si>
  <si>
    <t>パッケージ利用率</t>
  </si>
  <si>
    <t>k_pack_cap</t>
  </si>
  <si>
    <t>セル/端子/ケース等を除いた有効誘電体体積率72%の簡略仮定。実部品の外形・内部構造で校正する。</t>
  </si>
  <si>
    <t>固定重量</t>
  </si>
  <si>
    <t>mC_fix</t>
  </si>
  <si>
    <t>M_cap</t>
  </si>
  <si>
    <t>100 kW級基準モデルの固定重量として置いた初期設計値。物理定数ではない。M_capの一次見積り用で、実機BOM・CAD・採用部品データに置換/校正する。</t>
  </si>
  <si>
    <t>バスバー</t>
  </si>
  <si>
    <t>基準許容電流密度</t>
  </si>
  <si>
    <t>J_bus_ref</t>
  </si>
  <si>
    <t>J_bus</t>
  </si>
  <si>
    <t>銅バスバーの実用設計基準。基準温度上昇60 Kで4 A/mm²を採用し物理熱限界とのMINを使用。 Reference: https://www.mersen.com/en/products/bus-bars/copper-ampacity</t>
  </si>
  <si>
    <t>許容導体温度</t>
  </si>
  <si>
    <t>T_bus_max</t>
  </si>
  <si>
    <t>°C</t>
  </si>
  <si>
    <t>dT_bus</t>
  </si>
  <si>
    <t>バスバー導体の許容温度105°Cを基準設計値として採用。絶縁材・周囲温度・接続部定格により変更する。</t>
  </si>
  <si>
    <t>周囲温度</t>
  </si>
  <si>
    <t>T_amb</t>
  </si>
  <si>
    <t>外部条件</t>
  </si>
  <si>
    <t>システム最大周囲温度</t>
  </si>
  <si>
    <t>基準温度上昇</t>
  </si>
  <si>
    <t>dT_bus_ref</t>
  </si>
  <si>
    <t>バスバー電流密度補正式の基準温度上昇60 K。物理定数ではなく熱設計の正規化値。</t>
  </si>
  <si>
    <t>放熱改善係数</t>
  </si>
  <si>
    <t>k_bus_cool</t>
  </si>
  <si>
    <t>バスバー放熱改善の補正係数。1.0は基準冷却条件、放熱構造変更時に実測/熱解析で校正する。</t>
  </si>
  <si>
    <t>導体総長</t>
  </si>
  <si>
    <t>L_bus</t>
  </si>
  <si>
    <t>m_bus</t>
  </si>
  <si>
    <t>100 kW級基準モデルの導体総長として置いた初期設計値。物理定数ではない。m_busの一次見積り用で、実機BOM・CAD・採用部品データに置換/校正する。</t>
  </si>
  <si>
    <t>導体本数係数</t>
  </si>
  <si>
    <t>N_bus</t>
  </si>
  <si>
    <t>DC+ / DC−等の主要導体本数を2本として重量換算する構成係数。回路・積層構造に応じて変更する。</t>
  </si>
  <si>
    <t>設計係数</t>
  </si>
  <si>
    <t>導体密度</t>
  </si>
  <si>
    <t>rho_bus</t>
  </si>
  <si>
    <t>Cu</t>
  </si>
  <si>
    <t>絶縁・支持係数</t>
  </si>
  <si>
    <t>K_bus</t>
  </si>
  <si>
    <t>M_bus</t>
  </si>
  <si>
    <t>絶縁フィルム・支持部材・端部処理を含め導体重量へ18%加算する簡略係数。実BOMで校正する。</t>
  </si>
  <si>
    <t>筐体</t>
  </si>
  <si>
    <t>筐体長さ</t>
  </si>
  <si>
    <t>L_case</t>
  </si>
  <si>
    <t>A_case</t>
  </si>
  <si>
    <t>100 kW級基準モデルの筐体長さとして置いた初期設計値。物理定数ではない。A_caseの一次見積り用で、実機BOM・CAD・採用部品データに置換/校正する。</t>
  </si>
  <si>
    <t>筐体幅</t>
  </si>
  <si>
    <t>W_case</t>
  </si>
  <si>
    <t>100 kW級基準モデルの筐体幅として置いた初期設計値。物理定数ではない。A_caseの一次見積り用で、実機BOM・CAD・採用部品データに置換/校正する。</t>
  </si>
  <si>
    <t>筐体高さ</t>
  </si>
  <si>
    <t>H_case</t>
  </si>
  <si>
    <t>100 kW級基準モデルの筐体高さとして置いた初期設計値。物理定数ではない。A_caseの一次見積り用で、実機BOM・CAD・採用部品データに置換/校正する。</t>
  </si>
  <si>
    <t>平均板厚</t>
  </si>
  <si>
    <t>t_case</t>
  </si>
  <si>
    <t>M_case</t>
  </si>
  <si>
    <t>100 kW級基準モデルの平均板厚として置いた初期設計値。物理定数ではない。M_caseの一次見積り用で、実機BOM・CAD・採用部品データに置換/校正する。</t>
  </si>
  <si>
    <t>材料密度</t>
  </si>
  <si>
    <t>rho_case</t>
  </si>
  <si>
    <t>開口率</t>
  </si>
  <si>
    <t>r_open</t>
  </si>
  <si>
    <t>K_case</t>
  </si>
  <si>
    <t>筐体開口率18%を基準構造値として採用。コネクタ/冷却開口等を簡略反映し、CAD面積で校正する。</t>
  </si>
  <si>
    <t>リブ増加係数</t>
  </si>
  <si>
    <t>K_rib</t>
  </si>
  <si>
    <t>リブ・フランジ等による筐体材料増分8%を簡略反映する係数。CAD/BOMで校正する。</t>
  </si>
  <si>
    <t>製造余裕係数</t>
  </si>
  <si>
    <t>K_mfg</t>
  </si>
  <si>
    <t>曲げR・重なり・加工余裕等で板材質量へ2%加算する製造係数。実製造図/BOMで校正する。</t>
  </si>
  <si>
    <t>EMI</t>
  </si>
  <si>
    <t>DMノイズ等価電圧</t>
  </si>
  <si>
    <t>V_noise</t>
  </si>
  <si>
    <t>L_dm</t>
  </si>
  <si>
    <t>DMフィルタ一次設計に用いる等価スイッチングノイズ電圧60 V。波形の高周波成分を単一等価値へ置換した簡略モデルで、FFT/実測で校正する。</t>
  </si>
  <si>
    <t>許容電流リップル率</t>
  </si>
  <si>
    <t>r_Iemi</t>
  </si>
  <si>
    <t>I_ripple</t>
  </si>
  <si>
    <t>モータ/フィルタ電流の許容高周波リップル10%を設計要求として採用。負荷/EMI/モータ損失要求に応じて変更する。</t>
  </si>
  <si>
    <t>フィルタ遮断周波数係数</t>
  </si>
  <si>
    <t>k_fc</t>
  </si>
  <si>
    <t>f_c</t>
  </si>
  <si>
    <t>インダクタ重量係数</t>
  </si>
  <si>
    <t>k_mL</t>
  </si>
  <si>
    <t>kg/(H·kA²)</t>
  </si>
  <si>
    <t>M_L</t>
  </si>
  <si>
    <t>簡易係数</t>
  </si>
  <si>
    <t>ノイズ電流係数</t>
  </si>
  <si>
    <t>r_noise</t>
  </si>
  <si>
    <t>I_noise</t>
  </si>
  <si>
    <t>相電流に対する等価ノイズ電流8%を置く簡略係数。PWM波形の高周波成分を代表値化した仮定で、FFT/実測で校正する。</t>
  </si>
  <si>
    <t>許容電圧リップル率</t>
  </si>
  <si>
    <t>r_Vemi</t>
  </si>
  <si>
    <t>V_ripple</t>
  </si>
  <si>
    <t>フィルタ出力の許容電圧リップル2%を設計要求として採用。モータ絶縁/EMI要求により変更する。</t>
  </si>
  <si>
    <t>コンデンサ重量係数</t>
  </si>
  <si>
    <t>k_mC</t>
  </si>
  <si>
    <t>kg/(F·kV²)</t>
  </si>
  <si>
    <t>M_C</t>
  </si>
  <si>
    <t>制御・ゲート回路重量</t>
  </si>
  <si>
    <t>m_ctrl</t>
  </si>
  <si>
    <t>M_inv</t>
  </si>
  <si>
    <t>100 kW級基準モデルの制御・ゲート回路重量として置いた初期設計値。物理定数ではない。M_invの一次見積り用で、実機BOM・CAD・採用部品データに置換/校正する。</t>
  </si>
  <si>
    <t>参考値</t>
  </si>
  <si>
    <t>センサ重量</t>
  </si>
  <si>
    <t>m_sensor</t>
  </si>
  <si>
    <t>100 kW級基準モデルのセンサ重量として置いた初期設計値。物理定数ではない。M_invの一次見積り用で、実機BOM・CAD・採用部品データに置換/校正する。</t>
  </si>
  <si>
    <t>端子・コネクタ重量</t>
  </si>
  <si>
    <t>m_conn</t>
  </si>
  <si>
    <t>100 kW級基準モデルの端子・コネクタ重量として置いた初期設計値。物理定数ではない。M_invの一次見積り用で、実機BOM・CAD・採用部品データに置換/校正する。</t>
  </si>
  <si>
    <t>その他固定重量</t>
  </si>
  <si>
    <t>m_other</t>
  </si>
  <si>
    <t>100 kW級基準モデルのその他固定重量として置いた初期設計値。物理定数ではない。M_invの一次見積り用で、実機BOM・CAD・採用部品データに置換/校正する。</t>
  </si>
  <si>
    <t>並列数</t>
  </si>
  <si>
    <t>N_parallel</t>
  </si>
  <si>
    <t>R_on低下・半導体重量増</t>
  </si>
  <si>
    <t>1=現状、2=2並列</t>
  </si>
  <si>
    <t>過負荷電流からの初期推奨。離散探索変数なので固定しない</t>
  </si>
  <si>
    <t>過負荷電流から並列数を自動推奨・適用</t>
  </si>
  <si>
    <t>並列1系統あたり追加重量</t>
  </si>
  <si>
    <t>m_parallel_unit</t>
  </si>
  <si>
    <t>kg/系統</t>
  </si>
  <si>
    <t>M_parallel</t>
  </si>
  <si>
    <t>ゲート/端子/チップ等の等価重量</t>
  </si>
  <si>
    <t>ソフトスイッチング</t>
  </si>
  <si>
    <t>ソフトスイッチング有効</t>
  </si>
  <si>
    <t>Enable_SS</t>
  </si>
  <si>
    <t>0/1</t>
  </si>
  <si>
    <t>P_sw低減・追加回路重量増</t>
  </si>
  <si>
    <t>0=無効, 1=有効</t>
  </si>
  <si>
    <t>技術選択</t>
  </si>
  <si>
    <t>シナリオ固有手入力</t>
  </si>
  <si>
    <t>10_シナリオ入力</t>
  </si>
  <si>
    <t>必要に応じて編集</t>
  </si>
  <si>
    <t>シナリオ表を参照</t>
  </si>
  <si>
    <t>有効時SW損失残存率</t>
  </si>
  <si>
    <t>k_ss_residual</t>
  </si>
  <si>
    <t>k_ss_eff</t>
  </si>
  <si>
    <t>ソフトスイッチングON時にハードスイッチング損失の25%が残る、すなわち75%低減とするシナリオ仮定。一般値ではない。実回路のEon/Eoff/Eoss実測または回路シミュレーションからハード/ソフトの損失比へ置換する。</t>
  </si>
  <si>
    <t>補助スイッチ数</t>
  </si>
  <si>
    <t>N_aux_ss</t>
  </si>
  <si>
    <t>M_aux_ss</t>
  </si>
  <si>
    <t>100 kW級基準モデルの補助スイッチ数として置いた初期設計値。物理定数ではない。M_aux_ssの一次見積り用で、実機BOM・CAD・採用部品データに置換/校正する。</t>
  </si>
  <si>
    <t>補助スイッチ単体重量</t>
  </si>
  <si>
    <t>m_aux_ss</t>
  </si>
  <si>
    <t>kg/個</t>
  </si>
  <si>
    <t>100 kW級基準モデルの補助スイッチ単体重量として置いた初期設計値。物理定数ではない。M_aux_ssの一次見積り用で、実機BOM・CAD・採用部品データに置換/校正する。</t>
  </si>
  <si>
    <t>共振L設計係数</t>
  </si>
  <si>
    <t>k_Lr</t>
  </si>
  <si>
    <t>L_r</t>
  </si>
  <si>
    <t>L_rの簡略式で用いる共振L設計係数の補正/正規化係数。普遍定数ではなく基準モデル再現用の経験値・設計仮定。実測/詳細解析/部品データで校正する。</t>
  </si>
  <si>
    <t>共振C設計係数</t>
  </si>
  <si>
    <t>k_Cr</t>
  </si>
  <si>
    <t>C_r</t>
  </si>
  <si>
    <t>C_rの簡略式で用いる共振C設計係数の補正/正規化係数。普遍定数ではなく基準モデル再現用の経験値・設計仮定。実測/詳細解析/部品データで校正する。</t>
  </si>
  <si>
    <t>共振L重量係数</t>
  </si>
  <si>
    <t>k_mLr</t>
  </si>
  <si>
    <t>m_Lr</t>
  </si>
  <si>
    <t>共振C重量係数</t>
  </si>
  <si>
    <t>k_mCr</t>
  </si>
  <si>
    <t>m_Cr</t>
  </si>
  <si>
    <t>追加制御回路重量</t>
  </si>
  <si>
    <t>m_ctrl_ss</t>
  </si>
  <si>
    <t>M_ss</t>
  </si>
  <si>
    <t>100 kW級基準モデルの追加制御回路重量として置いた初期設計値。物理定数ではない。M_ssの一次見積り用で、実機BOM・CAD・採用部品データに置換/校正する。</t>
  </si>
  <si>
    <t>DBC</t>
  </si>
  <si>
    <t>DBC長さ</t>
  </si>
  <si>
    <t>L_dbc</t>
  </si>
  <si>
    <t>100 kW級基準モデルのDBC長さとして置いた初期設計値。物理定数ではない。A_dbcの一次見積り用で、実機BOM・CAD・採用部品データに置換/校正する。</t>
  </si>
  <si>
    <t>DBC幅</t>
  </si>
  <si>
    <t>W_dbc</t>
  </si>
  <si>
    <t>100 kW級基準モデルのDBC幅として置いた初期設計値。物理定数ではない。A_dbcの一次見積り用で、実機BOM・CAD・採用部品データに置換/校正する。</t>
  </si>
  <si>
    <t>上銅厚</t>
  </si>
  <si>
    <t>t_cu_top</t>
  </si>
  <si>
    <t>t_dbc/rho_dbc</t>
  </si>
  <si>
    <t>100 kW級基準モデルの上銅厚として置いた初期設計値。物理定数ではない。t_dbc/rho_dbcの一次見積り用で、実機BOM・CAD・採用部品データに置換/校正する。</t>
  </si>
  <si>
    <t>セラミック厚</t>
  </si>
  <si>
    <t>t_cer</t>
  </si>
  <si>
    <t>100 kW級基準モデルのセラミック厚として置いた初期設計値。物理定数ではない。t_dbc/rho_dbcの一次見積り用で、実機BOM・CAD・採用部品データに置換/校正する。</t>
  </si>
  <si>
    <t>下銅厚</t>
  </si>
  <si>
    <t>t_cu_bot</t>
  </si>
  <si>
    <t>100 kW級基準モデルの下銅厚として置いた初期設計値。物理定数ではない。t_dbc/rho_dbcの一次見積り用で、実機BOM・CAD・採用部品データに置換/校正する。</t>
  </si>
  <si>
    <t>銅密度</t>
  </si>
  <si>
    <t>rho_cu</t>
  </si>
  <si>
    <t>銅(Cu)密度8960 kg/m³を採用。DBC銅層を想定。</t>
  </si>
  <si>
    <t>セラミック密度</t>
  </si>
  <si>
    <t>rho_cer</t>
  </si>
  <si>
    <t>AlN/Al2O3等価例</t>
  </si>
  <si>
    <t>ベース</t>
  </si>
  <si>
    <t>ベース長さ</t>
  </si>
  <si>
    <t>L_base</t>
  </si>
  <si>
    <t>A_base/t_base</t>
  </si>
  <si>
    <t>100 kW級基準モデルのベース長さとして置いた初期設計値。物理定数ではない。A_base/t_baseの一次見積り用で、実機BOM・CAD・採用部品データに置換/校正する。</t>
  </si>
  <si>
    <t>ベース幅</t>
  </si>
  <si>
    <t>W_base</t>
  </si>
  <si>
    <t>100 kW級基準モデルのベース幅として置いた初期設計値。物理定数ではない。A_baseの一次見積り用で、実機BOM・CAD・採用部品データに置換/校正する。</t>
  </si>
  <si>
    <t>機械荷重係数</t>
  </si>
  <si>
    <t>p_base</t>
  </si>
  <si>
    <t>t_base_min</t>
  </si>
  <si>
    <t>簡易無次元荷重</t>
  </si>
  <si>
    <t>許容応力係数</t>
  </si>
  <si>
    <t>sigma_base</t>
  </si>
  <si>
    <t>簡易無次元強度</t>
  </si>
  <si>
    <t>厚さ安全係数</t>
  </si>
  <si>
    <t>K_base_sf</t>
  </si>
  <si>
    <t>t_baseの簡略式で用いる厚さ安全係数の補正/正規化係数。普遍定数ではなく基準モデル再現用の経験値・設計仮定。実測/詳細解析/部品データで校正する。</t>
  </si>
  <si>
    <t>コンデンサ物性</t>
  </si>
  <si>
    <t>真空誘電率</t>
  </si>
  <si>
    <t>eps0</t>
  </si>
  <si>
    <t>F/m</t>
  </si>
  <si>
    <t>e_cap_phys</t>
  </si>
  <si>
    <t>比誘電率</t>
  </si>
  <si>
    <t>eps_r</t>
  </si>
  <si>
    <t>PP（polypropylene）filmを採用した代表比誘電率εr=2.2。 Source: https://www.tdk-electronics.tdk.com/download/530754/76160cdb800cf40be24ef767fe5082bb/pdf-generaltechnicalinformation.pdf</t>
  </si>
  <si>
    <t>誘電体破壊電界</t>
  </si>
  <si>
    <t>E_break_cap</t>
  </si>
  <si>
    <t>E_work_cap</t>
  </si>
  <si>
    <t>電界利用率</t>
  </si>
  <si>
    <t>k_Ecap</t>
  </si>
  <si>
    <t>E_work_capの簡略式で用いる電界利用率の補正/正規化係数。普遍定数ではなく基準モデル再現用の経験値・設計仮定。実測/詳細解析/部品データで校正する。</t>
  </si>
  <si>
    <t>誘電体密度</t>
  </si>
  <si>
    <t>rho_die</t>
  </si>
  <si>
    <t>PPを採用。代表密度0.90 g/cm³=900 kg/m³。eps_r=2.2と整合。 Source: https://www.lyondellbasell.com/en/polymers/p/Pro-fax-6523/cca46629-99c9-4596-8390-83b67fd362ff</t>
  </si>
  <si>
    <t>体積利用率</t>
  </si>
  <si>
    <t>k_vol_cap</t>
  </si>
  <si>
    <t>e_cap_physの簡略式で用いる体積利用率の補正/正規化係数。普遍定数ではなく基準モデル再現用の経験値・設計仮定。実測/詳細解析/部品データで校正する。</t>
  </si>
  <si>
    <t>筐体力学</t>
  </si>
  <si>
    <t>筐体等価圧力係数</t>
  </si>
  <si>
    <t>p_case</t>
  </si>
  <si>
    <t>t_case_req</t>
  </si>
  <si>
    <t>簡易荷重係数</t>
  </si>
  <si>
    <t>材料基準強度</t>
  </si>
  <si>
    <t>sigma_y_ref</t>
  </si>
  <si>
    <t>sigma_y_eff</t>
  </si>
  <si>
    <t>無次元簡易値</t>
  </si>
  <si>
    <t>温度強度低下係数</t>
  </si>
  <si>
    <t>k_temp_case</t>
  </si>
  <si>
    <t>sigma_y_effの簡略式で用いる温度強度低下係数の補正/正規化係数。普遍定数ではなく基準モデル再現用の経験値・設計仮定。実測/詳細解析/部品データで校正する。</t>
  </si>
  <si>
    <t>加工強度係数</t>
  </si>
  <si>
    <t>k_proc_case</t>
  </si>
  <si>
    <t>sigma_y_effの簡略式で用いる加工強度係数の補正/正規化係数。普遍定数ではなく基準モデル再現用の経験値・設計仮定。実測/詳細解析/部品データで校正する。</t>
  </si>
  <si>
    <t>板厚安全係数</t>
  </si>
  <si>
    <t>K_tcase_sf</t>
  </si>
  <si>
    <t>t_case_reqの簡略式で用いる板厚安全係数の補正/正規化係数。普遍定数ではなく基準モデル再現用の経験値・設計仮定。実測/詳細解析/部品データで校正する。</t>
  </si>
  <si>
    <t>バスバー熱</t>
  </si>
  <si>
    <t>基準熱伝達係数</t>
  </si>
  <si>
    <t>h_bus</t>
  </si>
  <si>
    <t>J_bus_phys</t>
  </si>
  <si>
    <t>自然/強制空冷等価</t>
  </si>
  <si>
    <t>銅抵抗率</t>
  </si>
  <si>
    <t>rho_e_bus</t>
  </si>
  <si>
    <t>Ωm</t>
  </si>
  <si>
    <t>銅(Cu)の20°C近傍の抵抗率として1.72E-8 Ωmを採用。温度上昇による抵抗率変化は別係数側で扱う。</t>
  </si>
  <si>
    <t>表面積/体積係数</t>
  </si>
  <si>
    <t>k_sav_bus</t>
  </si>
  <si>
    <t>1/m</t>
  </si>
  <si>
    <t>断面形状等価</t>
  </si>
  <si>
    <t>EMI磁性</t>
  </si>
  <si>
    <t>コア許容磁束密度</t>
  </si>
  <si>
    <t>B_max</t>
  </si>
  <si>
    <t>T</t>
  </si>
  <si>
    <t>u_core</t>
  </si>
  <si>
    <t>高周波磁性部品の設計磁束密度0.25 T。MnZnフェライト等の高周波設計で飽和・損失余裕を持たせる代表的設計値で、採用コア材のB-H/損失データで校正する。</t>
  </si>
  <si>
    <t>コア透磁率係数</t>
  </si>
  <si>
    <t>k_mu_core</t>
  </si>
  <si>
    <t>コア透磁率影響の正規化係数。1.0は基準コア特性をそのまま使う意味で、実透磁率そのものではない。実コアの周波数・温度依存μe/B-H特性または磁気FEMで校正する。</t>
  </si>
  <si>
    <t>巻線充填率</t>
  </si>
  <si>
    <t>k_fill_L</t>
  </si>
  <si>
    <t>k_mL_phys</t>
  </si>
  <si>
    <t>巻線窓の銅充填率40%を基準設計値として採用。絶縁・ボビン・巻線余裕を含む一般的な一次設計仮定で、実巻線設計で校正する。</t>
  </si>
  <si>
    <t>コア/銅等価密度</t>
  </si>
  <si>
    <t>rho_L_eq</t>
  </si>
  <si>
    <t>磁性コアとCu巻線を一体化した等価密度5,000 kg/m³。Cuとフェライトの混合体としての重量換算用簡略値。実BOMで校正する。</t>
  </si>
  <si>
    <t>制御回路</t>
  </si>
  <si>
    <t>制御PCB面積</t>
  </si>
  <si>
    <t>A_ctrl_pcb</t>
  </si>
  <si>
    <t>m²</t>
  </si>
  <si>
    <t>m_ctrl_pcb</t>
  </si>
  <si>
    <t>100 kW級基準モデルの制御PCB面積として置いた初期設計値。物理定数ではない。m_ctrl_pcbの一次見積り用で、実機BOM・CAD・採用部品データに置換/校正する。</t>
  </si>
  <si>
    <t>制御PCB厚さ</t>
  </si>
  <si>
    <t>t_ctrl_pcb</t>
  </si>
  <si>
    <t>100 kW級基準モデルの制御PCB厚さとして置いた初期設計値。物理定数ではない。m_ctrl_pcbの一次見積り用で、実機BOM・CAD・採用部品データに置換/校正する。</t>
  </si>
  <si>
    <t>PCB等価密度</t>
  </si>
  <si>
    <t>rho_ctrl_pcb</t>
  </si>
  <si>
    <t>FR-4/銅箔を含むPCB基板の等価密度1,900 kg/m³を重量換算に採用。搭載部品重量は別項m_ctrl_compで扱う。</t>
  </si>
  <si>
    <t>PCB搭載部品重量</t>
  </si>
  <si>
    <t>m_ctrl_comp</t>
  </si>
  <si>
    <t>100 kW級基準モデルのPCB搭載部品重量として置いた初期設計値。物理定数ではない。m_ctrl_pcbの一次見積り用で、実機BOM・CAD・採用部品データに置換/校正する。</t>
  </si>
  <si>
    <t>ゲート回路</t>
  </si>
  <si>
    <t>ゲートドライバ数</t>
  </si>
  <si>
    <t>N_gate</t>
  </si>
  <si>
    <t>m_gate/P_gate</t>
  </si>
  <si>
    <t>N_power_deviceと一致</t>
  </si>
  <si>
    <t>固定トポロジーからゲート数を決定</t>
  </si>
  <si>
    <t>パワーデバイス個数に一致</t>
  </si>
  <si>
    <t>ドライバ単体重量</t>
  </si>
  <si>
    <t>m_gate_unit</t>
  </si>
  <si>
    <t>m_gate</t>
  </si>
  <si>
    <t>100 kW級基準モデルのドライバ単体重量として置いた初期設計値。物理定数ではない。m_gateの一次見積り用で、実機BOM・CAD・採用部品データに置換/校正する。</t>
  </si>
  <si>
    <t>補助電源重量</t>
  </si>
  <si>
    <t>m_aux_supply</t>
  </si>
  <si>
    <t>M_ctrl</t>
  </si>
  <si>
    <t>100 kW級基準モデルの補助電源重量として置いた初期設計値。物理定数ではない。M_ctrlの一次見積り用で、実機BOM・CAD・採用部品データに置換/校正する。</t>
  </si>
  <si>
    <t>センサ</t>
  </si>
  <si>
    <t>電流センサ数</t>
  </si>
  <si>
    <t>N_isens</t>
  </si>
  <si>
    <t>m_isens</t>
  </si>
  <si>
    <t>100 kW級基準モデルの電流センサ数として置いた初期設計値。物理定数ではない。m_isensの一次見積り用で、実機BOM・CAD・採用部品データに置換/校正する。</t>
  </si>
  <si>
    <t>電流センサ単体重量</t>
  </si>
  <si>
    <t>m_isens_unit</t>
  </si>
  <si>
    <t>100 kW級基準モデルの電流センサ単体重量として置いた初期設計値。物理定数ではない。m_isensの一次見積り用で、実機BOM・CAD・採用部品データに置換/校正する。</t>
  </si>
  <si>
    <t>電圧センサ数</t>
  </si>
  <si>
    <t>N_vsens</t>
  </si>
  <si>
    <t>m_vsens</t>
  </si>
  <si>
    <t>100 kW級基準モデルの電圧センサ数として置いた初期設計値。物理定数ではない。m_vsensの一次見積り用で、実機BOM・CAD・採用部品データに置換/校正する。</t>
  </si>
  <si>
    <t>電圧センサ単体重量</t>
  </si>
  <si>
    <t>m_vsens_unit</t>
  </si>
  <si>
    <t>100 kW級基準モデルの電圧センサ単体重量として置いた初期設計値。物理定数ではない。m_vsensの一次見積り用で、実機BOM・CAD・採用部品データに置換/校正する。</t>
  </si>
  <si>
    <t>温度センサ数</t>
  </si>
  <si>
    <t>N_tsens</t>
  </si>
  <si>
    <t>m_tsens</t>
  </si>
  <si>
    <t>100 kW級基準モデルの温度センサ数として置いた初期設計値。物理定数ではない。m_tsensの一次見積り用で、実機BOM・CAD・採用部品データに置換/校正する。</t>
  </si>
  <si>
    <t>温度センサ単体重量</t>
  </si>
  <si>
    <t>m_tsens_unit</t>
  </si>
  <si>
    <t>100 kW級基準モデルの温度センサ単体重量として置いた初期設計値。物理定数ではない。m_tsensの一次見積り用で、実機BOM・CAD・採用部品データに置換/校正する。</t>
  </si>
  <si>
    <t>センサ配線重量</t>
  </si>
  <si>
    <t>m_sensor_harness</t>
  </si>
  <si>
    <t>M_sensor</t>
  </si>
  <si>
    <t>100 kW級基準モデルのセンサ配線重量として置いた初期設計値。物理定数ではない。M_sensorの一次見積り用で、実機BOM・CAD・採用部品データに置換/校正する。</t>
  </si>
  <si>
    <t>コネクタ</t>
  </si>
  <si>
    <t>DC端子数</t>
  </si>
  <si>
    <t>N_conn_dc</t>
  </si>
  <si>
    <t>m_conn_dc</t>
  </si>
  <si>
    <t>100 kW級基準モデルのDC端子数として置いた初期設計値。物理定数ではない。m_conn_dcの一次見積り用で、実機BOM・CAD・採用部品データに置換/校正する。</t>
  </si>
  <si>
    <t>DC端子単体重量</t>
  </si>
  <si>
    <t>m_conn_dc_unit</t>
  </si>
  <si>
    <t>100 kW級基準モデルのDC端子単体重量として置いた初期設計値。物理定数ではない。m_conn_dcの一次見積り用で、実機BOM・CAD・採用部品データに置換/校正する。</t>
  </si>
  <si>
    <t>AC端子数</t>
  </si>
  <si>
    <t>N_conn_ac</t>
  </si>
  <si>
    <t>m_conn_ac</t>
  </si>
  <si>
    <t>100 kW級基準モデルのAC端子数として置いた初期設計値。物理定数ではない。m_conn_acの一次見積り用で、実機BOM・CAD・採用部品データに置換/校正する。</t>
  </si>
  <si>
    <t>AC端子単体重量</t>
  </si>
  <si>
    <t>m_conn_ac_unit</t>
  </si>
  <si>
    <t>100 kW級基準モデルのAC端子単体重量として置いた初期設計値。物理定数ではない。m_conn_acの一次見積り用で、実機BOM・CAD・採用部品データに置換/校正する。</t>
  </si>
  <si>
    <t>信号コネクタ重量</t>
  </si>
  <si>
    <t>m_conn_sig</t>
  </si>
  <si>
    <t>M_conn</t>
  </si>
  <si>
    <t>100 kW級基準モデルの信号コネクタ重量として置いた初期設計値。物理定数ではない。M_connの一次見積り用で、実機BOM・CAD・採用部品データに置換/校正する。</t>
  </si>
  <si>
    <t>端子支持部重量</t>
  </si>
  <si>
    <t>m_conn_support</t>
  </si>
  <si>
    <t>100 kW級基準モデルの端子支持部重量として置いた初期設計値。物理定数ではない。M_connの一次見積り用で、実機BOM・CAD・採用部品データに置換/校正する。</t>
  </si>
  <si>
    <t>その他</t>
  </si>
  <si>
    <t>締結部品重量</t>
  </si>
  <si>
    <t>m_fastener</t>
  </si>
  <si>
    <t>M_other</t>
  </si>
  <si>
    <t>100 kW級基準モデルの締結部品重量として置いた初期設計値。物理定数ではない。M_otherの一次見積り用で、実機BOM・CAD・採用部品データに置換/校正する。</t>
  </si>
  <si>
    <t>絶縁材重量</t>
  </si>
  <si>
    <t>m_insulation</t>
  </si>
  <si>
    <t>100 kW級基準モデルの絶縁材重量として置いた初期設計値。物理定数ではない。M_otherの一次見積り用で、実機BOM・CAD・採用部品データに置換/校正する。</t>
  </si>
  <si>
    <t>内部ハーネス重量</t>
  </si>
  <si>
    <t>m_harness</t>
  </si>
  <si>
    <t>100 kW級基準モデルの内部ハーネス重量として置いた初期設計値。物理定数ではない。M_otherの一次見積り用で、実機BOM・CAD・採用部品データに置換/校正する。</t>
  </si>
  <si>
    <t>ゲート駆動</t>
  </si>
  <si>
    <t>ターンオンゲート抵抗</t>
  </si>
  <si>
    <t>R_g_on</t>
  </si>
  <si>
    <t>Ω</t>
  </si>
  <si>
    <t>t_on,dvdt,P_sw</t>
  </si>
  <si>
    <t>小さいほど高速</t>
  </si>
  <si>
    <t>ターンオフゲート抵抗</t>
  </si>
  <si>
    <t>R_g_off</t>
  </si>
  <si>
    <t>t_off,di_dt,P_sw</t>
  </si>
  <si>
    <t>ゲート抵抗基準</t>
  </si>
  <si>
    <t>R_g_ref</t>
  </si>
  <si>
    <t>t_on,t_off</t>
  </si>
  <si>
    <t>ゲートスイッチング時間の正規化基準として4 Ωを採用。実デバイス/ドライバの推奨Rgへ合わせて校正する。</t>
  </si>
  <si>
    <t>基準ターンオン時間</t>
  </si>
  <si>
    <t>t_on_ref</t>
  </si>
  <si>
    <t>t_on</t>
  </si>
  <si>
    <t>基準Rg時のターンオン時間50 nsを簡略スイッチングモデルの基準値として採用。実デバイスのdouble-pulse試験値で置換する。</t>
  </si>
  <si>
    <t>基準ターンオフ時間</t>
  </si>
  <si>
    <t>t_off_ref</t>
  </si>
  <si>
    <t>t_off</t>
  </si>
  <si>
    <t>基準Rg時のターンオフ時間50 nsを簡略スイッチングモデルの基準値として採用。実デバイスのdouble-pulse試験値で置換する。</t>
  </si>
  <si>
    <t>分離Rg有効</t>
  </si>
  <si>
    <t>Enable_split_Rg</t>
  </si>
  <si>
    <t>P_sw,追加部品重量</t>
  </si>
  <si>
    <t>0=無効,1=有効</t>
  </si>
  <si>
    <t>分離Rg時SW時間係数</t>
  </si>
  <si>
    <t>k_split_sw</t>
  </si>
  <si>
    <t>t_sw_eff</t>
  </si>
  <si>
    <t>分離ゲート抵抗採用時にSW時間が基準の90%になる（10%短縮）とするシナリオ仮定。一般値ではない。採用デバイス/ドライバのdouble-pulse試験またはSPICEでt_on/t_off比を校正する。</t>
  </si>
  <si>
    <t>分離Rg追加重量</t>
  </si>
  <si>
    <t>m_split_Rg</t>
  </si>
  <si>
    <t>M_gate_option</t>
  </si>
  <si>
    <t>M_gate_optionの簡略式で用いる分離Rg追加重量の補正/正規化係数。普遍定数ではなく基準モデル再現用の経験値・設計仮定。実測/詳細解析/部品データで校正する。</t>
  </si>
  <si>
    <t>スルーレートEMI基準重量</t>
  </si>
  <si>
    <t>m_slew_emi_ref</t>
  </si>
  <si>
    <t>M_slew_emi</t>
  </si>
  <si>
    <t>M_slew_emiの簡略式で用いるスルーレートEMI基準重量の補正/正規化係数。普遍定数ではなく基準モデル再現用の経験値・設計仮定。実測/詳細解析/部品データで校正する。</t>
  </si>
  <si>
    <t>スルーレート重量指数</t>
  </si>
  <si>
    <t>a_slew_emi</t>
  </si>
  <si>
    <t>M_slew_emiの簡略式で用いるスルーレート重量指数の補正/正規化係数。普遍定数ではなく基準モデル再現用の経験値・設計仮定。実測/詳細解析/部品データで校正する。</t>
  </si>
  <si>
    <t>デッドタイム</t>
  </si>
  <si>
    <t>t_dead</t>
  </si>
  <si>
    <t>P_dead</t>
  </si>
  <si>
    <t>デッドタイム300 nsを基準制御値として採用。デバイス遅延・ドライバ伝搬遅延・温度ばらつきから実機で調整する。</t>
  </si>
  <si>
    <t>スイッチング時間からの初期推奨。shoot-through/損失で調整</t>
  </si>
  <si>
    <t>第3象限等価電圧</t>
  </si>
  <si>
    <t>V_dead_drop</t>
  </si>
  <si>
    <t>デッドタイム中の第3象限導通を2.5 Vの等価電圧降下で表す一次近似。一般値ではない。MOSFETの第3象限V-I特性、ボディダイオード/チャネル導通方式、温度から置換する。</t>
  </si>
  <si>
    <t>適応デッドタイム有効</t>
  </si>
  <si>
    <t>Enable_adaptive_DT</t>
  </si>
  <si>
    <t>P_dead,制御重量</t>
  </si>
  <si>
    <t>適応デッドタイム有効を切り替えるシナリオ変数。物理定数ではなく方式選択用の0/1入力。P_dead,制御重量への効果を比較する。</t>
  </si>
  <si>
    <t>適応時デッドタイム残存率</t>
  </si>
  <si>
    <t>k_adapt_dead</t>
  </si>
  <si>
    <t>t_dead_eff</t>
  </si>
  <si>
    <t>t_dead_effの簡略式で用いる適応時デッドタイム残存率の補正/正規化係数。普遍定数ではなく基準モデル再現用の経験値・設計仮定。実測/詳細解析/部品データで校正する。</t>
  </si>
  <si>
    <t>適応DT追加制御重量</t>
  </si>
  <si>
    <t>m_adapt_DT</t>
  </si>
  <si>
    <t>M_gate_optionの簡略式で用いる適応DT追加制御重量の補正/正規化係数。普遍定数ではなく基準モデル再現用の経験値・設計仮定。実測/詳細解析/部品データで校正する。</t>
  </si>
  <si>
    <t>ゲート電圧</t>
  </si>
  <si>
    <t>ターンオンゲート電圧</t>
  </si>
  <si>
    <t>Vgs_on</t>
  </si>
  <si>
    <t>R_on,P_gate</t>
  </si>
  <si>
    <t>SiC MOSFET系の基準ゲートオン電圧として18 Vを採用。採用デバイス推奨値に合わせて変更する。</t>
  </si>
  <si>
    <t>ターンオフゲート電圧</t>
  </si>
  <si>
    <t>Vgs_off</t>
  </si>
  <si>
    <t>P_gate,バイアス重量</t>
  </si>
  <si>
    <t>SiC MOSFET系の誤点弧抑制用負バイアスとして−3 Vを採用。採用ドライバ/デバイス推奨値に合わせて変更する。</t>
  </si>
  <si>
    <t>R_on基準ゲート電圧</t>
  </si>
  <si>
    <t>Vgs_ref</t>
  </si>
  <si>
    <t>k_vgs_ron</t>
  </si>
  <si>
    <t>Ronゲート電圧補正の正規化基準18 V。物理定数ではなく基準駆動条件。</t>
  </si>
  <si>
    <t>Vgs-Ron指数</t>
  </si>
  <si>
    <t>a_vgs_ron</t>
  </si>
  <si>
    <t>k_vgs_ronの簡略式で用いるVgs-Ron指数の補正/正規化係数。普遍定数ではなく基準モデル再現用の経験値・設計仮定。実測/詳細解析/部品データで校正する。</t>
  </si>
  <si>
    <t>ゲート電荷</t>
  </si>
  <si>
    <t>Q_g</t>
  </si>
  <si>
    <t>P_gate</t>
  </si>
  <si>
    <t>ゲート駆動損失・ゲート電源重量の一次見積り用に120 nCを基準値として採用。一般値ではない。採用するSiC/GaNデバイスのデータシートQg（指定Vgs/Vds/Id条件）へ置換する。</t>
  </si>
  <si>
    <t>ゲート電源重量係数</t>
  </si>
  <si>
    <t>k_mgate</t>
  </si>
  <si>
    <t>kg/W</t>
  </si>
  <si>
    <t>M_gate_supply</t>
  </si>
  <si>
    <t>M_gate_supplyの簡略式で用いるゲート電源重量係数の補正/正規化係数。普遍定数ではなく基準モデル再現用の経験値・設計仮定。実測/詳細解析/部品データで校正する。</t>
  </si>
  <si>
    <t>負バイアス追加重量係数</t>
  </si>
  <si>
    <t>k_mneg</t>
  </si>
  <si>
    <t>kg/V</t>
  </si>
  <si>
    <t>M_gate_supplyの簡略式で用いる負バイアス追加重量係数の補正/正規化係数。普遍定数ではなく基準モデル再現用の経験値・設計仮定。実測/詳細解析/部品データで校正する。</t>
  </si>
  <si>
    <t>寄生/レイアウト</t>
  </si>
  <si>
    <t>パワーループ寄生インダクタンス</t>
  </si>
  <si>
    <t>L_stray</t>
  </si>
  <si>
    <t>H</t>
  </si>
  <si>
    <t>V_overshoot</t>
  </si>
  <si>
    <t>低いほど良いが構造重量増</t>
  </si>
  <si>
    <t>低寄生化基準インダクタンス</t>
  </si>
  <si>
    <t>L_stray_ref</t>
  </si>
  <si>
    <t>M_lowL_layout</t>
  </si>
  <si>
    <t>低寄生パワーループの基準寄生インダクタンス15 nH。モジュール+積層バスバーの一次設計目標で、実装抽出/測定で校正する。</t>
  </si>
  <si>
    <t>低寄生化構造重量係数</t>
  </si>
  <si>
    <t>m_lowL_ref</t>
  </si>
  <si>
    <t>M_lowL_layoutの簡略式で用いる低寄生化構造重量係数の補正/正規化係数。普遍定数ではなく基準モデル再現用の経験値・設計仮定。実測/詳細解析/部品データで校正する。</t>
  </si>
  <si>
    <t>スナバ</t>
  </si>
  <si>
    <t>スナバ有効</t>
  </si>
  <si>
    <t>Enable_snubber</t>
  </si>
  <si>
    <t>V_overshoot,P_snub,M_snub</t>
  </si>
  <si>
    <t>スナバ有効を切り替えるシナリオ変数。物理値ではなく0/1の方式選択。10_シナリオ入力で指定し、比較時はOFF/ON差分で評価する。</t>
  </si>
  <si>
    <t>オーバーシュート低減率</t>
  </si>
  <si>
    <t>k_snub_reduce</t>
  </si>
  <si>
    <t>V_overshoot_eff</t>
  </si>
  <si>
    <t>V_overshoot_effの簡略式で用いるオーバーシュート低減率の補正/正規化係数。普遍定数ではなく基準モデル再現用の経験値・設計仮定。実測/詳細解析/部品データで校正する。</t>
  </si>
  <si>
    <t>スナバ容量</t>
  </si>
  <si>
    <t>C_snub</t>
  </si>
  <si>
    <t>F</t>
  </si>
  <si>
    <t>P_snub</t>
  </si>
  <si>
    <t>局所RC/Cスナバの一次設計容量5 nF。寄生L・許容overshoot・損失のトレードオフを簡略化した基準値で、実波形から最適化する。</t>
  </si>
  <si>
    <t>スナバ追加重量</t>
  </si>
  <si>
    <t>m_snub</t>
  </si>
  <si>
    <t>M_snub</t>
  </si>
  <si>
    <t>M_snubの簡略式で用いるスナバ追加重量の補正/正規化係数。普遍定数ではなく基準モデル再現用の経験値・設計仮定。実測/詳細解析/部品データで校正する。</t>
  </si>
  <si>
    <t>PWM</t>
  </si>
  <si>
    <t>DPWM有効</t>
  </si>
  <si>
    <t>Enable_DPWM</t>
  </si>
  <si>
    <t>P_sw,M_DPWM_penalty</t>
  </si>
  <si>
    <t>DPWM有効を切り替えるシナリオ変数。物理値ではなく0/1の方式選択。10_シナリオ入力で指定し、比較時はOFF/ON差分で評価する。</t>
  </si>
  <si>
    <t>DPWM時SWイベント残存率</t>
  </si>
  <si>
    <t>k_dpwm_sw</t>
  </si>
  <si>
    <t>k_pwm_sw</t>
  </si>
  <si>
    <t>k_pwm_swの簡略式で用いるDPWM時SWイベント残存率の補正/正規化係数。普遍定数ではなく基準モデル再現用の経験値・設計仮定。実測/詳細解析/部品データで校正する。</t>
  </si>
  <si>
    <t>DPWMによるDMリプル増加率</t>
  </si>
  <si>
    <t>k_DPWM_ripple_increase</t>
  </si>
  <si>
    <t>k_DPWM_ripple_eff</t>
  </si>
  <si>
    <t>DPWM採用時にDM側の実効リプル要求が30%増えるとするシナリオ係数。一般値ではない。対象変調方式・モータ/フィルタ条件のPWM高調波解析またはFFTから連続PWMとのリプル比を算出して校正する。</t>
  </si>
  <si>
    <t>CM低減PWM有効</t>
  </si>
  <si>
    <t>Enable_CM_PWM</t>
  </si>
  <si>
    <t>P_sw,M_CM_filter</t>
  </si>
  <si>
    <t>CM低減PWM有効を切り替えるシナリオ変数。物理値ではなく0/1の方式選択。10_シナリオ入力で指定し、比較時はOFF/ON差分で評価する。</t>
  </si>
  <si>
    <t>CM低減PWMのSW損失係数</t>
  </si>
  <si>
    <t>k_cmpwm_sw</t>
  </si>
  <si>
    <t>k_pwm_swの簡略式で用いるCM低減PWMのSW損失係数の補正/正規化係数。普遍定数ではなく基準モデル再現用の経験値・設計仮定。実測/詳細解析/部品データで校正する。</t>
  </si>
  <si>
    <t>CMフィルタ</t>
  </si>
  <si>
    <t>パッシブCMフィルタ基準重量</t>
  </si>
  <si>
    <t>m_CM_passive_ref</t>
  </si>
  <si>
    <t>M_CM_passive</t>
  </si>
  <si>
    <t>基準CM要求比におけるパッシブCMチョーク/Y-cap系の等価重量0.2 kgを校正点として採用。一般値ではない。実BOM（コア、巻線、Y-cap、絶縁/取付）または試作重量へ置換する。</t>
  </si>
  <si>
    <t>CM低減PWMの源ノイズ低減率</t>
  </si>
  <si>
    <t>k_cm_filter_reduce</t>
  </si>
  <si>
    <t>I_cm_source</t>
  </si>
  <si>
    <t>CM低減PWMによりCM源ノイズ指標を低減する簡略係数。既存SW損失ペナルティk_cmpwm_swは別経路で保持。</t>
  </si>
  <si>
    <t>CM低減PWM追加制御重量</t>
  </si>
  <si>
    <t>m_cmpwm_ctrl</t>
  </si>
  <si>
    <t>M_PWM_option</t>
  </si>
  <si>
    <t>M_PWM_optionの簡略式で用いるCM低減PWM追加制御重量の補正/正規化係数。普遍定数ではなく基準モデル再現用の経験値・設計仮定。実測/詳細解析/部品データで校正する。</t>
  </si>
  <si>
    <t>DCリンクCリップル電流係数</t>
  </si>
  <si>
    <t>k_Icap_ripple</t>
  </si>
  <si>
    <t>I_C_rms</t>
  </si>
  <si>
    <t>I_C_rms=k×I_phase</t>
  </si>
  <si>
    <t>C単体リップル電流定格</t>
  </si>
  <si>
    <t>I_cap_unit_rating</t>
  </si>
  <si>
    <t>A</t>
  </si>
  <si>
    <t>N_cap_ripple</t>
  </si>
  <si>
    <t>DCリンクC単体のリップル電流定格25 Aを代表部品値として置く簡略入力。実採用コンデンサのデータシート定格で置換する。</t>
  </si>
  <si>
    <t>C単体重量</t>
  </si>
  <si>
    <t>m_cap_unit</t>
  </si>
  <si>
    <t>M_cap_margin</t>
  </si>
  <si>
    <t>DCリンクC単体質量0.35 kgを代表部品値として採用。容量/耐圧/形状の採用品BOMで置換する。</t>
  </si>
  <si>
    <t>C単体ESR</t>
  </si>
  <si>
    <t>ESR_cap</t>
  </si>
  <si>
    <t>T_cap_hot</t>
  </si>
  <si>
    <t>DCリンクC単体ESR 3 mΩを簡略熱モデル用の代表値として採用。周波数・温度依存を含む実データシート値で置換する。</t>
  </si>
  <si>
    <t>C熱抵抗</t>
  </si>
  <si>
    <t>Rth_cap</t>
  </si>
  <si>
    <t>K/W</t>
  </si>
  <si>
    <t>コンデンサ内部発熱→周囲の等価熱抵抗2 K/Wを一次熱モデルとして採用。実パッケージ/冷却条件で校正する。</t>
  </si>
  <si>
    <t>寿命基準温度</t>
  </si>
  <si>
    <t>T_cap_life_ref</t>
  </si>
  <si>
    <t>life_cap</t>
  </si>
  <si>
    <t>コンデンサ寿命則の基準温度85°C。フィルム/電解等の採用部品データシート寿命条件に合わせて変更する。</t>
  </si>
  <si>
    <t>基準寿命</t>
  </si>
  <si>
    <t>life_cap_ref</t>
  </si>
  <si>
    <t>h</t>
  </si>
  <si>
    <t>基準寿命10,000 hを寿命補正式の正規化値として採用。採用部品の定格寿命で置換する。</t>
  </si>
  <si>
    <t>要求寿命</t>
  </si>
  <si>
    <t>life_cap_req</t>
  </si>
  <si>
    <t>k_life_cap</t>
  </si>
  <si>
    <t>自動計算値。D列は直接編集せず参照元を編集。物理定数ではなく、参照元・トポロジー・シナリオから算出される派生値。</t>
  </si>
  <si>
    <t>要求仕様</t>
  </si>
  <si>
    <t>スルーレート基準DC電圧</t>
  </si>
  <si>
    <t>V_slew_ref</t>
  </si>
  <si>
    <t>M_slew_emiの簡略式で用いるスルーレート基準DC電圧の補正/正規化係数。普遍定数ではなく基準モデル再現用の経験値・設計仮定。実測/詳細解析/部品データで校正する。</t>
  </si>
  <si>
    <t>DCリンクESL</t>
  </si>
  <si>
    <t>DCリンク実効ESL</t>
  </si>
  <si>
    <t>ESL_dc</t>
  </si>
  <si>
    <t>DCリンクの実効ESL 12 nHを一次レイアウト値として採用。配線/コンデンサ/バスバーの寄生抽出・実測で校正する。</t>
  </si>
  <si>
    <t>HFローカルデカップリング有効</t>
  </si>
  <si>
    <t>Enable_hf_decouple</t>
  </si>
  <si>
    <t>V_overshoot,M_hfcap</t>
  </si>
  <si>
    <t>HFローカルデカップリング有効を切り替えるシナリオ変数。物理値ではなく0/1の方式選択。10_シナリオ入力で指定し、比較時はOFF/ON差分で評価する。</t>
  </si>
  <si>
    <t>HFデカップリングL低減率</t>
  </si>
  <si>
    <t>k_hf_L_reduce</t>
  </si>
  <si>
    <t>V_overshootの簡略式で用いるHFデカップリングL低減率の補正/正規化係数。普遍定数ではなく基準モデル再現用の経験値・設計仮定。実測/詳細解析/部品データで校正する。</t>
  </si>
  <si>
    <t>HFデカップリング追加重量</t>
  </si>
  <si>
    <t>m_hfcap</t>
  </si>
  <si>
    <t>M_invの簡略式で用いるHFデカップリング追加重量の補正/正規化係数。普遍定数ではなく基準モデル再現用の経験値・設計仮定。実測/詳細解析/部品データで校正する。</t>
  </si>
  <si>
    <t>冷媒流量</t>
  </si>
  <si>
    <t>Q_flow</t>
  </si>
  <si>
    <t>m3/s</t>
  </si>
  <si>
    <t>P_pump</t>
  </si>
  <si>
    <t>冷却流量0.00015 m³/s（9 L/min）を100 kW級基準モデルの一次値として採用。冷却能力/圧損/ポンプ仕様で校正する。</t>
  </si>
  <si>
    <t>基準流量</t>
  </si>
  <si>
    <t>Q_flow_ref</t>
  </si>
  <si>
    <t>DeltaP</t>
  </si>
  <si>
    <t>圧損モデルの正規化用基準流量0.00015 m³/s（9 L/min）。</t>
  </si>
  <si>
    <t>基準圧力損失</t>
  </si>
  <si>
    <t>DeltaP_ref</t>
  </si>
  <si>
    <t>Pa</t>
  </si>
  <si>
    <t>基準流量時の圧力損失45 kPaを一次流路設計値として採用。実流路の圧損計算/測定で校正する。</t>
  </si>
  <si>
    <t>圧損流量指数</t>
  </si>
  <si>
    <t>a_dp_flow</t>
  </si>
  <si>
    <t>DeltaPの簡略式で用いる圧損流量指数の補正/正規化係数。普遍定数ではなく基準モデル再現用の経験値・設計仮定。実測/詳細解析/部品データで校正する。</t>
  </si>
  <si>
    <t>ポンプ効率</t>
  </si>
  <si>
    <t>eta_pump</t>
  </si>
  <si>
    <t>小型液冷ポンプの総合効率45%を一次設計値として採用。採用ポンプの効率曲線で置換する。</t>
  </si>
  <si>
    <t>ポンプ比重量</t>
  </si>
  <si>
    <t>k_m_pump</t>
  </si>
  <si>
    <t>m_pump</t>
  </si>
  <si>
    <t>m_pumpの簡略式で用いるポンプ比重量の補正/正規化係数。普遍定数ではなく基準モデル再現用の経験値・設計仮定。実測/詳細解析/部品データで校正する。</t>
  </si>
  <si>
    <t>フィン/流路密度係数</t>
  </si>
  <si>
    <t>fin_density</t>
  </si>
  <si>
    <t>h_eff,DeltaP</t>
  </si>
  <si>
    <t>同一冷却器技術では固定</t>
  </si>
  <si>
    <t>同一冷却技術では固定</t>
  </si>
  <si>
    <t>熱伝達密度指数</t>
  </si>
  <si>
    <t>a_h_fin</t>
  </si>
  <si>
    <t>h_effの簡略式で用いる熱伝達密度指数の補正/正規化係数。普遍定数ではなく基準モデル再現用の経験値・設計仮定。実測/詳細解析/部品データで校正する。</t>
  </si>
  <si>
    <t>圧損密度指数</t>
  </si>
  <si>
    <t>a_dp_fin</t>
  </si>
  <si>
    <t>DeltaPの簡略式で用いる圧損密度指数の補正/正規化係数。普遍定数ではなく基準モデル再現用の経験値・設計仮定。実測/詳細解析/部品データで校正する。</t>
  </si>
  <si>
    <t>TIM</t>
  </si>
  <si>
    <t>TIM厚さ</t>
  </si>
  <si>
    <t>t_TIM</t>
  </si>
  <si>
    <t>Rth_TIM</t>
  </si>
  <si>
    <t>TIM厚さ0.15 mmを基準実装値として採用。接合材/グリース/シートの実装厚に合わせて変更する。</t>
  </si>
  <si>
    <t>TIM熱伝導率</t>
  </si>
  <si>
    <t>k_TIM</t>
  </si>
  <si>
    <t>W/(mK)</t>
  </si>
  <si>
    <t>TIM熱伝導率5 W/(m·K)を中性能TIMの代表値として採用。採用材料データシートで置換する。</t>
  </si>
  <si>
    <t>TIM面積</t>
  </si>
  <si>
    <t>A_TIM</t>
  </si>
  <si>
    <t>m2</t>
  </si>
  <si>
    <t>TIM有効面積0.025 m²を基準冷却面積として採用。ベース/冷却板CAD面積で置換する。</t>
  </si>
  <si>
    <t>基準TIM熱抵抗</t>
  </si>
  <si>
    <t>Rth_TIM_ref</t>
  </si>
  <si>
    <t>M_hx</t>
  </si>
  <si>
    <t>TIM重量/熱設計補正の正規化基準熱抵抗1.2 mK/W。簡略モデル用の基準点で、実接合面熱抵抗で校正する。</t>
  </si>
  <si>
    <t>締結圧係数</t>
  </si>
  <si>
    <t>p_mount</t>
  </si>
  <si>
    <t>Rth_TIM,m_clamp</t>
  </si>
  <si>
    <t>同一冷却構造では固定</t>
  </si>
  <si>
    <t>締結圧指数</t>
  </si>
  <si>
    <t>a_press_TIM</t>
  </si>
  <si>
    <t>Rth_TIMの簡略式で用いる締結圧指数の補正/正規化係数。普遍定数ではなく基準モデル再現用の経験値・設計仮定。実測/詳細解析/部品データで校正する。</t>
  </si>
  <si>
    <t>基準締結重量</t>
  </si>
  <si>
    <t>m_clamp_ref</t>
  </si>
  <si>
    <t>m_clamp</t>
  </si>
  <si>
    <t>m_clampの簡略式で用いる基準締結重量の補正/正規化係数。普遍定数ではなく基準モデル再現用の経験値・設計仮定。実測/詳細解析/部品データで校正する。</t>
  </si>
  <si>
    <t>熱設計</t>
  </si>
  <si>
    <t>目標接合温度</t>
  </si>
  <si>
    <t>Tj_target</t>
  </si>
  <si>
    <t>degC</t>
  </si>
  <si>
    <t>M_hx,R_on</t>
  </si>
  <si>
    <t>基準接合温度</t>
  </si>
  <si>
    <t>Tj_ref</t>
  </si>
  <si>
    <t>半導体温度補正の基準接合温度125°C。高温動作の基準点で、採用デバイスの特性表に合わせて変更する。</t>
  </si>
  <si>
    <t>冷媒基準温度</t>
  </si>
  <si>
    <t>T_cool_ref</t>
  </si>
  <si>
    <t>Ron温度係数</t>
  </si>
  <si>
    <t>alpha_Ron_T</t>
  </si>
  <si>
    <t>1/K</t>
  </si>
  <si>
    <t>R_on</t>
  </si>
  <si>
    <t>Ron温度依存を線形化した係数0.0035/K。詳細なRds(on)-T特性を一次線形近似した簡略値で、採用デバイスデータから校正する。</t>
  </si>
  <si>
    <t>極間ギャップ</t>
  </si>
  <si>
    <t>gap_bus</t>
  </si>
  <si>
    <t>V_overshoot,M_bus</t>
  </si>
  <si>
    <t>積層バスバー極間ギャップ1 mmを基準実装値として採用。絶縁耐圧・部分放電・製造公差と合わせて設計する。</t>
  </si>
  <si>
    <t>基準ギャップ</t>
  </si>
  <si>
    <t>gap_bus_ref</t>
  </si>
  <si>
    <t>寄生L補正式の正規化基準ギャップ1 mm。</t>
  </si>
  <si>
    <t>重なり係数</t>
  </si>
  <si>
    <t>overlap_bus</t>
  </si>
  <si>
    <t>V_overshoot,CM</t>
  </si>
  <si>
    <t>正負極導体の重なりを1.0とする正規化係数。実際の重なり面積比で校正する。</t>
  </si>
  <si>
    <t>積層構造重量係数</t>
  </si>
  <si>
    <t>m_bus_stack_ref</t>
  </si>
  <si>
    <t>M_invの簡略式で用いる積層構造重量係数の補正/正規化係数。普遍定数ではなく基準モデル再現用の経験値・設計仮定。実測/詳細解析/部品データで校正する。</t>
  </si>
  <si>
    <t>Al導体選択</t>
  </si>
  <si>
    <t>Enable_Al_bus</t>
  </si>
  <si>
    <t>rho_bus,rho_e_bus</t>
  </si>
  <si>
    <t>Al導体選択を切り替えるシナリオ変数。物理値ではなく0/1の方式選択。10_シナリオ入力で指定し、比較時はOFF/ON差分で評価する。</t>
  </si>
  <si>
    <t>Al密度比</t>
  </si>
  <si>
    <t>k_rho_Al</t>
  </si>
  <si>
    <t>Al/Cu密度比≈2700/8960=0.301を使用。材料密度から直接導出。</t>
  </si>
  <si>
    <t>Al抵抗率比</t>
  </si>
  <si>
    <t>k_res_Al</t>
  </si>
  <si>
    <t>J_bus,P_bus</t>
  </si>
  <si>
    <t>Al/Cu抵抗率比≈2.82e-8/1.72e-8=1.64を使用。20°C付近の代表材料抵抗率から直接導出。</t>
  </si>
  <si>
    <t>導体厚さ</t>
  </si>
  <si>
    <t>t_bus_cond</t>
  </si>
  <si>
    <t>k_ac_bus</t>
  </si>
  <si>
    <t>バスバー導体厚1.5 mmを基準構造値として採用。電流密度・skin effect・製造性から最適化する。</t>
  </si>
  <si>
    <t>基準表皮深さ</t>
  </si>
  <si>
    <t>delta_skin_ref</t>
  </si>
  <si>
    <t>固定値ではなく銅の表皮深さを自動計算。δ=SQRT(ρ/(πfμ0))、μr≈1。fはスイッチング周波数。16 kHz・ρ=1.72E-8 Ωmでは約0.522 mm。 Formula reference: https://www.allaboutcircuits.com/tools/skin-depth-calculator</t>
  </si>
  <si>
    <t>積層数</t>
  </si>
  <si>
    <t>N_laminate</t>
  </si>
  <si>
    <t>k_ac_bus,M_laminate</t>
  </si>
  <si>
    <t>自動計算値。シナリオ表を参照。物理定数ではなく、参照元・トポロジー・シナリオから算出される派生値。</t>
  </si>
  <si>
    <t>積層追加重量</t>
  </si>
  <si>
    <t>m_laminate_unit</t>
  </si>
  <si>
    <t>kg/層</t>
  </si>
  <si>
    <t>M_laminate</t>
  </si>
  <si>
    <t>M_laminateの簡略式で用いる積層追加重量の補正/正規化係数。普遍定数ではなく基準モデル再現用の経験値・設計仮定。実測/詳細解析/部品データで校正する。</t>
  </si>
  <si>
    <t>dvdtフィルタ</t>
  </si>
  <si>
    <t>dv/dtフィルタ有効</t>
  </si>
  <si>
    <t>Enable_dvdt_filter</t>
  </si>
  <si>
    <t>EMI,M_filter</t>
  </si>
  <si>
    <t>dv/dtフィルタ有効を切り替えるシナリオ変数。物理値ではなく0/1の方式選択。10_シナリオ入力で指定し、比較時はOFF/ON差分で評価する。</t>
  </si>
  <si>
    <t>dv/dtフィルタ追加重量</t>
  </si>
  <si>
    <t>m_dvdt_filter</t>
  </si>
  <si>
    <t>M_invの簡略式で用いるdv/dtフィルタ追加重量の補正/正規化係数。普遍定数ではなく基準モデル再現用の経験値・設計仮定。実測/詳細解析/部品データで校正する。</t>
  </si>
  <si>
    <t>EMI低減率</t>
  </si>
  <si>
    <t>k_dvdt_reduce</t>
  </si>
  <si>
    <t>M_slew_emiの簡略式で用いるEMI低減率の補正/正規化係数。普遍定数ではなく基準モデル再現用の経験値・設計仮定。実測/詳細解析/部品データで校正する。</t>
  </si>
  <si>
    <t>出力フィルタ損失</t>
  </si>
  <si>
    <t>P_dvdt_filter_on</t>
  </si>
  <si>
    <t>W</t>
  </si>
  <si>
    <t>Q_reqの簡略式で用いる出力フィルタ損失の補正/正規化係数。普遍定数ではなく基準モデル再現用の経験値・設計仮定。実測/詳細解析/部品データで校正する。</t>
  </si>
  <si>
    <t>パッシブCMフィルタ有効</t>
  </si>
  <si>
    <t>Enable_CM_filter</t>
  </si>
  <si>
    <t>パッシブCMフィルタ有効を切り替えるシナリオ変数。物理値ではなく0/1の方式選択。10_シナリオ入力で指定し、比較時はOFF/ON差分で評価する。</t>
  </si>
  <si>
    <t>アクティブCMフィルタ基準重量</t>
  </si>
  <si>
    <t>m_CM_active_ref</t>
  </si>
  <si>
    <t>M_CM_active</t>
  </si>
  <si>
    <t>基準CM要求比におけるアクティブCMキャンセル回路の等価重量0.08 kgを校正点として採用。一般値ではない。実回路のセンサ、アンプ/スイッチ、磁気、PCB、冷却/取付のBOM重量へ置換する。</t>
  </si>
  <si>
    <t>アクティブ併用時パッシブ重量低減率</t>
  </si>
  <si>
    <t>k_CM_active_passive_reduce</t>
  </si>
  <si>
    <t>Hybrid時にアクティブCMキャンセルが担う減衰分だけパッシブLC重量を低減する簡略係数。</t>
  </si>
  <si>
    <t>アクティブCM重量指数</t>
  </si>
  <si>
    <t>a_CM_active_mass</t>
  </si>
  <si>
    <t>CM要求比に対するアクティブCM回路重量のスケーリング指数0.3は感度解析用の経験係数。一般式ではない。複数要求点の回路設計/BOMからM∝k_CM_req^aをフィッティングして校正する。</t>
  </si>
  <si>
    <t>EMI/構造</t>
  </si>
  <si>
    <t>シールド有効</t>
  </si>
  <si>
    <t>Enable_shield</t>
  </si>
  <si>
    <t>EMI低減/重量増</t>
  </si>
  <si>
    <t>シールド有効を切り替えるシナリオ変数。物理値ではなく0/1の方式選択。10_シナリオ入力で指定し、比較時はOFF/ON差分で評価する。</t>
  </si>
  <si>
    <t>シールド追加重量</t>
  </si>
  <si>
    <t>m_shield</t>
  </si>
  <si>
    <t>M_shield</t>
  </si>
  <si>
    <t>M_shieldの簡略式で用いるシールド追加重量の補正/正規化係数。普遍定数ではなく基準モデル再現用の経験値・設計仮定。実測/詳細解析/部品データで校正する。</t>
  </si>
  <si>
    <t>シールドEMI低減率</t>
  </si>
  <si>
    <t>k_shield_reduce</t>
  </si>
  <si>
    <t>M_emi</t>
  </si>
  <si>
    <t>M_emiの簡略式で用いるシールドEMI低減率の補正/正規化係数。普遍定数ではなく基準モデル再現用の経験値・設計仮定。実測/詳細解析/部品データで校正する。</t>
  </si>
  <si>
    <t>センシング</t>
  </si>
  <si>
    <t>シャント抵抗</t>
  </si>
  <si>
    <t>R_shunt</t>
  </si>
  <si>
    <t>ohm</t>
  </si>
  <si>
    <t>P_shunt/M_CSA</t>
  </si>
  <si>
    <t>電流シャント0.5 mΩを基準値として採用。損失・測定電圧・精度のトレードオフで実部品選定する。</t>
  </si>
  <si>
    <t>基準シャント抵抗</t>
  </si>
  <si>
    <t>R_shunt_ref</t>
  </si>
  <si>
    <t>M_CSA</t>
  </si>
  <si>
    <t>シャント重量/損失補正式の正規化基準0.5 mΩ。</t>
  </si>
  <si>
    <t>基準電流アンプ重量</t>
  </si>
  <si>
    <t>m_CSA_ref</t>
  </si>
  <si>
    <t>M_CSAの簡略式で用いる基準電流アンプ重量の補正/正規化係数。普遍定数ではなく基準モデル再現用の経験値・設計仮定。実測/詳細解析/部品データで校正する。</t>
  </si>
  <si>
    <t>電流検出方式</t>
  </si>
  <si>
    <t>Sense_mode</t>
  </si>
  <si>
    <t>0/1/2</t>
  </si>
  <si>
    <t>M_sensor/Psense</t>
  </si>
  <si>
    <t>0=3shunt,1=1shunt,2=Hall</t>
  </si>
  <si>
    <t>Hall方式追加重量</t>
  </si>
  <si>
    <t>m_Hall_delta</t>
  </si>
  <si>
    <t>M_sensor_option</t>
  </si>
  <si>
    <t>M_sensor_optionの簡略式で用いるHall方式追加重量の補正/正規化係数。普遍定数ではなく基準モデル再現用の経験値・設計仮定。実測/詳細解析/部品データで校正する。</t>
  </si>
  <si>
    <t>1shunt軽量化量</t>
  </si>
  <si>
    <t>m_1shunt_save</t>
  </si>
  <si>
    <t>M_sensor_optionの簡略式で用いる1shunt軽量化量の補正/正規化係数。普遍定数ではなく基準モデル再現用の経験値・設計仮定。実測/詳細解析/部品データで校正する。</t>
  </si>
  <si>
    <t>ゲート絶縁</t>
  </si>
  <si>
    <t>絶縁バイアス電源有効</t>
  </si>
  <si>
    <t>Enable_isolated_bias</t>
  </si>
  <si>
    <t>M_bias/CMTI</t>
  </si>
  <si>
    <t>絶縁バイアス電源有効を切り替えるシナリオ変数。物理定数ではなく方式選択用の0/1入力。M_bias/CMTIへの効果を比較する。</t>
  </si>
  <si>
    <t>絶縁バイアス追加重量</t>
  </si>
  <si>
    <t>m_iso_bias</t>
  </si>
  <si>
    <t>M_gate_iso</t>
  </si>
  <si>
    <t>M_gate_isoの簡略式で用いる絶縁バイアス追加重量の補正/正規化係数。普遍定数ではなく基準モデル再現用の経験値・設計仮定。実測/詳細解析/部品データで校正する。</t>
  </si>
  <si>
    <t>非絶縁時制御制約重量</t>
  </si>
  <si>
    <t>m_bootstrap_penalty</t>
  </si>
  <si>
    <t>M_gate_isoの簡略式で用いる非絶縁時制御制約重量の補正/正規化係数。普遍定数ではなく基準モデル再現用の経験値・設計仮定。実測/詳細解析/部品データで校正する。</t>
  </si>
  <si>
    <t>保護</t>
  </si>
  <si>
    <t>DESAT保護有効</t>
  </si>
  <si>
    <t>Enable_DESAT</t>
  </si>
  <si>
    <t>k_chip_eff/M_protection</t>
  </si>
  <si>
    <t>DESAT保護有効を切り替えるシナリオ変数。物理定数ではなく方式選択用の0/1入力。k_chip_eff/M_protectionへの効果を比較する。</t>
  </si>
  <si>
    <t>DESAT回路重量</t>
  </si>
  <si>
    <t>m_DESAT</t>
  </si>
  <si>
    <t>M_protection</t>
  </si>
  <si>
    <t>M_protectionの簡略式で用いるDESAT回路重量の補正/正規化係数。普遍定数ではなく基準モデル再現用の経験値・設計仮定。実測/詳細解析/部品データで校正する。</t>
  </si>
  <si>
    <t>DESATによる電流余裕低減率</t>
  </si>
  <si>
    <t>k_DESAT_margin_reduce</t>
  </si>
  <si>
    <t>N_chip_modの簡略式で用いるDESATによる電流余裕低減率の補正/正規化係数。普遍定数ではなく基準モデル再現用の経験値・設計仮定。実測/詳細解析/部品データで校正する。</t>
  </si>
  <si>
    <t>アクティブクランプ有効</t>
  </si>
  <si>
    <t>Enable_active_clamp</t>
  </si>
  <si>
    <t>overshoot/M_clamp</t>
  </si>
  <si>
    <t>アクティブクランプ有効を切り替えるシナリオ変数。物理値ではなく0/1の方式選択。10_シナリオ入力で指定し、比較時はOFF/ON差分で評価する。</t>
  </si>
  <si>
    <t>クランプovershoot低減率</t>
  </si>
  <si>
    <t>k_active_clamp_reduce</t>
  </si>
  <si>
    <t>V_overshootの簡略式で用いるクランプovershoot低減率の補正/正規化係数。普遍定数ではなく基準モデル再現用の経験値・設計仮定。実測/詳細解析/部品データで校正する。</t>
  </si>
  <si>
    <t>クランプ回路重量</t>
  </si>
  <si>
    <t>m_active_clamp</t>
  </si>
  <si>
    <t>M_active_clamp</t>
  </si>
  <si>
    <t>M_active_clampの簡略式で用いるクランプ回路重量の補正/正規化係数。普遍定数ではなく基準モデル再現用の経験値・設計仮定。実測/詳細解析/部品データで校正する。</t>
  </si>
  <si>
    <t>クランプ損失</t>
  </si>
  <si>
    <t>P_active_clamp_on</t>
  </si>
  <si>
    <t>Q_reqの簡略式で用いるクランプ損失の補正/正規化係数。普遍定数ではなく基準モデル再現用の経験値・設計仮定。実測/詳細解析/部品データで校正する。</t>
  </si>
  <si>
    <t>絶縁</t>
  </si>
  <si>
    <t>高性能絶縁材有効</t>
  </si>
  <si>
    <t>Enable_hi_ins</t>
  </si>
  <si>
    <t>clearance/M_ins</t>
  </si>
  <si>
    <t>高性能絶縁材有効を切り替えるシナリオ変数。物理値ではなく0/1の方式選択。10_シナリオ入力で指定し、比較時はOFF/ON差分で評価する。</t>
  </si>
  <si>
    <t>高性能絶縁による距離低減率</t>
  </si>
  <si>
    <t>k_clearance_reduce</t>
  </si>
  <si>
    <t>M_clearance</t>
  </si>
  <si>
    <t>M_clearanceの簡略式で用いる高性能絶縁による距離低減率の補正/正規化係数。普遍定数ではなく基準モデル再現用の経験値・設計仮定。実測/詳細解析/部品データで校正する。</t>
  </si>
  <si>
    <t>高性能絶縁材追加重量</t>
  </si>
  <si>
    <t>m_hi_ins</t>
  </si>
  <si>
    <t>M_ins_tech</t>
  </si>
  <si>
    <t>M_ins_techの簡略式で用いる高性能絶縁材追加重量の補正/正規化係数。普遍定数ではなく基準モデル再現用の経験値・設計仮定。実測/詳細解析/部品データで校正する。</t>
  </si>
  <si>
    <t>基準クリアランス支持重量</t>
  </si>
  <si>
    <t>m_clearance_ref</t>
  </si>
  <si>
    <t>M_clearanceの簡略式で用いる基準クリアランス支持重量の補正/正規化係数。普遍定数ではなく基準モデル再現用の経験値・設計仮定。実測/詳細解析/部品データで校正する。</t>
  </si>
  <si>
    <t>ポッティング有効</t>
  </si>
  <si>
    <t>Enable_potting</t>
  </si>
  <si>
    <t>clearance/M_pot/Rth</t>
  </si>
  <si>
    <t>ポッティング有効を切り替えるシナリオ変数。物理値ではなく0/1の方式選択。10_シナリオ入力で指定し、比較時はOFF/ON差分で評価する。</t>
  </si>
  <si>
    <t>ポッティング重量</t>
  </si>
  <si>
    <t>m_potting</t>
  </si>
  <si>
    <t>M_potting</t>
  </si>
  <si>
    <t>M_pottingの簡略式で用いるポッティング重量の補正/正規化係数。普遍定数ではなく基準モデル再現用の経験値・設計仮定。実測/詳細解析/部品データで校正する。</t>
  </si>
  <si>
    <t>ポッティング距離低減率</t>
  </si>
  <si>
    <t>k_pot_clearance_reduce</t>
  </si>
  <si>
    <t>M_clearanceの簡略式で用いるポッティング距離低減率の補正/正規化係数。普遍定数ではなく基準モデル再現用の経験値・設計仮定。実測/詳細解析/部品データで校正する。</t>
  </si>
  <si>
    <t>ポッティング熱ペナルティ</t>
  </si>
  <si>
    <t>k_pot_thermal</t>
  </si>
  <si>
    <t>M_hxの簡略式で用いるポッティング熱ペナルティの補正/正規化係数。普遍定数ではなく基準モデル再現用の経験値・設計仮定。実測/詳細解析/部品データで校正する。</t>
  </si>
  <si>
    <t>補助電源</t>
  </si>
  <si>
    <t>バイアス電源効率</t>
  </si>
  <si>
    <t>eta_bias</t>
  </si>
  <si>
    <t>P_bias_loss/M_bias_supply</t>
  </si>
  <si>
    <t>ゲート/補助バイアス電源効率82%を一次設計値として採用。小電力絶縁DC/DCの実効率で置換する。</t>
  </si>
  <si>
    <t>バイアス電源比重量</t>
  </si>
  <si>
    <t>k_m_bias</t>
  </si>
  <si>
    <t>M_bias_supply</t>
  </si>
  <si>
    <t>M_bias_supplyの簡略式で用いるバイアス電源比重量の補正/正規化係数。普遍定数ではなく基準モデル再現用の経験値・設計仮定。実測/詳細解析/部品データで校正する。</t>
  </si>
  <si>
    <t>プリチャージ</t>
  </si>
  <si>
    <t>プリチャージ有効</t>
  </si>
  <si>
    <t>Enable_precharge</t>
  </si>
  <si>
    <t>contactor/M_precharge</t>
  </si>
  <si>
    <t>プリチャージ有効を切り替えるシナリオ変数。物理値ではなく0/1の方式選択。10_シナリオ入力で指定し、比較時はOFF/ON差分で評価する。</t>
  </si>
  <si>
    <t>プリチャージ回路重量</t>
  </si>
  <si>
    <t>m_precharge</t>
  </si>
  <si>
    <t>M_precharge</t>
  </si>
  <si>
    <t>M_prechargeの簡略式で用いるプリチャージ回路重量の補正/正規化係数。普遍定数ではなく基準モデル再現用の経験値・設計仮定。実測/詳細解析/部品データで校正する。</t>
  </si>
  <si>
    <t>コンタクタ重量低減率</t>
  </si>
  <si>
    <t>k_contactor_reduce</t>
  </si>
  <si>
    <t>M_contactor</t>
  </si>
  <si>
    <t>M_contactorの簡略式で用いるコンタクタ重量低減率の補正/正規化係数。普遍定数ではなく基準モデル再現用の経験値・設計仮定。実測/詳細解析/部品データで校正する。</t>
  </si>
  <si>
    <t>基準コンタクタ/ヒューズ重量</t>
  </si>
  <si>
    <t>m_contactor_base</t>
  </si>
  <si>
    <t>M_contactorの簡略式で用いる基準コンタクタ/ヒューズ重量の補正/正規化係数。普遍定数ではなく基準モデル再現用の経験値・設計仮定。実測/詳細解析/部品データで校正する。</t>
  </si>
  <si>
    <t>モータケーブル長</t>
  </si>
  <si>
    <t>L_cable</t>
  </si>
  <si>
    <t>EMI/反射/CM</t>
  </si>
  <si>
    <t>07_システム要求から自動</t>
  </si>
  <si>
    <t>参照元を編集</t>
  </si>
  <si>
    <t>D列は直接編集しない</t>
  </si>
  <si>
    <t>許容相電流リップル率</t>
  </si>
  <si>
    <t>ripple_i_req</t>
  </si>
  <si>
    <t>モータ相インダクタンス</t>
  </si>
  <si>
    <t>L_motor</t>
  </si>
  <si>
    <t>DCリンク放電要求時間</t>
  </si>
  <si>
    <t>t_discharge_req</t>
  </si>
  <si>
    <t>R_discharge</t>
  </si>
  <si>
    <t>放電完了安全電圧</t>
  </si>
  <si>
    <t>V_safe_discharge</t>
  </si>
  <si>
    <t>電流制御帯域</t>
  </si>
  <si>
    <t>BW_current</t>
  </si>
  <si>
    <t>放電</t>
  </si>
  <si>
    <t>アクティブ放電時抵抗重量比</t>
  </si>
  <si>
    <t>k_discharge_res_mass_active</t>
  </si>
  <si>
    <t>M_discharge_res</t>
  </si>
  <si>
    <t>短時間定格で抵抗を小型化する簡易係数</t>
  </si>
  <si>
    <t>アクティブ放電待機損失比</t>
  </si>
  <si>
    <t>k_discharge_standby_active</t>
  </si>
  <si>
    <t>P_discharge_standby</t>
  </si>
  <si>
    <t>能動スイッチOFF時の残存損失比</t>
  </si>
  <si>
    <t>ブリーダ抵抗比重量</t>
  </si>
  <si>
    <t>k_m_bleed</t>
  </si>
  <si>
    <t>連続定格抵抗の簡易比重量</t>
  </si>
  <si>
    <t>アクティブ放電制御重量</t>
  </si>
  <si>
    <t>m_active_discharge_ctrl</t>
  </si>
  <si>
    <t>M_active_discharge_ctrl</t>
  </si>
  <si>
    <t>スイッチ/駆動/制御の等価重量</t>
  </si>
  <si>
    <t>半導体パッケージ</t>
  </si>
  <si>
    <t>高度冷却パッケージ熱抵抗低減率</t>
  </si>
  <si>
    <t>k_pkg_Rth_reduce</t>
  </si>
  <si>
    <t>m_hx</t>
  </si>
  <si>
    <t>上面/両面冷却等の簡易低減率</t>
  </si>
  <si>
    <t>高度冷却パッケージ電流密度向上率</t>
  </si>
  <si>
    <t>k_pkg_J_gain</t>
  </si>
  <si>
    <t>J_chip_eff</t>
  </si>
  <si>
    <t>熱制約緩和による簡易電流密度向上</t>
  </si>
  <si>
    <t>高度冷却パッケージ追加重量</t>
  </si>
  <si>
    <t>m_pkg_advanced_delta</t>
  </si>
  <si>
    <t>M_pkg_advanced</t>
  </si>
  <si>
    <t>クランプ/絶縁/構造の追加重量</t>
  </si>
  <si>
    <t>ケーブル</t>
  </si>
  <si>
    <t>ケーブル対地容量/長さ</t>
  </si>
  <si>
    <t>C_cable_per_m</t>
  </si>
  <si>
    <t>I_cm</t>
  </si>
  <si>
    <t>ケーブル構造を固定した基準値</t>
  </si>
  <si>
    <t>基準ケーブル長</t>
  </si>
  <si>
    <t>L_cable_ref</t>
  </si>
  <si>
    <t>k_cable_cm,k_cable_dvdt</t>
  </si>
  <si>
    <t>EMI重量スケーリング基準</t>
  </si>
  <si>
    <t>CM重量ケーブル長指数</t>
  </si>
  <si>
    <t>a_cable_cm</t>
  </si>
  <si>
    <t>M_CM_filter</t>
  </si>
  <si>
    <t>簡易スケーリング</t>
  </si>
  <si>
    <t>dvdt対策重量ケーブル長指数</t>
  </si>
  <si>
    <t>a_cable_dvdt</t>
  </si>
  <si>
    <t>制御</t>
  </si>
  <si>
    <t>リップル電圧係数</t>
  </si>
  <si>
    <t>k_ripple_voltage</t>
  </si>
  <si>
    <t>f_sw_ripple</t>
  </si>
  <si>
    <t>PWM/変調の平均電圧ステップ簡易係数</t>
  </si>
  <si>
    <t>fsw/制御帯域倍率</t>
  </si>
  <si>
    <t>k_fsw_bw</t>
  </si>
  <si>
    <t>f_sw_bw</t>
  </si>
  <si>
    <t>制御帯域に対する最低キャリア倍率</t>
  </si>
  <si>
    <t>Miller clampによるSW時間低減率</t>
  </si>
  <si>
    <t>k_miller_sw_reduce</t>
  </si>
  <si>
    <t>P_sw</t>
  </si>
  <si>
    <t>誤点弧余裕を利用した高速化の簡易係数</t>
  </si>
  <si>
    <t>Miller clamp追加重量</t>
  </si>
  <si>
    <t>m_miller_clamp</t>
  </si>
  <si>
    <t>M_miller_clamp</t>
  </si>
  <si>
    <t>専用ドライバ/クランプ回路等価重量</t>
  </si>
  <si>
    <t>DCリンク/安全</t>
  </si>
  <si>
    <t>アクティブディスチャージ有効</t>
  </si>
  <si>
    <t>Enable_active_discharge</t>
  </si>
  <si>
    <t>M_discharge/P_standby</t>
  </si>
  <si>
    <t>半導体熱</t>
  </si>
  <si>
    <t>高度冷却パッケージ有効</t>
  </si>
  <si>
    <t>Package_cooling_mode</t>
  </si>
  <si>
    <t>M_cool/J_chip/M_semi</t>
  </si>
  <si>
    <t>Miller clamp有効</t>
  </si>
  <si>
    <t>Enable_Miller_clamp</t>
  </si>
  <si>
    <t>P_sw/M_gate</t>
  </si>
  <si>
    <t>インバータ方式</t>
  </si>
  <si>
    <t>電流型インバータ（CSI）有効</t>
  </si>
  <si>
    <t>Enable_CSI</t>
  </si>
  <si>
    <t>L_dc・リプル/EMI</t>
  </si>
  <si>
    <t>0=VSI,1=CSI</t>
  </si>
  <si>
    <t>DC/DC機能</t>
  </si>
  <si>
    <t>独立DC/DC半導体段有効</t>
  </si>
  <si>
    <t>Enable_DCDC_stage</t>
  </si>
  <si>
    <t>M_DCDC/P_DCDC/L_dc</t>
  </si>
  <si>
    <t>1=独立DCDC半導体段を追加。CSI=1かつ0ではCSI主半導体がDC/DC能動スイッチ機能を兼用。DCDC機能そのものの有無を意味しない。</t>
  </si>
  <si>
    <t>DCリアクトル</t>
  </si>
  <si>
    <t>DCリンクLのHTS化</t>
  </si>
  <si>
    <t>Enable_HTS_Ldc</t>
  </si>
  <si>
    <t>M_L_dc/P_L_dc</t>
  </si>
  <si>
    <t>0=通常磁気,1=HTS</t>
  </si>
  <si>
    <t>アクティブパワーデカップリング有効</t>
  </si>
  <si>
    <t>Enable_APD_DClink</t>
  </si>
  <si>
    <t>L_dc/I_dc_ripple/M_APD</t>
  </si>
  <si>
    <t>独立DCDC段</t>
  </si>
  <si>
    <t>DCDCパワースイッチ単体重量</t>
  </si>
  <si>
    <t>m_switch_DCDC</t>
  </si>
  <si>
    <t>M_DCDC_power</t>
  </si>
  <si>
    <t>独立DCDC半導体段のスイッチ1個当たり等価重量0.15 kgを100 kW級一次見積りの校正値として採用。一般値ではない。採用モジュール/ディスクリート、DBC、端子、冷却取付を含む実BOMへ置換する。</t>
  </si>
  <si>
    <t>DCDC制御・ゲート回路重量</t>
  </si>
  <si>
    <t>m_DCDC_ctrl</t>
  </si>
  <si>
    <t>M_DCDC_ctrl</t>
  </si>
  <si>
    <t>独立DCDC段の制御・ゲート回路重量0.15 kgを100 kW級一次見積りの校正値として採用。一般値ではない。ゲートドライバ、絶縁電源、制御PCB、センサ/配線の実BOMへ置換する。</t>
  </si>
  <si>
    <t>DCDC効率</t>
  </si>
  <si>
    <t>eta_DCDC</t>
  </si>
  <si>
    <t>P_DCDC</t>
  </si>
  <si>
    <t>独立DCDC段の基準効率98%を一次設計値として採用。一般値ではない。トポロジー、動作点、デバイス、磁気損失を含む損失計算または試験結果で置換する。</t>
  </si>
  <si>
    <t>DCDC基準スイッチ数</t>
  </si>
  <si>
    <t>N_switch_DCDC_ref</t>
  </si>
  <si>
    <t>独立DCDC段の基準スイッチ数4個は簡略トポロジーの一次仮定。一般値ではない。採用DCDCトポロジー（例: 2相/フルブリッジ等）の実スイッチ数へ置換する。</t>
  </si>
  <si>
    <t>DCDCインダクタ基準インダクタンス</t>
  </si>
  <si>
    <t>L_dc_ref</t>
  </si>
  <si>
    <t>L_dc</t>
  </si>
  <si>
    <t>DCDC機能用Ldcの基準値。独立DCDC段/CSI半導体兼用方式で同一物理Lを使用し、二重計上しない。</t>
  </si>
  <si>
    <t>APDによるL低減率</t>
  </si>
  <si>
    <t>k_APD_L_reduce</t>
  </si>
  <si>
    <t>APD採用時に必要Ldcを70%低減（残存30%）できるとする研究シナリオ仮定。一般値ではない。APDの電力脈動補償率と許容DC電流リプルから必要エネルギー/Lを再計算して校正する。</t>
  </si>
  <si>
    <t>磁気エネルギー→質量係数</t>
  </si>
  <si>
    <t>k_m_Ldc_energy</t>
  </si>
  <si>
    <t>kg/J</t>
  </si>
  <si>
    <t>M_Ldc_normal</t>
  </si>
  <si>
    <t>簡易モデル</t>
  </si>
  <si>
    <t>HTSコイル質量低減率</t>
  </si>
  <si>
    <t>k_HTS_Ldc_mass_reduce</t>
  </si>
  <si>
    <t>M_Ldc_HTS_coil</t>
  </si>
  <si>
    <t>冷凍系除外</t>
  </si>
  <si>
    <t>HTS</t>
  </si>
  <si>
    <t>クライオクーラ・断熱容器重量</t>
  </si>
  <si>
    <t>m_cryo_HTS_ref</t>
  </si>
  <si>
    <t>M_cryo_HTS</t>
  </si>
  <si>
    <t>暫定システム係数</t>
  </si>
  <si>
    <t>クライオクーラ入力電力</t>
  </si>
  <si>
    <t>P_cryo_HTS_ref</t>
  </si>
  <si>
    <t>P_cryo_HTS</t>
  </si>
  <si>
    <t>電流リード重量</t>
  </si>
  <si>
    <t>m_current_lead_HTS_ref</t>
  </si>
  <si>
    <t>M_current_lead_HTS</t>
  </si>
  <si>
    <t>クエンチ保護重量</t>
  </si>
  <si>
    <t>m_quench_protection_ref</t>
  </si>
  <si>
    <t>M_quench_protection</t>
  </si>
  <si>
    <t>HTSリプルAC損失基準</t>
  </si>
  <si>
    <t>P_HTS_ac_ref</t>
  </si>
  <si>
    <t>AC_loss_HTS_ripple</t>
  </si>
  <si>
    <t>暫定簡易係数</t>
  </si>
  <si>
    <t>通常導体DCリアクトル抵抗</t>
  </si>
  <si>
    <t>R_Ldc</t>
  </si>
  <si>
    <t>P_L_dc</t>
  </si>
  <si>
    <t>通常導体Ldcの直流抵抗2 mΩを100 kW級一次設計値として採用。一般値ではない。導体抵抗率、平均巻長、断面積、温度および接続抵抗からRdcを算出して置換する。</t>
  </si>
  <si>
    <t>基準DC電流リプル率</t>
  </si>
  <si>
    <t>r_Idc_ripple</t>
  </si>
  <si>
    <t>I_dc_ripple</t>
  </si>
  <si>
    <t>基準DC電流リプル率5%を設計要求の初期値として採用。物理定数ではない。電源/負荷要求、CSI転流条件、APD性能から許容リプル率を設定する。</t>
  </si>
  <si>
    <t>APDによるDCリプル低減率</t>
  </si>
  <si>
    <t>k_APD_ripple_reduce</t>
  </si>
  <si>
    <t>APD採用時にDC電流リプルを80%低減（残存20%）するとする研究シナリオ仮定。一般値ではない。APD制御帯域・蓄積素子・動作点のシミュレーション/実測リプル比で校正する。</t>
  </si>
  <si>
    <t>APD追加回路重量</t>
  </si>
  <si>
    <t>m_APD</t>
  </si>
  <si>
    <t>M_APD</t>
  </si>
  <si>
    <t>APD追加回路重量0.3 kgを100 kW級研究シナリオの一次校正値として採用。一般値ではない。追加スイッチ、C/L、センサ、制御/ゲート、冷却/取付の実BOM重量へ置換する。</t>
  </si>
  <si>
    <t>モータ協調</t>
  </si>
  <si>
    <t>基準モータ高調波損失</t>
  </si>
  <si>
    <t>P_motor_harmonic_ref</t>
  </si>
  <si>
    <t>P_motor_harmonic</t>
  </si>
  <si>
    <t>KPI外診断</t>
  </si>
  <si>
    <t>CSIによる高調波損失低減率</t>
  </si>
  <si>
    <t>k_CSI_motor_harmonic_reduce</t>
  </si>
  <si>
    <t>CSI時実効dv/dt残存率</t>
  </si>
  <si>
    <t>k_CSI_dvdt_residual</t>
  </si>
  <si>
    <t>dvdt</t>
  </si>
  <si>
    <t>CSI時のモータ/ケーブル側実効dv/dt低減</t>
  </si>
  <si>
    <t>許容CMノイズ電流指標</t>
  </si>
  <si>
    <t>I_cm_allow</t>
  </si>
  <si>
    <t>k_CM_req</t>
  </si>
  <si>
    <t>CM変位電流指標の許容値</t>
  </si>
  <si>
    <t>設計基準</t>
  </si>
  <si>
    <t>CM評価基準キャリア周波数</t>
  </si>
  <si>
    <t>f_sw_CM_ref</t>
  </si>
  <si>
    <t>CM発生量のキャリア周波数スケーリング基準。現行基準f_sw=16kHzに合わせる。</t>
  </si>
  <si>
    <t>CM源ノイズ周波数指数</t>
  </si>
  <si>
    <t>a_CM_fsw</t>
  </si>
  <si>
    <t>CM源ノイズ量のキャリア周波数依存を簡略化する指数。一般式ではなく暫定スケーリング。</t>
  </si>
  <si>
    <t>パッシブCM重量指数</t>
  </si>
  <si>
    <t>a_CM_passive_mass</t>
  </si>
  <si>
    <t>CM要求比に対するパッシブLC/Y-cap重量スケーリング指数。一般式ではなく暫定係数。</t>
  </si>
  <si>
    <t>アクティブCMフィルタ有効</t>
  </si>
  <si>
    <t>Enable_CM_active</t>
  </si>
  <si>
    <t>M_CM_active/M_CM_passive</t>
  </si>
  <si>
    <t>パッシブと同時1でHybrid</t>
  </si>
  <si>
    <t>CMパッシブL重量比</t>
  </si>
  <si>
    <t>k_CM_L_mass_share</t>
  </si>
  <si>
    <t>M_CM_L/M_CM_C</t>
  </si>
  <si>
    <t>Passive CM重量のL/C構成比</t>
  </si>
  <si>
    <t>追加ダイオード数</t>
  </si>
  <si>
    <t>N_diode_extra</t>
  </si>
  <si>
    <t>P_cond</t>
  </si>
  <si>
    <t>自動計算値。CSI逆阻止/NPCクランプ用。物理定数ではなく、参照元・トポロジー・シナリオから算出される派生値。</t>
  </si>
  <si>
    <t>CSI逆阻止/NPCクランプ用</t>
  </si>
  <si>
    <t>ダイオード順方向電圧</t>
  </si>
  <si>
    <t>Vf_diode</t>
  </si>
  <si>
    <t>NPCクランプ/CSI逆阻止ダイオードの簡易導通損失用。実デバイス選定後に置換。</t>
  </si>
  <si>
    <t>簡易平均Vf</t>
  </si>
  <si>
    <t>主スイッチ導通利用率</t>
  </si>
  <si>
    <t>k_sw_cond_use</t>
  </si>
  <si>
    <t>自動計算値。2L=.5,NPC=.5,ANPC(sync)=1/3,CSI=1/3。物理定数ではなく、参照元・トポロジー・シナリオから算出される派生値。</t>
  </si>
  <si>
    <t>自動計算</t>
  </si>
  <si>
    <t>2L=.5,NPC=.5,ANPC(sync)=1/3,CSI=1/3</t>
  </si>
  <si>
    <t>追加ダイオード導通利用率</t>
  </si>
  <si>
    <t>k_diode_cond_use</t>
  </si>
  <si>
    <t>自動計算値。NPC=.25,ANPC(sync)=0,CSI=1/3。物理定数ではなく、参照元・トポロジー・シナリオから算出される派生値。</t>
  </si>
  <si>
    <t>NPC=.25,ANPC(sync)=0,CSI=1/3</t>
  </si>
  <si>
    <t>等価同時導通主スイッチ数</t>
  </si>
  <si>
    <t>N_sw_cond_eq</t>
  </si>
  <si>
    <t>自動計算値。N_gate×k_sw_cond_use。物理定数ではなく、参照元・トポロジー・シナリオから算出される派生値。</t>
  </si>
  <si>
    <t>01_入力仕様</t>
  </si>
  <si>
    <t>N_gate×k_sw_cond_use</t>
  </si>
  <si>
    <t>等価同時導通ダイオード数</t>
  </si>
  <si>
    <t>N_diode_cond_eq</t>
  </si>
  <si>
    <t>自動計算値。N_diode_extra×k_diode_cond_use。物理定数ではなく、参照元・トポロジー・シナリオから算出される派生値。</t>
  </si>
  <si>
    <t>N_diode_extra×k_diode_cond_use</t>
  </si>
  <si>
    <t>導通損失評価電流</t>
  </si>
  <si>
    <t>I_cond</t>
  </si>
  <si>
    <t>自動計算値。CSIはIdc、VSIは相電流RMS。物理定数ではなく、参照元・トポロジー・シナリオから算出される派生値。</t>
  </si>
  <si>
    <t>CSIはIdc、VSIは相電流RMS</t>
  </si>
  <si>
    <t>半導体/CSI</t>
  </si>
  <si>
    <t>モノリシック双方向GaN有効</t>
  </si>
  <si>
    <t>Enable_BD_GaN</t>
  </si>
  <si>
    <t>N_device/P_cond/P_sw</t>
  </si>
  <si>
    <t>CSI=1時のみ有効</t>
  </si>
  <si>
    <t>双方向GaN実効Enable</t>
  </si>
  <si>
    <t>Enable_BD_GaN_eff</t>
  </si>
  <si>
    <t>内部判定</t>
  </si>
  <si>
    <t>Enable_CSI×Enable_BD_GaN</t>
  </si>
  <si>
    <t>直接編集しない</t>
  </si>
  <si>
    <t>CSI時のみ1</t>
  </si>
  <si>
    <t>基板管理回路有効</t>
  </si>
  <si>
    <t>Enable_BD_GaN_substrate_management</t>
  </si>
  <si>
    <t>m_gate/P_loss</t>
  </si>
  <si>
    <t>dynamic Ron対策</t>
  </si>
  <si>
    <t>BD-GaN使用時の追加対策</t>
  </si>
  <si>
    <t>BD-GaN静的Ron比</t>
  </si>
  <si>
    <t>k_BD_GaN_Ron_ratio</t>
  </si>
  <si>
    <t>R_BD_GaN_eff</t>
  </si>
  <si>
    <t>研究変数</t>
  </si>
  <si>
    <t>同一チップ面積での一次仮定</t>
  </si>
  <si>
    <t>BD-GaN dynamic Ron係数</t>
  </si>
  <si>
    <t>k_dyn_Ron_BD_GaN</t>
  </si>
  <si>
    <t>基板バイアス/トラップ影響</t>
  </si>
  <si>
    <t>BD-GaN実効オン抵抗</t>
  </si>
  <si>
    <t>R_on_eq×Ron比×dynamic係数</t>
  </si>
  <si>
    <t>02_ツリー/09_基準仕様</t>
  </si>
  <si>
    <t>CSI双方向GaN導通損失</t>
  </si>
  <si>
    <t>BD-GaN Eon実測値</t>
  </si>
  <si>
    <t>Eon_BD_GaN</t>
  </si>
  <si>
    <t>J</t>
  </si>
  <si>
    <t>0なら比率モデル</t>
  </si>
  <si>
    <t>実測入力用</t>
  </si>
  <si>
    <t>BD-GaN Eoff実測値</t>
  </si>
  <si>
    <t>Eoff_BD_GaN</t>
  </si>
  <si>
    <t>BD-GaN Eoss実測値</t>
  </si>
  <si>
    <t>Eoss_BD_GaN</t>
  </si>
  <si>
    <t>BD-GaN SWエネルギー比</t>
  </si>
  <si>
    <t>k_BD_GaN_Esw_ratio</t>
  </si>
  <si>
    <t>E_sw_BD_GaN</t>
  </si>
  <si>
    <t>双方向GaNの1回SWエネルギーを基準デバイスの50%とする研究仮定。一般値ではない。Eon/Eoff/Eossの実測値が入力された場合は実測値を優先し、未入力時のみこの比率モデルを使用する。</t>
  </si>
  <si>
    <t>実測値未入力時のみ</t>
  </si>
  <si>
    <t>BD-GaN 1回SWエネルギー</t>
  </si>
  <si>
    <t>実測sum&gt;0ならsum、否则 base×ratio</t>
  </si>
  <si>
    <t>01_入力仕様/02_ツリー</t>
  </si>
  <si>
    <t>Eon+Eoff+Eoss優先</t>
  </si>
  <si>
    <t>1 BDS当たりゲートチャネル数</t>
  </si>
  <si>
    <t>N_gate_per_BD_GaN</t>
  </si>
  <si>
    <t>ch/device</t>
  </si>
  <si>
    <t>dual-gate</t>
  </si>
  <si>
    <t>dual gate penalty</t>
  </si>
  <si>
    <t>基板管理回路重量</t>
  </si>
  <si>
    <t>m_BD_GaN_substrate_mgmt</t>
  </si>
  <si>
    <t>暫定研究仮定</t>
  </si>
  <si>
    <t>追加回路重量</t>
  </si>
  <si>
    <t>基板管理回路損失</t>
  </si>
  <si>
    <t>P_BD_GaN_substrate_mgmt</t>
  </si>
  <si>
    <t>P_loss</t>
  </si>
  <si>
    <t>追加回路損失</t>
  </si>
  <si>
    <t>BD-GaN双方向阻止耐圧</t>
  </si>
  <si>
    <t>Vblock_BD_GaN</t>
  </si>
  <si>
    <t>BD_GaN_compliance</t>
  </si>
  <si>
    <t>文献実証値</t>
  </si>
  <si>
    <t>必要耐圧との比較</t>
  </si>
  <si>
    <t>BD-GaN高周波化余裕倍率</t>
  </si>
  <si>
    <t>k_BD_GaN_fsw_cap</t>
  </si>
  <si>
    <t>f_sw_BD_GaN_cap</t>
  </si>
  <si>
    <t>自動でfswは変更しない</t>
  </si>
  <si>
    <t>BD-GaNデバイス数</t>
  </si>
  <si>
    <t>N_BD_GaN</t>
  </si>
  <si>
    <t>CSI×6</t>
  </si>
  <si>
    <t>monolithic BDS count</t>
  </si>
  <si>
    <t>EMI/DMダンピング</t>
  </si>
  <si>
    <t>受動ダンピング有効</t>
  </si>
  <si>
    <t>Enable_passive_damping</t>
  </si>
  <si>
    <t>M_damping_resistor/P_damping</t>
  </si>
  <si>
    <t>LCL/高次DMフィルタ等で受動ダンピング抵抗を使用するシナリオ。0=不使用、1=使用。</t>
  </si>
  <si>
    <t>受動ダンピング抵抗基準重量</t>
  </si>
  <si>
    <t>m_damping_resistor_ref</t>
  </si>
  <si>
    <t>M_damping_resistor</t>
  </si>
  <si>
    <t>一次設計仮定。50 W級ヒートシンク取付パワー抵抗が市販されることを基準に、抵抗・端子・取付を含む0.05 kgを暫定値とする。質量は採用部品データで置換。参考: https://www.vishay.com/en/product/50035/</t>
  </si>
  <si>
    <t>受動ダンピング基準損失</t>
  </si>
  <si>
    <t>P_damping_ref</t>
  </si>
  <si>
    <t>P_damping</t>
  </si>
  <si>
    <t>一次設計仮定。50 W級パワー抵抗クラスを基準値とし、詳細設計ではフィルタRMS電流と抵抗値からI^2Rへ置換。参考: https://www.vishay.com/en/product/50035/</t>
  </si>
  <si>
    <t>HTS AC損失基準リプル電流</t>
  </si>
  <si>
    <t>I_dc_ripple_ref_HTS</t>
  </si>
  <si>
    <t>P_HTS_ac_ref=20 Wを定義した固定基準リプル電流。100 kW, 800 V, η=0.97, ripple=5%から6.443 A。現在シナリオ値ではなく正規化基準。</t>
  </si>
  <si>
    <t>02_ツリー：Level 12 技術分解 / 設計変数 / 等価重量 / 感度</t>
  </si>
  <si>
    <t>Node ID</t>
  </si>
  <si>
    <t>Parent ID</t>
  </si>
  <si>
    <t>Level（式）</t>
  </si>
  <si>
    <t>項目名</t>
  </si>
  <si>
    <t>現在値</t>
  </si>
  <si>
    <t>重量 [kg]</t>
  </si>
  <si>
    <t>式（左辺 = 右辺）</t>
  </si>
  <si>
    <t>局所弾性 ε</t>
  </si>
  <si>
    <t>正規化感度 S</t>
  </si>
  <si>
    <t>感度方向</t>
  </si>
  <si>
    <t>変更可否</t>
  </si>
  <si>
    <t>最終変数判定
1=最下層 / 0=途中</t>
  </si>
  <si>
    <t>Enable単純比例局所弾性 ε
直接追加/削除枝</t>
  </si>
  <si>
    <t>変数初出判定</t>
  </si>
  <si>
    <t>変数連番</t>
  </si>
  <si>
    <t>T001</t>
  </si>
  <si>
    <t>インバータ総重量</t>
  </si>
  <si>
    <t>M_inv=M_semi+M_cool+M_dc_cap+M_bus+M_case+M_emi+M_ctrl+M_sensor+M_conn+M_other+M_DCDC+M_ss+M_snub+M_APD</t>
  </si>
  <si>
    <t>TOP KPI</t>
  </si>
  <si>
    <t>設計対象</t>
  </si>
  <si>
    <t>トップKPI。Root直下は相互に重量を重複計上しない物理サブシステム/独立追加回路のみ。</t>
  </si>
  <si>
    <t>T002</t>
  </si>
  <si>
    <t>パワー半導体・モジュール関連重量</t>
  </si>
  <si>
    <t>M_semi</t>
  </si>
  <si>
    <t>M_semi=N_power_device_total×m_mod+M_parallel</t>
  </si>
  <si>
    <t>主半導体総重量。N_power_device_totalには方式に応じた追加直列ダイオード数を含め、現簡易モデルでは同一m_modで等価質量化する。CSI直列ダイオード重量を別枝で再加算しない。詳細パッケージ分解時にSW/diode単体質量へ置換。</t>
  </si>
  <si>
    <t>T003</t>
  </si>
  <si>
    <t>入力仕様</t>
  </si>
  <si>
    <t>2L=6、NPC=18(12SW+6diode)、ANPC=18SW、CSI=12(6SW+6逆阻止diode)。</t>
  </si>
  <si>
    <t>T004</t>
  </si>
  <si>
    <t>1モジュール重量</t>
  </si>
  <si>
    <t>m_mod=m_chip_mod+m_dbc+m_base+m_pkg</t>
  </si>
  <si>
    <t>T005</t>
  </si>
  <si>
    <t>チップ重量/モジュール</t>
  </si>
  <si>
    <t>m_chip_mod</t>
  </si>
  <si>
    <t>m_chip_mod=N_chip_mod×m_chip</t>
  </si>
  <si>
    <t>T006</t>
  </si>
  <si>
    <t>チップ数/モジュール</t>
  </si>
  <si>
    <t>N_chip_mod=k_chip×I_phase/I_chip</t>
  </si>
  <si>
    <t>T007</t>
  </si>
  <si>
    <t>T008</t>
  </si>
  <si>
    <t>相電流RMS</t>
  </si>
  <si>
    <t>I_phase</t>
  </si>
  <si>
    <t>I_phase=P_out_const/(√3×V_ll×PF×eta)</t>
  </si>
  <si>
    <t>P_outは固定要求で子ノード化しない</t>
  </si>
  <si>
    <t>T009</t>
  </si>
  <si>
    <t>線間電圧RMS</t>
  </si>
  <si>
    <t>T010</t>
  </si>
  <si>
    <t>T011</t>
  </si>
  <si>
    <t>効率</t>
  </si>
  <si>
    <t>T012</t>
  </si>
  <si>
    <t>1チップ電流能力</t>
  </si>
  <si>
    <t>I_chip=J_chip×A_active</t>
  </si>
  <si>
    <t>T013</t>
  </si>
  <si>
    <t>実効チップ許容電流密度</t>
  </si>
  <si>
    <t>J_chip_eff=J_chip×k_pkg_J</t>
  </si>
  <si>
    <t>T014</t>
  </si>
  <si>
    <t>有効チップ面積</t>
  </si>
  <si>
    <t>A_active=k_active×A_chip</t>
  </si>
  <si>
    <t>T015</t>
  </si>
  <si>
    <t>有効面積率</t>
  </si>
  <si>
    <t>T016</t>
  </si>
  <si>
    <t>面積増→電流能力増</t>
  </si>
  <si>
    <t>T017</t>
  </si>
  <si>
    <t>1チップ重量</t>
  </si>
  <si>
    <t>m_chip=A_chip×t_chip×rho_chip×1E-9</t>
  </si>
  <si>
    <t>T018</t>
  </si>
  <si>
    <t>面積増→重量増</t>
  </si>
  <si>
    <t>T019</t>
  </si>
  <si>
    <t>T020</t>
  </si>
  <si>
    <t>密度</t>
  </si>
  <si>
    <t>T021</t>
  </si>
  <si>
    <t>DBC重量</t>
  </si>
  <si>
    <t>m_dbc=A_dbc×t_dbc×rho_dbc×1E-9</t>
  </si>
  <si>
    <t>T022</t>
  </si>
  <si>
    <t>A_dbc=L_dbc×W_dbc×1E6</t>
  </si>
  <si>
    <t>T023</t>
  </si>
  <si>
    <t>DBC厚さ</t>
  </si>
  <si>
    <t>t_dbc=t_cu_top+t_cer+t_cu_bot</t>
  </si>
  <si>
    <t>T024</t>
  </si>
  <si>
    <t>DBC密度</t>
  </si>
  <si>
    <t>rho_dbc={rho_cu(t_top+t_bot)+rho_cer t_cer}/t_dbc</t>
  </si>
  <si>
    <t>T025</t>
  </si>
  <si>
    <t>ベース重量</t>
  </si>
  <si>
    <t>m_base=A_base×t_base×rho_base×1E-9</t>
  </si>
  <si>
    <t>T026</t>
  </si>
  <si>
    <t>A_base=L_base×W_base×1E6</t>
  </si>
  <si>
    <t>T027</t>
  </si>
  <si>
    <t>t_base=MAX(t_base_input,t_base_req)</t>
  </si>
  <si>
    <t>T028</t>
  </si>
  <si>
    <t>T029</t>
  </si>
  <si>
    <t>封止・端子重量</t>
  </si>
  <si>
    <t>T030</t>
  </si>
  <si>
    <t>冷却系重量</t>
  </si>
  <si>
    <t>M_cool=m_hx+m_cool_fix</t>
  </si>
  <si>
    <t>T031</t>
  </si>
  <si>
    <t>熱交換器重量</t>
  </si>
  <si>
    <t>m_hx=Q_req/q_cool×TIM×Tj×potting×package_cooling</t>
  </si>
  <si>
    <t>T032</t>
  </si>
  <si>
    <t>必要冷却能力</t>
  </si>
  <si>
    <t>Q_req=K_th×(P_loss_semiconductor+P_bus+P_cap+P_filter+P_ctrl+P_DCDC+P_L_dc+P_damping)</t>
  </si>
  <si>
    <t>インバータ内部で除熱すべき損失のみを集計。HTS冷凍機の電気入力P_cryo_HTSは外部電源からのシステム電力ペナルティであり、インバータ内部発熱として二重加算しない。</t>
  </si>
  <si>
    <t>T033</t>
  </si>
  <si>
    <t>T034</t>
  </si>
  <si>
    <t>半導体総損失</t>
  </si>
  <si>
    <t>P_loss=P_cond+P_sw+P_dead+P_gate+P_snub+BD-GaN substrate management loss</t>
  </si>
  <si>
    <t>T035</t>
  </si>
  <si>
    <t>導通損失</t>
  </si>
  <si>
    <t>P_cond=IF(BD-GaN CSI, N_sw_cond_eq×I_cond²×R_BD_GaN_eff, N_sw_cond_eq×I_cond²×R_on_eq+N_diode_cond_eq×I_cond×Vf)</t>
  </si>
  <si>
    <t>簡略一般モデル。2L:3SW、NPC:6SW+1.5diode、ANPC同期整流:6SW+0diode、CSI:2SW+2逆阻止diode。</t>
  </si>
  <si>
    <t>T040</t>
  </si>
  <si>
    <t>等価オン抵抗</t>
  </si>
  <si>
    <t>R_on_eq</t>
  </si>
  <si>
    <t>R_on_eq=Rsp_total/(A_chip×N_parallel)×k_vgs_ron×k_Ron_T</t>
  </si>
  <si>
    <t>T041</t>
  </si>
  <si>
    <t>総比オン抵抗</t>
  </si>
  <si>
    <t>Rsp_total=Rsp_drift+Rsp_cell</t>
  </si>
  <si>
    <t>T042</t>
  </si>
  <si>
    <t>ドリフト層比オン抵抗</t>
  </si>
  <si>
    <t>Rsp_drift=K_rsp×rho_drift×t_drift×1E6</t>
  </si>
  <si>
    <t>T043</t>
  </si>
  <si>
    <t>比オン抵抗補正</t>
  </si>
  <si>
    <t>T044</t>
  </si>
  <si>
    <t>ドリフト層抵抗率</t>
  </si>
  <si>
    <t>rho_drift=1/(q_e×mu_n×N_drift)</t>
  </si>
  <si>
    <t>T045</t>
  </si>
  <si>
    <t>感度対象外</t>
  </si>
  <si>
    <t>固定/対象外</t>
  </si>
  <si>
    <t>T046</t>
  </si>
  <si>
    <t>移動度</t>
  </si>
  <si>
    <t>T047</t>
  </si>
  <si>
    <t>ドーピング濃度</t>
  </si>
  <si>
    <t>N_drift=N_d_ref×(V_block_req/V_ref_nd)^(-a_nd)</t>
  </si>
  <si>
    <t>T048</t>
  </si>
  <si>
    <t>基準ドーピング</t>
  </si>
  <si>
    <t>T049</t>
  </si>
  <si>
    <t>T050</t>
  </si>
  <si>
    <t>耐圧指数</t>
  </si>
  <si>
    <t>T051</t>
  </si>
  <si>
    <t>必要耐圧</t>
  </si>
  <si>
    <t>V_block_req=IF(3L-NPC/ANPC,Vdc/2+V_overshoot_eff,K_vblk×Vdc+V_overshoot_eff)</t>
  </si>
  <si>
    <t>3L-NPC/ANPCは1素子当たりVdc/2。他方式はVdc+surge。標準耐圧クラス切上げは07_システム要求の推奨値へ分離。</t>
  </si>
  <si>
    <t>T052</t>
  </si>
  <si>
    <t>耐圧係数</t>
  </si>
  <si>
    <t>T053</t>
  </si>
  <si>
    <t>耐圧増→Ron増</t>
  </si>
  <si>
    <t>T054</t>
  </si>
  <si>
    <t>ドリフト層厚</t>
  </si>
  <si>
    <t>t_drift=K_tdrift×V_block_req/E_allow</t>
  </si>
  <si>
    <t>T055</t>
  </si>
  <si>
    <t>厚さ余裕係数</t>
  </si>
  <si>
    <t>T056</t>
  </si>
  <si>
    <t>3L-NPC/ANPCは1素子当たりVdc/2。他方式はVdc+surge。</t>
  </si>
  <si>
    <t>T057</t>
  </si>
  <si>
    <t>T058</t>
  </si>
  <si>
    <t>耐圧増→厚さ増</t>
  </si>
  <si>
    <t>T059</t>
  </si>
  <si>
    <t>許容電界</t>
  </si>
  <si>
    <t>E_allow=k_Euse×E_crit</t>
  </si>
  <si>
    <t>T060</t>
  </si>
  <si>
    <t>T061</t>
  </si>
  <si>
    <t>臨界電界</t>
  </si>
  <si>
    <t>T062</t>
  </si>
  <si>
    <t>セル等抵抗面積積</t>
  </si>
  <si>
    <t>T063</t>
  </si>
  <si>
    <t>面積増→Ron低下</t>
  </si>
  <si>
    <t>T064</t>
  </si>
  <si>
    <t>スイッチング損失</t>
  </si>
  <si>
    <t>P_sw=N_switching×E_sw_eff×f_sw×k_ss_eff×k_gate_sw×k_pwm_sw×k_miller_sw。BD-GaN時はN_BD_GaNとE_sw_BD_GaNを使用</t>
  </si>
  <si>
    <t>T065</t>
  </si>
  <si>
    <t>制御スイッチ数（SW損失用）</t>
  </si>
  <si>
    <t>N_switching=N_gate</t>
  </si>
  <si>
    <t>増加→総重量増</t>
  </si>
  <si>
    <t>T066</t>
  </si>
  <si>
    <t>1回SWエネルギー</t>
  </si>
  <si>
    <t>E_sw=K_esw×0.5×C_oss×V_dc²</t>
  </si>
  <si>
    <t>T067</t>
  </si>
  <si>
    <t>SWエネルギー係数</t>
  </si>
  <si>
    <t>T068</t>
  </si>
  <si>
    <t>出力容量</t>
  </si>
  <si>
    <t>C_oss</t>
  </si>
  <si>
    <t>C_oss=Coss_area_ref×A_chip×(V_block_req/V_ref_coss)^(-b_coss)×1E-9</t>
  </si>
  <si>
    <t>T069</t>
  </si>
  <si>
    <t>容量面積係数</t>
  </si>
  <si>
    <t>T070</t>
  </si>
  <si>
    <t>面積増→Coss増</t>
  </si>
  <si>
    <t>T071</t>
  </si>
  <si>
    <t>T072</t>
  </si>
  <si>
    <t>T073</t>
  </si>
  <si>
    <t>T074</t>
  </si>
  <si>
    <t>T075</t>
  </si>
  <si>
    <t>耐圧↑でCoss低下</t>
  </si>
  <si>
    <t>T076</t>
  </si>
  <si>
    <t>V²でSW損失増</t>
  </si>
  <si>
    <t>T077</t>
  </si>
  <si>
    <t>SW損失増</t>
  </si>
  <si>
    <t>T078</t>
  </si>
  <si>
    <t>比冷却能力</t>
  </si>
  <si>
    <t>W/kg</t>
  </si>
  <si>
    <t>q_cool=h_eff×dT_cool/sigma_hx</t>
  </si>
  <si>
    <t>T079</t>
  </si>
  <si>
    <t>実効熱伝達率</t>
  </si>
  <si>
    <t>h_eff=h_nom×k_geom×k_surface×k_fin×k_flow</t>
  </si>
  <si>
    <t>T080</t>
  </si>
  <si>
    <t>T081</t>
  </si>
  <si>
    <t>T082</t>
  </si>
  <si>
    <t>T083</t>
  </si>
  <si>
    <t>T084</t>
  </si>
  <si>
    <t>流速係数</t>
  </si>
  <si>
    <t>k_flow</t>
  </si>
  <si>
    <t>k_flow=(v_cool/v_ref)^0.5</t>
  </si>
  <si>
    <t>T085</t>
  </si>
  <si>
    <t>T086</t>
  </si>
  <si>
    <t>T087</t>
  </si>
  <si>
    <t>冷媒温度上昇</t>
  </si>
  <si>
    <t>T088</t>
  </si>
  <si>
    <t>熱交換器面密度</t>
  </si>
  <si>
    <t>kg/m²</t>
  </si>
  <si>
    <t>sigma_hx=rho_hx×t_hx_eq</t>
  </si>
  <si>
    <t>T089</t>
  </si>
  <si>
    <t>熱交換器密度</t>
  </si>
  <si>
    <t>T090</t>
  </si>
  <si>
    <t>熱交換器厚さ</t>
  </si>
  <si>
    <t>T091</t>
  </si>
  <si>
    <t>T092</t>
  </si>
  <si>
    <t>DCリンクコンデンサ系重量</t>
  </si>
  <si>
    <t>M_cap=m_cap_active+M_cap_margin+mC_fix+M_hfcap</t>
  </si>
  <si>
    <t>主DCリンクC、寿命/リップル余裕、固定分、HFローカルデカップリングを計上。APD追加回路はRoot別枝。</t>
  </si>
  <si>
    <t>T093</t>
  </si>
  <si>
    <t>容量依存重量</t>
  </si>
  <si>
    <t>m_cap_active</t>
  </si>
  <si>
    <t>m_cap_active=C_req×mC_spec</t>
  </si>
  <si>
    <t>T094</t>
  </si>
  <si>
    <t>必要容量</t>
  </si>
  <si>
    <t>mF</t>
  </si>
  <si>
    <t>C_req=2×P_dc_const×t_buf/{V_dc²[1-(1-r_vdc)²]}×1000</t>
  </si>
  <si>
    <t>P_out固定要求</t>
  </si>
  <si>
    <t>T095</t>
  </si>
  <si>
    <t>バッファ時間</t>
  </si>
  <si>
    <t>T096</t>
  </si>
  <si>
    <t>Vdc↑→Creq↓</t>
  </si>
  <si>
    <t>T097</t>
  </si>
  <si>
    <t>許容リップル率</t>
  </si>
  <si>
    <t>T098</t>
  </si>
  <si>
    <t>比重量</t>
  </si>
  <si>
    <t>mC_spec</t>
  </si>
  <si>
    <t>kg/mF</t>
  </si>
  <si>
    <t>mC_spec=0.0005×V_cap²/e_cap</t>
  </si>
  <si>
    <t>T099</t>
  </si>
  <si>
    <t>C定格電圧</t>
  </si>
  <si>
    <t>V_cap=K_vcap×V_dc</t>
  </si>
  <si>
    <t>T100</t>
  </si>
  <si>
    <t>定格電圧係数</t>
  </si>
  <si>
    <t>T101</t>
  </si>
  <si>
    <t>Vdc↑→比重量↑</t>
  </si>
  <si>
    <t>T102</t>
  </si>
  <si>
    <t>実効エネルギー密度</t>
  </si>
  <si>
    <t>e_cap={(e_cap_ref×k_dielectric)+e_cap_phys}/2×k_pack_cap</t>
  </si>
  <si>
    <t>T103</t>
  </si>
  <si>
    <t>T104</t>
  </si>
  <si>
    <t>誘電体性能</t>
  </si>
  <si>
    <t>T105</t>
  </si>
  <si>
    <t>利用率</t>
  </si>
  <si>
    <t>T106</t>
  </si>
  <si>
    <t>T107</t>
  </si>
  <si>
    <t>バスバー重量</t>
  </si>
  <si>
    <t>M_bus=m_bus×K_bus</t>
  </si>
  <si>
    <t>T108</t>
  </si>
  <si>
    <t>導体重量</t>
  </si>
  <si>
    <t>m_bus=N_bus×L_bus×A_bus×rho_bus×1E-6</t>
  </si>
  <si>
    <t>T109</t>
  </si>
  <si>
    <t>T110</t>
  </si>
  <si>
    <t>T111</t>
  </si>
  <si>
    <t>必要断面積</t>
  </si>
  <si>
    <t>A_bus</t>
  </si>
  <si>
    <t>A_bus=I_dc/J_bus</t>
  </si>
  <si>
    <t>T112</t>
  </si>
  <si>
    <t>DC電流</t>
  </si>
  <si>
    <t>I_dc</t>
  </si>
  <si>
    <t>I_dc=P_out_const/(V_dc×eta)</t>
  </si>
  <si>
    <t>T113</t>
  </si>
  <si>
    <t>Vdc↑→Idc↓</t>
  </si>
  <si>
    <t>T114</t>
  </si>
  <si>
    <t>T115</t>
  </si>
  <si>
    <t>許容電流密度</t>
  </si>
  <si>
    <t>J_bus=MIN(J_bus_ref,J_bus_phys)×k_temp×k_bus_cool</t>
  </si>
  <si>
    <t>T116</t>
  </si>
  <si>
    <t>基準電流密度</t>
  </si>
  <si>
    <t>T117</t>
  </si>
  <si>
    <t>温度余裕係数</t>
  </si>
  <si>
    <t>k_temp</t>
  </si>
  <si>
    <t>k_temp=SQRT(dT_bus/dT_bus_ref)</t>
  </si>
  <si>
    <t>T118</t>
  </si>
  <si>
    <t>許容温度上昇</t>
  </si>
  <si>
    <t>dT_bus=T_bus_max-T_amb</t>
  </si>
  <si>
    <t>T119</t>
  </si>
  <si>
    <t>T120</t>
  </si>
  <si>
    <t>T121</t>
  </si>
  <si>
    <t>T122</t>
  </si>
  <si>
    <t>T123</t>
  </si>
  <si>
    <t>T124</t>
  </si>
  <si>
    <t>T125</t>
  </si>
  <si>
    <t>筐体・絶縁構造重量</t>
  </si>
  <si>
    <t>M_case=A_case×t_case_eff×rho_case×K_case</t>
  </si>
  <si>
    <t>筐体板金に加え、絶縁距離支持、高性能絶縁材、ポッティングを含む構造系重量。</t>
  </si>
  <si>
    <t>T126</t>
  </si>
  <si>
    <t>表面積</t>
  </si>
  <si>
    <t>A_case=2(LW+LH+WH)</t>
  </si>
  <si>
    <t>T127</t>
  </si>
  <si>
    <t>長さ</t>
  </si>
  <si>
    <t>T128</t>
  </si>
  <si>
    <t>幅</t>
  </si>
  <si>
    <t>T129</t>
  </si>
  <si>
    <t>高さ</t>
  </si>
  <si>
    <t>T130</t>
  </si>
  <si>
    <t>板厚</t>
  </si>
  <si>
    <t>t_case_eff</t>
  </si>
  <si>
    <t>t_case_eff=MAX(t_case,t_case_req)</t>
  </si>
  <si>
    <t>T131</t>
  </si>
  <si>
    <t>T132</t>
  </si>
  <si>
    <t>構造係数</t>
  </si>
  <si>
    <t>K_case=(1-r_open)×K_rib×K_mfg</t>
  </si>
  <si>
    <t>T133</t>
  </si>
  <si>
    <t>T134</t>
  </si>
  <si>
    <t>リブ係数</t>
  </si>
  <si>
    <t>T135</t>
  </si>
  <si>
    <t>製造余裕</t>
  </si>
  <si>
    <t>T136</t>
  </si>
  <si>
    <t>EMI対策重量</t>
  </si>
  <si>
    <t>M_emi=M_DM_filter+M_CM_filter+M_dvdt_filter+M_shield</t>
  </si>
  <si>
    <t>DM/CM/dv-dtフィルタとEMIシールドを含むEMI対策系重量。</t>
  </si>
  <si>
    <t>T137</t>
  </si>
  <si>
    <t>T361</t>
  </si>
  <si>
    <t>インダクタ重量</t>
  </si>
  <si>
    <t>M_L=k_mL×L_dm×(I_phase/1000)²</t>
  </si>
  <si>
    <t>T138</t>
  </si>
  <si>
    <t>L重量係数</t>
  </si>
  <si>
    <t>k_mL=エネルギー基準の入力係数を直接使用</t>
  </si>
  <si>
    <t>T139</t>
  </si>
  <si>
    <t>必要DMインダクタンス</t>
  </si>
  <si>
    <t>L_dm=V_noise×k_DPWM_ripple_eff/(2πf_cI_ripple_allow)</t>
  </si>
  <si>
    <t>T140</t>
  </si>
  <si>
    <t>ノイズ等価電圧</t>
  </si>
  <si>
    <t>T141</t>
  </si>
  <si>
    <t>遮断周波数</t>
  </si>
  <si>
    <t>f_c=k_fc×f_sw</t>
  </si>
  <si>
    <t>T142</t>
  </si>
  <si>
    <t>遮断周波数係数</t>
  </si>
  <si>
    <t>T143</t>
  </si>
  <si>
    <t>fsw↑→L重量↓</t>
  </si>
  <si>
    <t>T144</t>
  </si>
  <si>
    <t>許容電流リップル</t>
  </si>
  <si>
    <t>I_ripple=r_Iemi×I_phase</t>
  </si>
  <si>
    <t>T145</t>
  </si>
  <si>
    <t>リップル率</t>
  </si>
  <si>
    <t>T146</t>
  </si>
  <si>
    <t>I_phase=P_out_const/(√3V_llPFeta)</t>
  </si>
  <si>
    <t>T147</t>
  </si>
  <si>
    <t>線間電圧</t>
  </si>
  <si>
    <t>T148</t>
  </si>
  <si>
    <t>T149</t>
  </si>
  <si>
    <t>T150</t>
  </si>
  <si>
    <t>T151</t>
  </si>
  <si>
    <t>T152</t>
  </si>
  <si>
    <t>T153</t>
  </si>
  <si>
    <t>T154</t>
  </si>
  <si>
    <t>コンデンサ重量</t>
  </si>
  <si>
    <t>M_C=k_mC×C_dm×(V_dc/1000)²</t>
  </si>
  <si>
    <t>T155</t>
  </si>
  <si>
    <t>C重量係数</t>
  </si>
  <si>
    <t>T156</t>
  </si>
  <si>
    <t>必要DM容量</t>
  </si>
  <si>
    <t>C_dm</t>
  </si>
  <si>
    <t>C_dm=I_noise/(2πf_cV_ripple)</t>
  </si>
  <si>
    <t>T157</t>
  </si>
  <si>
    <t>ノイズ電流</t>
  </si>
  <si>
    <t>I_noise=r_noise×I_phase×k_DPWM_ripple_eff</t>
  </si>
  <si>
    <t>T158</t>
  </si>
  <si>
    <t>T159</t>
  </si>
  <si>
    <t>T160</t>
  </si>
  <si>
    <t>T161</t>
  </si>
  <si>
    <t>T162</t>
  </si>
  <si>
    <t>T163</t>
  </si>
  <si>
    <t>T164</t>
  </si>
  <si>
    <t>T165</t>
  </si>
  <si>
    <t>fsw↑→C重量↓</t>
  </si>
  <si>
    <t>T166</t>
  </si>
  <si>
    <t>許容電圧リップル</t>
  </si>
  <si>
    <t>V_ripple=r_Vemi×V_dc</t>
  </si>
  <si>
    <t>T167</t>
  </si>
  <si>
    <t>T168</t>
  </si>
  <si>
    <t>T169</t>
  </si>
  <si>
    <t>V²重量増</t>
  </si>
  <si>
    <t>T170</t>
  </si>
  <si>
    <t>M_ctrl=m_ctrl_pcb+m_gate+m_aux_supply</t>
  </si>
  <si>
    <t>T171</t>
  </si>
  <si>
    <t>M_sensor=m_isens+m_vsens+m_tsens+m_harness+M_CSA+M_sensor_option</t>
  </si>
  <si>
    <t>T172</t>
  </si>
  <si>
    <t>M_conn=m_conn_dc+m_conn_ac+m_conn_sig+m_conn_support</t>
  </si>
  <si>
    <t>T173</t>
  </si>
  <si>
    <t>その他固定・補機重量</t>
  </si>
  <si>
    <t>M_other=m_fastener+m_insulation+m_harness+M_precharge+M_contactor+M_discharge</t>
  </si>
  <si>
    <t>締結・絶縁・内部ハーネスと、プリチャージ/コンタクタ/放電等の補機を計上。</t>
  </si>
  <si>
    <t>T174</t>
  </si>
  <si>
    <t>並列化関連重量</t>
  </si>
  <si>
    <t>M_parallel=N_power_device_total×N_parallel×m_parallel_unit</t>
  </si>
  <si>
    <t>並列化に伴う追加チップ/ゲート/端子等の等価重量</t>
  </si>
  <si>
    <t>T175</t>
  </si>
  <si>
    <t>T176</t>
  </si>
  <si>
    <t>並列数増→重量増</t>
  </si>
  <si>
    <t>T177</t>
  </si>
  <si>
    <t>並列1系統重量</t>
  </si>
  <si>
    <t>T178</t>
  </si>
  <si>
    <t>並列数増→等価Ron低下</t>
  </si>
  <si>
    <t>T179</t>
  </si>
  <si>
    <t>ソフトスイッチング損失係数</t>
  </si>
  <si>
    <t>k_ss_eff=1-Enable_SS×(1-k_ss_residual)</t>
  </si>
  <si>
    <t>0/1技術選択</t>
  </si>
  <si>
    <t>T180</t>
  </si>
  <si>
    <t>0→1採用差分。通常の微分感度ではなく技術採用時の損失低減等価重量。</t>
  </si>
  <si>
    <t>T181</t>
  </si>
  <si>
    <t>有効時損失残存率</t>
  </si>
  <si>
    <t>小さいほどソフトスイッチング効果大</t>
  </si>
  <si>
    <t>T182</t>
  </si>
  <si>
    <t>ソフトスイッチング追加回路重量</t>
  </si>
  <si>
    <t>M_ss=Enable_SS×(M_aux_ss+M_res_ss+m_ctrl_ss)</t>
  </si>
  <si>
    <t>補助スイッチ、共振L/C、追加制御を含む独立ソフトスイッチング回路。複数物理カテゴリを跨ぐためRoot直下で1回だけ計上。</t>
  </si>
  <si>
    <t>T183</t>
  </si>
  <si>
    <t>0→1採用差分。追加回路重量の等価重量。</t>
  </si>
  <si>
    <t>T184</t>
  </si>
  <si>
    <t>補助スイッチ重量</t>
  </si>
  <si>
    <t>M_aux_ss=N_aux_ss×m_aux_ss</t>
  </si>
  <si>
    <t>T185</t>
  </si>
  <si>
    <t>T186</t>
  </si>
  <si>
    <t>T187</t>
  </si>
  <si>
    <t>共振部品重量</t>
  </si>
  <si>
    <t>M_res_ss</t>
  </si>
  <si>
    <t>M_res_ss=m_Lr+m_Cr</t>
  </si>
  <si>
    <t>T188</t>
  </si>
  <si>
    <t>共振インダクタ重量</t>
  </si>
  <si>
    <t>m_Lr=k_mLr×L_r×(I_phase/1000)^2</t>
  </si>
  <si>
    <t>T189</t>
  </si>
  <si>
    <t>T190</t>
  </si>
  <si>
    <t>共振インダクタンス</t>
  </si>
  <si>
    <t>L_r=k_Lr×V_dc/(2πf_sw I_phase)</t>
  </si>
  <si>
    <t>T191</t>
  </si>
  <si>
    <t>T192</t>
  </si>
  <si>
    <t>T193</t>
  </si>
  <si>
    <t>T194</t>
  </si>
  <si>
    <t>T195</t>
  </si>
  <si>
    <t>T196</t>
  </si>
  <si>
    <t>T197</t>
  </si>
  <si>
    <t>T198</t>
  </si>
  <si>
    <t>T199</t>
  </si>
  <si>
    <t>T200</t>
  </si>
  <si>
    <t>T201</t>
  </si>
  <si>
    <t>T202</t>
  </si>
  <si>
    <t>共振コンデンサ重量</t>
  </si>
  <si>
    <t>m_Cr=k_mCr×C_r×(V_dc/1000)^2</t>
  </si>
  <si>
    <t>T203</t>
  </si>
  <si>
    <t>T204</t>
  </si>
  <si>
    <t>共振容量</t>
  </si>
  <si>
    <t>C_r=k_Cr×I_phase/(2πf_sw V_dc)</t>
  </si>
  <si>
    <t>T205</t>
  </si>
  <si>
    <t>T206</t>
  </si>
  <si>
    <t>T207</t>
  </si>
  <si>
    <t>T208</t>
  </si>
  <si>
    <t>T209</t>
  </si>
  <si>
    <t>T210</t>
  </si>
  <si>
    <t>T211</t>
  </si>
  <si>
    <t>T212</t>
  </si>
  <si>
    <t>T213</t>
  </si>
  <si>
    <t>T214</t>
  </si>
  <si>
    <t>T215</t>
  </si>
  <si>
    <t>T216</t>
  </si>
  <si>
    <t>T217</t>
  </si>
  <si>
    <t>T218</t>
  </si>
  <si>
    <t>T219</t>
  </si>
  <si>
    <t>T220</t>
  </si>
  <si>
    <t>T221</t>
  </si>
  <si>
    <t>層厚構成</t>
  </si>
  <si>
    <t>T222</t>
  </si>
  <si>
    <t>T223</t>
  </si>
  <si>
    <t>正規化機械モデル。実圧力/実応力式ではなく、初期板厚を再現する経験式。</t>
  </si>
  <si>
    <t>T224</t>
  </si>
  <si>
    <t>T225</t>
  </si>
  <si>
    <t>T226</t>
  </si>
  <si>
    <t>T227</t>
  </si>
  <si>
    <t>必要ベース厚さ</t>
  </si>
  <si>
    <t>t_base_req</t>
  </si>
  <si>
    <t>t_base_req=K_base_sf×L_base×SQRT(p_base/sigma_base)×50</t>
  </si>
  <si>
    <t>簡易機械モデル</t>
  </si>
  <si>
    <t>T228</t>
  </si>
  <si>
    <t>T229</t>
  </si>
  <si>
    <t>T230</t>
  </si>
  <si>
    <t>T231</t>
  </si>
  <si>
    <t>T232</t>
  </si>
  <si>
    <t>誘電体物理エネルギー密度</t>
  </si>
  <si>
    <t>e_cap_phys=0.5×eps0×eps_r×E_work_cap²×k_vol_cap/rho_die</t>
  </si>
  <si>
    <t>T233</t>
  </si>
  <si>
    <t>T234</t>
  </si>
  <si>
    <t>T235</t>
  </si>
  <si>
    <t>使用電界</t>
  </si>
  <si>
    <t>E_work_cap=k_Ecap×E_break_cap</t>
  </si>
  <si>
    <t>T236</t>
  </si>
  <si>
    <t>T237</t>
  </si>
  <si>
    <t>破壊電界</t>
  </si>
  <si>
    <t>T238</t>
  </si>
  <si>
    <t>T239</t>
  </si>
  <si>
    <t>T240</t>
  </si>
  <si>
    <t>物理基準電流密度</t>
  </si>
  <si>
    <t>J_bus_phys=SQRT(h_bus×(S/V)×dTref/rho_e_bus_eff)×1E-6 [A/mm²]。熱平衡Pjoule=hAΔTから導出。</t>
  </si>
  <si>
    <t>簡易一様温度・一様熱伝達モデル。実設計では端子/接触抵抗/近接効果等を別途確認。</t>
  </si>
  <si>
    <t>T241</t>
  </si>
  <si>
    <t>熱伝達係数</t>
  </si>
  <si>
    <t>T242</t>
  </si>
  <si>
    <t>T243</t>
  </si>
  <si>
    <t>T244</t>
  </si>
  <si>
    <t>導体抵抗率</t>
  </si>
  <si>
    <t>T250</t>
  </si>
  <si>
    <t>正規化機械モデル。実圧力/実降伏応力式ではなく、初期板厚を再現する経験式。</t>
  </si>
  <si>
    <t>T251</t>
  </si>
  <si>
    <t>T252</t>
  </si>
  <si>
    <t>T253</t>
  </si>
  <si>
    <t>現行/設計板厚</t>
  </si>
  <si>
    <t>現状設計値</t>
  </si>
  <si>
    <t>T254</t>
  </si>
  <si>
    <t>機械要求板厚</t>
  </si>
  <si>
    <t>t_case_req=K_tcase_sf×L_eff×SQRT(p_case/sigma_y_eff)×0.001</t>
  </si>
  <si>
    <t>簡易構造モデル</t>
  </si>
  <si>
    <t>T255</t>
  </si>
  <si>
    <t>T256</t>
  </si>
  <si>
    <t>有効スパン</t>
  </si>
  <si>
    <t>L_eff</t>
  </si>
  <si>
    <t>L_eff=SQRT(L_case²+W_case²)</t>
  </si>
  <si>
    <t>T257</t>
  </si>
  <si>
    <t>T258</t>
  </si>
  <si>
    <t>T259</t>
  </si>
  <si>
    <t>等価圧力係数</t>
  </si>
  <si>
    <t>T260</t>
  </si>
  <si>
    <t>実効材料強度</t>
  </si>
  <si>
    <t>sigma_y_eff=sigma_y_ref×k_temp_case×k_proc_case</t>
  </si>
  <si>
    <t>T261</t>
  </si>
  <si>
    <t>T262</t>
  </si>
  <si>
    <t>温度強度係数</t>
  </si>
  <si>
    <t>T263</t>
  </si>
  <si>
    <t>T264</t>
  </si>
  <si>
    <t>経験L重量係数</t>
  </si>
  <si>
    <t>k_mL_input</t>
  </si>
  <si>
    <t>k_mL_input=入力仕様(k_mL)</t>
  </si>
  <si>
    <t>現行M_Lは経験係数k_mL_inputを直接使用。削除済み旧k_mL_physとの選択比を残さず、親k_mL=F268に対する局所弾性は1。</t>
  </si>
  <si>
    <t>T265</t>
  </si>
  <si>
    <t>現行/設計ベース厚さ</t>
  </si>
  <si>
    <t>t_base_input</t>
  </si>
  <si>
    <t>t_base_input=入力仕様(t_base)</t>
  </si>
  <si>
    <t>t_base_eff=MAX(t_base_req,t_base_input)の支配枝のみ局所感度。等値は増加方向片側感度。</t>
  </si>
  <si>
    <t>T266</t>
  </si>
  <si>
    <t>制御PCB重量</t>
  </si>
  <si>
    <t>m_ctrl_pcb=A_ctrl_pcb×t_ctrl_pcb×rho_ctrl_pcb+m_ctrl_comp</t>
  </si>
  <si>
    <t>T267</t>
  </si>
  <si>
    <t>PCB面積</t>
  </si>
  <si>
    <t>T268</t>
  </si>
  <si>
    <t>PCB厚さ</t>
  </si>
  <si>
    <t>T269</t>
  </si>
  <si>
    <t>T270</t>
  </si>
  <si>
    <t>搭載部品重量</t>
  </si>
  <si>
    <t>T271</t>
  </si>
  <si>
    <t>ゲート回路重量</t>
  </si>
  <si>
    <t>m_gate=N_gate×m_gate_unit+Enable_BD_GaN_eff×Enable_substrate_mgmt×m_substrate_mgmt</t>
  </si>
  <si>
    <t>T272</t>
  </si>
  <si>
    <t>T273</t>
  </si>
  <si>
    <t>T274</t>
  </si>
  <si>
    <t>T275</t>
  </si>
  <si>
    <t>電流センサ重量</t>
  </si>
  <si>
    <t>m_isens=N_isens×m_isens_unit</t>
  </si>
  <si>
    <t>T276</t>
  </si>
  <si>
    <t>T277</t>
  </si>
  <si>
    <t>単体重量</t>
  </si>
  <si>
    <t>T278</t>
  </si>
  <si>
    <t>電圧センサ重量</t>
  </si>
  <si>
    <t>m_vsens=N_vsens×m_vsens_unit</t>
  </si>
  <si>
    <t>T279</t>
  </si>
  <si>
    <t>T280</t>
  </si>
  <si>
    <t>T281</t>
  </si>
  <si>
    <t>温度センサ重量</t>
  </si>
  <si>
    <t>m_tsens=N_tsens×m_tsens_unit</t>
  </si>
  <si>
    <t>T282</t>
  </si>
  <si>
    <t>T283</t>
  </si>
  <si>
    <t>T284</t>
  </si>
  <si>
    <t>T285</t>
  </si>
  <si>
    <t>DC端子重量</t>
  </si>
  <si>
    <t>m_conn_dc=N_conn_dc×m_conn_dc_unit</t>
  </si>
  <si>
    <t>T286</t>
  </si>
  <si>
    <t>T287</t>
  </si>
  <si>
    <t>T288</t>
  </si>
  <si>
    <t>AC端子重量</t>
  </si>
  <si>
    <t>m_conn_ac=N_conn_ac×m_conn_ac_unit</t>
  </si>
  <si>
    <t>T289</t>
  </si>
  <si>
    <t>T290</t>
  </si>
  <si>
    <t>T291</t>
  </si>
  <si>
    <t>T292</t>
  </si>
  <si>
    <t>T293</t>
  </si>
  <si>
    <t>T294</t>
  </si>
  <si>
    <t>T295</t>
  </si>
  <si>
    <t>T296</t>
  </si>
  <si>
    <t>ゲート速度SW係数</t>
  </si>
  <si>
    <t>k_gate_sw</t>
  </si>
  <si>
    <t>k_gate_sw=t_sw_eff/t_sw_ref</t>
  </si>
  <si>
    <t>T297</t>
  </si>
  <si>
    <t>実効SW時間</t>
  </si>
  <si>
    <t>t_sw_eff=(t_on+t_off)/2×k_split_eff</t>
  </si>
  <si>
    <t>T298</t>
  </si>
  <si>
    <t>ターンオン時間</t>
  </si>
  <si>
    <t>t_on=t_on_ref×R_g_on/R_g_ref</t>
  </si>
  <si>
    <t>T299</t>
  </si>
  <si>
    <t>小さい→Psw低下、dv/dt増</t>
  </si>
  <si>
    <t>T300</t>
  </si>
  <si>
    <t>T301</t>
  </si>
  <si>
    <t>ターンオフ時間</t>
  </si>
  <si>
    <t>t_off=t_off_ref×R_g_off/R_g_ref_off</t>
  </si>
  <si>
    <t>turn-off時間枝。R_g_offとturn-off専用基準R_g_ref_offから算出。</t>
  </si>
  <si>
    <t>T302</t>
  </si>
  <si>
    <t>小さい→Psw低下、di/dt増</t>
  </si>
  <si>
    <t>T303</t>
  </si>
  <si>
    <t>T304</t>
  </si>
  <si>
    <t>T305</t>
  </si>
  <si>
    <t>分離Rg係数</t>
  </si>
  <si>
    <t>k_split_eff</t>
  </si>
  <si>
    <t>k_split_eff=1-Enable_split_Rg×(1-k_split_sw)</t>
  </si>
  <si>
    <t>T306</t>
  </si>
  <si>
    <t>0→1採用差分</t>
  </si>
  <si>
    <t>T307</t>
  </si>
  <si>
    <t>T308</t>
  </si>
  <si>
    <t>dv/dtフィルタ重量</t>
  </si>
  <si>
    <t>M_dvdt_filter</t>
  </si>
  <si>
    <t>M_dvdt_filter=Enable×m_ref×(dvdt_eff/dvdt_ref)^a×k_cable</t>
  </si>
  <si>
    <t>CSI時は実効dv/dtのみ低下。t_on/t_offは変えないためP_swへ直接影響しない</t>
  </si>
  <si>
    <t>T309</t>
  </si>
  <si>
    <t>dv/dt</t>
  </si>
  <si>
    <t>V/s</t>
  </si>
  <si>
    <t>dvdt_eff=MAX(V_dc/t_on,V_dc/t_off)×{1-Enable_CSI×(1-k_CSI_dvdt_residual)}</t>
  </si>
  <si>
    <t>t_on/t_offのうち最大dv/dtを支配する側を採用。CSIは実効dv/dtのみ低減し、t_on/t_off自体は変更しない。</t>
  </si>
  <si>
    <t>T310</t>
  </si>
  <si>
    <t>T311</t>
  </si>
  <si>
    <t>MAX枝の増加方向片側局所弾性。t_on&lt;t_off時のみ支配。同値では増加方向感度0。</t>
  </si>
  <si>
    <t>T313</t>
  </si>
  <si>
    <t>基準EMI重量</t>
  </si>
  <si>
    <t>T314</t>
  </si>
  <si>
    <t>T315</t>
  </si>
  <si>
    <t>デッドタイム損失</t>
  </si>
  <si>
    <t>P_dead=N_gate×V_dead_drop×I_phase×t_dead_eff×f_sw</t>
  </si>
  <si>
    <t>T316</t>
  </si>
  <si>
    <t>実効デッドタイム</t>
  </si>
  <si>
    <t>t_dead_eff=t_dead×k_dead_eff</t>
  </si>
  <si>
    <t>T317</t>
  </si>
  <si>
    <t>T318</t>
  </si>
  <si>
    <t>適応DT係数</t>
  </si>
  <si>
    <t>k_dead_eff</t>
  </si>
  <si>
    <t>1-Enable_adaptive_DT×(1-k_adapt_dead)</t>
  </si>
  <si>
    <t>T319</t>
  </si>
  <si>
    <t>T320</t>
  </si>
  <si>
    <t>適応時残存率</t>
  </si>
  <si>
    <t>T321</t>
  </si>
  <si>
    <t>T322</t>
  </si>
  <si>
    <t>P_out固定要求から計算</t>
  </si>
  <si>
    <t>T323</t>
  </si>
  <si>
    <t>T324</t>
  </si>
  <si>
    <t>ゲート電圧Ron係数</t>
  </si>
  <si>
    <t>k_vgs_ron=(Vgs_ref/Vgs_on)^a_vgs_ron</t>
  </si>
  <si>
    <t>T325</t>
  </si>
  <si>
    <t>T326</t>
  </si>
  <si>
    <t>Vgs基準</t>
  </si>
  <si>
    <t>T327</t>
  </si>
  <si>
    <t>T328</t>
  </si>
  <si>
    <t>ゲート駆動損失</t>
  </si>
  <si>
    <t>P_gate=N_gate×Q_g×(Vgs_on-Vgs_off)×f_sw</t>
  </si>
  <si>
    <t>T329</t>
  </si>
  <si>
    <t>T330</t>
  </si>
  <si>
    <t>T331</t>
  </si>
  <si>
    <t>T332</t>
  </si>
  <si>
    <t>T333</t>
  </si>
  <si>
    <t>ゲート駆動追加重量</t>
  </si>
  <si>
    <t>M_gate_supply=k_mgate×P_gate+k_mneg×ABS(Vgs_off)+M_gate_option</t>
  </si>
  <si>
    <t>T334</t>
  </si>
  <si>
    <t>T335</t>
  </si>
  <si>
    <t>負バイアス重量係数</t>
  </si>
  <si>
    <t>T336</t>
  </si>
  <si>
    <t>ゲート技術追加重量</t>
  </si>
  <si>
    <t>Enable_split_Rg×m_split_Rg+Enable_adaptive_DT×m_adapt_DT</t>
  </si>
  <si>
    <t>T337</t>
  </si>
  <si>
    <t>追加部品重量</t>
  </si>
  <si>
    <t>T338</t>
  </si>
  <si>
    <t>適応DT有効</t>
  </si>
  <si>
    <t>追加制御重量</t>
  </si>
  <si>
    <t>T339</t>
  </si>
  <si>
    <t>低寄生レイアウト追加重量</t>
  </si>
  <si>
    <t>m_lowL_ref×L_stray_ref/L_stray</t>
  </si>
  <si>
    <t>T340</t>
  </si>
  <si>
    <t>寄生インダクタンス</t>
  </si>
  <si>
    <t>低L化→構造重量増</t>
  </si>
  <si>
    <t>T341</t>
  </si>
  <si>
    <t>基準寄生L</t>
  </si>
  <si>
    <t>T342</t>
  </si>
  <si>
    <t>低寄生化基準重量</t>
  </si>
  <si>
    <t>T343</t>
  </si>
  <si>
    <t>有効オーバーシュート(耐圧-ドーピング)</t>
  </si>
  <si>
    <t>V_overshoot_eff=L_stray×di_dt×k_snub_eff</t>
  </si>
  <si>
    <t>T344</t>
  </si>
  <si>
    <t>有効オーバーシュート(耐圧-厚さ)</t>
  </si>
  <si>
    <t>T345</t>
  </si>
  <si>
    <t>有効オーバーシュート(耐圧-Coss)</t>
  </si>
  <si>
    <t>T346</t>
  </si>
  <si>
    <t>スナバ損失</t>
  </si>
  <si>
    <t>P_snub=Enable×0.5×C_snub×Vdc²×f_sw×N_gate</t>
  </si>
  <si>
    <t>T347</t>
  </si>
  <si>
    <t>T348</t>
  </si>
  <si>
    <t>T349</t>
  </si>
  <si>
    <t>T350</t>
  </si>
  <si>
    <t>T351</t>
  </si>
  <si>
    <t>Enable_snubber×m_snub</t>
  </si>
  <si>
    <t>スナバは主パワー半導体そのものではない独立R/C等の追加回路としてRoot直下で1回だけ計上。</t>
  </si>
  <si>
    <t>T352</t>
  </si>
  <si>
    <t>追加重量</t>
  </si>
  <si>
    <t>T353</t>
  </si>
  <si>
    <t>スナバ重量</t>
  </si>
  <si>
    <t>T354</t>
  </si>
  <si>
    <t>PWMスイッチング係数</t>
  </si>
  <si>
    <t>k_pwm_sw=k_DPWM×k_CM_PWM</t>
  </si>
  <si>
    <t>T355</t>
  </si>
  <si>
    <t>DPWM係数</t>
  </si>
  <si>
    <t>k_DPWM</t>
  </si>
  <si>
    <t>1-Enable_DPWM×(1-k_dpwm_sw)</t>
  </si>
  <si>
    <t>T356</t>
  </si>
  <si>
    <t>T357</t>
  </si>
  <si>
    <t>DPWM残存率</t>
  </si>
  <si>
    <t>T358</t>
  </si>
  <si>
    <t>CM低減PWM係数</t>
  </si>
  <si>
    <t>k_CM_PWM</t>
  </si>
  <si>
    <t>1+Enable_CM_PWM×(k_cmpwm_sw-1)</t>
  </si>
  <si>
    <t>T359</t>
  </si>
  <si>
    <t>T360</t>
  </si>
  <si>
    <t>SW損失係数</t>
  </si>
  <si>
    <t>DMフィルタ重量</t>
  </si>
  <si>
    <t>M_DM_filter</t>
  </si>
  <si>
    <t>M_DM_filter=M_L+M_C+M_damping_resistor</t>
  </si>
  <si>
    <t>DMインダクタ＋DMコンデンサ＋採用時のみ受動ダンピング抵抗。抵抗を別Root枝へ置かず、DMフィルタ構成部品として一度だけ計上。</t>
  </si>
  <si>
    <t>T362</t>
  </si>
  <si>
    <t>DPWMリプル増加係数</t>
  </si>
  <si>
    <t>k_DPWM_ripple_eff=1+Enable_DPWM×k_DPWM_ripple_increase</t>
  </si>
  <si>
    <t>増加→DM重量増</t>
  </si>
  <si>
    <t>DPWMによるDM源リプル増加を等価係数 k=1+Enable_DPWM×k_ripple で近似。L_dm枝用。厳密なPWMスペクトル解析を簡略化した設計係数。</t>
  </si>
  <si>
    <t>T363</t>
  </si>
  <si>
    <t>DPWMによるDMリプル増加率。Enable_DPWM=1時のみk_DPWM_ripple_eff=1+Enable×rへ連続感度を持つ。旧H列経由の全DM重量換算を廃止し、親T362から局所弾性で伝播。</t>
  </si>
  <si>
    <t>T364</t>
  </si>
  <si>
    <t>CMフィルタ重量</t>
  </si>
  <si>
    <t>M_CM_filter=M_CM_passive+M_CM_active</t>
  </si>
  <si>
    <t>Enable_CM_filter=Passive、Enable_CM_active=Active、両方1=Hybrid</t>
  </si>
  <si>
    <t>T365</t>
  </si>
  <si>
    <t>T664</t>
  </si>
  <si>
    <t>CM源ノイズ電流指標</t>
  </si>
  <si>
    <t>I_cm_source=C_cable×(f_sw/f_ref)^a×CM-PWM低減</t>
  </si>
  <si>
    <t>CM要求比Passive-L枝の局所源ノイズ。Vdc/dvdtの別掛け二重計上を避ける簡易モデル。</t>
  </si>
  <si>
    <t>T368</t>
  </si>
  <si>
    <t>PWM制御追加重量</t>
  </si>
  <si>
    <t>Enable_CM_PWM×m_cmpwm_ctrl</t>
  </si>
  <si>
    <t>T369</t>
  </si>
  <si>
    <t>T370</t>
  </si>
  <si>
    <t>CM低減PWM制御重量</t>
  </si>
  <si>
    <t>T371</t>
  </si>
  <si>
    <t>リップル・寿命追加重量</t>
  </si>
  <si>
    <t>MAX(0,(N_cap_req-N_cap_energy)×m_cap_unit)</t>
  </si>
  <si>
    <t>T372</t>
  </si>
  <si>
    <t>必要C個数</t>
  </si>
  <si>
    <t>N_cap_req</t>
  </si>
  <si>
    <t>N_cap_ripple×k_life_cap</t>
  </si>
  <si>
    <t>T373</t>
  </si>
  <si>
    <t>リップル必要個数</t>
  </si>
  <si>
    <t>I_C_rms/I_cap_unit_rating</t>
  </si>
  <si>
    <t>T374</t>
  </si>
  <si>
    <t>Cリップル電流</t>
  </si>
  <si>
    <t>k_Icap_ripple×I_phase</t>
  </si>
  <si>
    <t>T375</t>
  </si>
  <si>
    <t>リップル電流係数</t>
  </si>
  <si>
    <t>T376</t>
  </si>
  <si>
    <t>T377</t>
  </si>
  <si>
    <t>C単体リップル定格</t>
  </si>
  <si>
    <t>T378</t>
  </si>
  <si>
    <t>寿命個数係数</t>
  </si>
  <si>
    <t>MAX(1,life_cap_req/life_cap)</t>
  </si>
  <si>
    <t>T379</t>
  </si>
  <si>
    <t>推定寿命</t>
  </si>
  <si>
    <t>life_ref×2^((T_ref-T_hot)/10)</t>
  </si>
  <si>
    <t>T380</t>
  </si>
  <si>
    <t>Cホットスポット温度</t>
  </si>
  <si>
    <t>T_amb+(I_C_rms/N_cap_ripple)^2×ESR×Rth</t>
  </si>
  <si>
    <t>T381</t>
  </si>
  <si>
    <t>T382</t>
  </si>
  <si>
    <t>T383</t>
  </si>
  <si>
    <t>T384</t>
  </si>
  <si>
    <t>T385</t>
  </si>
  <si>
    <t>T386</t>
  </si>
  <si>
    <t>T387</t>
  </si>
  <si>
    <t>エネルギー等価個数</t>
  </si>
  <si>
    <t>N_cap_energy</t>
  </si>
  <si>
    <t>m_cap_active/m_cap_unit</t>
  </si>
  <si>
    <t>T388</t>
  </si>
  <si>
    <t>T389</t>
  </si>
  <si>
    <t>スルーレート基準電圧</t>
  </si>
  <si>
    <t>T390</t>
  </si>
  <si>
    <t>T391</t>
  </si>
  <si>
    <t>適応DT追加重量</t>
  </si>
  <si>
    <t>T392</t>
  </si>
  <si>
    <t>ゲート駆動損失参照</t>
  </si>
  <si>
    <t>P_loss側と同一値</t>
  </si>
  <si>
    <t>T393</t>
  </si>
  <si>
    <t>負ゲート電圧</t>
  </si>
  <si>
    <t>T394</t>
  </si>
  <si>
    <t>T395</t>
  </si>
  <si>
    <t>既存T093参照</t>
  </si>
  <si>
    <t>T396</t>
  </si>
  <si>
    <t>T397</t>
  </si>
  <si>
    <t>実効ループインダクタンス</t>
  </si>
  <si>
    <t>L_loop_eff</t>
  </si>
  <si>
    <t>L_loop_eff=(L_stray+ESL_dc)×gap/gap_ref/overlap×(1-Enable_hf×k_reduce)</t>
  </si>
  <si>
    <t>T398</t>
  </si>
  <si>
    <t>電流スルーレート</t>
  </si>
  <si>
    <t>di_dt</t>
  </si>
  <si>
    <t>A/s</t>
  </si>
  <si>
    <t>di_dt=I_phase/t_off</t>
  </si>
  <si>
    <t>T399</t>
  </si>
  <si>
    <t>T400</t>
  </si>
  <si>
    <t>t_off=t_off_ref×R_g_off/R_g_ref</t>
  </si>
  <si>
    <t>T401</t>
  </si>
  <si>
    <t>スナバ低減係数</t>
  </si>
  <si>
    <t>k_snub_eff</t>
  </si>
  <si>
    <t>1-Enable_snubber×k_snub_reduce</t>
  </si>
  <si>
    <t>T402</t>
  </si>
  <si>
    <t>T403</t>
  </si>
  <si>
    <t>T404</t>
  </si>
  <si>
    <t>T405</t>
  </si>
  <si>
    <t>T406</t>
  </si>
  <si>
    <t>T407</t>
  </si>
  <si>
    <t>T408</t>
  </si>
  <si>
    <t>T409</t>
  </si>
  <si>
    <t>T410</t>
  </si>
  <si>
    <t>T411</t>
  </si>
  <si>
    <t>T412</t>
  </si>
  <si>
    <t>T413</t>
  </si>
  <si>
    <t>T414</t>
  </si>
  <si>
    <t>T415</t>
  </si>
  <si>
    <t>T416</t>
  </si>
  <si>
    <t>T417</t>
  </si>
  <si>
    <t>T418</t>
  </si>
  <si>
    <t>パワーループ寄生L</t>
  </si>
  <si>
    <t>T419</t>
  </si>
  <si>
    <t>T420</t>
  </si>
  <si>
    <t>T421</t>
  </si>
  <si>
    <t>T422</t>
  </si>
  <si>
    <t>HFデカップリング有効</t>
  </si>
  <si>
    <t>T423</t>
  </si>
  <si>
    <t>HF寄生L低減率</t>
  </si>
  <si>
    <t>T424</t>
  </si>
  <si>
    <t>T425</t>
  </si>
  <si>
    <t>T426</t>
  </si>
  <si>
    <t>T427</t>
  </si>
  <si>
    <t>T428</t>
  </si>
  <si>
    <t>T429</t>
  </si>
  <si>
    <t>T430</t>
  </si>
  <si>
    <t>T431</t>
  </si>
  <si>
    <t>T432</t>
  </si>
  <si>
    <t>T433</t>
  </si>
  <si>
    <t>T434</t>
  </si>
  <si>
    <t>T435</t>
  </si>
  <si>
    <t>T436</t>
  </si>
  <si>
    <t>HFローカルデカップリング追加重量</t>
  </si>
  <si>
    <t>M_hfcap</t>
  </si>
  <si>
    <t>Enable_hf×m_hfcap</t>
  </si>
  <si>
    <t>T437</t>
  </si>
  <si>
    <t>0→1追加重量</t>
  </si>
  <si>
    <t>T438</t>
  </si>
  <si>
    <t>HF追加重量</t>
  </si>
  <si>
    <t>T439</t>
  </si>
  <si>
    <t>ポンプ重量</t>
  </si>
  <si>
    <t>m_pump=k_m_pump×P_pump</t>
  </si>
  <si>
    <t>T440</t>
  </si>
  <si>
    <t>ポンプ損失</t>
  </si>
  <si>
    <t>DeltaP×Q_flow/eta_pump</t>
  </si>
  <si>
    <t>T441</t>
  </si>
  <si>
    <t>圧力損失</t>
  </si>
  <si>
    <t>DeltaP_ref×(Q/Qref)^a×fin^b</t>
  </si>
  <si>
    <t>T442</t>
  </si>
  <si>
    <t>T443</t>
  </si>
  <si>
    <t>フィン/流路密度</t>
  </si>
  <si>
    <t>T444</t>
  </si>
  <si>
    <t>T445</t>
  </si>
  <si>
    <t>T446</t>
  </si>
  <si>
    <t>流路密度熱伝達係数</t>
  </si>
  <si>
    <t>k_fin_density</t>
  </si>
  <si>
    <t>fin_density^a_h_fin</t>
  </si>
  <si>
    <t>T447</t>
  </si>
  <si>
    <t>T448</t>
  </si>
  <si>
    <t>TIM熱抵抗係数</t>
  </si>
  <si>
    <t>k_TIM_cool</t>
  </si>
  <si>
    <t>Rth_TIM/Rth_TIM_ref</t>
  </si>
  <si>
    <t>T449</t>
  </si>
  <si>
    <t>TIM熱抵抗</t>
  </si>
  <si>
    <t>t_TIM/(k_TIM A_TIM p^a)</t>
  </si>
  <si>
    <t>T450</t>
  </si>
  <si>
    <t>T451</t>
  </si>
  <si>
    <t>T452</t>
  </si>
  <si>
    <t>T453</t>
  </si>
  <si>
    <t>TIM締結機構重量</t>
  </si>
  <si>
    <t>m_clamp_ref×SQRT(p_mount)</t>
  </si>
  <si>
    <t>T454</t>
  </si>
  <si>
    <t>T455</t>
  </si>
  <si>
    <t>接合温度冷却係数</t>
  </si>
  <si>
    <t>k_Tj_cool</t>
  </si>
  <si>
    <t>(Tj_ref-Tcool)/(Tj_target-Tcool)</t>
  </si>
  <si>
    <t>T456</t>
  </si>
  <si>
    <t>T457</t>
  </si>
  <si>
    <t>温度Ron係数</t>
  </si>
  <si>
    <t>k_Ron_T</t>
  </si>
  <si>
    <t>1+alpha(Tj-Tref)</t>
  </si>
  <si>
    <t>T458</t>
  </si>
  <si>
    <t>T459</t>
  </si>
  <si>
    <t>積層バスバー構造重量</t>
  </si>
  <si>
    <t>M_bus_stack</t>
  </si>
  <si>
    <t>m_ref×overlap×gap/gap_ref</t>
  </si>
  <si>
    <t>T460</t>
  </si>
  <si>
    <t>T461</t>
  </si>
  <si>
    <t>T465</t>
  </si>
  <si>
    <t>0→1密度差分</t>
  </si>
  <si>
    <t>T466</t>
  </si>
  <si>
    <t>0→1抵抗率差分</t>
  </si>
  <si>
    <t>T467</t>
  </si>
  <si>
    <t>バスバー高周波追加損失</t>
  </si>
  <si>
    <t>P_bus_ac</t>
  </si>
  <si>
    <t>Pdc_bus×MAX(0,k_ac-1)</t>
  </si>
  <si>
    <t>T468</t>
  </si>
  <si>
    <t>AC抵抗係数</t>
  </si>
  <si>
    <t>MAX(1,t/(2deltaN))</t>
  </si>
  <si>
    <t>AC抵抗増加係数は表皮・近接効果を簡略化した感度モデル。厳密評価はDowell法/FEM/実測へ置換する。</t>
  </si>
  <si>
    <t>T469</t>
  </si>
  <si>
    <t>T470</t>
  </si>
  <si>
    <t>T471</t>
  </si>
  <si>
    <t>バスバー積層追加重量</t>
  </si>
  <si>
    <t>N_laminate×m_laminate_unit</t>
  </si>
  <si>
    <t>T472</t>
  </si>
  <si>
    <t>T475</t>
  </si>
  <si>
    <t>dv/dtフィルタ損失</t>
  </si>
  <si>
    <t>P_dvdt_filter</t>
  </si>
  <si>
    <t>Enable×P_on</t>
  </si>
  <si>
    <t>T476</t>
  </si>
  <si>
    <t>0→1損失差分</t>
  </si>
  <si>
    <t>T477</t>
  </si>
  <si>
    <t>0→1 EMI重量低減</t>
  </si>
  <si>
    <t>T478</t>
  </si>
  <si>
    <t>パッシブCMフィルタ重量</t>
  </si>
  <si>
    <t>M_CM_passive=M_CM_L+M_CM_C</t>
  </si>
  <si>
    <t>LC/CM choke/Y-cap等を等価重量化</t>
  </si>
  <si>
    <t>T481</t>
  </si>
  <si>
    <t>EMIシールド追加重量</t>
  </si>
  <si>
    <t>Enable_shield×m_shield</t>
  </si>
  <si>
    <t>T482</t>
  </si>
  <si>
    <t>0→1重量増</t>
  </si>
  <si>
    <t>T484</t>
  </si>
  <si>
    <t>シャント損失</t>
  </si>
  <si>
    <t>P_shunt</t>
  </si>
  <si>
    <t>3×Iphase²×R_shunt</t>
  </si>
  <si>
    <t>T485</t>
  </si>
  <si>
    <t>T486</t>
  </si>
  <si>
    <t>電流検出アンプ重量</t>
  </si>
  <si>
    <t>m_CSA_ref×(Rref/Rshunt)^0.3</t>
  </si>
  <si>
    <t>T487</t>
  </si>
  <si>
    <t>T488</t>
  </si>
  <si>
    <t>センシング方式差分重量</t>
  </si>
  <si>
    <t>IF(mode=1,-save,IF(mode=2,Hall_delta,0))</t>
  </si>
  <si>
    <t>T489</t>
  </si>
  <si>
    <t>0=3shunt基準、1=1shunt、2=Hall。離散シナリオ値として比較</t>
  </si>
  <si>
    <t>T490</t>
  </si>
  <si>
    <t>ゲート絶縁/バイアス構成重量</t>
  </si>
  <si>
    <t>Enable_iso×m_iso+(1-Enable_iso)×bootstrap_penalty</t>
  </si>
  <si>
    <t>T491</t>
  </si>
  <si>
    <t>絶縁バイアス有効</t>
  </si>
  <si>
    <t>0→1構成差分</t>
  </si>
  <si>
    <t>T492</t>
  </si>
  <si>
    <t>DESAT保護回路重量</t>
  </si>
  <si>
    <t>M_DESAT</t>
  </si>
  <si>
    <t>Enable_DESAT×m_DESAT</t>
  </si>
  <si>
    <t>T493</t>
  </si>
  <si>
    <t>DESAT有効</t>
  </si>
  <si>
    <t>0→1回路重量</t>
  </si>
  <si>
    <t>T498</t>
  </si>
  <si>
    <t>アクティブクランプ回路重量</t>
  </si>
  <si>
    <t>Enable×m_active_clamp</t>
  </si>
  <si>
    <t>T499</t>
  </si>
  <si>
    <t>0→1重量</t>
  </si>
  <si>
    <t>T500</t>
  </si>
  <si>
    <t>アクティブクランプ損失</t>
  </si>
  <si>
    <t>P_active_clamp</t>
  </si>
  <si>
    <t>T501</t>
  </si>
  <si>
    <t>0→1損失</t>
  </si>
  <si>
    <t>T502</t>
  </si>
  <si>
    <t>絶縁距離・支持構造重量</t>
  </si>
  <si>
    <t>m_clearance_ref×Vdc/800×(1-E_hi×k_reduce)×(1-E_pot×k_pot_reduce)</t>
  </si>
  <si>
    <t>T503</t>
  </si>
  <si>
    <t>T504</t>
  </si>
  <si>
    <t>0→1距離低減</t>
  </si>
  <si>
    <t>T505</t>
  </si>
  <si>
    <t>M_hi_ins</t>
  </si>
  <si>
    <t>Enable_hi_ins×m_hi_ins</t>
  </si>
  <si>
    <t>T506</t>
  </si>
  <si>
    <t>T507</t>
  </si>
  <si>
    <t>Enable_potting×m_potting</t>
  </si>
  <si>
    <t>T508</t>
  </si>
  <si>
    <t>T509</t>
  </si>
  <si>
    <t>T510</t>
  </si>
  <si>
    <t>k_pot_thermal_eff</t>
  </si>
  <si>
    <t>1+Enable_potting×k_pot_thermal</t>
  </si>
  <si>
    <t>T511</t>
  </si>
  <si>
    <t>0→1熱抵抗増</t>
  </si>
  <si>
    <t>T512</t>
  </si>
  <si>
    <t>ゲートバイアス電源損失</t>
  </si>
  <si>
    <t>P_bias_loss</t>
  </si>
  <si>
    <t>P_gate×(1/eta_bias-1)</t>
  </si>
  <si>
    <t>T513</t>
  </si>
  <si>
    <t>T514</t>
  </si>
  <si>
    <t>ゲートバイアス電源重量</t>
  </si>
  <si>
    <t>k_m_bias×P_gate/eta_bias</t>
  </si>
  <si>
    <t>T515</t>
  </si>
  <si>
    <t>T516</t>
  </si>
  <si>
    <t>Enable_precharge×m_precharge</t>
  </si>
  <si>
    <t>T517</t>
  </si>
  <si>
    <t>T518</t>
  </si>
  <si>
    <t>コンタクタ/ヒューズ重量</t>
  </si>
  <si>
    <t>m_contactor_base×(1-Enable_precharge×k_reduce)</t>
  </si>
  <si>
    <t>T519</t>
  </si>
  <si>
    <t>0→1コンタクタ軽量化</t>
  </si>
  <si>
    <t>T520</t>
  </si>
  <si>
    <t>DCリンク放電回路重量</t>
  </si>
  <si>
    <t>M_discharge</t>
  </si>
  <si>
    <t>M_discharge=M_discharge_res+M_active_discharge_ctrl</t>
  </si>
  <si>
    <t>T521</t>
  </si>
  <si>
    <t>放電抵抗重量</t>
  </si>
  <si>
    <t>k_m_bleed×P_bleed_base×[(1-Eactive)+Eactive×k_res_active]</t>
  </si>
  <si>
    <t>T522</t>
  </si>
  <si>
    <t>T526</t>
  </si>
  <si>
    <t>必要放電抵抗</t>
  </si>
  <si>
    <t>t_req/[Cdc×ln(Vdc/Vsafe)]</t>
  </si>
  <si>
    <t>RC放電 V(t)=V0·exp(-t/RC) より R=t/[C·LN(Vdc/Vsafe)]。P_bleed=Vdc^2/R を介して抵抗重量へ影響するためT526の子。</t>
  </si>
  <si>
    <t>T523</t>
  </si>
  <si>
    <t>DCリンク容量</t>
  </si>
  <si>
    <t>C_dc_discharge</t>
  </si>
  <si>
    <t>C_req/1000</t>
  </si>
  <si>
    <t>T524</t>
  </si>
  <si>
    <t>放電要求時間</t>
  </si>
  <si>
    <t>上位安全要求</t>
  </si>
  <si>
    <t>T525</t>
  </si>
  <si>
    <t>安全電圧</t>
  </si>
  <si>
    <t>受動ブリーダ連続損失</t>
  </si>
  <si>
    <t>P_bleed_base</t>
  </si>
  <si>
    <t>Vdc²/Rdis</t>
  </si>
  <si>
    <t>T527</t>
  </si>
  <si>
    <t>アクティブ放電有効</t>
  </si>
  <si>
    <t>抵抗短時間定格化の離散効果</t>
  </si>
  <si>
    <t>T528</t>
  </si>
  <si>
    <t>Enable_active_discharge×m_active_discharge_ctrl</t>
  </si>
  <si>
    <t>T529</t>
  </si>
  <si>
    <t>追加スイッチ/制御重量</t>
  </si>
  <si>
    <t>T530</t>
  </si>
  <si>
    <t>放電回路待機損失</t>
  </si>
  <si>
    <t>P_bleed_base×[(1-Eactive)+Eactive×k_standby_active]</t>
  </si>
  <si>
    <t>T531</t>
  </si>
  <si>
    <t>待機損失低減の離散効果</t>
  </si>
  <si>
    <t>T532</t>
  </si>
  <si>
    <t>高度冷却パッケージ熱係数</t>
  </si>
  <si>
    <t>k_pkg_cooling</t>
  </si>
  <si>
    <t>1-Package_mode×k_pkg_Rth_reduce</t>
  </si>
  <si>
    <t>T533</t>
  </si>
  <si>
    <t>0→1で冷却器必要重量低減</t>
  </si>
  <si>
    <t>T534</t>
  </si>
  <si>
    <t>パッケージ電流密度係数</t>
  </si>
  <si>
    <t>k_pkg_J</t>
  </si>
  <si>
    <t>1+Package_mode×k_pkg_J_gain</t>
  </si>
  <si>
    <t>T535</t>
  </si>
  <si>
    <t>熱制約緩和による電流密度向上</t>
  </si>
  <si>
    <t>T536</t>
  </si>
  <si>
    <t>Package_mode×m_pkg_advanced_delta</t>
  </si>
  <si>
    <t>T537</t>
  </si>
  <si>
    <t>クランプ/絶縁/構造追加重量</t>
  </si>
  <si>
    <t>T538</t>
  </si>
  <si>
    <t>T539</t>
  </si>
  <si>
    <t>Ron基準温度</t>
  </si>
  <si>
    <t>T541</t>
  </si>
  <si>
    <t>T542</t>
  </si>
  <si>
    <t>上位システム要求</t>
  </si>
  <si>
    <t>T543</t>
  </si>
  <si>
    <t>ケーブル対地容量</t>
  </si>
  <si>
    <t>C_cable</t>
  </si>
  <si>
    <t>C_per_m×L_cable</t>
  </si>
  <si>
    <t>CM変位電流指標</t>
  </si>
  <si>
    <t>I_cm_cable</t>
  </si>
  <si>
    <t>C_cable×dvdt</t>
  </si>
  <si>
    <t>T544</t>
  </si>
  <si>
    <t>ケーブル長dv/dt係数</t>
  </si>
  <si>
    <t>k_cable_dvdt</t>
  </si>
  <si>
    <t>(L_cable/L_ref)^a_cable_dvdt</t>
  </si>
  <si>
    <t>T545</t>
  </si>
  <si>
    <t>k_cable_dvdt=MAX(0.5,(L/Lref)^a)。下限0.5が支配する領域ではL_cable感度0。</t>
  </si>
  <si>
    <t>T546</t>
  </si>
  <si>
    <t>f_sw要求内訳</t>
  </si>
  <si>
    <t>f_sw_req_detail</t>
  </si>
  <si>
    <t>MAX(f_e×PWMratio, f_sw_ripple, f_sw_bw, audible)</t>
  </si>
  <si>
    <t>T547</t>
  </si>
  <si>
    <t>電気周波数由来</t>
  </si>
  <si>
    <t>f_sw_electric</t>
  </si>
  <si>
    <t>f_e×PWMratio</t>
  </si>
  <si>
    <t>T548</t>
  </si>
  <si>
    <t>リップル要求由来</t>
  </si>
  <si>
    <t>kV×Vdc/(Lmotor×ripple×Ipk)</t>
  </si>
  <si>
    <t>T549</t>
  </si>
  <si>
    <t>T550</t>
  </si>
  <si>
    <t>T551</t>
  </si>
  <si>
    <t>電流制御帯域由来</t>
  </si>
  <si>
    <t>k_fsw_bw×BW_current</t>
  </si>
  <si>
    <t>T552</t>
  </si>
  <si>
    <t>T553</t>
  </si>
  <si>
    <t>Miller clamp SW係数</t>
  </si>
  <si>
    <t>k_miller_sw</t>
  </si>
  <si>
    <t>1-Enable_Miller_clamp×k_miller_sw_reduce</t>
  </si>
  <si>
    <t>T554</t>
  </si>
  <si>
    <t>誤点弧余裕を使った高速化</t>
  </si>
  <si>
    <t>T555</t>
  </si>
  <si>
    <t>Enable_Miller_clamp×m_miller_clamp</t>
  </si>
  <si>
    <t>T556</t>
  </si>
  <si>
    <t>専用ドライバ/クランプ重量</t>
  </si>
  <si>
    <t>T557</t>
  </si>
  <si>
    <t>DC/DCコンバータ重量</t>
  </si>
  <si>
    <t>M_DCDC</t>
  </si>
  <si>
    <t>M_DCDC=Enable_DCDC_stage×(M_DCDC_power+M_DCDC_ctrl)+M_L_dc</t>
  </si>
  <si>
    <t>変更可</t>
  </si>
  <si>
    <t>VSI/CSI共通のDC/DC機能ブロック。CSI統合方式ではCSI主半導体が能動スイッチ機能を兼用し、独立DCDC半導体段の追加重量は0。Ldcは同一物理部品を1回だけ計上。</t>
  </si>
  <si>
    <t>T558</t>
  </si>
  <si>
    <t>独立DCDC半導体段有効</t>
  </si>
  <si>
    <t>1=独立DCDC半導体段を追加。0かつCSI=1ではCSI主半導体がDC/DC能動スイッチ機能を兼用。DCDC機能そのものの有無を意味しない。</t>
  </si>
  <si>
    <t>T559</t>
  </si>
  <si>
    <t>DCDCパワーステージ基準重量</t>
  </si>
  <si>
    <t>M_DCDC_power=N_switch_DCDC×m_switch_DCDC</t>
  </si>
  <si>
    <t>独立DCDC半導体段を採用した場合の基準重量。Enable_DCDC_stageは親T557で一度だけ適用する。</t>
  </si>
  <si>
    <t>T560</t>
  </si>
  <si>
    <t>独立DCDCスイッチ数（有効時）</t>
  </si>
  <si>
    <t>N_switch_DCDC</t>
  </si>
  <si>
    <t>N_switch_DCDC=N_switch_DCDC_ref</t>
  </si>
  <si>
    <t>独立段が有効な場合のスイッチ数。Enableは親T557で適用し、ここでは重複適用しない。</t>
  </si>
  <si>
    <t>T561</t>
  </si>
  <si>
    <t>T562</t>
  </si>
  <si>
    <t>T563</t>
  </si>
  <si>
    <t>DCDC制御・ゲート回路基準重量</t>
  </si>
  <si>
    <t>M_DCDC_ctrl=m_DCDC_ctrl</t>
  </si>
  <si>
    <t>独立DCDC半導体段を採用した場合の追加制御・ゲート重量。CSI統合方式では追加計上しない。</t>
  </si>
  <si>
    <t>T564</t>
  </si>
  <si>
    <t>DCDC制御回路基準重量</t>
  </si>
  <si>
    <t>T565</t>
  </si>
  <si>
    <t>独立DCDC段変換損失</t>
  </si>
  <si>
    <t>P_DCDC=Enable_DCDC_stage×Pout×(1/eta_DCDC-1)</t>
  </si>
  <si>
    <t>独立DCDC半導体段を追加した場合の変換損失。CSI半導体兼用方式のスイッチ損失はCSI主回路損失側で扱い、ここへ二重計上しない。</t>
  </si>
  <si>
    <t>T566</t>
  </si>
  <si>
    <t>T567</t>
  </si>
  <si>
    <t>DCDCインダクタ重量</t>
  </si>
  <si>
    <t>M_L_dc</t>
  </si>
  <si>
    <t>M_L_dc=Enable_L_dc×[(1-Enable_HTS)×M_normal+Enable_HTS×(M_HTS_coil+M_cryo+M_lead+M_quench)]</t>
  </si>
  <si>
    <t>DC/DC機能のエネルギー蓄積インダクタ。独立DCDC段でもCSI主半導体によるDCDC機能統合でも同一物理Lを1回だけ計上する。</t>
  </si>
  <si>
    <t>T568</t>
  </si>
  <si>
    <t>DCDCインダクタ必要</t>
  </si>
  <si>
    <t>Enable_L_dc</t>
  </si>
  <si>
    <t>Enable_L_dc=MAX(Enable_CSI,Enable_DCDC_stage)</t>
  </si>
  <si>
    <t>CSI統合方式または独立DCDC半導体段のいずれかで有効。離散Enableのため局所弾性Jは0とし、方式差はシナリオ差分で評価する。</t>
  </si>
  <si>
    <t>T570</t>
  </si>
  <si>
    <t>CSI有効</t>
  </si>
  <si>
    <t>0→1で総重量増</t>
  </si>
  <si>
    <t>T568のMAX分岐用。CSI=1ではDC/DC能動スイッチ機能をCSI主半導体が兼用し、Ldcを有効化する。離散EnableのためJ=0。</t>
  </si>
  <si>
    <t>T571</t>
  </si>
  <si>
    <t>通常DCリアクトル重量</t>
  </si>
  <si>
    <t>M_Ldc_normal=0.5×L_dc×I_dc²×k_m_Ldc_energy</t>
  </si>
  <si>
    <t>T572</t>
  </si>
  <si>
    <t>DCリンクインダクタンス</t>
  </si>
  <si>
    <t>L_dc=Enable_L_dc×L_dc_ref×(1-Enable_APD×k_APD_L_reduce)</t>
  </si>
  <si>
    <t>T573</t>
  </si>
  <si>
    <t>DCリンク基準インダクタンス</t>
  </si>
  <si>
    <t>T574</t>
  </si>
  <si>
    <t>APD有効</t>
  </si>
  <si>
    <t>T575</t>
  </si>
  <si>
    <t>T576</t>
  </si>
  <si>
    <t>I_dc=Pout/(Vdc×eta)</t>
  </si>
  <si>
    <t>T577</t>
  </si>
  <si>
    <t>T578</t>
  </si>
  <si>
    <t>DCリンクL HTS化</t>
  </si>
  <si>
    <t>T579</t>
  </si>
  <si>
    <t>HTSコイル本体重量</t>
  </si>
  <si>
    <t>M_Ldc_HTS_coil=M_Ldc_normal×(1-k_HTS_mass_reduce)</t>
  </si>
  <si>
    <t>T580</t>
  </si>
  <si>
    <t>T581</t>
  </si>
  <si>
    <t>HTS冷凍・断熱重量</t>
  </si>
  <si>
    <t>T582</t>
  </si>
  <si>
    <t>HTS冷凍・断熱基準重量</t>
  </si>
  <si>
    <t>T674</t>
  </si>
  <si>
    <t>T591</t>
  </si>
  <si>
    <t>DCリアクトル有効（損失枝）</t>
  </si>
  <si>
    <t>損失枝の局所複製。離散シナリオなのでJ=0。物理部品を追加計上するノードではない。</t>
  </si>
  <si>
    <t>T675</t>
  </si>
  <si>
    <t>DCリンクL HTS化（損失枝）</t>
  </si>
  <si>
    <t>損失枝の局所複製。0=通常導体、1=HTS。離散シナリオなのでJ=0。</t>
  </si>
  <si>
    <t>T585</t>
  </si>
  <si>
    <t>HTS電流リード重量</t>
  </si>
  <si>
    <t>T586</t>
  </si>
  <si>
    <t>HTS電流リード基準重量</t>
  </si>
  <si>
    <t>T587</t>
  </si>
  <si>
    <t>HTSクエンチ保護重量</t>
  </si>
  <si>
    <t>T588</t>
  </si>
  <si>
    <t>クエンチ保護基準重量</t>
  </si>
  <si>
    <t>T589</t>
  </si>
  <si>
    <t>HTSリプルAC損失</t>
  </si>
  <si>
    <t>AC_loss_HTS_ripple=P_HTS_ac_ref×I_dc_ripple/I_dc_ripple_ref_HTS</t>
  </si>
  <si>
    <t>HTS採用時にP_L_dc側で選択される候補損失。20 W基準値を固定基準リプル電流6.443 Aで正規化する一次近似。周波数・局所B・REBCOテープ形状/配向・温度依存は詳細モデル/測定へ置換。</t>
  </si>
  <si>
    <t>T590</t>
  </si>
  <si>
    <t>DCリアクトル損失</t>
  </si>
  <si>
    <t>P_L_dc=Enable_Ldc×{(1-Enable_HTS)×I_dc²×R_Ldc+Enable_HTS×AC_loss_HTS_ripple}</t>
  </si>
  <si>
    <t>通常導体時はI²R、HTS時はREBCOリプルAC損失を採用。Enable/I_dcを損失枝内へ局所複製し、他枝参照によるDAGを除去。</t>
  </si>
  <si>
    <t>T592</t>
  </si>
  <si>
    <t>T593</t>
  </si>
  <si>
    <t>DCリンク電流リプル</t>
  </si>
  <si>
    <t>I_dc_ripple=Enable_Ldc×I_dc×r_Idc_ripple×(1-Enable_APD×k_APD_ripple_reduce)</t>
  </si>
  <si>
    <t>HTS AC損失へ入力される実DCリプル電流。I_dcは同枝の局所複製を参照し、兄弟枝を横参照しない。</t>
  </si>
  <si>
    <t>T594</t>
  </si>
  <si>
    <t>T595</t>
  </si>
  <si>
    <t>APDリプル低減率</t>
  </si>
  <si>
    <t>T596</t>
  </si>
  <si>
    <t>M_APD=Enable_APD×m_APD</t>
  </si>
  <si>
    <t>APDはDCリンク容量要求を変えるが、追加回路重量自体は主DCリンクCとは別の物理ハードウェアなのでRoot直下で1回だけ計上。</t>
  </si>
  <si>
    <t>T597</t>
  </si>
  <si>
    <t>APD基準重量</t>
  </si>
  <si>
    <t>T678</t>
  </si>
  <si>
    <t>T663</t>
  </si>
  <si>
    <t>DPWM有効（C枝）</t>
  </si>
  <si>
    <t>0→1でDM-C要求増</t>
  </si>
  <si>
    <t>DPWM C枝用の局所複製。離散EnableなのでJ=0。Kは0→1採用時にk_DPWM_ripple_eff_Cが1から1+rへ変化するシナリオ差分を親感度へ反映。</t>
  </si>
  <si>
    <t>T679</t>
  </si>
  <si>
    <t>DPWMによるDMリプル増加率（C枝）</t>
  </si>
  <si>
    <t>Enable=1時：増加→DM-C要求増</t>
  </si>
  <si>
    <t>C枝用の局所複製。Enable_DPWM=1のときのみ連続パラメータとしてk_DPWM_ripple_eff_Cへ寄与。L枝のT363とは同一入力を参照するが、単一親ツリー維持のため局所複製。</t>
  </si>
  <si>
    <t>T620</t>
  </si>
  <si>
    <t>0→1でDM要求増</t>
  </si>
  <si>
    <t>DPWM L枝用の局所Enable。離散変数のためJ=0。Kは0→1採用差分として、k_DPWM_ripple_effが1から1+rへ増加する効果を直接反映。</t>
  </si>
  <si>
    <t>T621</t>
  </si>
  <si>
    <t>アクティブCMフィルタ重量</t>
  </si>
  <si>
    <t>Enable_A×m_ref×(k_req/k_ref)^a</t>
  </si>
  <si>
    <t>Active CM等価重量。現在要求比k_CM_req_Aを固定基準要求比で正規化した指数則。現在値を分子・分母の両方へ入れて感度を消す誤りを除去。詳細回路設計時は実部品モデルへ置換。</t>
  </si>
  <si>
    <t>T623</t>
  </si>
  <si>
    <t>0→1でActive重量追加</t>
  </si>
  <si>
    <t>Passiveと同時1でHybrid</t>
  </si>
  <si>
    <t>T624</t>
  </si>
  <si>
    <t>アクティブCM基準重量</t>
  </si>
  <si>
    <t>中立</t>
  </si>
  <si>
    <t>暫定基準重量</t>
  </si>
  <si>
    <t>T626</t>
  </si>
  <si>
    <t>要求比に対するActive重量指数</t>
  </si>
  <si>
    <t>T627</t>
  </si>
  <si>
    <t>CSIで実効dv/dt低下</t>
  </si>
  <si>
    <t>t_on/t_offは変更しない</t>
  </si>
  <si>
    <t>T628</t>
  </si>
  <si>
    <t>暫定20%残存</t>
  </si>
  <si>
    <t>T629</t>
  </si>
  <si>
    <t>T630</t>
  </si>
  <si>
    <t>暫定スケーリング指数</t>
  </si>
  <si>
    <t>T631</t>
  </si>
  <si>
    <t>CMチョーク/L重量</t>
  </si>
  <si>
    <t>M_CM_L</t>
  </si>
  <si>
    <t>Passive総重量×k_CM_L_mass_share</t>
  </si>
  <si>
    <t>Passive CM総重量をL/C比で分割した簡易モデル。要求比の指数則は詳細磁気/容量設計を省略した重量スケーリング近似。</t>
  </si>
  <si>
    <t>T632</t>
  </si>
  <si>
    <t>Y-Cap/C重量</t>
  </si>
  <si>
    <t>M_CM_C</t>
  </si>
  <si>
    <t>Passive総重量×(1-k_CM_L_mass_share)</t>
  </si>
  <si>
    <t>T635</t>
  </si>
  <si>
    <t>MAX dv/dt枝。t_off&lt;t_on時のみ支配。</t>
  </si>
  <si>
    <t>T638</t>
  </si>
  <si>
    <t>ターンオフゲート抵抗基準</t>
  </si>
  <si>
    <t>R_g_ref_off</t>
  </si>
  <si>
    <t>R_g_ref_off=入力仕様.R_g_ref</t>
  </si>
  <si>
    <t>turn-off枝専用の局所等価基準値。turn-on枝T304との兄弟横参照を避けるため局所化。物理的には同一の基準入力値を参照する。</t>
  </si>
  <si>
    <t>T639</t>
  </si>
  <si>
    <t>P_gate個数依存。m_gate側T272と同一変数として集計。</t>
  </si>
  <si>
    <t>T640</t>
  </si>
  <si>
    <t>トポロジー別一般化</t>
  </si>
  <si>
    <t>T641</t>
  </si>
  <si>
    <t>ANPCは同期整流前提で0</t>
  </si>
  <si>
    <t>T642</t>
  </si>
  <si>
    <t>I_cond=IF(Enable_CSI=1, I_dc, I_phase)</t>
  </si>
  <si>
    <t>トポロジーにより評価電流切替</t>
  </si>
  <si>
    <t>T643</t>
  </si>
  <si>
    <t>NPC/CSIダイオード損失</t>
  </si>
  <si>
    <t>T644</t>
  </si>
  <si>
    <t>CSI/NPC追加ダイオード数</t>
  </si>
  <si>
    <t>T645</t>
  </si>
  <si>
    <t>OFF/ON差分で評価</t>
  </si>
  <si>
    <t>T646</t>
  </si>
  <si>
    <t>R_on_eq×k_Ron_ratio×k_dyn_Ron</t>
  </si>
  <si>
    <t>BD-GaN ON時のみ導通損失へ接続</t>
  </si>
  <si>
    <t>T647</t>
  </si>
  <si>
    <t>同一chip areaの一次仮定</t>
  </si>
  <si>
    <t>T648</t>
  </si>
  <si>
    <t>substrate/back-gating影響</t>
  </si>
  <si>
    <t>T649</t>
  </si>
  <si>
    <t>実測sum優先、未入力時base×ratio</t>
  </si>
  <si>
    <t>BD-GaN ON時P_swへ接続</t>
  </si>
  <si>
    <t>T650</t>
  </si>
  <si>
    <t>実測未入力時のみ有効</t>
  </si>
  <si>
    <t>T651</t>
  </si>
  <si>
    <t>BD-GaN Eon</t>
  </si>
  <si>
    <t>実測override</t>
  </si>
  <si>
    <t>T652</t>
  </si>
  <si>
    <t>BD-GaN Eoff</t>
  </si>
  <si>
    <t>T653</t>
  </si>
  <si>
    <t>BD-GaN Eoss</t>
  </si>
  <si>
    <t>T654</t>
  </si>
  <si>
    <t>BD-GaN基板管理回路有効</t>
  </si>
  <si>
    <t>重量/損失ペナルティ</t>
  </si>
  <si>
    <t>T655</t>
  </si>
  <si>
    <t>BD-GaN基板管理回路重量</t>
  </si>
  <si>
    <t>m_gateへ加算</t>
  </si>
  <si>
    <t>T656</t>
  </si>
  <si>
    <t>BD-GaN基板管理回路損失</t>
  </si>
  <si>
    <t>P_lossへ加算</t>
  </si>
  <si>
    <t>T657</t>
  </si>
  <si>
    <t>dual-gate構造</t>
  </si>
  <si>
    <t>BD-GaN有効時、Tree全範囲E5:E679に存在するN_gate感度を合算し、1個当たりゲートドライバ数へ伝播。旧648行固定範囲を廃止。</t>
  </si>
  <si>
    <t>T662</t>
  </si>
  <si>
    <t>Enable_eff×6</t>
  </si>
  <si>
    <t>診断</t>
  </si>
  <si>
    <t>CSI 6個のmonolithic BDS</t>
  </si>
  <si>
    <t>DPWMリプル増加係数（C枝）</t>
  </si>
  <si>
    <t>k_DPWM_ripple_eff_C</t>
  </si>
  <si>
    <t>k_DPWM_ripple_eff_C=1+Enable_DPWM_C×k_DPWM_ripple_increase_C</t>
  </si>
  <si>
    <t>増加→DM-C重量増</t>
  </si>
  <si>
    <t>DPWM源リプル増加のC枝用係数。Enableと増加率をT678/T679として局所展開し、削除済みセル参照およびL枝への横参照を排除。</t>
  </si>
  <si>
    <t>CM要求比（Passive-L枝）</t>
  </si>
  <si>
    <t>k_CM_req_PL</t>
  </si>
  <si>
    <t>k_CM_req_PL=MAX(1,I_cm_source/I_cm_allow)</t>
  </si>
  <si>
    <t>増加→Passive-L重量増</t>
  </si>
  <si>
    <t>Passive-L枝は詳細なI_cm_source子ツリーを保持して要求比を算出。Passive-C/Active枝は同一物理式を入力参照で局所複製し、単一親ツリーを維持する。物理部品の重複計上ではない。</t>
  </si>
  <si>
    <t>T665</t>
  </si>
  <si>
    <t>CM要求比（Passive-C枝）</t>
  </si>
  <si>
    <t>k_CM_req_PC</t>
  </si>
  <si>
    <t>k_CM_req_PC=MAX(1,I_cm_source/I_cm_allow)</t>
  </si>
  <si>
    <t>増加→Passive-C重量増</t>
  </si>
  <si>
    <t>CM要求比を各重量枝へ局所複製。C_cable・実効dv/dt・キャリア周波数・CM低減PWMを同一物理式で再計算し、兄弟枝参照/DAGを作らない。物理部品の重複計上ではない。</t>
  </si>
  <si>
    <t>T666</t>
  </si>
  <si>
    <t>CM要求比（Active枝）</t>
  </si>
  <si>
    <t>k_CM_req_A</t>
  </si>
  <si>
    <t>k_CM_req_A=MAX(1,I_cm_source/I_cm_allow)</t>
  </si>
  <si>
    <t>増加→Active重量増</t>
  </si>
  <si>
    <t>T667</t>
  </si>
  <si>
    <t>独立DCDC半導体段有効（Ldc判定）</t>
  </si>
  <si>
    <t>Enable_DCDC_stage_local</t>
  </si>
  <si>
    <t>T568のMAX分岐用ローカル参照。物理重量を持たない。離散EnableのためJ=0。</t>
  </si>
  <si>
    <t>T668</t>
  </si>
  <si>
    <t>受動ダンピング抵抗重量</t>
  </si>
  <si>
    <t>M_damping_resistor=Enable_passive_damping×m_damping_resistor_ref</t>
  </si>
  <si>
    <t>LCL/高次DMフィルタ等で受動ダンピングを採用する場合の実抵抗・取付部品重量。DMフィルタ内で一度だけ計上。</t>
  </si>
  <si>
    <t>T669</t>
  </si>
  <si>
    <t>0/1シナリオ変数。OFF/ON差分で評価し、離散Enableの局所弾性は0。</t>
  </si>
  <si>
    <t>T670</t>
  </si>
  <si>
    <t>抵抗本体・端子・取付を含む一次重量仮定。実機では採用品データシート/熱設計値へ置換。</t>
  </si>
  <si>
    <t>T671</t>
  </si>
  <si>
    <t>受動ダンピング損失</t>
  </si>
  <si>
    <t>P_damping=Enable_passive_damping×P_damping_ref</t>
  </si>
  <si>
    <t>受動ダンピング抵抗の実損失。重量KPIへは必要冷却能力を介してのみ寄与し、抵抗重量との二重計上はしない。</t>
  </si>
  <si>
    <t>T672</t>
  </si>
  <si>
    <t>受動ダンピング有効（損失枝）</t>
  </si>
  <si>
    <t>単一親ツリーで同一シナリオ変数を損失枝へ局所複製。物理部品の重複ではない。</t>
  </si>
  <si>
    <t>T673</t>
  </si>
  <si>
    <t>詳細LCL設計前の一次仮定。実機では抵抗値とRMS電流からI²Rで置換。</t>
  </si>
  <si>
    <t>T676</t>
  </si>
  <si>
    <t>DC電流（損失枝）</t>
  </si>
  <si>
    <t>通常導体I²R損失の局所I_dc。同じ物理変数の感度経路複製であり、部品重量を重複計上しない。</t>
  </si>
  <si>
    <t>T677</t>
  </si>
  <si>
    <t>DC電流（リプル枝）</t>
  </si>
  <si>
    <t>I_dc_ripple計算用の局所I_dc。同じ物理変数の感度経路複製であり、部品重量を重複計上しない。</t>
  </si>
  <si>
    <t>パワエレ・モータドライブ 感度解析ダッシュボード v3.2</t>
  </si>
  <si>
    <t>集計元：02_ツリー A5:R679。主要感度集計を数式で自動更新。</t>
  </si>
  <si>
    <t>正感度合計 S+</t>
  </si>
  <si>
    <t>負感度合計 S-</t>
  </si>
  <si>
    <t>ネット感度 S_net</t>
  </si>
  <si>
    <t>最終変数判定</t>
  </si>
  <si>
    <t>トレードオフ有無</t>
  </si>
  <si>
    <t>Enable系</t>
  </si>
  <si>
    <t>システム要求・自動推奨設計値</t>
  </si>
  <si>
    <t>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t>
  </si>
  <si>
    <t>区分</t>
  </si>
  <si>
    <t>システム要求 / 設計ルール</t>
  </si>
  <si>
    <t>自動/手動</t>
  </si>
  <si>
    <t>使用先</t>
  </si>
  <si>
    <t>備考・計算詳細</t>
  </si>
  <si>
    <t>推奨ID</t>
  </si>
  <si>
    <t>推奨設計値</t>
  </si>
  <si>
    <t>推奨値</t>
  </si>
  <si>
    <t>適用方針</t>
  </si>
  <si>
    <t>計算式/設計ルール</t>
  </si>
  <si>
    <t>注意</t>
  </si>
  <si>
    <t>電力</t>
  </si>
  <si>
    <t>SYS_Pout</t>
  </si>
  <si>
    <t>要求</t>
  </si>
  <si>
    <t>上位アプリケーションで固定</t>
  </si>
  <si>
    <t>R001</t>
  </si>
  <si>
    <t>モータ電気周波数</t>
  </si>
  <si>
    <t>f_e</t>
  </si>
  <si>
    <t>n_max×pole_pairs/60</t>
  </si>
  <si>
    <t>システム要求から一意</t>
  </si>
  <si>
    <t>モータ</t>
  </si>
  <si>
    <t>最高機械回転数</t>
  </si>
  <si>
    <t>SYS_nmax</t>
  </si>
  <si>
    <t>rpm</t>
  </si>
  <si>
    <t>f_e,f_sw</t>
  </si>
  <si>
    <t>最高運転点</t>
  </si>
  <si>
    <t>R002</t>
  </si>
  <si>
    <t>初期スイッチング周波数</t>
  </si>
  <si>
    <t>自動適用候補</t>
  </si>
  <si>
    <t>MAX(f_e×PWM回数, 可聴域下限, リップル要求由来fsw, 制御帯域由来fsw)</t>
  </si>
  <si>
    <t>回転数だけでなく電流リップル要求・電流制御帯域も反映</t>
  </si>
  <si>
    <t>極対数</t>
  </si>
  <si>
    <t>SYS_pole_pairs</t>
  </si>
  <si>
    <t>電気周波数=f_mech×極対数</t>
  </si>
  <si>
    <t>R003</t>
  </si>
  <si>
    <t>I_phase_req</t>
  </si>
  <si>
    <t>Pout/(sqrt(3)×Vll×PF×eta)</t>
  </si>
  <si>
    <t>Pout固定要求</t>
  </si>
  <si>
    <t>最大線間電圧RMS</t>
  </si>
  <si>
    <t>SYS_Vll</t>
  </si>
  <si>
    <t>要求/協調設計</t>
  </si>
  <si>
    <t>V_ll,I_phase</t>
  </si>
  <si>
    <t>モータ巻線・逆起電圧設計と協調</t>
  </si>
  <si>
    <t>R004</t>
  </si>
  <si>
    <t>DC入力電流</t>
  </si>
  <si>
    <t>I_dc_req</t>
  </si>
  <si>
    <t>Pout/(Vdc×eta)</t>
  </si>
  <si>
    <t>電源</t>
  </si>
  <si>
    <t>SYS_Vdc</t>
  </si>
  <si>
    <t>V_dc,耐圧</t>
  </si>
  <si>
    <t>バッテリ/電源システムから決定</t>
  </si>
  <si>
    <t>R005</t>
  </si>
  <si>
    <t>半導体必要耐圧</t>
  </si>
  <si>
    <t>V_block_req_rec</t>
  </si>
  <si>
    <t>CSI=1: Vdc+surge、3L-NPC/ANPC: Vdc/2+surge、2L-VSI: Vdc+surge</t>
  </si>
  <si>
    <t>モデル上の1素子当たり必要阻止電圧</t>
  </si>
  <si>
    <t>性能</t>
  </si>
  <si>
    <t>SYS_PF</t>
  </si>
  <si>
    <t>PF,I_phase</t>
  </si>
  <si>
    <t>モータ制御条件</t>
  </si>
  <si>
    <t>R006</t>
  </si>
  <si>
    <t>半導体標準耐圧クラス</t>
  </si>
  <si>
    <t>V_device_class_rec</t>
  </si>
  <si>
    <t>V_block_req_recを650/1200/1700/3300Vへ切上げ</t>
  </si>
  <si>
    <t>部品選定用推奨値。物理耐圧計算とは分離</t>
  </si>
  <si>
    <t>SYS_eta</t>
  </si>
  <si>
    <t>eta,I_phase</t>
  </si>
  <si>
    <t>初期見積用</t>
  </si>
  <si>
    <t>R007</t>
  </si>
  <si>
    <t>チップ面積初期推奨</t>
  </si>
  <si>
    <t>A_chip_rec</t>
  </si>
  <si>
    <t>mm2</t>
  </si>
  <si>
    <t>現行A_chip×I_phase/I_phase_baseline×(Vclass/1200)^0.6</t>
  </si>
  <si>
    <t>現製品基準のスケーリング。最適化変数なので自動固定しない</t>
  </si>
  <si>
    <t>最低PWM回数/電気周期</t>
  </si>
  <si>
    <t>SYS_pwm_ratio</t>
  </si>
  <si>
    <t>設計ルール</t>
  </si>
  <si>
    <t>初期値。電流リップル/制御帯域/損失で再調整</t>
  </si>
  <si>
    <t>R008</t>
  </si>
  <si>
    <t>並列数初期推奨</t>
  </si>
  <si>
    <t>N_parallel_rec</t>
  </si>
  <si>
    <t>MAX(1,CEILING(overload×I_phase/(J_chip×k_active×A_chip)))</t>
  </si>
  <si>
    <t>離散値。感度解析対象なので自動固定しない</t>
  </si>
  <si>
    <t>可聴域回避を優先</t>
  </si>
  <si>
    <t>SYS_audible_avoid</t>
  </si>
  <si>
    <t>1の場合は20kHzを初期下限とする簡易ルール</t>
  </si>
  <si>
    <t>R009</t>
  </si>
  <si>
    <t>デッドタイム初期推奨</t>
  </si>
  <si>
    <t>t_dead_rec</t>
  </si>
  <si>
    <t>1.5×MAX(t_on,t_off)</t>
  </si>
  <si>
    <t>デバイス/ゲート条件で再調整</t>
  </si>
  <si>
    <t>熱</t>
  </si>
  <si>
    <t>最大周囲温度</t>
  </si>
  <si>
    <t>SYS_Tamb</t>
  </si>
  <si>
    <t>T_amb,冷却</t>
  </si>
  <si>
    <t>設置環境</t>
  </si>
  <si>
    <t>R010</t>
  </si>
  <si>
    <t>N_gate_rec</t>
  </si>
  <si>
    <t>自動適用</t>
  </si>
  <si>
    <t>CSI=6、2L=6、3L-NPC=12、3L-ANPC=18</t>
  </si>
  <si>
    <t>制御スイッチ数と一致。ダイオードにはゲートドライバを付けない。</t>
  </si>
  <si>
    <t>冷媒入口温度</t>
  </si>
  <si>
    <t>SYS_Tcool</t>
  </si>
  <si>
    <t>液冷/空冷境界条件</t>
  </si>
  <si>
    <t>R011</t>
  </si>
  <si>
    <t>要求DCリンク容量</t>
  </si>
  <si>
    <t>C_req_rec</t>
  </si>
  <si>
    <t>現行C_req式を参照</t>
  </si>
  <si>
    <t>容量/リップル/寿命の最大要求で最終決定</t>
  </si>
  <si>
    <t>SYS_Tj</t>
  </si>
  <si>
    <t>設計要求</t>
  </si>
  <si>
    <t>信頼性と冷却重量のトレードオフ</t>
  </si>
  <si>
    <t>R012</t>
  </si>
  <si>
    <t>バスバー必要断面積</t>
  </si>
  <si>
    <t>A_bus_rec</t>
  </si>
  <si>
    <t>Idc/J_bus</t>
  </si>
  <si>
    <t>熱条件で再計算</t>
  </si>
  <si>
    <t>信頼性</t>
  </si>
  <si>
    <t>SYS_life</t>
  </si>
  <si>
    <t>コンデンサ寿命等へ展開</t>
  </si>
  <si>
    <t>R013</t>
  </si>
  <si>
    <t>オン抵抗初期推奨</t>
  </si>
  <si>
    <t>R_on_target_rec</t>
  </si>
  <si>
    <t>現行モデルRon×(現A_chip/A_chip_rec)×(標準耐圧/必要耐圧)^2.2</t>
  </si>
  <si>
    <t>現製品基準の簡易スケーリング。A_chip/Ronは探索変数なので自動固定しない</t>
  </si>
  <si>
    <t>配線</t>
  </si>
  <si>
    <t>SYS_cable_len</t>
  </si>
  <si>
    <t>dv/dt,CM</t>
  </si>
  <si>
    <t>長いほど反射・CM対策重要</t>
  </si>
  <si>
    <t>R014</t>
  </si>
  <si>
    <t>リップル要求由来fsw</t>
  </si>
  <si>
    <t>k_ripple_voltage×Vdc/(Lmotor×ripple_i×Ipk)</t>
  </si>
  <si>
    <t>簡易電流リップル上限制約</t>
  </si>
  <si>
    <t>SYS_ripple_i</t>
  </si>
  <si>
    <t>f_sw/フィルタ</t>
  </si>
  <si>
    <t>モータLと合わせてfsw妥当性評価</t>
  </si>
  <si>
    <t>R015</t>
  </si>
  <si>
    <t>制御帯域由来fsw</t>
  </si>
  <si>
    <t>相インダクタンス</t>
  </si>
  <si>
    <t>SYS_Lmotor</t>
  </si>
  <si>
    <t>要求/既知値</t>
  </si>
  <si>
    <t>f_sw/電流リップル</t>
  </si>
  <si>
    <t>モータ設計値</t>
  </si>
  <si>
    <t>R016</t>
  </si>
  <si>
    <t>N_power_device_total_rec</t>
  </si>
  <si>
    <t>CSI=12、2L=6、3L-NPC=18、3L-ANPC=18</t>
  </si>
  <si>
    <t>CSI=6SW+6逆阻止diode。NPC=12SW+6 clamp diode。ANPC=18SW。</t>
  </si>
  <si>
    <t>回路</t>
  </si>
  <si>
    <t>主回路トポロジー</t>
  </si>
  <si>
    <t>SYS_topology</t>
  </si>
  <si>
    <t>2L-VSI</t>
  </si>
  <si>
    <t>設計選択</t>
  </si>
  <si>
    <t>VSI素子数/耐圧</t>
  </si>
  <si>
    <t>VSI方式のみ選択。2L-VSI / 3L-NPC / 3L-ANPC。CSIは10_シナリオ入力のEnable_CSIで別系統として選択。</t>
  </si>
  <si>
    <t>R017</t>
  </si>
  <si>
    <t>N_diode_extra_rec</t>
  </si>
  <si>
    <t>CSI=6、NPC=6、2L/ANPC=0</t>
  </si>
  <si>
    <t>CSI逆阻止/NPCクランプ用追加ダイオード。</t>
  </si>
  <si>
    <t>短時間過負荷倍率</t>
  </si>
  <si>
    <t>SYS_overload</t>
  </si>
  <si>
    <t>pu</t>
  </si>
  <si>
    <t>半導体電流余裕</t>
  </si>
  <si>
    <t>短絡保護/並列数の初期推奨</t>
  </si>
  <si>
    <t>要求最大dv/dt</t>
  </si>
  <si>
    <t>SYS_dvdt_max</t>
  </si>
  <si>
    <t>kV/us</t>
  </si>
  <si>
    <t>gate/filter</t>
  </si>
  <si>
    <t>モータ絶縁・ケーブル条件から設定</t>
  </si>
  <si>
    <t>安全</t>
  </si>
  <si>
    <t>SYS_discharge_time</t>
  </si>
  <si>
    <t>放電回路</t>
  </si>
  <si>
    <t>Vdcから安全電圧までの要求時間</t>
  </si>
  <si>
    <t>SYS_safe_voltage</t>
  </si>
  <si>
    <t>サービス/安全要求の簡易設定</t>
  </si>
  <si>
    <t>SYS_BW_current</t>
  </si>
  <si>
    <t>fswは制御帯域の十分上に設定</t>
  </si>
  <si>
    <t>09_基準仕様：材料・技術世代・製品基準値</t>
  </si>
  <si>
    <t>同じ材料・同じ技術世代でシナリオ比較する限り固定する値です。毎回の比較では編集しません。材料や技術世代を変える場合だけ変更してください。</t>
  </si>
  <si>
    <t>No.</t>
  </si>
  <si>
    <t>基準値</t>
  </si>
  <si>
    <t>旧入力区分</t>
  </si>
  <si>
    <t>パワーデバイス個数（旧基準値）</t>
  </si>
  <si>
    <t>N_power_device</t>
  </si>
  <si>
    <t>旧基準値</t>
  </si>
  <si>
    <t>実使用値はSYS_topologyおよびEnable_CSIから自動算出。</t>
  </si>
  <si>
    <t>2L-VSI/CSIでは V_block_req=K_vblk×Vdc+surge。3L-NPC/ANPCでは1素子当たり Vdc/2+surge とし、K_vblkは3L枝には適用しない。surgeは直流印加電圧が半分でも発生するため加算する。</t>
  </si>
  <si>
    <t>Wolfspeed C4MS065120J2のCo(er)=68 pF (0→800 V)を基準化。J_chip=1.15 A/mm²、15.1 Aから推定面積13.13 mm²、よって5.18 pF/mm²。面積比例は一次近似。 Source: https://assets.wolfspeed.com/uploads/2025/11/Wolfspeed_C4MS065120J2_data_sheet.pdf ; https://www.infineon.com/assets/row/public/documents/24/42/infineon-coolsic-mosfet-650v-g2-applicationnotes-ja.pdf</t>
  </si>
  <si>
    <t>銅(Cu)密度8960 kg/m³を採用。</t>
  </si>
  <si>
    <t>E=0.5LI²、リアクトル比重量0.05 kg/J（20 J/kg）を暫定採用。現行式換算k_mL=25000。一般定数ではなく要実機校正。</t>
  </si>
  <si>
    <t>M=(0.5CV²)/e_cap、e_cap=200 J/kgより現行式換算k_mC=2500 kg/(F·kV²)。 Source: https://content.kemet.com/datasheets/KEM_F3049_C44U_RADIAL.pdf</t>
  </si>
  <si>
    <t>共振Lも0.05 kg/Jの蓄積エネルギー基準を暫定採用。k_mLr=25000。</t>
  </si>
  <si>
    <t>共振Cもfilm capacitor 200 J/kg基準。k_mCr=2500。 Source: https://content.kemet.com/datasheets/KEM_F3049_C44U_RADIAL.pdf</t>
  </si>
  <si>
    <t>AlN（窒化アルミニウム）を採用。密度3.26 g/cm³代表値。Al2O3等価値ではない。 Source: https://www.coorstek.com/media/6862/aluminum-nitride-aln-brochure-rev-d.pdf</t>
  </si>
  <si>
    <t>正規化機械荷重係数。実圧力ではない。初期板厚を再現するための経験係数。</t>
  </si>
  <si>
    <t>正規化許容応力係数。実材料のPa/MPa値ではない。初期ベース板厚を再現するための経験係数。</t>
  </si>
  <si>
    <t>正規化材料強度係数。実材料の降伏応力ではない。初期筐体板厚を再現するための経験係数。</t>
  </si>
  <si>
    <t>基準断面積A_ref=I_dc/J_bus_refとt_bus_condから長方形導体S/V=2(1/t+t/A_ref)を自動算出。一般的な幾何式。</t>
  </si>
  <si>
    <t>前段DCDC</t>
  </si>
  <si>
    <t>固定1 mHではなく、一次近似L_ref=Vdc/(4·fsw·ΔI)、ΔI=r_Idc_ripple·I_dcで自動計算。Vdc/4を平均的な有効インダクタ印加電圧とみなすトポロジー中立の暫定式。最終設計ではDCDC/CSI各トポロジーのデューティ・転流状態から再計算。</t>
  </si>
  <si>
    <t>磁気エネルギーE=0.5LI²に対する比重量0.05 kg/J（=20 J/kgの比蓄積エネルギー）を暫定採用。一般定数ではなく実リアクトル設計/カタログで要校正。</t>
  </si>
  <si>
    <t>77 K級クライオクーラ基準。Sunpower CryoTel DS30: nominal heat load 32 W @77 K、質量6.4 kg。現行HTS AC損失基準20 Wに対し余裕を持つ基準機。最終的には総冷却負荷で選定。 Source: https://www.sunpowerinc.com/products/stirling-cryocoolers/cryotel-cryocoolers</t>
  </si>
  <si>
    <t>Sunpower CryoTel DS30のnominal cooler input power 480 Wを採用。最終的には必要冷却能力Qcoldで選定。 Source: https://www.sunpowerinc.com/products/stirling-cryocoolers/cryotel-cryocoolers</t>
  </si>
  <si>
    <t>HTS電流リード重量0.5 kgは暫定設計余裕。一般値ではない。電流・温度段・熱侵入設計から再計算が必要。</t>
  </si>
  <si>
    <t>クエンチ保護重量0.5 kgは暫定設計余裕。一般値ではない。検出回路・ダンプ抵抗・保護スイッチ構成から再計算が必要。</t>
  </si>
  <si>
    <t>HTSリプルAC損失20 Wは診断用暫定値。一般値ではない。REBCO線材、磁界角度、電流リプルからAC損失モデルで算出すべき。</t>
  </si>
  <si>
    <t>診断基準</t>
  </si>
  <si>
    <t>500 Wはインバータ重量KPI外の診断用暫定値。一般値ではない。モータL、PWM高調波、回転数、鉄損/銅損モデル整備までスクリーニング用。</t>
  </si>
  <si>
    <t>CSIによる高調波損失低減60%は研究スクリーニング用仮定。一般値ではない。対象モータ・PWM・出力フィルタ条件ごとの比較解析で更新。</t>
  </si>
  <si>
    <t>CSI時にモータ/ケーブル側から見た実効dv/dtをVSI基準の20%とする暫定係数。t_on/t_offは変更しないためP_swへ直接影響しない。</t>
  </si>
  <si>
    <t>CM変位電流指標 C_cable×dv/dt の許容値。一般値ではなく対象システムのEMI要求から設定する暫定基準。</t>
  </si>
  <si>
    <t>パッシブCM重量をCMチョーク/L側60%、Y-cap/C側40%へ分ける暫定構成比。総重量は不変。</t>
  </si>
  <si>
    <t>ダイオード順方向電圧（簡易）</t>
  </si>
  <si>
    <t>双方向GaN</t>
  </si>
  <si>
    <t>研究仮定</t>
  </si>
  <si>
    <t>同一チップ面積でCSC導通損失が概ね半減との2025 COBEP報告を一次スクリーニング値として採用。https://ieeexplore.ieee.org/document/11369941/</t>
  </si>
  <si>
    <t>基板バイアスでdynamic Ronが変動し得るため独立校正。初期値1.0。https://ieeexplore.ieee.org/document/10977559/</t>
  </si>
  <si>
    <t>0なら総合比率モデルを使用。実測取得後に入力</t>
  </si>
  <si>
    <t>構造値</t>
  </si>
  <si>
    <t>N_gate/m_gate/P_gate</t>
  </si>
  <si>
    <t>dual-gate BDSを想定。Monolithic Bidirectional Lateral GaN Switches, IEEE PEM 2025</t>
  </si>
  <si>
    <t>基板管理回路の重量ペナルティ。実装後校正</t>
  </si>
  <si>
    <t>基板管理回路の損失ペナルティ。実装後校正</t>
  </si>
  <si>
    <t>1200-V dual-gate bidirectional GaN switch実証。https://ieeexplore.ieee.org/document/11215683/</t>
  </si>
  <si>
    <t>GaN低SW損失による高周波化余地を探索する係数。自動でf_swは変更せず研究変数として使用。</t>
  </si>
  <si>
    <t>P_HTS_ac_ref=20 Wの正規化点。100 kW/(800 V×0.97)×5%=6.443 Aから導出した固定基準値。一般定数ではなく、P_HTS_ac_ref更新時は同じ試験/設計点に合わせて更新する。</t>
  </si>
  <si>
    <t>10_シナリオ入力：毎回の設計選択を27項目に集約</t>
  </si>
  <si>
    <t>システム要求とは別に、シナリオごとに設計者が明示的に選択する項目だけを集約しています。01_入力仕様はこの値を自動参照します。</t>
  </si>
  <si>
    <t>シナリオ値</t>
  </si>
  <si>
    <t>0=無効、1=有効。Enable_snubberは物理定数ではなくシナリオ選択値。OFF/ON差分で効果を評価する。</t>
  </si>
  <si>
    <t>0=無効、1=有効。Enable_DPWMは物理定数ではなくシナリオ選択値。OFF/ON差分で効果を評価する。</t>
  </si>
  <si>
    <t>0=無効、1=有効。Enable_CM_PWMは物理定数ではなくシナリオ選択値。OFF/ON差分で効果を評価する。</t>
  </si>
  <si>
    <t>0=無効、1=有効。Enable_hf_decoupleは物理定数ではなくシナリオ選択値。OFF/ON差分で効果を評価する。</t>
  </si>
  <si>
    <t>0=無効、1=有効。Enable_dvdt_filterは物理定数ではなくシナリオ選択値。OFF/ON差分で効果を評価する。</t>
  </si>
  <si>
    <t>0=無効,1=パッシブLC/Y-cap有効</t>
  </si>
  <si>
    <t>0=無効、1=有効。Enable_shieldは物理定数ではなくシナリオ選択値。OFF/ON差分で効果を評価する。</t>
  </si>
  <si>
    <t>0=無効、1=有効。Enable_active_clampは物理定数ではなくシナリオ選択値。OFF/ON差分で効果を評価する。</t>
  </si>
  <si>
    <t>0=無効、1=有効。Enable_hi_insは物理定数ではなくシナリオ選択値。OFF/ON差分で効果を評価する。</t>
  </si>
  <si>
    <t>0=無効、1=有効。Enable_pottingは物理定数ではなくシナリオ選択値。OFF/ON差分で効果を評価する。</t>
  </si>
  <si>
    <t>0=無効、1=有効。Enable_prechargeは物理定数ではなくシナリオ選択値。OFF/ON差分で効果を評価する。</t>
  </si>
  <si>
    <t>0=無効、1=有効。Enable_Al_busは物理定数ではなくシナリオ選択値。OFF/ON差分で効果を評価する。</t>
  </si>
  <si>
    <t>N_laminateのシナリオ設定値。物理定数ではなく設計選択で、比較条件として明示的に設定する。</t>
  </si>
  <si>
    <t>0=受動ブリーダ,1=アクティブ放電</t>
  </si>
  <si>
    <t>0=標準,1=上面/両面等の高度冷却</t>
  </si>
  <si>
    <t>0=VSI,1=CSI。CSI=1時はVSIトポロジー選択を素子数/耐圧計算では上書き。</t>
  </si>
  <si>
    <t>VSI/CSI共通。1=独立DCDC半導体段を追加。CSI=1かつ0ではCSI主半導体がDC/DC能動スイッチ機能を兼用し、Ldcは有効。</t>
  </si>
  <si>
    <t>M_L_dc/P_L_dc/cryogenic</t>
  </si>
  <si>
    <t>L_dcをHTS化</t>
  </si>
  <si>
    <t>L要求とDCリプルを低減</t>
  </si>
  <si>
    <t>0=無効,1=アクティブCMキャンセル有効。パッシブと同時1でHybrid</t>
  </si>
  <si>
    <t>CSI device count/P_cond/P_sw</t>
  </si>
  <si>
    <t>CSI=1時のみ有効。逆阻止ダイオードをモノリシックBDSへ統合</t>
  </si>
  <si>
    <t>双方向GaN基板管理回路有効</t>
  </si>
  <si>
    <t>dynamic Ron/基板バイアス対策回路の追加重量・損失を評価</t>
  </si>
  <si>
    <t>11_入力分類一覧：全入力の参照元と編集頻度</t>
  </si>
  <si>
    <t>項目数</t>
  </si>
  <si>
    <t>編集頻度</t>
  </si>
  <si>
    <t>役割</t>
  </si>
  <si>
    <t>シナリオごと</t>
  </si>
  <si>
    <t>上位要求</t>
  </si>
  <si>
    <t>20項目の技術選択</t>
  </si>
  <si>
    <t>原則固定</t>
  </si>
  <si>
    <t>材料・技術基準</t>
  </si>
  <si>
    <t>元行</t>
  </si>
  <si>
    <t>仕様</t>
  </si>
  <si>
    <t>新分類</t>
  </si>
  <si>
    <t>パワーモジュール個数</t>
  </si>
  <si>
    <t>N_mod</t>
  </si>
  <si>
    <t>サージ/マージン簡略化</t>
  </si>
  <si>
    <t>SiC簡易値</t>
  </si>
  <si>
    <t>有効時25%残存の簡易例</t>
  </si>
  <si>
    <t>有効時10%改善の簡易値</t>
  </si>
  <si>
    <t>簡易値</t>
  </si>
  <si>
    <t>DPWM時のDM要求増加を簡略表現</t>
  </si>
  <si>
    <t>CMフィルタ低減率</t>
  </si>
  <si>
    <t>追加CMフィルタ有効</t>
  </si>
  <si>
    <t>CSI時の実効dv/dt低減</t>
  </si>
  <si>
    <t>対象システム要求に応じて校正</t>
  </si>
  <si>
    <t>暫定スケーリング</t>
  </si>
  <si>
    <t>パッシブ同時1でHybrid</t>
  </si>
  <si>
    <t>L/C分割用暫定比</t>
  </si>
  <si>
    <t>CSI時のみ有効</t>
  </si>
  <si>
    <t>追加重量・損失</t>
  </si>
  <si>
    <t>substrate bias校正</t>
  </si>
  <si>
    <t>P_condへ接続</t>
  </si>
  <si>
    <t>実測未入力時</t>
  </si>
  <si>
    <t>実測sum優先</t>
  </si>
  <si>
    <t>compliance診断</t>
  </si>
  <si>
    <t>自動でfsw変更なし</t>
  </si>
  <si>
    <t>研究ID</t>
  </si>
  <si>
    <t>研究要素（パワエレ技術者向け説明名）</t>
  </si>
  <si>
    <t>研究目的</t>
  </si>
  <si>
    <t>影響変数数</t>
  </si>
  <si>
    <t>重量低減ポテンシャル [kg-eq]</t>
  </si>
  <si>
    <t>出口戦略指数 [0-100]</t>
  </si>
  <si>
    <t>重量低減ポテンシャル順位</t>
  </si>
  <si>
    <t>参照状態／注意</t>
  </si>
  <si>
    <t>参照済変数数</t>
  </si>
  <si>
    <t>モデル接続率</t>
  </si>
  <si>
    <t>モデル化状態</t>
  </si>
  <si>
    <t>研究カテゴリ</t>
  </si>
  <si>
    <t>主適用領域</t>
  </si>
  <si>
    <t>代表文献ID</t>
  </si>
  <si>
    <t>高耐圧・低オン抵抗・低出力容量を両立する次世代パワー半導体</t>
  </si>
  <si>
    <t>高Vdc化で増える耐圧・導通損失・スイッチング損失の重量ペナルティを抑える</t>
  </si>
  <si>
    <t>数値は15_研究変数マップを参照。kg-eqは局所感度ベースのスクリーニング値であり、実Δkgではない。</t>
  </si>
  <si>
    <t>既存研究要素</t>
  </si>
  <si>
    <t>既存版で定義</t>
  </si>
  <si>
    <t>低寄生インダクタンスのパワーループ・積層配線一体実装</t>
  </si>
  <si>
    <t>寄生L低減でオーバーシュート・耐圧マージン・スナバ/EMI対策重量を同時低減</t>
  </si>
  <si>
    <t>スイッチング損失とdv/dt・EMIを両立するアクティブゲート制御</t>
  </si>
  <si>
    <t>ゲート波形を動的最適化し、スイッチング損失低減とEMI/過電圧抑制を両立</t>
  </si>
  <si>
    <t>追加回路重量を抑えたソフトスイッチング・部分共振転流</t>
  </si>
  <si>
    <t>高f_sw・高Vdcで増えるスイッチング損失を抑え、冷却器軽量化余地を拡大</t>
  </si>
  <si>
    <t>高エネルギー密度・高リプル電流耐量DCリンクコンデンサ</t>
  </si>
  <si>
    <t>容量・耐圧・リプル電流要求に対するDCリンクコンデンサ重量を低減</t>
  </si>
  <si>
    <t>低熱抵抗・低圧損・軽量を両立する高性能冷却構造</t>
  </si>
  <si>
    <t>冷却性能向上時のポンプ/流路/構造重量増を抑え、高温化・高密度化を可能にする</t>
  </si>
  <si>
    <t>高熱伝導・高絶縁・高強度を両立する薄型絶縁基板・接合材</t>
  </si>
  <si>
    <t>DBC/AMB/セラミック薄肉化と熱抵抗・絶縁信頼性・機械強度を両立</t>
  </si>
  <si>
    <t>高周波・高電圧対応の低損失磁性材と平面磁気部品</t>
  </si>
  <si>
    <t>高f_swによる受動部品小型化を活かし、鉄損・銅損・絶縁・EMI増加を抑える</t>
  </si>
  <si>
    <t>低抵抗・低寄生L・軽量を両立するバスバー／導体構造</t>
  </si>
  <si>
    <t>大電流導体重量、交流抵抗、寄生L、絶縁距離のトレードオフを緩和</t>
  </si>
  <si>
    <t>軽量・高耐電圧・高熱伝導の絶縁材料／ポッティング構造</t>
  </si>
  <si>
    <t>高Vdcで増える沿面/空間距離と絶縁材料重量を抑え、同時に放熱性能を高める</t>
  </si>
  <si>
    <t>EMI発生源抑制とCM/DMフィルタ統合によるEMI対策軽量化</t>
  </si>
  <si>
    <t>Vdc・f_sw・dv/dt上昇時のEMI対策重量を源流抑制と受動部品統合で低減</t>
  </si>
  <si>
    <t>コモンモード電圧・高調波を抑えるPWM／変調最適化</t>
  </si>
  <si>
    <t>変調最適化でEMI・モータストレスを下げ、受動対策部品を軽量化</t>
  </si>
  <si>
    <t>DCリンク安全機能統合（プリチャージ＋アクティブ放電の共通半導体・制御回路化）</t>
  </si>
  <si>
    <t>投入時の突入電流抑制と停止時の高速放電を共通スイッチ・検出・制御で実現し、抵抗・リレー・補助回路の重複を削減</t>
  </si>
  <si>
    <t>低損失・広帯域・軽量の電流センシング技術</t>
  </si>
  <si>
    <t>シャント損失とセンサ重量・絶縁・帯域・S/Nのトレードオフを緩和</t>
  </si>
  <si>
    <t>DESAT・アクティブクランプ・Miller対策を統合した保護機能内蔵ゲートドライバ</t>
  </si>
  <si>
    <t>保護回路の個別追加重量を抑え、高速スイッチングと耐圧マージン低減を可能にする</t>
  </si>
  <si>
    <t>インバータ・ケーブル・モータ協調によるdv/dt・反射過電圧・EMI抑制</t>
  </si>
  <si>
    <t>外付けフィルタだけに頼らず、システム一体設計で高Vdc/高速スイッチングを成立させる</t>
  </si>
  <si>
    <t>大電力・高電圧モータドライブ向けWBG電流型インバータ（CSI）</t>
  </si>
  <si>
    <t>VSIの大きなdv/dt・CMV・電流リプルをCSIの準正弦波出力で抑え、モータ損失と出力EMI対策を低減する</t>
  </si>
  <si>
    <t>回路トポロジー</t>
  </si>
  <si>
    <t>MW級・中高圧、長ケーブル、高速低Lモータ</t>
  </si>
  <si>
    <t>S01,S02</t>
  </si>
  <si>
    <t>R018</t>
  </si>
  <si>
    <t>CSI直流リンクインダクタの高温超電導（HTS）化</t>
  </si>
  <si>
    <t>CSI最大の重量要因である直流リンクLを高電流密度HTSコイル化し、CSIのEMI/モータ損失低減メリットを残したまま直流リアクトル重量を削減する</t>
  </si>
  <si>
    <t>超電導＋CSI</t>
  </si>
  <si>
    <t>MW級・高電圧、連続高電流</t>
  </si>
  <si>
    <t>S03,S04,S05</t>
  </si>
  <si>
    <t>R019</t>
  </si>
  <si>
    <t>フロントエンドDCDCを不要化する単段CSI・直流電流直接制御</t>
  </si>
  <si>
    <t>CSIで一般的な直流電流形成用前段コンバータを制御・回路統合で削減し、部品数・損失・重量を低減する</t>
  </si>
  <si>
    <t>CSI回路</t>
  </si>
  <si>
    <t>DC電源直結モータドライブ</t>
  </si>
  <si>
    <t>S06</t>
  </si>
  <si>
    <t>R020</t>
  </si>
  <si>
    <t>アクティブパワーデカップリング／スイッチングセルCSIによる直流リンクL小型化</t>
  </si>
  <si>
    <t>低周波リプル電力を能動的に分離し、CSI直流リンクインダクタ必要値を小さくする</t>
  </si>
  <si>
    <t>CSI全般、特に電力密度重視</t>
  </si>
  <si>
    <t>S07</t>
  </si>
  <si>
    <t>R021</t>
  </si>
  <si>
    <t>5レベル・多レベルCSIによる低dv/dt・低THD化と直流L小型化</t>
  </si>
  <si>
    <t>CSIを多レベル化し、電流・電圧品質向上とフィルタ軽量化を狙う</t>
  </si>
  <si>
    <t>中高圧・大電力CSI</t>
  </si>
  <si>
    <t>S08,S09</t>
  </si>
  <si>
    <t>R022</t>
  </si>
  <si>
    <t>5レベルANPC/NPC/FC系インバータによる出力dv/dt・EMI低減</t>
  </si>
  <si>
    <t>2レベルVSIを5レベル化して電圧ステップを小さくし、出力フィルタ・絶縁ストレス・CMVを低減する</t>
  </si>
  <si>
    <t>多レベルVSI</t>
  </si>
  <si>
    <t>中高圧・大電力VSI</t>
  </si>
  <si>
    <t>S10,S11</t>
  </si>
  <si>
    <t>R023</t>
  </si>
  <si>
    <t>3レベルANPC/T-type＋SiC/GaNハイブリッドスイッチング</t>
  </si>
  <si>
    <t>デバイス耐圧分担と損失分散を利用し、効率・熱設計・dv/dtを同時改善する</t>
  </si>
  <si>
    <t>800V超～中電圧、高電力密度</t>
  </si>
  <si>
    <t>S12,S13</t>
  </si>
  <si>
    <t>R024</t>
  </si>
  <si>
    <t>中高圧モータドライブ向けMMC（Modular Multilevel Converter）</t>
  </si>
  <si>
    <t>多数レベルで低dv/dt・低THDを得ながら高電圧へスケーラブルにし、出力EMI・絶縁ストレスを低減する</t>
  </si>
  <si>
    <t>MMC</t>
  </si>
  <si>
    <t>中高圧・MW級ドライブ</t>
  </si>
  <si>
    <t>S14,S15</t>
  </si>
  <si>
    <t>R025</t>
  </si>
  <si>
    <t>低容量サブモジュールMMC／リプル電力相殺によるコンデンサ軽量化</t>
  </si>
  <si>
    <t>MMC低速運転で大きくなるサブモジュール容量を電力相殺・相互接続で削減する</t>
  </si>
  <si>
    <t>ワイドスピード中電圧ドライブ</t>
  </si>
  <si>
    <t>S16</t>
  </si>
  <si>
    <t>R026</t>
  </si>
  <si>
    <t>Open-End Winding＋デュアルインバータの多レベル駆動</t>
  </si>
  <si>
    <t>巻線両端を別インバータで駆動して実効多レベル化し、電圧利用率・THD・CMV・フィルタ要求を改善する</t>
  </si>
  <si>
    <t>モータ巻線＋トポロジー</t>
  </si>
  <si>
    <t>高速・高電圧・高信頼ドライブ</t>
  </si>
  <si>
    <t>S17,S18</t>
  </si>
  <si>
    <t>R027</t>
  </si>
  <si>
    <t>DCリンクコンデンサレス・マトリクスコンバータ（Matrix Converter）</t>
  </si>
  <si>
    <t>大容量DCリンクコンデンサを排除し、直接AC-AC変換で重量・寿命・電力密度を改善する</t>
  </si>
  <si>
    <t>AC-ACトポロジー</t>
  </si>
  <si>
    <t>AC給電産業ドライブ、航空・船舶</t>
  </si>
  <si>
    <t>S19</t>
  </si>
  <si>
    <t>R028</t>
  </si>
  <si>
    <t>Quasi-Z-source／単段Buck-BoostインバータによるDCDC機能統合</t>
  </si>
  <si>
    <t>昇降圧機能をインバータと単段化し、独立DCDC段の追加重量を回避する</t>
  </si>
  <si>
    <t>昇降圧トポロジー</t>
  </si>
  <si>
    <t>電池電圧変動が大きいドライブ</t>
  </si>
  <si>
    <t>S20</t>
  </si>
  <si>
    <t>R029</t>
  </si>
  <si>
    <t>正弦波出力Ćukインバータ＋磁気部品統合</t>
  </si>
  <si>
    <t>連続入力電流・低dv/dt・低CMV・ZVSを利用し、出力EMI対策と磁気部品を同時最適化する</t>
  </si>
  <si>
    <t>連続波形トポロジー</t>
  </si>
  <si>
    <t>航空、高周波モータ</t>
  </si>
  <si>
    <t>S21</t>
  </si>
  <si>
    <t>R030</t>
  </si>
  <si>
    <t>アクティブEMIフィルタ／アクティブCMキャンセラによる受動フィルタ小型化</t>
  </si>
  <si>
    <t>能動補償で低周波側EMIを打ち消し、CM/DMチョーク・コンデンサの必要量を削減する</t>
  </si>
  <si>
    <t>EMI能動化</t>
  </si>
  <si>
    <t>高電力密度WBGドライブ</t>
  </si>
  <si>
    <t>S22</t>
  </si>
  <si>
    <t>R031</t>
  </si>
  <si>
    <t>平面磁気・多機能巻線・モジュール内蔵によるCM/DMフィルタ統合</t>
  </si>
  <si>
    <t>フィルタ磁気部品と配線・パワーモジュールを統合し、受動部品体積と寄生を同時低減する</t>
  </si>
  <si>
    <t>受動部品統合</t>
  </si>
  <si>
    <t>航空・車載・IMD</t>
  </si>
  <si>
    <t>S22,S23</t>
  </si>
  <si>
    <t>R032</t>
  </si>
  <si>
    <t>インバータ・モータ一体化（Integrated Motor Drive）によるケーブル・筐体・EMI対策削減</t>
  </si>
  <si>
    <t>長いモータケーブルと独立筐体を削減し、反射過電圧・EMI・配線重量を低減する</t>
  </si>
  <si>
    <t>機電一体化</t>
  </si>
  <si>
    <t>航空、車載、アクチュエータ</t>
  </si>
  <si>
    <t>S24,S25</t>
  </si>
  <si>
    <t>R033</t>
  </si>
  <si>
    <t>ゼロ／低コモンモード電圧PWM・CMVキャンセル回路</t>
  </si>
  <si>
    <t>スイッチング状態を選択してCMVを源流で抑え、ベアリング電流・シールド・CMフィルタ依存を低減する</t>
  </si>
  <si>
    <t>変調＋トポロジー</t>
  </si>
  <si>
    <t>WBGモータドライブ全般</t>
  </si>
  <si>
    <t>S26,S27</t>
  </si>
  <si>
    <t>R034</t>
  </si>
  <si>
    <t>多相モータ＋多相インバータによる相電流低減・リプル分散・冗長化</t>
  </si>
  <si>
    <t>電力を多相に分散し、相当たり電流・トルクリプル・故障時ストレスを下げる</t>
  </si>
  <si>
    <t>多相化</t>
  </si>
  <si>
    <t>大電力・高信頼・航空</t>
  </si>
  <si>
    <t>S19,S28</t>
  </si>
  <si>
    <t>R035</t>
  </si>
  <si>
    <t>低スイッチ数5レベル／ハイブリッド多レベルトポロジー</t>
  </si>
  <si>
    <t>5レベルのdv/dt・THDメリットを維持しつつ、スイッチ・ゲートドライバ・フローティングC数を削減する</t>
  </si>
  <si>
    <t>中高圧、高電力密度</t>
  </si>
  <si>
    <t>S10,S29</t>
  </si>
  <si>
    <t>R036</t>
  </si>
  <si>
    <t>インターリーブ／多チャネル位相シフトによる電流リプル相殺</t>
  </si>
  <si>
    <t>複数セルの位相をずらして見かけのリプル周波数を上げ、DCリンク・出力フィルタを小型化する</t>
  </si>
  <si>
    <t>リプルキャンセル</t>
  </si>
  <si>
    <t>大電流・高周波ドライブ</t>
  </si>
  <si>
    <t>S30</t>
  </si>
  <si>
    <t>R037</t>
  </si>
  <si>
    <t>出力LC/CSI CL共振のアクティブダンピング・仮想インピーダンス制御</t>
  </si>
  <si>
    <t>受動ダンピング抵抗を減らし、フィルタ共振を制御で抑制して損失・重量を低減する</t>
  </si>
  <si>
    <t>CSI、LC/LCLフィルタ付きVSI</t>
  </si>
  <si>
    <t>S02,S31</t>
  </si>
  <si>
    <t>R038</t>
  </si>
  <si>
    <t>CSI／マトリクスコンバータ向けモノリシック双方向GaNスイッチ</t>
  </si>
  <si>
    <t>逆阻止ダイオードやback-to-back素子をmonolithic dual-gate GaN BDSへ統合し、CSI/MCの導通損失・スイッチング損失・部品数を削減し、高周波化による受動部品軽量化余地を拡大する</t>
  </si>
  <si>
    <t>WBGデバイス</t>
  </si>
  <si>
    <t>CSI、Matrix Converter、高周波CSC</t>
  </si>
  <si>
    <t>S01,S19,S35,S36,S37</t>
  </si>
  <si>
    <t>R039</t>
  </si>
  <si>
    <t>結合インダクタ型3レベルBuck-Boostインバータによる入出力リプル・フィルタ低減</t>
  </si>
  <si>
    <t>結合磁気と位相シフトPWMで入出力の実効リプル周波数を高め、必要インダクタ量を削減する</t>
  </si>
  <si>
    <t>磁気統合トポロジー</t>
  </si>
  <si>
    <t>昇降圧が必要なDC給電ドライブ</t>
  </si>
  <si>
    <t>S32</t>
  </si>
  <si>
    <t>R040</t>
  </si>
  <si>
    <t>HTS直流リアクトル＋クライオクーラ＋クエンチ保護のシステム最適化</t>
  </si>
  <si>
    <t>HTSコイル単体ではなく冷凍機・断熱・電流リード・クエンチ保護まで含めて質量と損失を最小化する</t>
  </si>
  <si>
    <t>超電導システム</t>
  </si>
  <si>
    <t>超電導CSI、大電流DCリンク</t>
  </si>
  <si>
    <t>v1.8: 14_研究要素評価と16_研究文献を最新版へ再統合。15_研究変数マップでは研究変数188行すべてが02_ツリーへ正式登録済み。新規DCDC/CSI/HTS/APD変数は、現在シナリオがOFFの場合、参照済でも局所重量寄与が0となる。これは未参照ではなく現在シナリオでの寄与0を意味する。kg-eqは研究優先度スクリーニング用であり、実システム重量差はOFF/ON再計算で評価する。</t>
  </si>
  <si>
    <t>影響変数</t>
  </si>
  <si>
    <t>狙う方向</t>
  </si>
  <si>
    <t>経路/狙い</t>
  </si>
  <si>
    <t>ツリー行</t>
  </si>
  <si>
    <t>正等価重量 [kg-eq]</t>
  </si>
  <si>
    <t>負等価重量 [kg-eq]</t>
  </si>
  <si>
    <t>トレードオフ解消上限 [kg-eq]</t>
  </si>
  <si>
    <t>参照状態</t>
  </si>
  <si>
    <t>Phase4判定</t>
  </si>
  <si>
    <t>物理代表/接続先</t>
  </si>
  <si>
    <t>理由・二重計上防止</t>
  </si>
  <si>
    <t>増加</t>
  </si>
  <si>
    <t>高Vdc時の耐圧・Ron・Cossペナルティ低減</t>
  </si>
  <si>
    <t>必要耐圧増加時の半導体ペナルティ低減</t>
  </si>
  <si>
    <t>耐圧マージン増加時のペナルティ低減</t>
  </si>
  <si>
    <t>減少</t>
  </si>
  <si>
    <t>チップ小面積化時のRon増加を抑制</t>
  </si>
  <si>
    <t>高温動作時のRon/信頼性ペナルティ低減</t>
  </si>
  <si>
    <t>寄生L低減と構造重量を両立</t>
  </si>
  <si>
    <t>狭ギャップ時の絶縁/製造制約を緩和</t>
  </si>
  <si>
    <t>重なり増加時の構造重量増を抑制</t>
  </si>
  <si>
    <t>オーバーシュート低減で必要耐圧を低減</t>
  </si>
  <si>
    <t>スナバ依存を低減</t>
  </si>
  <si>
    <t>高速化時のEMI/過電圧ペナルティ抑制</t>
  </si>
  <si>
    <t>ターンオン高速化ペナルティ抑制</t>
  </si>
  <si>
    <t>ターンオフ高速化ペナルティ抑制</t>
  </si>
  <si>
    <t>適応制御の追加重量/複雑化低減</t>
  </si>
  <si>
    <t>Miller対策追加重量を集積化</t>
  </si>
  <si>
    <t>誤点弧対策と負バイアス依存を低減</t>
  </si>
  <si>
    <t>高周波化のスイッチング損失ペナルティ抑制</t>
  </si>
  <si>
    <t>高Vdc時のスイッチング損失ペナルティ抑制</t>
  </si>
  <si>
    <t>ソフトスイッチング追加回路重量低減</t>
  </si>
  <si>
    <t>高速スイッチングとソフト転流を協調</t>
  </si>
  <si>
    <t>単位コンデンサのリプル耐量向上</t>
  </si>
  <si>
    <t>単位容量/電流あたり重量低減</t>
  </si>
  <si>
    <t>高耐圧化によるコンデンサ比重量増抑制</t>
  </si>
  <si>
    <t>高温動作許容で冷却要求低減</t>
  </si>
  <si>
    <t>高密度フィンの圧損/構造ペナルティ抑制</t>
  </si>
  <si>
    <t>接触圧増加時の締結重量抑制</t>
  </si>
  <si>
    <t>高度冷却構造の追加重量低減</t>
  </si>
  <si>
    <t>熱抵抗低減と機械強度両立</t>
  </si>
  <si>
    <t>基板薄肉化時の強度/絶縁ペナルティ抑制</t>
  </si>
  <si>
    <t>セラミック薄肉化と絶縁信頼性両立</t>
  </si>
  <si>
    <t>上面銅薄肉化時の電気/熱性能低下補償</t>
  </si>
  <si>
    <t>下面銅薄肉化時の熱拡散低下補償</t>
  </si>
  <si>
    <t>高熱伝導化で高温許容範囲拡大</t>
  </si>
  <si>
    <t>高周波化の磁気損失ペナルティ抑制</t>
  </si>
  <si>
    <t>高電圧磁気部品の絶縁/損失ペナルティ抑制</t>
  </si>
  <si>
    <t>追加CMフィルタ依存低減</t>
  </si>
  <si>
    <t>大電流時の導体重量増抑制</t>
  </si>
  <si>
    <t>並列数削減時の損失増を低抵抗実装で補償</t>
  </si>
  <si>
    <t>狭ギャップ絶縁制約緩和</t>
  </si>
  <si>
    <t>積層重なりの構造重量増抑制</t>
  </si>
  <si>
    <t>低L化と重量/製造性両立</t>
  </si>
  <si>
    <t>高Vdc化時の絶縁重量増抑制</t>
  </si>
  <si>
    <t>高性能絶縁材追加重量低減</t>
  </si>
  <si>
    <t>ポッティング追加重量低減</t>
  </si>
  <si>
    <t>絶縁性能向上でギャップ縮小</t>
  </si>
  <si>
    <t>高Vdc化に伴うEMI重量増抑制</t>
  </si>
  <si>
    <t>高周波化時のEMIペナルティ抑制</t>
  </si>
  <si>
    <t>CMフィルタ追加重量低減</t>
  </si>
  <si>
    <t>シールド追加重量を構造一体化</t>
  </si>
  <si>
    <t>dv/dtフィルタ追加重量を小型化</t>
  </si>
  <si>
    <t>高周波デカップリング追加重量を統合化</t>
  </si>
  <si>
    <t>CM低減PWMの制御ペナルティ低減</t>
  </si>
  <si>
    <t>DPWMの損失低減と高調波/EMI増加を両立</t>
  </si>
  <si>
    <t>低周波化時の受動部品重量増を変調最適化で緩和</t>
  </si>
  <si>
    <t>高Vdc時のCM電圧増加を変調で抑制</t>
  </si>
  <si>
    <t>能動放電追加回路をプリチャージ系と共通化</t>
  </si>
  <si>
    <t>プリチャージ追加回路を放電系と共通化</t>
  </si>
  <si>
    <t>高Vdc時の安全機能定格増を統合回路で抑制</t>
  </si>
  <si>
    <t>低抵抗化時の信号S/N低下を検出技術で補償</t>
  </si>
  <si>
    <t>大電流センシング時の損失/重量増抑制</t>
  </si>
  <si>
    <t>DESAT機能をゲートドライバへ集積</t>
  </si>
  <si>
    <t>アクティブクランプを集積</t>
  </si>
  <si>
    <t>Miller clampを集積</t>
  </si>
  <si>
    <t>保護高度化で耐圧マージン低減</t>
  </si>
  <si>
    <t>高速ゲート駆動を保護機能で許容</t>
  </si>
  <si>
    <t>高Vdc時のモータ端過電圧/EMI抑制</t>
  </si>
  <si>
    <t>外付けdv/dtフィルタ依存低減</t>
  </si>
  <si>
    <t>追加シールド依存低減</t>
  </si>
  <si>
    <t>高速駆動とモータ端ストレス両立</t>
  </si>
  <si>
    <t>CSIの準正弦波出力で外付けCMフィルタ依存を低減</t>
  </si>
  <si>
    <t>CSI出力の低dv/dt化でdv/dtフィルタ依存を低減</t>
  </si>
  <si>
    <t>CMV/EMI低減でシールド要求を低減</t>
  </si>
  <si>
    <t>モータ電流リプル低減によるモータ損失・トルクリプル低減</t>
  </si>
  <si>
    <t>CSI固有のDCリンクインダクタを小型化できるほどトポロジー優位性が増す</t>
  </si>
  <si>
    <t>CSIによる電流高調波低減でモータ損失を低減（現行ツリー外）</t>
  </si>
  <si>
    <t>KPI外保持</t>
  </si>
  <si>
    <t>モータ/システムKPI</t>
  </si>
  <si>
    <t>P_motor_harmonicはインバータ重量へ加算しない。入力仕様D317/D318で研究値を保持。</t>
  </si>
  <si>
    <t>HTS高電流密度化で必要リアクトル体積を削減</t>
  </si>
  <si>
    <t>DCリンクリアクトル質量を直接削減</t>
  </si>
  <si>
    <t>直流銅損を超電導化で低減</t>
  </si>
  <si>
    <t>クライオクーラ・断熱・電流リード質量の最小化が成立条件</t>
  </si>
  <si>
    <t>冷凍機入力電力を抑えてシステム効率を確保</t>
  </si>
  <si>
    <t>DCリンクリプル磁界・電流によるHTS AC損失を抑制</t>
  </si>
  <si>
    <t>前段DCDC/電流形成段を制御で不要化</t>
  </si>
  <si>
    <t>前段コンバータ損失を削減</t>
  </si>
  <si>
    <t>前段スイッチ・ゲートドライバ数を削減</t>
  </si>
  <si>
    <t>電源・制御協調で必要DCリンクLを最適化</t>
  </si>
  <si>
    <t>APDで低周波リプル電力を分離してL要求を低減</t>
  </si>
  <si>
    <t>DCリンクL小型化による質量低減</t>
  </si>
  <si>
    <t>DCリンク電流リプルを抑制</t>
  </si>
  <si>
    <t>APD追加回路の質量オーバーヘッドを最小化</t>
  </si>
  <si>
    <t>多レベルCSIでCM/高調波対策を削減</t>
  </si>
  <si>
    <t>電圧ステップ低減でdv/dtフィルタを削減</t>
  </si>
  <si>
    <t>EMI低減でシールド重量を削減</t>
  </si>
  <si>
    <t>多レベル化で同等波形品質を低い素子スイッチング周波数で達成</t>
  </si>
  <si>
    <t>各スイッチの分担電圧を低下</t>
  </si>
  <si>
    <t>Γ型等で直流インダクタ要求を低減</t>
  </si>
  <si>
    <t>5レベル化で出力電圧ステップを低減</t>
  </si>
  <si>
    <t>CMV/高調波低減でCMフィルタ依存を低減</t>
  </si>
  <si>
    <t>EMI低減でシールド依存を低減</t>
  </si>
  <si>
    <t>スイッチ1個あたり必要耐圧を低減</t>
  </si>
  <si>
    <t>同等THDをより低いデバイススイッチング周波数で達成</t>
  </si>
  <si>
    <t>N_switch_multilevel</t>
  </si>
  <si>
    <t>低スイッチ数5レベル派生で部品増加ペナルティを抑制</t>
  </si>
  <si>
    <t>既存枝で代表</t>
  </si>
  <si>
    <t>T003 N_power_device_total / T272 N_gate</t>
  </si>
  <si>
    <t>既存2L/3Lではトポロジー選択がデバイス数を決める。N_switch_multilevelを別重量として追加すると二重計上。5L等は専用トポロジー実装時に拡張。</t>
  </si>
  <si>
    <t>3レベル化でdv/dt対策を削減</t>
  </si>
  <si>
    <t>CMV低減でCMフィルタ依存を低減</t>
  </si>
  <si>
    <t>各デバイスの電圧ストレスをVdc/2程度に分担</t>
  </si>
  <si>
    <t>P_loss_distribution</t>
  </si>
  <si>
    <t>ANPC冗長状態で損失・温度を均等化（現行ツリー外）</t>
  </si>
  <si>
    <t>KPI外/診断保持</t>
  </si>
  <si>
    <t>熱分布モデル未実装</t>
  </si>
  <si>
    <t>P_loss_distributionは総損失ではなく分布指標。冷却構造モデルと結合するまで重量へ直接加算しない。</t>
  </si>
  <si>
    <t>WBG化・損失均等化により必要並列数を削減する余地</t>
  </si>
  <si>
    <t>多数レベル出力でdv/dtフィルタ依存を低減</t>
  </si>
  <si>
    <t>CMV対策と低THD化で外付けフィルタを低減</t>
  </si>
  <si>
    <t>低dv/dt/CMVでシールド依存を低減</t>
  </si>
  <si>
    <t>サブモジュール直列化で素子電圧を分担</t>
  </si>
  <si>
    <t>C_SM_MMC</t>
  </si>
  <si>
    <t>サブモジュール容量がMMCの主要重量要因</t>
  </si>
  <si>
    <t>将来トポロジー保持</t>
  </si>
  <si>
    <t>MMC専用トポロジー実装時</t>
  </si>
  <si>
    <t>C_SM_MMCを既存DC-link Cへ単純加算するとMMCと既存VSIを二重計上するため未接続。</t>
  </si>
  <si>
    <t>M_SM_MMC</t>
  </si>
  <si>
    <t>サブモジュール部品・筐体の統合軽量化</t>
  </si>
  <si>
    <t>M_SM_MMCはMMC構造重量。既存筐体/半導体との置換関係を定義してから接続。</t>
  </si>
  <si>
    <t>リプル電力相殺でSM容量を低減</t>
  </si>
  <si>
    <t>C_SM_MMCの置換関係が未定義のため未接続。</t>
  </si>
  <si>
    <t>M_SM_cap</t>
  </si>
  <si>
    <t>サブモジュールコンデンサ重量を削減</t>
  </si>
  <si>
    <t>M_SM_capはMMCサブモジュール容量モデル確定後に接続。</t>
  </si>
  <si>
    <t>I_circulating_MMC</t>
  </si>
  <si>
    <t>容量低減制御に伴う循環電流ストレスを抑制</t>
  </si>
  <si>
    <t>MMC循環電流→損失/冷却</t>
  </si>
  <si>
    <t>総損失への変換式が未定義のため直接重量化しない。</t>
  </si>
  <si>
    <t>CMV_MMC</t>
  </si>
  <si>
    <t>HFI等によるCMV増加ペナルティを抑制</t>
  </si>
  <si>
    <t>MMC CMV→EMI</t>
  </si>
  <si>
    <t>CMVからCMフィルタ要求への物理変換式が未定義のため直接重量化しない。</t>
  </si>
  <si>
    <t>OEW多レベル駆動でCMV/高調波対策を削減</t>
  </si>
  <si>
    <t>実効電圧レベル増加でdv/dt低減</t>
  </si>
  <si>
    <t>CMV抑制変調でシールド依存を低減</t>
  </si>
  <si>
    <t>同一モータ電圧に対する必要DCリンク電圧低減余地</t>
  </si>
  <si>
    <t>各インバータのデバイス耐圧要求を低減</t>
  </si>
  <si>
    <t>大容量DCリンクコンデンサを排除</t>
  </si>
  <si>
    <t>DCリンクコンデンサ並列余裕を排除</t>
  </si>
  <si>
    <t>中間DCリンクのエネルギー蓄積要求を削除</t>
  </si>
  <si>
    <t>大容量DCリンクがないためプリチャージ系を簡素化</t>
  </si>
  <si>
    <t>DCリンク放電機能を簡素化</t>
  </si>
  <si>
    <t>適切な変調/フィルタ設計でEMIフィルタ重量低減余地</t>
  </si>
  <si>
    <t>独立DCDCの昇降圧機能をインバータへ統合</t>
  </si>
  <si>
    <t>二段変換損失を削減</t>
  </si>
  <si>
    <t>インピーダンスネットワークで実効昇圧余地を確保</t>
  </si>
  <si>
    <t>前段DCDCスイッチ数を削減</t>
  </si>
  <si>
    <t>M_Z_network</t>
  </si>
  <si>
    <t>Z-source固有L/Cの重量ペナルティを最小化</t>
  </si>
  <si>
    <t>Z-sourceインピーダンスネットワーク</t>
  </si>
  <si>
    <t>DCDC機能/既存DC-link部品との置換関係を定義せずM_Z_networkを加算すると二重計上するため未接続。</t>
  </si>
  <si>
    <t>低CMV・正弦波出力でCMフィルタ依存低減</t>
  </si>
  <si>
    <t>連続波形・低dv/dtで出力フィルタ要求低減</t>
  </si>
  <si>
    <t>EMI低減でシールド依存低減</t>
  </si>
  <si>
    <t>ZVSと磁気統合により高周波化を許容</t>
  </si>
  <si>
    <t>M_coupled_magnetics</t>
  </si>
  <si>
    <t>複数インダクタの磁気統合で質量低減</t>
  </si>
  <si>
    <t>研究技術保持</t>
  </si>
  <si>
    <t>対象磁気部品の置換モデル</t>
  </si>
  <si>
    <t>結合磁気は既存Lを置換/統合する技術であり追加重量ではない。統合対象を定義してから接続。</t>
  </si>
  <si>
    <t>アクティブ補償で受動CMフィルタ依存を低減</t>
  </si>
  <si>
    <t>CMノイズ抑制でシールド要求を低減</t>
  </si>
  <si>
    <t>CMキャンセルで一部出力フィルタ機能を代替</t>
  </si>
  <si>
    <t>M_AEF</t>
  </si>
  <si>
    <t>能動EMI回路自体の追加重量を最小化</t>
  </si>
  <si>
    <t>既存枝で部分代表</t>
  </si>
  <si>
    <t>T621 M_CM_active</t>
  </si>
  <si>
    <t>現行はActive CM Filterとして能動EMIのCM成分を実装済み。汎用AEFを別加算すると重複するためM_AEF専用枝は作らない。</t>
  </si>
  <si>
    <t>CMフィルタを小型・低寄生で統合し追加重量ペナルティを抑制</t>
  </si>
  <si>
    <t>dv/dtフィルタを磁気・配線と統合して重量ペナルティを抑制</t>
  </si>
  <si>
    <t>高周波デカップリングをパワーモジュールへ内蔵</t>
  </si>
  <si>
    <t>シールドを筐体・基板構造に一体化</t>
  </si>
  <si>
    <t>高周波高性能磁気で必要DMインダクタ量を削減</t>
  </si>
  <si>
    <t>長いモータケーブル削減でシールド依存低減</t>
  </si>
  <si>
    <t>ケーブル反射過電圧低減でdv/dtフィルタ依存低減</t>
  </si>
  <si>
    <t>配線短縮でCMループ・EMI対策を低減</t>
  </si>
  <si>
    <t>モータケーブル寄生インダクタンスを削減（現行ツリー外）</t>
  </si>
  <si>
    <t>M_cable</t>
  </si>
  <si>
    <t>モータケーブル重量を削減（現行ツリー外）</t>
  </si>
  <si>
    <t>システム重量KPI</t>
  </si>
  <si>
    <t>モータケーブルはインバータ筐体外のためM_invへ加算しない。</t>
  </si>
  <si>
    <t>M_case_separate</t>
  </si>
  <si>
    <t>独立インバータ筐体を統合（現行ツリー外）</t>
  </si>
  <si>
    <t>T125 M_case</t>
  </si>
  <si>
    <t>独立インバータ筐体は既存M_caseそのもの。IMDではM_caseを低減/置換するのでM_case_separateを別加算しない。</t>
  </si>
  <si>
    <t>低CMV変調の追加損失/制約を抑えつつCMVを源流抑制</t>
  </si>
  <si>
    <t>CMフィルタ依存を低減</t>
  </si>
  <si>
    <t>シールド要求を低減</t>
  </si>
  <si>
    <t>一部dv/dt/CM対策を変調・トポロジーで代替</t>
  </si>
  <si>
    <t>総電力を多相へ分散して相当たり電流を低減</t>
  </si>
  <si>
    <t>相間位相分散で合成リプル・トルクリプルを低減</t>
  </si>
  <si>
    <t>相当たり電流低減でデバイス並列数を削減する余地</t>
  </si>
  <si>
    <t>N_phase</t>
  </si>
  <si>
    <t>多相化による追加レグ・ゲートドライバ数増がトレードオフ</t>
  </si>
  <si>
    <t>将来仕様保持</t>
  </si>
  <si>
    <t>多相一般化モデル</t>
  </si>
  <si>
    <t>現行式は3相前提(SQRT(3), 3×損失等)。N_phaseだけ追加すると不整合になるため全関連式一般化時に接続。</t>
  </si>
  <si>
    <t>多レベルの低dv/dtメリットを維持</t>
  </si>
  <si>
    <t>多レベルの低CMV/THDメリットを維持</t>
  </si>
  <si>
    <t>デバイス電圧ストレスを分担</t>
  </si>
  <si>
    <t>スイッチ数を削減して多レベル化ペナルティを軽減</t>
  </si>
  <si>
    <t>既存3Lはデバイス数で既に反映。将来FC等はトポロジー固有式実装時に拡張。</t>
  </si>
  <si>
    <t>N_floating_cap</t>
  </si>
  <si>
    <t>フライングC/孤立電源数を削減</t>
  </si>
  <si>
    <t>Flying-capacitor専用C枝</t>
  </si>
  <si>
    <t>FCトポロジー未実装。既存DC-link Cへ単純加算せず、FC構成選択時のみ接続する。</t>
  </si>
  <si>
    <t>位相シフトで電流リプルを相殺</t>
  </si>
  <si>
    <t>DCリンクRMSリプル低減で必要容量/電流定格を削減</t>
  </si>
  <si>
    <t>リプル電流余裕に起因する並列コンデンサ重量を削減</t>
  </si>
  <si>
    <t>実効リプル周波数上昇で必要インダクタ量を削減</t>
  </si>
  <si>
    <t>同等リプルで各セルのスイッチング周波数を低減</t>
  </si>
  <si>
    <t>高次フィルタ＋アクティブダンピングで総インダクタ量を低減</t>
  </si>
  <si>
    <t>共振制御を利用しフィルタ容量を最適化</t>
  </si>
  <si>
    <t>受動ダンピング抵抗を仮想抵抗で代替</t>
  </si>
  <si>
    <t>物理枝接続済</t>
  </si>
  <si>
    <t>T668 M_damping_resistor</t>
  </si>
  <si>
    <t>DMフィルタ構成部品として一度だけ計上。</t>
  </si>
  <si>
    <t>受動ダンピング損失を低減</t>
  </si>
  <si>
    <t>T671 P_damping</t>
  </si>
  <si>
    <t>冷却能力T032へI²R相当損失として一度だけ寄与。</t>
  </si>
  <si>
    <t>monolithic BDS化で必要並列数を削減する余地</t>
  </si>
  <si>
    <t>同一電流能力を小チップ化／共有drift領域で面積効率向上</t>
  </si>
  <si>
    <t>M_series_diode_CSI</t>
  </si>
  <si>
    <t>CSI逆阻止用別体ダイオードをmonolithic BDSへ統合</t>
  </si>
  <si>
    <t>既存モデル内包・分離保留</t>
  </si>
  <si>
    <t>T003 N_power_device_total</t>
  </si>
  <si>
    <t>CSI逆阻止ダイオード重量は現行N_power_device_totalに内包。別M_series_diode_CSIを追加すると二重計上。主SW/diode重量分解時に明示化。</t>
  </si>
  <si>
    <t>P_series_diode_CSI</t>
  </si>
  <si>
    <t>直列逆阻止ダイオードのI×Vf損失を削減</t>
  </si>
  <si>
    <t>T644 N_diode_extra→T641→T035 P_cond</t>
  </si>
  <si>
    <t>CSI逆阻止ダイオード損失は既存の追加ダイオード導通損失経路で反映済み。別P_series_diode_CSIは加算しない。</t>
  </si>
  <si>
    <t>位相シフト3レベル化で入力/出力リプルを低減</t>
  </si>
  <si>
    <t>実効高周波化と結合磁気で必要インダクタ量を削減</t>
  </si>
  <si>
    <t>共通グラウンド・一定CMVでCM対策を削減</t>
  </si>
  <si>
    <t>3レベル出力で電圧ステップを低減</t>
  </si>
  <si>
    <t>結合インダクタ統合で磁気部品質量を低減</t>
  </si>
  <si>
    <t>結合インダクタは既存磁気を統合するため、統合対象を定義せず追加重量化しない。</t>
  </si>
  <si>
    <t>クライオクーラ・断熱容器の質量を最小化</t>
  </si>
  <si>
    <t>冷凍機入力電力を最小化</t>
  </si>
  <si>
    <t>システム入力電力/冷凍システム</t>
  </si>
  <si>
    <t>P_cryo_HTSは冷凍機の電気入力。インバータ内部の発熱Q_reqへ直接加算するとHTS AC損失と冷凍機入力を混同/二重計上するため、M_invツリーから外す。冷凍システム全体KPIで評価。</t>
  </si>
  <si>
    <t>電流リード熱侵入と質量を削減</t>
  </si>
  <si>
    <t>クエンチ保護回路・ダンプ抵抗を軽量化</t>
  </si>
  <si>
    <t>リプル磁界・輸送電流によるAC損失を最小化</t>
  </si>
  <si>
    <t>CSIでmonolithic bidirectional GaNを有効化</t>
  </si>
  <si>
    <t>参照済</t>
  </si>
  <si>
    <t>双方向GaNの実効オン抵抗を低減</t>
  </si>
  <si>
    <t>同一chip areaでの静的Ron比を改善</t>
  </si>
  <si>
    <t>dynamic Ron劣化を抑制</t>
  </si>
  <si>
    <t>1回当たりスイッチングエネルギーを低減</t>
  </si>
  <si>
    <t>実測未入力時のSWエネルギー比を改善</t>
  </si>
  <si>
    <t>ターンオンエネルギーを低減</t>
  </si>
  <si>
    <t>ターンオフエネルギーを低減</t>
  </si>
  <si>
    <t>出力容量充放電エネルギーを低減</t>
  </si>
  <si>
    <t>substrate management回路の追加重量を削減</t>
  </si>
  <si>
    <t>substrate management回路損失を削減</t>
  </si>
  <si>
    <t>dual-gate駆動チャネル数/回路重量を削減</t>
  </si>
  <si>
    <t>高耐圧化でCSI適用電圧範囲を拡大</t>
  </si>
  <si>
    <t>必要阻止耐圧に対する適合を確保</t>
  </si>
  <si>
    <t>高周波化余地を拡大しL/C/EMC小型化を狙う</t>
  </si>
  <si>
    <t>CSI主回路を6個のmonolithic BDSへ統合</t>
  </si>
  <si>
    <t>文献ID</t>
  </si>
  <si>
    <t>対応研究ID</t>
  </si>
  <si>
    <t>文献名</t>
  </si>
  <si>
    <t>媒体</t>
  </si>
  <si>
    <t>年</t>
  </si>
  <si>
    <t>本ツールで参照する根拠</t>
  </si>
  <si>
    <t>URL</t>
  </si>
  <si>
    <t>S01</t>
  </si>
  <si>
    <t>R017, R038</t>
  </si>
  <si>
    <t>Common Architectures and Devices for Current Source Inverter in Motor-Drive Applications: A Comprehensive Review</t>
  </si>
  <si>
    <t>Energies</t>
  </si>
  <si>
    <t>2023</t>
  </si>
  <si>
    <t>CSIのVSI比メリット、準正弦波出力、モータ損失・EMI・dv/dt、DCリンクLと前段コンバータが主要課題</t>
  </si>
  <si>
    <t>https://www.mdpi.com/1996-1073/16/15/5645</t>
  </si>
  <si>
    <t>S02</t>
  </si>
  <si>
    <t>R017, R037</t>
  </si>
  <si>
    <t>Research on Parameter Design and Control Method for Current Source Inverter–Fed IM Drive Systems</t>
  </si>
  <si>
    <t>Machines</t>
  </si>
  <si>
    <t>2022</t>
  </si>
  <si>
    <t>CSIのDCバスLとACフィルタCが応答・電力品質・パワー密度に直接影響</t>
  </si>
  <si>
    <t>https://www.mdpi.com/2075-1702/10/10/922</t>
  </si>
  <si>
    <t>S03</t>
  </si>
  <si>
    <t>R018, R040</t>
  </si>
  <si>
    <t>Design and development of high temperature superconducting magnetic energy storage for power applications - A review</t>
  </si>
  <si>
    <t>Physica C</t>
  </si>
  <si>
    <t>2019</t>
  </si>
  <si>
    <t>超電導コイルはDC I2R損失をほぼ排除できる一方、磁界依存・AC損失・クエンチ・冷凍が課題</t>
  </si>
  <si>
    <t>https://www.sciencedirect.com/science/article/pii/S0921453419301066</t>
  </si>
  <si>
    <t>S04</t>
  </si>
  <si>
    <t>Numerical study of the effect of anisotropy and field dependence of critical current on AC loss in REBCO coated conductors and stacks</t>
  </si>
  <si>
    <t>Superconductivity</t>
  </si>
  <si>
    <t>2024</t>
  </si>
  <si>
    <t>REBCOのAC電流・交流磁界による損失とIc(B,theta)依存</t>
  </si>
  <si>
    <t>https://www.sciencedirect.com/science/article/pii/S2772830724000474</t>
  </si>
  <si>
    <t>S05</t>
  </si>
  <si>
    <t>AC loss study of high-temperature superconducting stacked conductors based on parameter identification method</t>
  </si>
  <si>
    <t>HTS積層導体のAC損失評価。CSI直流Lでもリプル成分の損失評価が必要</t>
  </si>
  <si>
    <t>https://www.sciencedirect.com/science/article/abs/pii/S0921453424000169</t>
  </si>
  <si>
    <t>DC Current Control for a Single-Stage Current Source Inverter in Motor Drive Application</t>
  </si>
  <si>
    <t>IEEE TPEL</t>
  </si>
  <si>
    <t>2021</t>
  </si>
  <si>
    <t>CSIの前段電流形成コンバータを不要化する単段制御を実験検証</t>
  </si>
  <si>
    <t>https://ieeexplore.ieee.org/document/9154581/</t>
  </si>
  <si>
    <t>Switching Cell Current Source Inverter With Active Power Decoupling Circuit</t>
  </si>
  <si>
    <t>IEEE TIE</t>
  </si>
  <si>
    <t>APDで低周波リプル電力を抑え、DCリンクインダクタを小インダクタンス化</t>
  </si>
  <si>
    <t>https://ieeexplore.ieee.org/document/10423564/</t>
  </si>
  <si>
    <t>S08</t>
  </si>
  <si>
    <t>Γ-Type Five-Level Current Source Inverter</t>
  </si>
  <si>
    <t>5レベルCSIで固有電流バランスを維持しつつDCインダクタ縮小・高電圧利得を実現</t>
  </si>
  <si>
    <t>https://ieeexplore.ieee.org/document/10478211/</t>
  </si>
  <si>
    <t>S09</t>
  </si>
  <si>
    <t>A Novel Single-Phase Five-Level Current-Source Inverter Topology</t>
  </si>
  <si>
    <t>Electronics</t>
  </si>
  <si>
    <t>5レベルCSIで低THD・低dv/dtを狙う新トポロジー</t>
  </si>
  <si>
    <t>https://www.mdpi.com/2079-9292/13/7/1213</t>
  </si>
  <si>
    <t>S10</t>
  </si>
  <si>
    <t>R022, R035</t>
  </si>
  <si>
    <t>Advances and Perspectives in Multilevel Converters: A Comprehensive Review</t>
  </si>
  <si>
    <t>ANPC・5L-ANPC等を含む多レベル回路の高電力化、低THD、損失分散、部品数課題</t>
  </si>
  <si>
    <t>https://www.mdpi.com/2079-9292/13/23/4736</t>
  </si>
  <si>
    <t>S11</t>
  </si>
  <si>
    <t>A 5-Level Inverter Scheme Using Single DC Link With Reduced Number of Floating Capacitors and Switches for Open-End IM Drives</t>
  </si>
  <si>
    <t>単一DCリンク・低部品数で5レベルOEWモータ駆動</t>
  </si>
  <si>
    <t>https://ieeexplore.ieee.org/document/8643100/</t>
  </si>
  <si>
    <t>S12</t>
  </si>
  <si>
    <t>Electro-Thermal, EMI and Reliability Assessment of Post-800 V Traction Inverter Topologies</t>
  </si>
  <si>
    <t>World Electric Vehicle Journal</t>
  </si>
  <si>
    <t>2026</t>
  </si>
  <si>
    <t>高DC電圧でdv/dt・EMI・Tjが厳しくなり、3L-ANPCは電圧分担と損失均等化に有効</t>
  </si>
  <si>
    <t>https://www.mdpi.com/2032-6653/17/8/384</t>
  </si>
  <si>
    <t>S13</t>
  </si>
  <si>
    <t>A Review of Hybrid Three-Level ANPC Inverters: Topologies, Comparison, Challenges and Improvements in Applications</t>
  </si>
  <si>
    <t>2025</t>
  </si>
  <si>
    <t>SiC/GaNとSiを組み合わせたハイブリッドANPCの効率・電力密度・コストの設計余地</t>
  </si>
  <si>
    <t>https://www.mdpi.com/1996-1073/18/10/2613</t>
  </si>
  <si>
    <t>S14</t>
  </si>
  <si>
    <t>Common-Mode Voltage Reduction of Modular Multilevel Converter Using Adaptive High-Frequency Injection Method for Medium-Voltage Motor Drives</t>
  </si>
  <si>
    <t>MMC中電圧ドライブのCMV・電流ストレス低減</t>
  </si>
  <si>
    <t>https://www.mdpi.com/1996-1073/17/6/1367</t>
  </si>
  <si>
    <t>S15</t>
  </si>
  <si>
    <t>Bearing Current and Shaft Voltage in Electrical Machines: A Comprehensive Research Review</t>
  </si>
  <si>
    <t>多レベル化によるCMV振幅・dv/dt低減とベアリング電流対策</t>
  </si>
  <si>
    <t>https://www.mdpi.com/2075-1702/11/5/550</t>
  </si>
  <si>
    <t>Research on Sub-Module Fluctuating Power Decoupling Strategy for Modular Multilevel Converter-Based Medium-Voltage Motor Drive System with Wide Speed Range</t>
  </si>
  <si>
    <t>低容量MMCでSM容量を軽量化。評価例では従来MMC比で体積約70%減</t>
  </si>
  <si>
    <t>https://www.mdpi.com/2079-9292/13/21/4268</t>
  </si>
  <si>
    <t>S17</t>
  </si>
  <si>
    <t>Modulation scheme with common mode and differential mode voltage elimination for a five level inverter fed open end winding induction motor drive</t>
  </si>
  <si>
    <t>IEEE Conference</t>
  </si>
  <si>
    <t>2020</t>
  </si>
  <si>
    <t>5レベルOEW駆動でCM/DM電圧を抑える変調</t>
  </si>
  <si>
    <t>https://ieeexplore.ieee.org/document/9215882</t>
  </si>
  <si>
    <t>S18</t>
  </si>
  <si>
    <t>Multi-Level Open End Windings Multi-Motor Drives</t>
  </si>
  <si>
    <t>OEW多レベル駆動で電流歪低減・高効率・冗長性</t>
  </si>
  <si>
    <t>https://www.mdpi.com/1996-1073/12/5/861</t>
  </si>
  <si>
    <t>R027, R034, R038</t>
  </si>
  <si>
    <t>A Review of Matrix Converters in Motor Drive Applications</t>
  </si>
  <si>
    <t>DCリンクCを排除する直接AC-AC変換。約30%サイズ低減報告、EMI・WBG・双方向スイッチ課題</t>
  </si>
  <si>
    <t>https://www.mdpi.com/1996-1073/18/1/164</t>
  </si>
  <si>
    <t>Single-Stage Buck–Boost Inverters: A State-of-the-Art Survey</t>
  </si>
  <si>
    <t>Z-source/qZSI等の単段昇降圧インバータ。DCDC統合と受動部品・素子ストレスのトレードオフ</t>
  </si>
  <si>
    <t>https://www.mdpi.com/1996-1073/15/5/1622</t>
  </si>
  <si>
    <t>Design Optimization and Magnetic Integration of Ćuk Inverters With Sinusoidal Output Voltages for Electric Aircraft</t>
  </si>
  <si>
    <t>正弦波出力、連続低リプル入力、低dv/dt/CMV、ZVS、磁気統合を実験検証</t>
  </si>
  <si>
    <t>https://doi.org/10.1109/TPEL.2026.3685671</t>
  </si>
  <si>
    <t>R030, R031</t>
  </si>
  <si>
    <t>A Review of EMI Research of High Power Density Motor Drive Systems for Electric Actuator</t>
  </si>
  <si>
    <t>Actuators</t>
  </si>
  <si>
    <t>受動EMIフィルタは体積の大きな割合を占め得る。AEFと統合フィルタで小型化可能</t>
  </si>
  <si>
    <t>https://www.mdpi.com/2076-0825/12/11/411</t>
  </si>
  <si>
    <t>S23</t>
  </si>
  <si>
    <t>Review on the Traditional and Integrated Passives: State-of-the-Art Design and Technologies</t>
  </si>
  <si>
    <t>モータドライブの受動部品は重量・体積の大きな割合を占め、磁気統合・フィルタ統合が有効</t>
  </si>
  <si>
    <t>https://www.mdpi.com/1996-1073/15/1/88</t>
  </si>
  <si>
    <t>S24</t>
  </si>
  <si>
    <t>Overview of Integrated Electric Motor Drives: Opportunities and Challenges</t>
  </si>
  <si>
    <t>IMDのコンバータ候補にCSIを含み、DCリンク部品・熱・EMIの機電一体最適化を整理</t>
  </si>
  <si>
    <t>https://www.mdpi.com/1996-1073/15/21/8299</t>
  </si>
  <si>
    <t>S25</t>
  </si>
  <si>
    <t>The past, present, and future of power electronics integration technology in motor drives</t>
  </si>
  <si>
    <t>CPSS TPEA</t>
  </si>
  <si>
    <t>2017</t>
  </si>
  <si>
    <t>IMDで筐体・接続ケーブルを削減し質量/体積/コストを低減。WBG+CSIにも言及</t>
  </si>
  <si>
    <t>https://ieeexplore.ieee.org/document/8118375/</t>
  </si>
  <si>
    <t>S26</t>
  </si>
  <si>
    <t>Advanced power inverter topologies and modulation techniques for common-mode voltage elimination in electric motor drive systems</t>
  </si>
  <si>
    <t>Renewable and Sustainable Energy Reviews</t>
  </si>
  <si>
    <t>CMVをトポロジーと変調で源流低減/除去する包括レビュー</t>
  </si>
  <si>
    <t>https://www.sciencedirect.com/science/article/pii/S136403212100040X</t>
  </si>
  <si>
    <t>S27</t>
  </si>
  <si>
    <t>A Review of Reduction Methods of Impact of Common-Mode Voltage on Electric Drives</t>
  </si>
  <si>
    <t>モータドライブのCMV・du/dt・ベアリング/絶縁影響と対策比較</t>
  </si>
  <si>
    <t>https://www.mdpi.com/1996-1073/14/13/4003</t>
  </si>
  <si>
    <t>S28</t>
  </si>
  <si>
    <t>A Comprehensive Survey on Fault Tolerance in Multiphase AC Drives, Part 1</t>
  </si>
  <si>
    <t>多相化で相当たり電流低減と冗長性を得る一方、自由度・構成が増える</t>
  </si>
  <si>
    <t>https://www.mdpi.com/2075-1702/10/3/208</t>
  </si>
  <si>
    <t>S29</t>
  </si>
  <si>
    <t>Multilevel Inverter: A Survey on Classical and Advanced Topologies, Control Schemes, Applications to Power System and Future Prospects</t>
  </si>
  <si>
    <t>多レベル化の低THD・低EMIと、低スイッチ数派生回路の研究動向</t>
  </si>
  <si>
    <t>https://www.mdpi.com/1996-1073/14/18/5773</t>
  </si>
  <si>
    <t>Three-Level Parallel PWM-Interleaved SiC Inverter With CMV Mitigation For Aerospace Applications</t>
  </si>
  <si>
    <t>IEEE JESTPE</t>
  </si>
  <si>
    <t>並列インターリーブ＋結合L＋第4レグでCMVと電流リプルを抑制</t>
  </si>
  <si>
    <t>https://doi.org/10.1109/JESTPE.2026.3698186</t>
  </si>
  <si>
    <t>S31</t>
  </si>
  <si>
    <t>Single-Current Feedback Active Damping Control for High-Speed PMSM With LLCL Filter</t>
  </si>
  <si>
    <t>高速低Lモータで高次フィルタとアクティブダンピングにより電流高調波を抑制</t>
  </si>
  <si>
    <t>https://doi.org/10.1109/TPEL.2024.3393987</t>
  </si>
  <si>
    <t>A Coupled-Inductor Based Common-Ground Buck-Boost Inverter With Three-Level Input and Output</t>
  </si>
  <si>
    <t>結合Lと3レベル入出力でリプルと必要フィルタ量を低減、一定CMVを実現</t>
  </si>
  <si>
    <t>https://ieeexplore.ieee.org/document/11367263/</t>
  </si>
  <si>
    <t>S33</t>
  </si>
  <si>
    <t>Review of Key Technologies of the High-Speed Permanent Magnet Motor Drive</t>
  </si>
  <si>
    <t>高速PMモータでは低インダクタンス・低キャリア比で電流高調波が問題となり、フィルタ重量も課題</t>
  </si>
  <si>
    <t>https://www.mdpi.com/1996-1073/17/21/5252</t>
  </si>
  <si>
    <t>S34</t>
  </si>
  <si>
    <t>Power-Dense Integrated Motor Drive Using a WBG-Enabled Current-Source Inverter for EV Traction Applications</t>
  </si>
  <si>
    <t>IEEE TTE</t>
  </si>
  <si>
    <t>WBG-CSIを用いた高電力密度IMD。CSI、DC/DC、受動部品、CSI向けモータ、冷却を統合設計</t>
  </si>
  <si>
    <t>https://doi.org/10.1109/TTE.2025.3617908</t>
  </si>
  <si>
    <t>S35</t>
  </si>
  <si>
    <t>Soft-Switched GaN-Based Current Source Converter</t>
  </si>
  <si>
    <t>2025 Brazilian Power Electronics Conference (COBEP)</t>
  </si>
  <si>
    <t>bidirectional GaNで同一chip area当たり導通損失を概ね半減。高f_sw化でDC-link L、Cs、EMC部品を縮小する方向を提示。</t>
  </si>
  <si>
    <t>https://ieeexplore.ieee.org/document/11369941/</t>
  </si>
  <si>
    <t>S36</t>
  </si>
  <si>
    <t>Impact of Substrate Bias on the Stability of Bidirectional GaN HEMT in Hard-and Soft-Switching</t>
  </si>
  <si>
    <t>IEEE APEC</t>
  </si>
  <si>
    <t>monolithic bidirectional GaNのdynamic Ronとsubstrate/back-gating影響、substrate managementの必要性を示す。</t>
  </si>
  <si>
    <t>https://ieeexplore.ieee.org/document/10977559/</t>
  </si>
  <si>
    <t>S37</t>
  </si>
  <si>
    <t>1200-V Dual-Gate p-GaN Bidirectional Switches on 200-mm Engineered Substrates</t>
  </si>
  <si>
    <t>IEEE Transactions on Electron Devices</t>
  </si>
  <si>
    <t>正負両極性で1200 V動作するdual-gate bidirectional GaN switchを実証。</t>
  </si>
  <si>
    <t>https://ieeexplore.ieee.org/document/11215683/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</si>
</sst>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FFFFFF"/>
      <name val="Carlito"/>
    </font>
    <font>
      <b/>
      <sz val="15"/>
      <color rgb="FFFFFFFF"/>
      <name val="Carlito"/>
    </font>
    <font>
      <b/>
      <sz val="11"/>
      <color rgb="FF244062"/>
      <name val="Carlito"/>
    </font>
    <font>
      <sz val="11"/>
      <color rgb="FF1F1F1F"/>
      <name val="Carlito"/>
    </font>
  </fonts>
  <fills count="15">
    <fill>
      <patternFill patternType="none"/>
    </fill>
    <fill>
      <patternFill patternType="gray125"/>
    </fill>
    <fill>
      <patternFill patternType="solid">
        <fgColor rgb="FF265A88"/>
      </patternFill>
    </fill>
    <fill>
      <patternFill patternType="solid">
        <fgColor rgb="FF5B9BD5"/>
      </patternFill>
    </fill>
    <fill>
      <patternFill patternType="solid">
        <fgColor rgb="FFED7D31"/>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2F75B5"/>
      </patternFill>
    </fill>
    <fill>
      <patternFill patternType="solid">
        <fgColor rgb="FFFFF2CC"/>
      </patternFill>
    </fill>
    <fill>
      <patternFill patternType="solid">
        <fgColor rgb="FFDDEBF7"/>
      </patternFill>
    </fill>
    <fill>
      <patternFill patternType="solid">
        <fgColor rgb="FFE7E6E6"/>
      </patternFill>
    </fill>
    <fill>
      <patternFill patternType="solid">
        <fgColor rgb="FFE2F0D9"/>
      </patternFill>
    </fill>
    <fill>
      <patternFill patternType="solid">
        <fgColor rgb="FFED7D31"/>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2" borderId="0" xfId="0" applyFont="1" applyFill="1"/>
    <xf numFmtId="0" fontId="2" fillId="3" borderId="0" xfId="0" applyFont="1" applyFill="1" applyAlignment="1">
      <alignment wrapText="1"/>
    </xf>
    <xf numFmtId="0" fontId="2" fillId="4" borderId="0" xfId="0" applyFont="1" applyFill="1" applyAlignment="1">
      <alignment wrapText="1"/>
    </xf>
    <xf numFmtId="0" fontId="2" fillId="5" borderId="0" xfId="0" applyFont="1" applyFill="1" applyAlignment="1">
      <alignment wrapText="1"/>
    </xf>
    <xf numFmtId="0" fontId="3" fillId="6" borderId="0" xfId="0" applyFont="1" applyFill="1" applyAlignment="1">
      <alignment vertical="center" wrapText="1"/>
    </xf>
    <xf numFmtId="0" fontId="4" fillId="7" borderId="0" xfId="0" applyFont="1" applyFill="1" applyAlignment="1">
      <alignment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5" fillId="0" borderId="0" xfId="0" applyFont="1" applyAlignment="1">
      <alignment vertical="top" wrapText="1"/>
    </xf>
    <xf numFmtId="0" fontId="5" fillId="10" borderId="0" xfId="0" applyFont="1" applyFill="1" applyAlignment="1">
      <alignment vertical="top" wrapText="1"/>
    </xf>
    <xf numFmtId="0" fontId="5" fillId="11" borderId="0" xfId="0" applyFont="1" applyFill="1" applyAlignment="1">
      <alignment vertical="top" wrapText="1"/>
    </xf>
    <xf numFmtId="0" fontId="5" fillId="12" borderId="0" xfId="0" applyFont="1" applyFill="1" applyAlignment="1">
      <alignment vertical="top" wrapText="1"/>
    </xf>
    <xf numFmtId="0" fontId="5" fillId="13" borderId="0" xfId="0" applyFont="1" applyFill="1" applyAlignment="1">
      <alignment vertical="top" wrapText="1"/>
    </xf>
    <xf numFmtId="0" fontId="2" fillId="14" borderId="0" xfId="0" applyFont="1" applyFill="1" applyAlignment="1">
      <alignment horizontal="center" vertical="center" wrapText="1"/>
    </xf>
    <xf numFmtId="0" fontId="2" fillId="6" borderId="0" xfId="0" applyFont="1" applyFill="1" applyAlignment="1">
      <alignment horizontal="center" vertical="center" wrapText="1"/>
    </xf>
    <xf numFmtId="0" fontId="5" fillId="7" borderId="0" xfId="0" applyFont="1" applyFill="1" applyAlignment="1">
      <alignment vertical="top" wrapText="1"/>
    </xf>
    <xf numFmtId="0" fontId="0" fillId="0" borderId="0" xfId="0" applyAlignment="1"/>
    <xf numFmtId="0" fontId="3" fillId="6" borderId="0" xfId="0" applyFont="1" applyFill="1" applyAlignment="1">
      <alignment vertical="center"/>
    </xf>
    <xf numFmtId="0" fontId="4" fillId="7" borderId="0" xfId="0" applyFont="1" applyFill="1" applyAlignment="1"/>
  </cellXfs>
  <cellStyles count="1">
    <cellStyle name="Normal" xfId="0" builtinId="0"/>
  </cellStyles>
  <dxfs count="10">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G10" sqref="G10"/>
    </sheetView>
  </sheetViews>
  <sheetFormatPr defaultRowHeight="14.25"/>
  <cols>
    <col min="1" max="16384" width="9" style="18"/>
  </cols>
  <sheetData>
    <row r="1" spans="1:2">
      <c r="A1" s="18" t="s">
        <v>0</v>
      </c>
    </row>
    <row r="4" spans="1:2">
      <c r="A4" s="18" t="s">
        <v>1</v>
      </c>
      <c r="B4" s="18" t="s">
        <v>2</v>
      </c>
    </row>
    <row r="5" spans="1:2">
      <c r="A5" s="18" t="s">
        <v>3</v>
      </c>
      <c r="B5" s="18" t="s">
        <v>4</v>
      </c>
    </row>
    <row r="6" spans="1:2">
      <c r="A6" s="18" t="s">
        <v>5</v>
      </c>
      <c r="B6" s="18" t="s">
        <v>6</v>
      </c>
    </row>
    <row r="7" spans="1:2">
      <c r="A7" s="18" t="s">
        <v>7</v>
      </c>
      <c r="B7" s="18" t="s">
        <v>8</v>
      </c>
    </row>
    <row r="8" spans="1:2">
      <c r="A8" s="18" t="s">
        <v>9</v>
      </c>
      <c r="B8" s="18" t="s">
        <v>10</v>
      </c>
    </row>
    <row r="9" spans="1:2">
      <c r="A9" s="18" t="s">
        <v>11</v>
      </c>
      <c r="B9" s="18" t="s">
        <v>12</v>
      </c>
    </row>
    <row r="10" spans="1:2">
      <c r="A10" s="18" t="s">
        <v>13</v>
      </c>
      <c r="B10" s="18" t="s">
        <v>14</v>
      </c>
    </row>
    <row r="12" spans="1:2">
      <c r="A12" s="18" t="s">
        <v>15</v>
      </c>
    </row>
    <row r="14" spans="1:2">
      <c r="A14" s="18" t="s">
        <v>16</v>
      </c>
    </row>
    <row r="15" spans="1:2">
      <c r="A15" s="18" t="s">
        <v>17</v>
      </c>
      <c r="B15" s="18" t="s">
        <v>18</v>
      </c>
    </row>
    <row r="16" spans="1:2">
      <c r="A16" s="18" t="s">
        <v>19</v>
      </c>
      <c r="B16" s="18" t="s">
        <v>20</v>
      </c>
    </row>
    <row r="17" spans="1:2">
      <c r="A17" s="18" t="s">
        <v>21</v>
      </c>
      <c r="B17" s="18" t="s">
        <v>22</v>
      </c>
    </row>
    <row r="18" spans="1:2">
      <c r="A18" s="18" t="s">
        <v>23</v>
      </c>
      <c r="B18" s="18" t="s">
        <v>24</v>
      </c>
    </row>
    <row r="19" spans="1:2">
      <c r="A19" s="18" t="s">
        <v>25</v>
      </c>
      <c r="B19" s="18" t="s">
        <v>26</v>
      </c>
    </row>
    <row r="20" spans="1:2">
      <c r="A20" s="18" t="s">
        <v>27</v>
      </c>
      <c r="B20" s="18" t="s">
        <v>28</v>
      </c>
    </row>
    <row r="21" spans="1:2">
      <c r="A21" s="18" t="s">
        <v>29</v>
      </c>
      <c r="B21" s="18" t="s">
        <v>30</v>
      </c>
    </row>
    <row r="22" spans="1:2">
      <c r="A22" s="18" t="s">
        <v>31</v>
      </c>
      <c r="B22" s="18" t="s">
        <v>32</v>
      </c>
    </row>
    <row r="23" spans="1:2">
      <c r="A23" s="18" t="s">
        <v>33</v>
      </c>
      <c r="B23" s="18" t="s">
        <v>34</v>
      </c>
    </row>
    <row r="24" spans="1:2">
      <c r="A24" s="18" t="s">
        <v>35</v>
      </c>
      <c r="B24" s="18" t="s">
        <v>36</v>
      </c>
    </row>
    <row r="25" spans="1:2">
      <c r="A25" s="18" t="s">
        <v>37</v>
      </c>
      <c r="B25" s="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0"/>
  <sheetViews>
    <sheetView workbookViewId="0"/>
  </sheetViews>
  <sheetFormatPr defaultRowHeight="14.25"/>
  <cols>
    <col min="1" max="1" width="18" customWidth="1"/>
    <col min="2" max="2" width="31" customWidth="1"/>
    <col min="3" max="3" width="29" customWidth="1"/>
    <col min="4" max="4" width="14" customWidth="1"/>
    <col min="5" max="5" width="11" customWidth="1"/>
    <col min="6" max="6" width="28" customWidth="1"/>
    <col min="7" max="7" width="58" customWidth="1"/>
    <col min="8" max="8" width="21" customWidth="1"/>
    <col min="9" max="9" width="12" customWidth="1"/>
    <col min="10" max="10" width="16" customWidth="1"/>
    <col min="11" max="11" width="48" customWidth="1"/>
    <col min="12" max="13" width="16" customWidth="1"/>
    <col min="14" max="14" width="24" customWidth="1"/>
    <col min="15" max="15" width="22" customWidth="1"/>
    <col min="16" max="16" width="24" customWidth="1"/>
    <col min="17" max="17" width="36" customWidth="1"/>
  </cols>
  <sheetData>
    <row r="1" spans="1:17" ht="78">
      <c r="A1" s="6" t="s">
        <v>39</v>
      </c>
      <c r="B1" s="6"/>
      <c r="C1" s="6"/>
      <c r="D1" s="6"/>
      <c r="E1" s="6"/>
      <c r="F1" s="6"/>
      <c r="G1" s="6"/>
      <c r="H1" s="6"/>
      <c r="I1" s="6"/>
      <c r="J1" s="6" t="s">
        <v>40</v>
      </c>
      <c r="K1" s="6" t="s">
        <v>41</v>
      </c>
      <c r="L1" s="6" t="s">
        <v>42</v>
      </c>
      <c r="M1" s="6" t="s">
        <v>43</v>
      </c>
      <c r="N1" s="6" t="s">
        <v>44</v>
      </c>
      <c r="O1" s="6" t="s">
        <v>45</v>
      </c>
      <c r="P1" s="6" t="s">
        <v>46</v>
      </c>
      <c r="Q1" s="6" t="s">
        <v>47</v>
      </c>
    </row>
    <row r="2" spans="1:17">
      <c r="A2" s="1"/>
      <c r="B2" s="1"/>
      <c r="C2" s="1"/>
      <c r="D2" s="1"/>
      <c r="E2" s="1"/>
      <c r="F2" s="1"/>
      <c r="G2" s="1"/>
      <c r="H2" s="1"/>
      <c r="I2" s="1"/>
      <c r="J2" s="1"/>
      <c r="K2" s="1"/>
      <c r="L2" s="1"/>
      <c r="M2" s="1"/>
      <c r="N2" s="1"/>
      <c r="O2" s="1"/>
      <c r="P2" s="1"/>
      <c r="Q2" s="1"/>
    </row>
    <row r="3" spans="1:17">
      <c r="A3" s="1"/>
      <c r="B3" s="1"/>
      <c r="C3" s="1"/>
      <c r="D3" s="1"/>
      <c r="E3" s="1"/>
      <c r="F3" s="1"/>
      <c r="G3" s="1"/>
      <c r="H3" s="1"/>
      <c r="I3" s="1"/>
      <c r="J3" s="1"/>
      <c r="K3" s="1"/>
      <c r="L3" s="1"/>
      <c r="M3" s="1"/>
      <c r="N3" s="1"/>
      <c r="O3" s="1"/>
      <c r="P3" s="1"/>
      <c r="Q3" s="1"/>
    </row>
    <row r="4" spans="1:17" ht="15">
      <c r="A4" s="8" t="s">
        <v>48</v>
      </c>
      <c r="B4" s="8" t="s">
        <v>49</v>
      </c>
      <c r="C4" s="8" t="s">
        <v>50</v>
      </c>
      <c r="D4" s="8" t="s">
        <v>51</v>
      </c>
      <c r="E4" s="8" t="s">
        <v>52</v>
      </c>
      <c r="F4" s="8" t="s">
        <v>53</v>
      </c>
      <c r="G4" s="8" t="s">
        <v>54</v>
      </c>
      <c r="H4" s="8" t="s">
        <v>55</v>
      </c>
      <c r="I4" s="8" t="s">
        <v>56</v>
      </c>
      <c r="J4" s="9"/>
      <c r="K4" s="9"/>
      <c r="L4" s="9"/>
      <c r="M4" s="9"/>
      <c r="N4" s="9"/>
      <c r="O4" s="9"/>
      <c r="P4" s="9"/>
      <c r="Q4" s="9"/>
    </row>
    <row r="5" spans="1:17">
      <c r="A5" s="10" t="s">
        <v>57</v>
      </c>
      <c r="B5" s="10" t="s">
        <v>58</v>
      </c>
      <c r="C5" s="10" t="s">
        <v>59</v>
      </c>
      <c r="D5" s="13">
        <f>'07_システム要求'!D9</f>
        <v>100</v>
      </c>
      <c r="E5" s="10" t="s">
        <v>60</v>
      </c>
      <c r="F5" s="10" t="s">
        <v>61</v>
      </c>
      <c r="G5" s="14" t="s">
        <v>62</v>
      </c>
      <c r="H5" s="10" t="s">
        <v>1</v>
      </c>
      <c r="I5" s="10" t="s">
        <v>63</v>
      </c>
      <c r="J5" s="12">
        <f>'07_システム要求'!D9</f>
        <v>100</v>
      </c>
      <c r="K5" s="12" t="s">
        <v>64</v>
      </c>
      <c r="L5" s="12" t="s">
        <v>65</v>
      </c>
      <c r="M5" s="12">
        <v>100</v>
      </c>
      <c r="N5" s="12" t="s">
        <v>66</v>
      </c>
      <c r="O5" s="12" t="s">
        <v>67</v>
      </c>
      <c r="P5" s="12" t="s">
        <v>68</v>
      </c>
      <c r="Q5" s="12" t="s">
        <v>69</v>
      </c>
    </row>
    <row r="6" spans="1:17">
      <c r="A6" s="10" t="s">
        <v>70</v>
      </c>
      <c r="B6" s="10" t="s">
        <v>71</v>
      </c>
      <c r="C6" s="10" t="s">
        <v>72</v>
      </c>
      <c r="D6" s="13">
        <f>'07_システム要求'!D13</f>
        <v>800</v>
      </c>
      <c r="E6" s="10" t="s">
        <v>73</v>
      </c>
      <c r="F6" s="10" t="s">
        <v>74</v>
      </c>
      <c r="G6" s="14" t="s">
        <v>75</v>
      </c>
      <c r="H6" s="10" t="s">
        <v>3</v>
      </c>
      <c r="I6" s="10" t="s">
        <v>76</v>
      </c>
      <c r="J6" s="12">
        <f>'07_システム要求'!D13</f>
        <v>800</v>
      </c>
      <c r="K6" s="12" t="s">
        <v>77</v>
      </c>
      <c r="L6" s="12" t="s">
        <v>65</v>
      </c>
      <c r="M6" s="12">
        <v>800</v>
      </c>
      <c r="N6" s="12" t="s">
        <v>66</v>
      </c>
      <c r="O6" s="12" t="s">
        <v>67</v>
      </c>
      <c r="P6" s="12" t="s">
        <v>68</v>
      </c>
      <c r="Q6" s="12" t="s">
        <v>69</v>
      </c>
    </row>
    <row r="7" spans="1:17" ht="28.5">
      <c r="A7" s="10" t="s">
        <v>70</v>
      </c>
      <c r="B7" s="10" t="s">
        <v>78</v>
      </c>
      <c r="C7" s="10" t="s">
        <v>79</v>
      </c>
      <c r="D7" s="13">
        <f>'07_システム要求'!D12</f>
        <v>400</v>
      </c>
      <c r="E7" s="10" t="s">
        <v>73</v>
      </c>
      <c r="F7" s="10" t="s">
        <v>80</v>
      </c>
      <c r="G7" s="14" t="s">
        <v>81</v>
      </c>
      <c r="H7" s="10" t="s">
        <v>3</v>
      </c>
      <c r="I7" s="10" t="s">
        <v>76</v>
      </c>
      <c r="J7" s="12">
        <f>'07_システム要求'!D12</f>
        <v>400</v>
      </c>
      <c r="K7" s="12" t="s">
        <v>82</v>
      </c>
      <c r="L7" s="12" t="s">
        <v>83</v>
      </c>
      <c r="M7" s="12">
        <v>400</v>
      </c>
      <c r="N7" s="12" t="s">
        <v>66</v>
      </c>
      <c r="O7" s="12" t="s">
        <v>67</v>
      </c>
      <c r="P7" s="12" t="s">
        <v>68</v>
      </c>
      <c r="Q7" s="12" t="s">
        <v>69</v>
      </c>
    </row>
    <row r="8" spans="1:17">
      <c r="A8" s="10" t="s">
        <v>70</v>
      </c>
      <c r="B8" s="10" t="s">
        <v>84</v>
      </c>
      <c r="C8" s="10" t="s">
        <v>85</v>
      </c>
      <c r="D8" s="13">
        <f>'07_システム要求'!D14</f>
        <v>0.95</v>
      </c>
      <c r="E8" s="10" t="s">
        <v>86</v>
      </c>
      <c r="F8" s="10" t="s">
        <v>80</v>
      </c>
      <c r="G8" s="14" t="s">
        <v>87</v>
      </c>
      <c r="H8" s="10" t="s">
        <v>3</v>
      </c>
      <c r="I8" s="10" t="s">
        <v>76</v>
      </c>
      <c r="J8" s="12">
        <f>'07_システム要求'!D14</f>
        <v>0.95</v>
      </c>
      <c r="K8" s="12" t="s">
        <v>88</v>
      </c>
      <c r="L8" s="12" t="s">
        <v>65</v>
      </c>
      <c r="M8" s="12">
        <v>0.95</v>
      </c>
      <c r="N8" s="12" t="s">
        <v>66</v>
      </c>
      <c r="O8" s="12" t="s">
        <v>67</v>
      </c>
      <c r="P8" s="12" t="s">
        <v>68</v>
      </c>
      <c r="Q8" s="12" t="s">
        <v>69</v>
      </c>
    </row>
    <row r="9" spans="1:17">
      <c r="A9" s="10" t="s">
        <v>70</v>
      </c>
      <c r="B9" s="10" t="s">
        <v>89</v>
      </c>
      <c r="C9" s="10" t="s">
        <v>90</v>
      </c>
      <c r="D9" s="13">
        <f>'07_システム要求'!D15</f>
        <v>0.97</v>
      </c>
      <c r="E9" s="10" t="s">
        <v>86</v>
      </c>
      <c r="F9" s="10" t="s">
        <v>91</v>
      </c>
      <c r="G9" s="14" t="s">
        <v>92</v>
      </c>
      <c r="H9" s="10" t="s">
        <v>3</v>
      </c>
      <c r="I9" s="10" t="s">
        <v>76</v>
      </c>
      <c r="J9" s="12">
        <f>'07_システム要求'!D15</f>
        <v>0.97</v>
      </c>
      <c r="K9" s="12" t="s">
        <v>93</v>
      </c>
      <c r="L9" s="12" t="s">
        <v>65</v>
      </c>
      <c r="M9" s="12">
        <v>0.97</v>
      </c>
      <c r="N9" s="12" t="s">
        <v>66</v>
      </c>
      <c r="O9" s="12" t="s">
        <v>67</v>
      </c>
      <c r="P9" s="12" t="s">
        <v>68</v>
      </c>
      <c r="Q9" s="12" t="s">
        <v>69</v>
      </c>
    </row>
    <row r="10" spans="1:17" ht="28.5">
      <c r="A10" s="10" t="s">
        <v>70</v>
      </c>
      <c r="B10" s="10" t="s">
        <v>94</v>
      </c>
      <c r="C10" s="10" t="s">
        <v>95</v>
      </c>
      <c r="D10" s="13">
        <f>'07_システム要求'!M10</f>
        <v>16000</v>
      </c>
      <c r="E10" s="10" t="s">
        <v>96</v>
      </c>
      <c r="F10" s="10" t="s">
        <v>97</v>
      </c>
      <c r="G10" s="14" t="s">
        <v>98</v>
      </c>
      <c r="H10" s="10" t="s">
        <v>3</v>
      </c>
      <c r="I10" s="10" t="s">
        <v>76</v>
      </c>
      <c r="J10" s="12">
        <f>'07_システム要求'!M10</f>
        <v>16000</v>
      </c>
      <c r="K10" s="12" t="s">
        <v>99</v>
      </c>
      <c r="L10" s="12" t="s">
        <v>65</v>
      </c>
      <c r="M10" s="12">
        <v>10000</v>
      </c>
      <c r="N10" s="12" t="s">
        <v>66</v>
      </c>
      <c r="O10" s="12" t="s">
        <v>67</v>
      </c>
      <c r="P10" s="12" t="s">
        <v>68</v>
      </c>
      <c r="Q10" s="12" t="s">
        <v>69</v>
      </c>
    </row>
    <row r="11" spans="1:17" ht="42.75">
      <c r="A11" s="10" t="s">
        <v>70</v>
      </c>
      <c r="B11" s="10" t="s">
        <v>100</v>
      </c>
      <c r="C11" s="10" t="s">
        <v>101</v>
      </c>
      <c r="D11" s="13">
        <f>'09_基準仕様'!E9</f>
        <v>0.05</v>
      </c>
      <c r="E11" s="10" t="s">
        <v>86</v>
      </c>
      <c r="F11" s="10" t="s">
        <v>102</v>
      </c>
      <c r="G11" s="14" t="s">
        <v>103</v>
      </c>
      <c r="H11" s="10" t="s">
        <v>3</v>
      </c>
      <c r="I11" s="10" t="s">
        <v>76</v>
      </c>
      <c r="J11" s="12"/>
      <c r="K11" s="12"/>
      <c r="L11" s="12"/>
      <c r="M11" s="12"/>
      <c r="N11" s="12" t="s">
        <v>104</v>
      </c>
      <c r="O11" s="12" t="s">
        <v>105</v>
      </c>
      <c r="P11" s="12" t="s">
        <v>106</v>
      </c>
      <c r="Q11" s="12" t="s">
        <v>69</v>
      </c>
    </row>
    <row r="12" spans="1:17" ht="42.75">
      <c r="A12" s="10" t="s">
        <v>70</v>
      </c>
      <c r="B12" s="10" t="s">
        <v>107</v>
      </c>
      <c r="C12" s="10" t="s">
        <v>108</v>
      </c>
      <c r="D12" s="13">
        <f>'09_基準仕様'!E10</f>
        <v>5.0000000000000001E-4</v>
      </c>
      <c r="E12" s="10" t="s">
        <v>109</v>
      </c>
      <c r="F12" s="10" t="s">
        <v>102</v>
      </c>
      <c r="G12" s="14" t="s">
        <v>110</v>
      </c>
      <c r="H12" s="10" t="s">
        <v>3</v>
      </c>
      <c r="I12" s="10" t="s">
        <v>76</v>
      </c>
      <c r="J12" s="12"/>
      <c r="K12" s="12"/>
      <c r="L12" s="12"/>
      <c r="M12" s="12"/>
      <c r="N12" s="12" t="s">
        <v>104</v>
      </c>
      <c r="O12" s="12" t="s">
        <v>105</v>
      </c>
      <c r="P12" s="12" t="s">
        <v>106</v>
      </c>
      <c r="Q12" s="12" t="s">
        <v>69</v>
      </c>
    </row>
    <row r="13" spans="1:17">
      <c r="A13" s="10" t="s">
        <v>111</v>
      </c>
      <c r="B13" s="10" t="s">
        <v>112</v>
      </c>
      <c r="C13" s="10" t="s">
        <v>113</v>
      </c>
      <c r="D13" s="13">
        <f>'07_システム要求'!M24</f>
        <v>6</v>
      </c>
      <c r="E13" s="10" t="s">
        <v>114</v>
      </c>
      <c r="F13" s="10" t="s">
        <v>115</v>
      </c>
      <c r="G13" s="14" t="s">
        <v>116</v>
      </c>
      <c r="H13" s="10" t="s">
        <v>3</v>
      </c>
      <c r="I13" s="10" t="s">
        <v>76</v>
      </c>
      <c r="J13" s="12"/>
      <c r="K13" s="12"/>
      <c r="L13" s="12"/>
      <c r="M13" s="12"/>
      <c r="N13" s="12" t="s">
        <v>66</v>
      </c>
      <c r="O13" s="12" t="s">
        <v>67</v>
      </c>
      <c r="P13" s="12" t="s">
        <v>117</v>
      </c>
      <c r="Q13" s="12" t="s">
        <v>118</v>
      </c>
    </row>
    <row r="14" spans="1:17" ht="28.5">
      <c r="A14" s="10" t="s">
        <v>111</v>
      </c>
      <c r="B14" s="10" t="s">
        <v>119</v>
      </c>
      <c r="C14" s="10" t="s">
        <v>120</v>
      </c>
      <c r="D14" s="13">
        <v>1</v>
      </c>
      <c r="E14" s="10" t="s">
        <v>86</v>
      </c>
      <c r="F14" s="10" t="s">
        <v>121</v>
      </c>
      <c r="G14" s="14" t="s">
        <v>122</v>
      </c>
      <c r="H14" s="10" t="s">
        <v>123</v>
      </c>
      <c r="I14" s="10" t="s">
        <v>76</v>
      </c>
      <c r="J14" s="12"/>
      <c r="K14" s="12"/>
      <c r="L14" s="12"/>
      <c r="M14" s="12"/>
      <c r="N14" s="12" t="s">
        <v>104</v>
      </c>
      <c r="O14" s="12" t="s">
        <v>105</v>
      </c>
      <c r="P14" s="12" t="s">
        <v>106</v>
      </c>
      <c r="Q14" s="12" t="s">
        <v>69</v>
      </c>
    </row>
    <row r="15" spans="1:17" ht="42.75">
      <c r="A15" s="10" t="s">
        <v>111</v>
      </c>
      <c r="B15" s="10" t="s">
        <v>124</v>
      </c>
      <c r="C15" s="10" t="s">
        <v>125</v>
      </c>
      <c r="D15" s="13">
        <f>'09_基準仕様'!E13</f>
        <v>0.72</v>
      </c>
      <c r="E15" s="10" t="s">
        <v>86</v>
      </c>
      <c r="F15" s="10" t="s">
        <v>126</v>
      </c>
      <c r="G15" s="14" t="s">
        <v>127</v>
      </c>
      <c r="H15" s="10" t="s">
        <v>123</v>
      </c>
      <c r="I15" s="10" t="s">
        <v>76</v>
      </c>
      <c r="J15" s="12"/>
      <c r="K15" s="12"/>
      <c r="L15" s="12"/>
      <c r="M15" s="12"/>
      <c r="N15" s="12" t="s">
        <v>104</v>
      </c>
      <c r="O15" s="12" t="s">
        <v>105</v>
      </c>
      <c r="P15" s="12" t="s">
        <v>106</v>
      </c>
      <c r="Q15" s="12" t="s">
        <v>69</v>
      </c>
    </row>
    <row r="16" spans="1:17" ht="71.25">
      <c r="A16" s="10" t="s">
        <v>111</v>
      </c>
      <c r="B16" s="10" t="s">
        <v>128</v>
      </c>
      <c r="C16" s="10" t="s">
        <v>129</v>
      </c>
      <c r="D16" s="13">
        <f>'09_基準仕様'!E14</f>
        <v>250000000</v>
      </c>
      <c r="E16" s="10" t="s">
        <v>130</v>
      </c>
      <c r="F16" s="10" t="s">
        <v>126</v>
      </c>
      <c r="G16" s="14" t="s">
        <v>131</v>
      </c>
      <c r="H16" s="10" t="s">
        <v>132</v>
      </c>
      <c r="I16" s="10" t="s">
        <v>76</v>
      </c>
      <c r="J16" s="12"/>
      <c r="K16" s="12"/>
      <c r="L16" s="12"/>
      <c r="M16" s="12"/>
      <c r="N16" s="12" t="s">
        <v>104</v>
      </c>
      <c r="O16" s="12" t="s">
        <v>105</v>
      </c>
      <c r="P16" s="12" t="s">
        <v>106</v>
      </c>
      <c r="Q16" s="12" t="s">
        <v>69</v>
      </c>
    </row>
    <row r="17" spans="1:17" ht="42.75">
      <c r="A17" s="10" t="s">
        <v>111</v>
      </c>
      <c r="B17" s="10" t="s">
        <v>133</v>
      </c>
      <c r="C17" s="10" t="s">
        <v>134</v>
      </c>
      <c r="D17" s="13">
        <f>'09_基準仕様'!E15</f>
        <v>1.1499999999999999</v>
      </c>
      <c r="E17" s="10" t="s">
        <v>86</v>
      </c>
      <c r="F17" s="10" t="s">
        <v>135</v>
      </c>
      <c r="G17" s="14" t="s">
        <v>136</v>
      </c>
      <c r="H17" s="10" t="s">
        <v>123</v>
      </c>
      <c r="I17" s="10" t="s">
        <v>76</v>
      </c>
      <c r="J17" s="12"/>
      <c r="K17" s="12"/>
      <c r="L17" s="12"/>
      <c r="M17" s="12"/>
      <c r="N17" s="12" t="s">
        <v>104</v>
      </c>
      <c r="O17" s="12" t="s">
        <v>105</v>
      </c>
      <c r="P17" s="12" t="s">
        <v>106</v>
      </c>
      <c r="Q17" s="12" t="s">
        <v>69</v>
      </c>
    </row>
    <row r="18" spans="1:17" ht="28.5">
      <c r="A18" s="10" t="s">
        <v>111</v>
      </c>
      <c r="B18" s="10" t="s">
        <v>137</v>
      </c>
      <c r="C18" s="10" t="s">
        <v>138</v>
      </c>
      <c r="D18" s="13">
        <f>'09_基準仕様'!E16</f>
        <v>8E+21</v>
      </c>
      <c r="E18" s="10" t="s">
        <v>139</v>
      </c>
      <c r="F18" s="10" t="s">
        <v>140</v>
      </c>
      <c r="G18" s="14" t="s">
        <v>141</v>
      </c>
      <c r="H18" s="10" t="s">
        <v>132</v>
      </c>
      <c r="I18" s="10" t="s">
        <v>76</v>
      </c>
      <c r="J18" s="12"/>
      <c r="K18" s="12"/>
      <c r="L18" s="12"/>
      <c r="M18" s="12"/>
      <c r="N18" s="12" t="s">
        <v>104</v>
      </c>
      <c r="O18" s="12" t="s">
        <v>105</v>
      </c>
      <c r="P18" s="12" t="s">
        <v>106</v>
      </c>
      <c r="Q18" s="12" t="s">
        <v>69</v>
      </c>
    </row>
    <row r="19" spans="1:17" ht="42.75">
      <c r="A19" s="10" t="s">
        <v>111</v>
      </c>
      <c r="B19" s="10" t="s">
        <v>142</v>
      </c>
      <c r="C19" s="10" t="s">
        <v>143</v>
      </c>
      <c r="D19" s="13">
        <f>'09_基準仕様'!E17</f>
        <v>1200</v>
      </c>
      <c r="E19" s="10" t="s">
        <v>73</v>
      </c>
      <c r="F19" s="10" t="s">
        <v>140</v>
      </c>
      <c r="G19" s="14" t="s">
        <v>144</v>
      </c>
      <c r="H19" s="10" t="s">
        <v>123</v>
      </c>
      <c r="I19" s="10" t="s">
        <v>76</v>
      </c>
      <c r="J19" s="12"/>
      <c r="K19" s="12"/>
      <c r="L19" s="12"/>
      <c r="M19" s="12"/>
      <c r="N19" s="12" t="s">
        <v>104</v>
      </c>
      <c r="O19" s="12" t="s">
        <v>105</v>
      </c>
      <c r="P19" s="12" t="s">
        <v>106</v>
      </c>
      <c r="Q19" s="12" t="s">
        <v>69</v>
      </c>
    </row>
    <row r="20" spans="1:17" ht="28.5">
      <c r="A20" s="10" t="s">
        <v>111</v>
      </c>
      <c r="B20" s="10" t="s">
        <v>145</v>
      </c>
      <c r="C20" s="10" t="s">
        <v>146</v>
      </c>
      <c r="D20" s="13">
        <f>'09_基準仕様'!E18</f>
        <v>1.2</v>
      </c>
      <c r="E20" s="10" t="s">
        <v>86</v>
      </c>
      <c r="F20" s="10" t="s">
        <v>140</v>
      </c>
      <c r="G20" s="14" t="s">
        <v>147</v>
      </c>
      <c r="H20" s="10" t="s">
        <v>123</v>
      </c>
      <c r="I20" s="10" t="s">
        <v>76</v>
      </c>
      <c r="J20" s="12"/>
      <c r="K20" s="12"/>
      <c r="L20" s="12"/>
      <c r="M20" s="12"/>
      <c r="N20" s="12" t="s">
        <v>104</v>
      </c>
      <c r="O20" s="12" t="s">
        <v>105</v>
      </c>
      <c r="P20" s="12" t="s">
        <v>106</v>
      </c>
      <c r="Q20" s="12" t="s">
        <v>69</v>
      </c>
    </row>
    <row r="21" spans="1:17" ht="28.5">
      <c r="A21" s="10" t="s">
        <v>111</v>
      </c>
      <c r="B21" s="10" t="s">
        <v>148</v>
      </c>
      <c r="C21" s="10" t="s">
        <v>149</v>
      </c>
      <c r="D21" s="13">
        <f>'09_基準仕様'!E19</f>
        <v>0.08</v>
      </c>
      <c r="E21" s="10" t="s">
        <v>150</v>
      </c>
      <c r="F21" s="10" t="s">
        <v>151</v>
      </c>
      <c r="G21" s="14" t="s">
        <v>152</v>
      </c>
      <c r="H21" s="10" t="s">
        <v>132</v>
      </c>
      <c r="I21" s="10" t="s">
        <v>76</v>
      </c>
      <c r="J21" s="12"/>
      <c r="K21" s="12"/>
      <c r="L21" s="12"/>
      <c r="M21" s="12"/>
      <c r="N21" s="12" t="s">
        <v>104</v>
      </c>
      <c r="O21" s="12" t="s">
        <v>105</v>
      </c>
      <c r="P21" s="12" t="s">
        <v>106</v>
      </c>
      <c r="Q21" s="12" t="s">
        <v>69</v>
      </c>
    </row>
    <row r="22" spans="1:17" ht="28.5">
      <c r="A22" s="10" t="s">
        <v>111</v>
      </c>
      <c r="B22" s="10" t="s">
        <v>153</v>
      </c>
      <c r="C22" s="10" t="s">
        <v>154</v>
      </c>
      <c r="D22" s="13">
        <f>'09_基準仕様'!E20</f>
        <v>1.602E-19</v>
      </c>
      <c r="E22" s="10" t="s">
        <v>155</v>
      </c>
      <c r="F22" s="10" t="s">
        <v>151</v>
      </c>
      <c r="G22" s="14" t="s">
        <v>156</v>
      </c>
      <c r="H22" s="10" t="s">
        <v>157</v>
      </c>
      <c r="I22" s="10" t="s">
        <v>63</v>
      </c>
      <c r="J22" s="12"/>
      <c r="K22" s="12"/>
      <c r="L22" s="12"/>
      <c r="M22" s="12"/>
      <c r="N22" s="12" t="s">
        <v>104</v>
      </c>
      <c r="O22" s="12" t="s">
        <v>105</v>
      </c>
      <c r="P22" s="12" t="s">
        <v>106</v>
      </c>
      <c r="Q22" s="12" t="s">
        <v>69</v>
      </c>
    </row>
    <row r="23" spans="1:17" ht="28.5">
      <c r="A23" s="10" t="s">
        <v>111</v>
      </c>
      <c r="B23" s="10" t="s">
        <v>158</v>
      </c>
      <c r="C23" s="10" t="s">
        <v>159</v>
      </c>
      <c r="D23" s="13">
        <f>'09_基準仕様'!E21</f>
        <v>1</v>
      </c>
      <c r="E23" s="10" t="s">
        <v>86</v>
      </c>
      <c r="F23" s="10" t="s">
        <v>160</v>
      </c>
      <c r="G23" s="14" t="s">
        <v>161</v>
      </c>
      <c r="H23" s="10" t="s">
        <v>123</v>
      </c>
      <c r="I23" s="10" t="s">
        <v>76</v>
      </c>
      <c r="J23" s="12"/>
      <c r="K23" s="12"/>
      <c r="L23" s="12"/>
      <c r="M23" s="12"/>
      <c r="N23" s="12" t="s">
        <v>104</v>
      </c>
      <c r="O23" s="12" t="s">
        <v>105</v>
      </c>
      <c r="P23" s="12" t="s">
        <v>106</v>
      </c>
      <c r="Q23" s="12" t="s">
        <v>69</v>
      </c>
    </row>
    <row r="24" spans="1:17" ht="28.5">
      <c r="A24" s="10" t="s">
        <v>111</v>
      </c>
      <c r="B24" s="10" t="s">
        <v>162</v>
      </c>
      <c r="C24" s="10" t="s">
        <v>163</v>
      </c>
      <c r="D24" s="13">
        <f>'09_基準仕様'!E22</f>
        <v>1.5E-3</v>
      </c>
      <c r="E24" s="10" t="s">
        <v>164</v>
      </c>
      <c r="F24" s="10" t="s">
        <v>165</v>
      </c>
      <c r="G24" s="14" t="s">
        <v>141</v>
      </c>
      <c r="H24" s="10" t="s">
        <v>123</v>
      </c>
      <c r="I24" s="10" t="s">
        <v>76</v>
      </c>
      <c r="J24" s="12"/>
      <c r="K24" s="12"/>
      <c r="L24" s="12"/>
      <c r="M24" s="12"/>
      <c r="N24" s="12" t="s">
        <v>104</v>
      </c>
      <c r="O24" s="12" t="s">
        <v>105</v>
      </c>
      <c r="P24" s="12" t="s">
        <v>106</v>
      </c>
      <c r="Q24" s="12" t="s">
        <v>69</v>
      </c>
    </row>
    <row r="25" spans="1:17" ht="28.5">
      <c r="A25" s="10" t="s">
        <v>111</v>
      </c>
      <c r="B25" s="10" t="s">
        <v>166</v>
      </c>
      <c r="C25" s="10" t="s">
        <v>167</v>
      </c>
      <c r="D25" s="13">
        <f>'09_基準仕様'!E23</f>
        <v>100</v>
      </c>
      <c r="E25" s="10" t="s">
        <v>168</v>
      </c>
      <c r="F25" s="10" t="s">
        <v>169</v>
      </c>
      <c r="G25" s="14" t="s">
        <v>98</v>
      </c>
      <c r="H25" s="10" t="s">
        <v>3</v>
      </c>
      <c r="I25" s="10" t="s">
        <v>76</v>
      </c>
      <c r="J25" s="12">
        <f>'07_システム要求'!M15</f>
        <v>100</v>
      </c>
      <c r="K25" s="12" t="s">
        <v>170</v>
      </c>
      <c r="L25" s="12" t="s">
        <v>83</v>
      </c>
      <c r="M25" s="12">
        <v>100</v>
      </c>
      <c r="N25" s="12" t="s">
        <v>104</v>
      </c>
      <c r="O25" s="12" t="s">
        <v>105</v>
      </c>
      <c r="P25" s="12" t="s">
        <v>106</v>
      </c>
      <c r="Q25" s="12" t="s">
        <v>69</v>
      </c>
    </row>
    <row r="26" spans="1:17" ht="42.75">
      <c r="A26" s="10" t="s">
        <v>111</v>
      </c>
      <c r="B26" s="10" t="s">
        <v>171</v>
      </c>
      <c r="C26" s="10" t="s">
        <v>172</v>
      </c>
      <c r="D26" s="13">
        <f>'09_基準仕様'!E24</f>
        <v>0.18</v>
      </c>
      <c r="E26" s="10" t="s">
        <v>173</v>
      </c>
      <c r="F26" s="10" t="s">
        <v>174</v>
      </c>
      <c r="G26" s="14" t="s">
        <v>175</v>
      </c>
      <c r="H26" s="10" t="s">
        <v>3</v>
      </c>
      <c r="I26" s="10" t="s">
        <v>76</v>
      </c>
      <c r="J26" s="12"/>
      <c r="K26" s="12"/>
      <c r="L26" s="12"/>
      <c r="M26" s="12"/>
      <c r="N26" s="12" t="s">
        <v>104</v>
      </c>
      <c r="O26" s="12" t="s">
        <v>105</v>
      </c>
      <c r="P26" s="12" t="s">
        <v>106</v>
      </c>
      <c r="Q26" s="12" t="s">
        <v>69</v>
      </c>
    </row>
    <row r="27" spans="1:17" ht="28.5">
      <c r="A27" s="10" t="s">
        <v>111</v>
      </c>
      <c r="B27" s="10" t="s">
        <v>176</v>
      </c>
      <c r="C27" s="10" t="s">
        <v>177</v>
      </c>
      <c r="D27" s="13">
        <f>'09_基準仕様'!E25</f>
        <v>3210</v>
      </c>
      <c r="E27" s="10" t="s">
        <v>178</v>
      </c>
      <c r="F27" s="10" t="s">
        <v>174</v>
      </c>
      <c r="G27" s="14" t="s">
        <v>179</v>
      </c>
      <c r="H27" s="10" t="s">
        <v>132</v>
      </c>
      <c r="I27" s="10" t="s">
        <v>76</v>
      </c>
      <c r="J27" s="12"/>
      <c r="K27" s="12"/>
      <c r="L27" s="12"/>
      <c r="M27" s="12"/>
      <c r="N27" s="12" t="s">
        <v>104</v>
      </c>
      <c r="O27" s="12" t="s">
        <v>105</v>
      </c>
      <c r="P27" s="12" t="s">
        <v>106</v>
      </c>
      <c r="Q27" s="12" t="s">
        <v>69</v>
      </c>
    </row>
    <row r="28" spans="1:17" ht="28.5">
      <c r="A28" s="10" t="s">
        <v>111</v>
      </c>
      <c r="B28" s="10" t="s">
        <v>180</v>
      </c>
      <c r="C28" s="10" t="s">
        <v>181</v>
      </c>
      <c r="D28" s="13">
        <f>'09_基準仕様'!E26</f>
        <v>5.1788079470198676E-3</v>
      </c>
      <c r="E28" s="10" t="s">
        <v>182</v>
      </c>
      <c r="F28" s="10" t="s">
        <v>183</v>
      </c>
      <c r="G28" s="14" t="s">
        <v>141</v>
      </c>
      <c r="H28" s="10" t="s">
        <v>123</v>
      </c>
      <c r="I28" s="10" t="s">
        <v>76</v>
      </c>
      <c r="J28" s="12"/>
      <c r="K28" s="12"/>
      <c r="L28" s="12"/>
      <c r="M28" s="12"/>
      <c r="N28" s="12" t="s">
        <v>104</v>
      </c>
      <c r="O28" s="12" t="s">
        <v>105</v>
      </c>
      <c r="P28" s="12" t="s">
        <v>106</v>
      </c>
      <c r="Q28" s="12" t="s">
        <v>69</v>
      </c>
    </row>
    <row r="29" spans="1:17" ht="28.5">
      <c r="A29" s="10" t="s">
        <v>111</v>
      </c>
      <c r="B29" s="10" t="s">
        <v>184</v>
      </c>
      <c r="C29" s="10" t="s">
        <v>185</v>
      </c>
      <c r="D29" s="13">
        <f>'09_基準仕様'!E27</f>
        <v>0.35</v>
      </c>
      <c r="E29" s="10" t="s">
        <v>86</v>
      </c>
      <c r="F29" s="10" t="s">
        <v>183</v>
      </c>
      <c r="G29" s="14" t="s">
        <v>186</v>
      </c>
      <c r="H29" s="10" t="s">
        <v>123</v>
      </c>
      <c r="I29" s="10" t="s">
        <v>76</v>
      </c>
      <c r="J29" s="12"/>
      <c r="K29" s="12"/>
      <c r="L29" s="12"/>
      <c r="M29" s="12"/>
      <c r="N29" s="12" t="s">
        <v>104</v>
      </c>
      <c r="O29" s="12" t="s">
        <v>105</v>
      </c>
      <c r="P29" s="12" t="s">
        <v>106</v>
      </c>
      <c r="Q29" s="12" t="s">
        <v>69</v>
      </c>
    </row>
    <row r="30" spans="1:17" ht="42.75">
      <c r="A30" s="10" t="s">
        <v>111</v>
      </c>
      <c r="B30" s="10" t="s">
        <v>187</v>
      </c>
      <c r="C30" s="10" t="s">
        <v>188</v>
      </c>
      <c r="D30" s="13">
        <f>'09_基準仕様'!E28</f>
        <v>1200</v>
      </c>
      <c r="E30" s="10" t="s">
        <v>73</v>
      </c>
      <c r="F30" s="10" t="s">
        <v>183</v>
      </c>
      <c r="G30" s="14" t="s">
        <v>189</v>
      </c>
      <c r="H30" s="10" t="s">
        <v>123</v>
      </c>
      <c r="I30" s="10" t="s">
        <v>76</v>
      </c>
      <c r="J30" s="12"/>
      <c r="K30" s="12"/>
      <c r="L30" s="12"/>
      <c r="M30" s="12"/>
      <c r="N30" s="12" t="s">
        <v>104</v>
      </c>
      <c r="O30" s="12" t="s">
        <v>105</v>
      </c>
      <c r="P30" s="12" t="s">
        <v>106</v>
      </c>
      <c r="Q30" s="12" t="s">
        <v>69</v>
      </c>
    </row>
    <row r="31" spans="1:17" ht="28.5">
      <c r="A31" s="10" t="s">
        <v>111</v>
      </c>
      <c r="B31" s="10" t="s">
        <v>190</v>
      </c>
      <c r="C31" s="10" t="s">
        <v>191</v>
      </c>
      <c r="D31" s="13">
        <f>'09_基準仕様'!E29</f>
        <v>1</v>
      </c>
      <c r="E31" s="10" t="s">
        <v>86</v>
      </c>
      <c r="F31" s="10" t="s">
        <v>192</v>
      </c>
      <c r="G31" s="14" t="s">
        <v>193</v>
      </c>
      <c r="H31" s="10" t="s">
        <v>123</v>
      </c>
      <c r="I31" s="10" t="s">
        <v>76</v>
      </c>
      <c r="J31" s="12"/>
      <c r="K31" s="12"/>
      <c r="L31" s="12"/>
      <c r="M31" s="12"/>
      <c r="N31" s="12" t="s">
        <v>104</v>
      </c>
      <c r="O31" s="12" t="s">
        <v>105</v>
      </c>
      <c r="P31" s="12" t="s">
        <v>106</v>
      </c>
      <c r="Q31" s="12" t="s">
        <v>69</v>
      </c>
    </row>
    <row r="32" spans="1:17" ht="28.5">
      <c r="A32" s="10" t="s">
        <v>111</v>
      </c>
      <c r="B32" s="10" t="s">
        <v>194</v>
      </c>
      <c r="C32" s="10" t="s">
        <v>195</v>
      </c>
      <c r="D32" s="13">
        <f>'09_基準仕様'!E30</f>
        <v>1.25</v>
      </c>
      <c r="E32" s="10" t="s">
        <v>86</v>
      </c>
      <c r="F32" s="10" t="s">
        <v>196</v>
      </c>
      <c r="G32" s="14" t="s">
        <v>197</v>
      </c>
      <c r="H32" s="10" t="s">
        <v>123</v>
      </c>
      <c r="I32" s="10" t="s">
        <v>76</v>
      </c>
      <c r="J32" s="12"/>
      <c r="K32" s="12"/>
      <c r="L32" s="12"/>
      <c r="M32" s="12"/>
      <c r="N32" s="12" t="s">
        <v>104</v>
      </c>
      <c r="O32" s="12" t="s">
        <v>105</v>
      </c>
      <c r="P32" s="12" t="s">
        <v>106</v>
      </c>
      <c r="Q32" s="12" t="s">
        <v>69</v>
      </c>
    </row>
    <row r="33" spans="1:17" ht="57">
      <c r="A33" s="10" t="s">
        <v>111</v>
      </c>
      <c r="B33" s="10" t="s">
        <v>198</v>
      </c>
      <c r="C33" s="10" t="s">
        <v>199</v>
      </c>
      <c r="D33" s="13">
        <f>'09_基準仕様'!E31</f>
        <v>1.1499999999999999</v>
      </c>
      <c r="E33" s="10" t="s">
        <v>200</v>
      </c>
      <c r="F33" s="10" t="s">
        <v>201</v>
      </c>
      <c r="G33" s="14" t="s">
        <v>202</v>
      </c>
      <c r="H33" s="10" t="s">
        <v>3</v>
      </c>
      <c r="I33" s="10" t="s">
        <v>76</v>
      </c>
      <c r="J33" s="12"/>
      <c r="K33" s="12"/>
      <c r="L33" s="12"/>
      <c r="M33" s="12"/>
      <c r="N33" s="12" t="s">
        <v>104</v>
      </c>
      <c r="O33" s="12" t="s">
        <v>105</v>
      </c>
      <c r="P33" s="12" t="s">
        <v>106</v>
      </c>
      <c r="Q33" s="12" t="s">
        <v>69</v>
      </c>
    </row>
    <row r="34" spans="1:17" ht="42.75">
      <c r="A34" s="10" t="s">
        <v>111</v>
      </c>
      <c r="B34" s="10" t="s">
        <v>203</v>
      </c>
      <c r="C34" s="10" t="s">
        <v>204</v>
      </c>
      <c r="D34" s="13">
        <f>'09_基準仕様'!E32</f>
        <v>0.72</v>
      </c>
      <c r="E34" s="10" t="s">
        <v>86</v>
      </c>
      <c r="F34" s="10" t="s">
        <v>205</v>
      </c>
      <c r="G34" s="14" t="s">
        <v>206</v>
      </c>
      <c r="H34" s="10" t="s">
        <v>123</v>
      </c>
      <c r="I34" s="10" t="s">
        <v>76</v>
      </c>
      <c r="J34" s="12"/>
      <c r="K34" s="12"/>
      <c r="L34" s="12"/>
      <c r="M34" s="12"/>
      <c r="N34" s="12" t="s">
        <v>104</v>
      </c>
      <c r="O34" s="12" t="s">
        <v>105</v>
      </c>
      <c r="P34" s="12" t="s">
        <v>106</v>
      </c>
      <c r="Q34" s="12" t="s">
        <v>69</v>
      </c>
    </row>
    <row r="35" spans="1:17" ht="57">
      <c r="A35" s="10" t="s">
        <v>111</v>
      </c>
      <c r="B35" s="10" t="s">
        <v>207</v>
      </c>
      <c r="C35" s="10" t="s">
        <v>208</v>
      </c>
      <c r="D35" s="13">
        <f>'09_基準仕様'!E33</f>
        <v>4200</v>
      </c>
      <c r="E35" s="10" t="s">
        <v>168</v>
      </c>
      <c r="F35" s="10" t="s">
        <v>209</v>
      </c>
      <c r="G35" s="14" t="s">
        <v>210</v>
      </c>
      <c r="H35" s="10" t="s">
        <v>3</v>
      </c>
      <c r="I35" s="10" t="s">
        <v>76</v>
      </c>
      <c r="J35" s="12"/>
      <c r="K35" s="12"/>
      <c r="L35" s="12"/>
      <c r="M35" s="12"/>
      <c r="N35" s="12" t="s">
        <v>104</v>
      </c>
      <c r="O35" s="12" t="s">
        <v>105</v>
      </c>
      <c r="P35" s="12" t="s">
        <v>106</v>
      </c>
      <c r="Q35" s="12" t="s">
        <v>69</v>
      </c>
    </row>
    <row r="36" spans="1:17" ht="57">
      <c r="A36" s="10" t="s">
        <v>111</v>
      </c>
      <c r="B36" s="10" t="s">
        <v>211</v>
      </c>
      <c r="C36" s="10" t="s">
        <v>212</v>
      </c>
      <c r="D36" s="13">
        <f>'09_基準仕様'!E34</f>
        <v>0.92</v>
      </c>
      <c r="E36" s="10" t="s">
        <v>173</v>
      </c>
      <c r="F36" s="10" t="s">
        <v>209</v>
      </c>
      <c r="G36" s="14" t="s">
        <v>213</v>
      </c>
      <c r="H36" s="10" t="s">
        <v>3</v>
      </c>
      <c r="I36" s="10" t="s">
        <v>76</v>
      </c>
      <c r="J36" s="12"/>
      <c r="K36" s="12"/>
      <c r="L36" s="12"/>
      <c r="M36" s="12"/>
      <c r="N36" s="12" t="s">
        <v>104</v>
      </c>
      <c r="O36" s="12" t="s">
        <v>105</v>
      </c>
      <c r="P36" s="12" t="s">
        <v>106</v>
      </c>
      <c r="Q36" s="12" t="s">
        <v>69</v>
      </c>
    </row>
    <row r="37" spans="1:17" ht="57">
      <c r="A37" s="10" t="s">
        <v>111</v>
      </c>
      <c r="B37" s="10" t="s">
        <v>214</v>
      </c>
      <c r="C37" s="10" t="s">
        <v>215</v>
      </c>
      <c r="D37" s="13">
        <f>'09_基準仕様'!E35</f>
        <v>4000</v>
      </c>
      <c r="E37" s="10" t="s">
        <v>178</v>
      </c>
      <c r="F37" s="10" t="s">
        <v>209</v>
      </c>
      <c r="G37" s="14" t="s">
        <v>216</v>
      </c>
      <c r="H37" s="10" t="s">
        <v>132</v>
      </c>
      <c r="I37" s="10" t="s">
        <v>76</v>
      </c>
      <c r="J37" s="12"/>
      <c r="K37" s="12"/>
      <c r="L37" s="12"/>
      <c r="M37" s="12"/>
      <c r="N37" s="12" t="s">
        <v>104</v>
      </c>
      <c r="O37" s="12" t="s">
        <v>105</v>
      </c>
      <c r="P37" s="12" t="s">
        <v>106</v>
      </c>
      <c r="Q37" s="12" t="s">
        <v>69</v>
      </c>
    </row>
    <row r="38" spans="1:17" ht="57">
      <c r="A38" s="10" t="s">
        <v>111</v>
      </c>
      <c r="B38" s="10" t="s">
        <v>217</v>
      </c>
      <c r="C38" s="10" t="s">
        <v>218</v>
      </c>
      <c r="D38" s="13">
        <f>'09_基準仕様'!E36</f>
        <v>5000</v>
      </c>
      <c r="E38" s="10" t="s">
        <v>168</v>
      </c>
      <c r="F38" s="10" t="s">
        <v>219</v>
      </c>
      <c r="G38" s="14" t="s">
        <v>220</v>
      </c>
      <c r="H38" s="10" t="s">
        <v>3</v>
      </c>
      <c r="I38" s="10" t="s">
        <v>76</v>
      </c>
      <c r="J38" s="12"/>
      <c r="K38" s="12"/>
      <c r="L38" s="12"/>
      <c r="M38" s="12"/>
      <c r="N38" s="12" t="s">
        <v>104</v>
      </c>
      <c r="O38" s="12" t="s">
        <v>105</v>
      </c>
      <c r="P38" s="12" t="s">
        <v>106</v>
      </c>
      <c r="Q38" s="12" t="s">
        <v>69</v>
      </c>
    </row>
    <row r="39" spans="1:17" ht="57">
      <c r="A39" s="10" t="s">
        <v>111</v>
      </c>
      <c r="B39" s="10" t="s">
        <v>221</v>
      </c>
      <c r="C39" s="10" t="s">
        <v>222</v>
      </c>
      <c r="D39" s="13">
        <f>'09_基準仕様'!E37</f>
        <v>3</v>
      </c>
      <c r="E39" s="10" t="s">
        <v>173</v>
      </c>
      <c r="F39" s="10" t="s">
        <v>219</v>
      </c>
      <c r="G39" s="14" t="s">
        <v>223</v>
      </c>
      <c r="H39" s="10" t="s">
        <v>3</v>
      </c>
      <c r="I39" s="10" t="s">
        <v>76</v>
      </c>
      <c r="J39" s="12"/>
      <c r="K39" s="12"/>
      <c r="L39" s="12"/>
      <c r="M39" s="12"/>
      <c r="N39" s="12" t="s">
        <v>104</v>
      </c>
      <c r="O39" s="12" t="s">
        <v>105</v>
      </c>
      <c r="P39" s="12" t="s">
        <v>106</v>
      </c>
      <c r="Q39" s="12" t="s">
        <v>69</v>
      </c>
    </row>
    <row r="40" spans="1:17" ht="28.5">
      <c r="A40" s="10" t="s">
        <v>111</v>
      </c>
      <c r="B40" s="10" t="s">
        <v>224</v>
      </c>
      <c r="C40" s="10" t="s">
        <v>225</v>
      </c>
      <c r="D40" s="13">
        <f>'09_基準仕様'!E38</f>
        <v>2700</v>
      </c>
      <c r="E40" s="10" t="s">
        <v>178</v>
      </c>
      <c r="F40" s="10" t="s">
        <v>219</v>
      </c>
      <c r="G40" s="14" t="s">
        <v>226</v>
      </c>
      <c r="H40" s="10" t="s">
        <v>132</v>
      </c>
      <c r="I40" s="10" t="s">
        <v>76</v>
      </c>
      <c r="J40" s="12"/>
      <c r="K40" s="12"/>
      <c r="L40" s="12"/>
      <c r="M40" s="12"/>
      <c r="N40" s="12" t="s">
        <v>104</v>
      </c>
      <c r="O40" s="12" t="s">
        <v>105</v>
      </c>
      <c r="P40" s="12" t="s">
        <v>106</v>
      </c>
      <c r="Q40" s="12" t="s">
        <v>69</v>
      </c>
    </row>
    <row r="41" spans="1:17" ht="57">
      <c r="A41" s="10" t="s">
        <v>111</v>
      </c>
      <c r="B41" s="10" t="s">
        <v>227</v>
      </c>
      <c r="C41" s="10" t="s">
        <v>228</v>
      </c>
      <c r="D41" s="13">
        <f>'09_基準仕様'!E39</f>
        <v>7.4999999999999997E-2</v>
      </c>
      <c r="E41" s="10" t="s">
        <v>229</v>
      </c>
      <c r="F41" s="10" t="s">
        <v>230</v>
      </c>
      <c r="G41" s="14" t="s">
        <v>231</v>
      </c>
      <c r="H41" s="10" t="s">
        <v>3</v>
      </c>
      <c r="I41" s="10" t="s">
        <v>76</v>
      </c>
      <c r="J41" s="12"/>
      <c r="K41" s="12"/>
      <c r="L41" s="12"/>
      <c r="M41" s="12"/>
      <c r="N41" s="12" t="s">
        <v>104</v>
      </c>
      <c r="O41" s="12" t="s">
        <v>105</v>
      </c>
      <c r="P41" s="12" t="s">
        <v>106</v>
      </c>
      <c r="Q41" s="12" t="s">
        <v>69</v>
      </c>
    </row>
    <row r="42" spans="1:17" ht="42.75">
      <c r="A42" s="10" t="s">
        <v>232</v>
      </c>
      <c r="B42" s="10" t="s">
        <v>233</v>
      </c>
      <c r="C42" s="10" t="s">
        <v>234</v>
      </c>
      <c r="D42" s="13">
        <f>'09_基準仕様'!E40</f>
        <v>10000</v>
      </c>
      <c r="E42" s="10" t="s">
        <v>235</v>
      </c>
      <c r="F42" s="10" t="s">
        <v>236</v>
      </c>
      <c r="G42" s="14" t="s">
        <v>237</v>
      </c>
      <c r="H42" s="10" t="s">
        <v>238</v>
      </c>
      <c r="I42" s="10" t="s">
        <v>76</v>
      </c>
      <c r="J42" s="12"/>
      <c r="K42" s="12"/>
      <c r="L42" s="12"/>
      <c r="M42" s="12"/>
      <c r="N42" s="12" t="s">
        <v>104</v>
      </c>
      <c r="O42" s="12" t="s">
        <v>105</v>
      </c>
      <c r="P42" s="12" t="s">
        <v>106</v>
      </c>
      <c r="Q42" s="12" t="s">
        <v>69</v>
      </c>
    </row>
    <row r="43" spans="1:17" ht="28.5">
      <c r="A43" s="10" t="s">
        <v>232</v>
      </c>
      <c r="B43" s="10" t="s">
        <v>239</v>
      </c>
      <c r="C43" s="10" t="s">
        <v>240</v>
      </c>
      <c r="D43" s="13">
        <f>'09_基準仕様'!E41</f>
        <v>0.95</v>
      </c>
      <c r="E43" s="10" t="s">
        <v>86</v>
      </c>
      <c r="F43" s="10" t="s">
        <v>236</v>
      </c>
      <c r="G43" s="14" t="s">
        <v>241</v>
      </c>
      <c r="H43" s="10" t="s">
        <v>123</v>
      </c>
      <c r="I43" s="10" t="s">
        <v>76</v>
      </c>
      <c r="J43" s="12"/>
      <c r="K43" s="12"/>
      <c r="L43" s="12"/>
      <c r="M43" s="12"/>
      <c r="N43" s="12" t="s">
        <v>104</v>
      </c>
      <c r="O43" s="12" t="s">
        <v>105</v>
      </c>
      <c r="P43" s="12" t="s">
        <v>106</v>
      </c>
      <c r="Q43" s="12" t="s">
        <v>69</v>
      </c>
    </row>
    <row r="44" spans="1:17" ht="28.5">
      <c r="A44" s="10" t="s">
        <v>232</v>
      </c>
      <c r="B44" s="10" t="s">
        <v>242</v>
      </c>
      <c r="C44" s="10" t="s">
        <v>243</v>
      </c>
      <c r="D44" s="13">
        <f>'09_基準仕様'!E42</f>
        <v>0.95</v>
      </c>
      <c r="E44" s="10" t="s">
        <v>86</v>
      </c>
      <c r="F44" s="10" t="s">
        <v>236</v>
      </c>
      <c r="G44" s="14" t="s">
        <v>244</v>
      </c>
      <c r="H44" s="10" t="s">
        <v>123</v>
      </c>
      <c r="I44" s="10" t="s">
        <v>76</v>
      </c>
      <c r="J44" s="12"/>
      <c r="K44" s="12"/>
      <c r="L44" s="12"/>
      <c r="M44" s="12"/>
      <c r="N44" s="12" t="s">
        <v>104</v>
      </c>
      <c r="O44" s="12" t="s">
        <v>105</v>
      </c>
      <c r="P44" s="12" t="s">
        <v>106</v>
      </c>
      <c r="Q44" s="12" t="s">
        <v>69</v>
      </c>
    </row>
    <row r="45" spans="1:17" ht="42.75">
      <c r="A45" s="10" t="s">
        <v>232</v>
      </c>
      <c r="B45" s="10" t="s">
        <v>245</v>
      </c>
      <c r="C45" s="10" t="s">
        <v>246</v>
      </c>
      <c r="D45" s="13">
        <f>'09_基準仕様'!E43</f>
        <v>0.75</v>
      </c>
      <c r="E45" s="10" t="s">
        <v>86</v>
      </c>
      <c r="F45" s="10" t="s">
        <v>236</v>
      </c>
      <c r="G45" s="14" t="s">
        <v>247</v>
      </c>
      <c r="H45" s="10" t="s">
        <v>123</v>
      </c>
      <c r="I45" s="10" t="s">
        <v>76</v>
      </c>
      <c r="J45" s="12"/>
      <c r="K45" s="12"/>
      <c r="L45" s="12"/>
      <c r="M45" s="12"/>
      <c r="N45" s="12" t="s">
        <v>104</v>
      </c>
      <c r="O45" s="12" t="s">
        <v>105</v>
      </c>
      <c r="P45" s="12" t="s">
        <v>106</v>
      </c>
      <c r="Q45" s="12" t="s">
        <v>69</v>
      </c>
    </row>
    <row r="46" spans="1:17" ht="42.75">
      <c r="A46" s="10" t="s">
        <v>232</v>
      </c>
      <c r="B46" s="10" t="s">
        <v>248</v>
      </c>
      <c r="C46" s="10" t="s">
        <v>249</v>
      </c>
      <c r="D46" s="13">
        <f>'09_基準仕様'!E44</f>
        <v>1.5</v>
      </c>
      <c r="E46" s="10" t="s">
        <v>250</v>
      </c>
      <c r="F46" s="10" t="s">
        <v>236</v>
      </c>
      <c r="G46" s="14" t="s">
        <v>251</v>
      </c>
      <c r="H46" s="10" t="s">
        <v>3</v>
      </c>
      <c r="I46" s="10" t="s">
        <v>76</v>
      </c>
      <c r="J46" s="12"/>
      <c r="K46" s="12"/>
      <c r="L46" s="12"/>
      <c r="M46" s="12"/>
      <c r="N46" s="12" t="s">
        <v>104</v>
      </c>
      <c r="O46" s="12" t="s">
        <v>105</v>
      </c>
      <c r="P46" s="12" t="s">
        <v>106</v>
      </c>
      <c r="Q46" s="12" t="s">
        <v>69</v>
      </c>
    </row>
    <row r="47" spans="1:17" ht="28.5">
      <c r="A47" s="10" t="s">
        <v>232</v>
      </c>
      <c r="B47" s="10" t="s">
        <v>252</v>
      </c>
      <c r="C47" s="10" t="s">
        <v>253</v>
      </c>
      <c r="D47" s="13">
        <f>'09_基準仕様'!E45</f>
        <v>1</v>
      </c>
      <c r="E47" s="10" t="s">
        <v>250</v>
      </c>
      <c r="F47" s="10" t="s">
        <v>236</v>
      </c>
      <c r="G47" s="14" t="s">
        <v>254</v>
      </c>
      <c r="H47" s="10" t="s">
        <v>123</v>
      </c>
      <c r="I47" s="10" t="s">
        <v>76</v>
      </c>
      <c r="J47" s="12"/>
      <c r="K47" s="12"/>
      <c r="L47" s="12"/>
      <c r="M47" s="12"/>
      <c r="N47" s="12" t="s">
        <v>104</v>
      </c>
      <c r="O47" s="12" t="s">
        <v>105</v>
      </c>
      <c r="P47" s="12" t="s">
        <v>106</v>
      </c>
      <c r="Q47" s="12" t="s">
        <v>69</v>
      </c>
    </row>
    <row r="48" spans="1:17" ht="42.75">
      <c r="A48" s="10" t="s">
        <v>232</v>
      </c>
      <c r="B48" s="10" t="s">
        <v>255</v>
      </c>
      <c r="C48" s="10" t="s">
        <v>256</v>
      </c>
      <c r="D48" s="13">
        <f>'09_基準仕様'!E46</f>
        <v>20</v>
      </c>
      <c r="E48" s="10" t="s">
        <v>257</v>
      </c>
      <c r="F48" s="10" t="s">
        <v>258</v>
      </c>
      <c r="G48" s="14" t="s">
        <v>259</v>
      </c>
      <c r="H48" s="10" t="s">
        <v>3</v>
      </c>
      <c r="I48" s="10" t="s">
        <v>76</v>
      </c>
      <c r="J48" s="12"/>
      <c r="K48" s="12"/>
      <c r="L48" s="12"/>
      <c r="M48" s="12"/>
      <c r="N48" s="12" t="s">
        <v>104</v>
      </c>
      <c r="O48" s="12" t="s">
        <v>105</v>
      </c>
      <c r="P48" s="12" t="s">
        <v>106</v>
      </c>
      <c r="Q48" s="12" t="s">
        <v>69</v>
      </c>
    </row>
    <row r="49" spans="1:17" ht="57">
      <c r="A49" s="10" t="s">
        <v>232</v>
      </c>
      <c r="B49" s="10" t="s">
        <v>260</v>
      </c>
      <c r="C49" s="10" t="s">
        <v>261</v>
      </c>
      <c r="D49" s="13">
        <f>'09_基準仕様'!E47</f>
        <v>6.0000000000000001E-3</v>
      </c>
      <c r="E49" s="10" t="s">
        <v>262</v>
      </c>
      <c r="F49" s="10" t="s">
        <v>263</v>
      </c>
      <c r="G49" s="14" t="s">
        <v>264</v>
      </c>
      <c r="H49" s="10" t="s">
        <v>3</v>
      </c>
      <c r="I49" s="10" t="s">
        <v>76</v>
      </c>
      <c r="J49" s="12"/>
      <c r="K49" s="12"/>
      <c r="L49" s="12"/>
      <c r="M49" s="12"/>
      <c r="N49" s="12" t="s">
        <v>104</v>
      </c>
      <c r="O49" s="12" t="s">
        <v>105</v>
      </c>
      <c r="P49" s="12" t="s">
        <v>106</v>
      </c>
      <c r="Q49" s="12" t="s">
        <v>69</v>
      </c>
    </row>
    <row r="50" spans="1:17" ht="42.75">
      <c r="A50" s="10" t="s">
        <v>232</v>
      </c>
      <c r="B50" s="10" t="s">
        <v>265</v>
      </c>
      <c r="C50" s="10" t="s">
        <v>266</v>
      </c>
      <c r="D50" s="13">
        <f>'09_基準仕様'!E48</f>
        <v>850</v>
      </c>
      <c r="E50" s="10" t="s">
        <v>178</v>
      </c>
      <c r="F50" s="10" t="s">
        <v>263</v>
      </c>
      <c r="G50" s="14" t="s">
        <v>267</v>
      </c>
      <c r="H50" s="10" t="s">
        <v>132</v>
      </c>
      <c r="I50" s="10" t="s">
        <v>76</v>
      </c>
      <c r="J50" s="12"/>
      <c r="K50" s="12"/>
      <c r="L50" s="12"/>
      <c r="M50" s="12"/>
      <c r="N50" s="12" t="s">
        <v>104</v>
      </c>
      <c r="O50" s="12" t="s">
        <v>105</v>
      </c>
      <c r="P50" s="12" t="s">
        <v>106</v>
      </c>
      <c r="Q50" s="12" t="s">
        <v>69</v>
      </c>
    </row>
    <row r="51" spans="1:17" ht="28.5">
      <c r="A51" s="10" t="s">
        <v>232</v>
      </c>
      <c r="B51" s="10" t="s">
        <v>268</v>
      </c>
      <c r="C51" s="10" t="s">
        <v>269</v>
      </c>
      <c r="D51" s="13">
        <f>'09_基準仕様'!E49</f>
        <v>1.2</v>
      </c>
      <c r="E51" s="10" t="s">
        <v>86</v>
      </c>
      <c r="F51" s="10" t="s">
        <v>270</v>
      </c>
      <c r="G51" s="14" t="s">
        <v>271</v>
      </c>
      <c r="H51" s="10" t="s">
        <v>123</v>
      </c>
      <c r="I51" s="10" t="s">
        <v>76</v>
      </c>
      <c r="J51" s="12"/>
      <c r="K51" s="12"/>
      <c r="L51" s="12"/>
      <c r="M51" s="12"/>
      <c r="N51" s="12" t="s">
        <v>104</v>
      </c>
      <c r="O51" s="12" t="s">
        <v>105</v>
      </c>
      <c r="P51" s="12" t="s">
        <v>106</v>
      </c>
      <c r="Q51" s="12" t="s">
        <v>69</v>
      </c>
    </row>
    <row r="52" spans="1:17" ht="57">
      <c r="A52" s="10" t="s">
        <v>232</v>
      </c>
      <c r="B52" s="10" t="s">
        <v>272</v>
      </c>
      <c r="C52" s="10" t="s">
        <v>273</v>
      </c>
      <c r="D52" s="13">
        <f>'09_基準仕様'!E50</f>
        <v>0.35</v>
      </c>
      <c r="E52" s="10" t="s">
        <v>229</v>
      </c>
      <c r="F52" s="10" t="s">
        <v>274</v>
      </c>
      <c r="G52" s="14" t="s">
        <v>275</v>
      </c>
      <c r="H52" s="10" t="s">
        <v>3</v>
      </c>
      <c r="I52" s="10" t="s">
        <v>76</v>
      </c>
      <c r="J52" s="12"/>
      <c r="K52" s="12"/>
      <c r="L52" s="12"/>
      <c r="M52" s="12"/>
      <c r="N52" s="12" t="s">
        <v>104</v>
      </c>
      <c r="O52" s="12" t="s">
        <v>105</v>
      </c>
      <c r="P52" s="12" t="s">
        <v>106</v>
      </c>
      <c r="Q52" s="12" t="s">
        <v>69</v>
      </c>
    </row>
    <row r="53" spans="1:17" ht="28.5">
      <c r="A53" s="10" t="s">
        <v>276</v>
      </c>
      <c r="B53" s="10" t="s">
        <v>277</v>
      </c>
      <c r="C53" s="10" t="s">
        <v>278</v>
      </c>
      <c r="D53" s="13">
        <f>'09_基準仕様'!E51</f>
        <v>1.25</v>
      </c>
      <c r="E53" s="10" t="s">
        <v>86</v>
      </c>
      <c r="F53" s="10" t="s">
        <v>279</v>
      </c>
      <c r="G53" s="14" t="s">
        <v>280</v>
      </c>
      <c r="H53" s="10" t="s">
        <v>123</v>
      </c>
      <c r="I53" s="10" t="s">
        <v>76</v>
      </c>
      <c r="J53" s="12"/>
      <c r="K53" s="12"/>
      <c r="L53" s="12"/>
      <c r="M53" s="12"/>
      <c r="N53" s="12" t="s">
        <v>104</v>
      </c>
      <c r="O53" s="12" t="s">
        <v>105</v>
      </c>
      <c r="P53" s="12" t="s">
        <v>106</v>
      </c>
      <c r="Q53" s="12" t="s">
        <v>69</v>
      </c>
    </row>
    <row r="54" spans="1:17" ht="57">
      <c r="A54" s="10" t="s">
        <v>276</v>
      </c>
      <c r="B54" s="10" t="s">
        <v>281</v>
      </c>
      <c r="C54" s="10" t="s">
        <v>282</v>
      </c>
      <c r="D54" s="13">
        <f>'09_基準仕様'!E52</f>
        <v>200</v>
      </c>
      <c r="E54" s="10" t="s">
        <v>283</v>
      </c>
      <c r="F54" s="10" t="s">
        <v>284</v>
      </c>
      <c r="G54" s="14" t="s">
        <v>285</v>
      </c>
      <c r="H54" s="10" t="s">
        <v>238</v>
      </c>
      <c r="I54" s="10" t="s">
        <v>76</v>
      </c>
      <c r="J54" s="12"/>
      <c r="K54" s="12"/>
      <c r="L54" s="12"/>
      <c r="M54" s="12"/>
      <c r="N54" s="12" t="s">
        <v>104</v>
      </c>
      <c r="O54" s="12" t="s">
        <v>105</v>
      </c>
      <c r="P54" s="12" t="s">
        <v>106</v>
      </c>
      <c r="Q54" s="12" t="s">
        <v>69</v>
      </c>
    </row>
    <row r="55" spans="1:17" ht="28.5">
      <c r="A55" s="10" t="s">
        <v>276</v>
      </c>
      <c r="B55" s="10" t="s">
        <v>286</v>
      </c>
      <c r="C55" s="10" t="s">
        <v>287</v>
      </c>
      <c r="D55" s="13">
        <f>'09_基準仕様'!E53</f>
        <v>1</v>
      </c>
      <c r="E55" s="10" t="s">
        <v>86</v>
      </c>
      <c r="F55" s="10" t="s">
        <v>284</v>
      </c>
      <c r="G55" s="14" t="s">
        <v>288</v>
      </c>
      <c r="H55" s="10" t="s">
        <v>123</v>
      </c>
      <c r="I55" s="10" t="s">
        <v>76</v>
      </c>
      <c r="J55" s="12"/>
      <c r="K55" s="12"/>
      <c r="L55" s="12"/>
      <c r="M55" s="12"/>
      <c r="N55" s="12" t="s">
        <v>104</v>
      </c>
      <c r="O55" s="12" t="s">
        <v>105</v>
      </c>
      <c r="P55" s="12" t="s">
        <v>106</v>
      </c>
      <c r="Q55" s="12" t="s">
        <v>69</v>
      </c>
    </row>
    <row r="56" spans="1:17" ht="28.5">
      <c r="A56" s="10" t="s">
        <v>276</v>
      </c>
      <c r="B56" s="10" t="s">
        <v>289</v>
      </c>
      <c r="C56" s="10" t="s">
        <v>290</v>
      </c>
      <c r="D56" s="13">
        <f>'09_基準仕様'!E54</f>
        <v>0.72</v>
      </c>
      <c r="E56" s="10" t="s">
        <v>86</v>
      </c>
      <c r="F56" s="10" t="s">
        <v>284</v>
      </c>
      <c r="G56" s="14" t="s">
        <v>291</v>
      </c>
      <c r="H56" s="10" t="s">
        <v>123</v>
      </c>
      <c r="I56" s="10" t="s">
        <v>76</v>
      </c>
      <c r="J56" s="12"/>
      <c r="K56" s="12"/>
      <c r="L56" s="12"/>
      <c r="M56" s="12"/>
      <c r="N56" s="12" t="s">
        <v>104</v>
      </c>
      <c r="O56" s="12" t="s">
        <v>105</v>
      </c>
      <c r="P56" s="12" t="s">
        <v>106</v>
      </c>
      <c r="Q56" s="12" t="s">
        <v>69</v>
      </c>
    </row>
    <row r="57" spans="1:17" ht="57">
      <c r="A57" s="10" t="s">
        <v>276</v>
      </c>
      <c r="B57" s="10" t="s">
        <v>292</v>
      </c>
      <c r="C57" s="10" t="s">
        <v>293</v>
      </c>
      <c r="D57" s="13">
        <f>'09_基準仕様'!E55</f>
        <v>0.1</v>
      </c>
      <c r="E57" s="10" t="s">
        <v>229</v>
      </c>
      <c r="F57" s="10" t="s">
        <v>294</v>
      </c>
      <c r="G57" s="14" t="s">
        <v>295</v>
      </c>
      <c r="H57" s="10" t="s">
        <v>3</v>
      </c>
      <c r="I57" s="10" t="s">
        <v>76</v>
      </c>
      <c r="J57" s="12"/>
      <c r="K57" s="12"/>
      <c r="L57" s="12"/>
      <c r="M57" s="12"/>
      <c r="N57" s="12" t="s">
        <v>104</v>
      </c>
      <c r="O57" s="12" t="s">
        <v>105</v>
      </c>
      <c r="P57" s="12" t="s">
        <v>106</v>
      </c>
      <c r="Q57" s="12" t="s">
        <v>69</v>
      </c>
    </row>
    <row r="58" spans="1:17" ht="42.75">
      <c r="A58" s="10" t="s">
        <v>296</v>
      </c>
      <c r="B58" s="10" t="s">
        <v>297</v>
      </c>
      <c r="C58" s="10" t="s">
        <v>298</v>
      </c>
      <c r="D58" s="13">
        <f>'09_基準仕様'!E56</f>
        <v>4</v>
      </c>
      <c r="E58" s="10" t="s">
        <v>200</v>
      </c>
      <c r="F58" s="10" t="s">
        <v>299</v>
      </c>
      <c r="G58" s="14" t="s">
        <v>300</v>
      </c>
      <c r="H58" s="10" t="s">
        <v>238</v>
      </c>
      <c r="I58" s="10" t="s">
        <v>76</v>
      </c>
      <c r="J58" s="12"/>
      <c r="K58" s="12"/>
      <c r="L58" s="12"/>
      <c r="M58" s="12"/>
      <c r="N58" s="12" t="s">
        <v>104</v>
      </c>
      <c r="O58" s="12" t="s">
        <v>105</v>
      </c>
      <c r="P58" s="12" t="s">
        <v>106</v>
      </c>
      <c r="Q58" s="12" t="s">
        <v>69</v>
      </c>
    </row>
    <row r="59" spans="1:17" ht="28.5">
      <c r="A59" s="10" t="s">
        <v>296</v>
      </c>
      <c r="B59" s="10" t="s">
        <v>301</v>
      </c>
      <c r="C59" s="10" t="s">
        <v>302</v>
      </c>
      <c r="D59" s="13">
        <f>'09_基準仕様'!E57</f>
        <v>105</v>
      </c>
      <c r="E59" s="10" t="s">
        <v>303</v>
      </c>
      <c r="F59" s="10" t="s">
        <v>304</v>
      </c>
      <c r="G59" s="14" t="s">
        <v>305</v>
      </c>
      <c r="H59" s="10" t="s">
        <v>3</v>
      </c>
      <c r="I59" s="10" t="s">
        <v>76</v>
      </c>
      <c r="J59" s="12"/>
      <c r="K59" s="12"/>
      <c r="L59" s="12"/>
      <c r="M59" s="12"/>
      <c r="N59" s="12" t="s">
        <v>104</v>
      </c>
      <c r="O59" s="12" t="s">
        <v>105</v>
      </c>
      <c r="P59" s="12" t="s">
        <v>106</v>
      </c>
      <c r="Q59" s="12" t="s">
        <v>69</v>
      </c>
    </row>
    <row r="60" spans="1:17">
      <c r="A60" s="10" t="s">
        <v>296</v>
      </c>
      <c r="B60" s="10" t="s">
        <v>306</v>
      </c>
      <c r="C60" s="10" t="s">
        <v>307</v>
      </c>
      <c r="D60" s="13">
        <f>'07_システム要求'!D18</f>
        <v>45</v>
      </c>
      <c r="E60" s="10" t="s">
        <v>303</v>
      </c>
      <c r="F60" s="10" t="s">
        <v>304</v>
      </c>
      <c r="G60" s="14" t="s">
        <v>308</v>
      </c>
      <c r="H60" s="10" t="s">
        <v>308</v>
      </c>
      <c r="I60" s="10" t="s">
        <v>76</v>
      </c>
      <c r="J60" s="12">
        <f>'07_システム要求'!D18</f>
        <v>45</v>
      </c>
      <c r="K60" s="12" t="s">
        <v>309</v>
      </c>
      <c r="L60" s="12" t="s">
        <v>65</v>
      </c>
      <c r="M60" s="12">
        <v>45</v>
      </c>
      <c r="N60" s="12" t="s">
        <v>66</v>
      </c>
      <c r="O60" s="12" t="s">
        <v>67</v>
      </c>
      <c r="P60" s="12" t="s">
        <v>68</v>
      </c>
      <c r="Q60" s="12" t="s">
        <v>69</v>
      </c>
    </row>
    <row r="61" spans="1:17" ht="28.5">
      <c r="A61" s="10" t="s">
        <v>296</v>
      </c>
      <c r="B61" s="10" t="s">
        <v>310</v>
      </c>
      <c r="C61" s="10" t="s">
        <v>311</v>
      </c>
      <c r="D61" s="13">
        <f>'09_基準仕様'!E58</f>
        <v>60</v>
      </c>
      <c r="E61" s="10" t="s">
        <v>257</v>
      </c>
      <c r="F61" s="10" t="s">
        <v>299</v>
      </c>
      <c r="G61" s="14" t="s">
        <v>312</v>
      </c>
      <c r="H61" s="10" t="s">
        <v>123</v>
      </c>
      <c r="I61" s="10" t="s">
        <v>76</v>
      </c>
      <c r="J61" s="12"/>
      <c r="K61" s="12"/>
      <c r="L61" s="12"/>
      <c r="M61" s="12"/>
      <c r="N61" s="12" t="s">
        <v>104</v>
      </c>
      <c r="O61" s="12" t="s">
        <v>105</v>
      </c>
      <c r="P61" s="12" t="s">
        <v>106</v>
      </c>
      <c r="Q61" s="12" t="s">
        <v>69</v>
      </c>
    </row>
    <row r="62" spans="1:17" ht="28.5">
      <c r="A62" s="10" t="s">
        <v>296</v>
      </c>
      <c r="B62" s="10" t="s">
        <v>313</v>
      </c>
      <c r="C62" s="10" t="s">
        <v>314</v>
      </c>
      <c r="D62" s="13">
        <f>'09_基準仕様'!E59</f>
        <v>1</v>
      </c>
      <c r="E62" s="10" t="s">
        <v>86</v>
      </c>
      <c r="F62" s="10" t="s">
        <v>299</v>
      </c>
      <c r="G62" s="14" t="s">
        <v>315</v>
      </c>
      <c r="H62" s="10" t="s">
        <v>123</v>
      </c>
      <c r="I62" s="10" t="s">
        <v>76</v>
      </c>
      <c r="J62" s="12"/>
      <c r="K62" s="12"/>
      <c r="L62" s="12"/>
      <c r="M62" s="12"/>
      <c r="N62" s="12" t="s">
        <v>104</v>
      </c>
      <c r="O62" s="12" t="s">
        <v>105</v>
      </c>
      <c r="P62" s="12" t="s">
        <v>106</v>
      </c>
      <c r="Q62" s="12" t="s">
        <v>69</v>
      </c>
    </row>
    <row r="63" spans="1:17" ht="57">
      <c r="A63" s="10" t="s">
        <v>296</v>
      </c>
      <c r="B63" s="10" t="s">
        <v>316</v>
      </c>
      <c r="C63" s="10" t="s">
        <v>317</v>
      </c>
      <c r="D63" s="13">
        <f>'09_基準仕様'!E60</f>
        <v>1.2</v>
      </c>
      <c r="E63" s="10" t="s">
        <v>262</v>
      </c>
      <c r="F63" s="10" t="s">
        <v>318</v>
      </c>
      <c r="G63" s="14" t="s">
        <v>319</v>
      </c>
      <c r="H63" s="10" t="s">
        <v>3</v>
      </c>
      <c r="I63" s="10" t="s">
        <v>76</v>
      </c>
      <c r="J63" s="12"/>
      <c r="K63" s="12"/>
      <c r="L63" s="12"/>
      <c r="M63" s="12"/>
      <c r="N63" s="12" t="s">
        <v>104</v>
      </c>
      <c r="O63" s="12" t="s">
        <v>105</v>
      </c>
      <c r="P63" s="12" t="s">
        <v>106</v>
      </c>
      <c r="Q63" s="12" t="s">
        <v>69</v>
      </c>
    </row>
    <row r="64" spans="1:17" ht="42.75">
      <c r="A64" s="10" t="s">
        <v>296</v>
      </c>
      <c r="B64" s="10" t="s">
        <v>320</v>
      </c>
      <c r="C64" s="10" t="s">
        <v>321</v>
      </c>
      <c r="D64" s="13">
        <f>'09_基準仕様'!E61</f>
        <v>2</v>
      </c>
      <c r="E64" s="10" t="s">
        <v>86</v>
      </c>
      <c r="F64" s="10" t="s">
        <v>318</v>
      </c>
      <c r="G64" s="14" t="s">
        <v>322</v>
      </c>
      <c r="H64" s="10" t="s">
        <v>323</v>
      </c>
      <c r="I64" s="10" t="s">
        <v>76</v>
      </c>
      <c r="J64" s="12"/>
      <c r="K64" s="12"/>
      <c r="L64" s="12"/>
      <c r="M64" s="12"/>
      <c r="N64" s="12" t="s">
        <v>104</v>
      </c>
      <c r="O64" s="12" t="s">
        <v>105</v>
      </c>
      <c r="P64" s="12" t="s">
        <v>106</v>
      </c>
      <c r="Q64" s="12" t="s">
        <v>69</v>
      </c>
    </row>
    <row r="65" spans="1:17" ht="28.5">
      <c r="A65" s="10" t="s">
        <v>296</v>
      </c>
      <c r="B65" s="10" t="s">
        <v>324</v>
      </c>
      <c r="C65" s="10" t="s">
        <v>325</v>
      </c>
      <c r="D65" s="13">
        <f>'09_基準仕様'!E62</f>
        <v>8960</v>
      </c>
      <c r="E65" s="10" t="s">
        <v>178</v>
      </c>
      <c r="F65" s="10" t="s">
        <v>318</v>
      </c>
      <c r="G65" s="14" t="s">
        <v>326</v>
      </c>
      <c r="H65" s="10" t="s">
        <v>132</v>
      </c>
      <c r="I65" s="10" t="s">
        <v>76</v>
      </c>
      <c r="J65" s="12"/>
      <c r="K65" s="12"/>
      <c r="L65" s="12"/>
      <c r="M65" s="12"/>
      <c r="N65" s="12" t="s">
        <v>104</v>
      </c>
      <c r="O65" s="12" t="s">
        <v>105</v>
      </c>
      <c r="P65" s="12" t="s">
        <v>106</v>
      </c>
      <c r="Q65" s="12" t="s">
        <v>69</v>
      </c>
    </row>
    <row r="66" spans="1:17" ht="28.5">
      <c r="A66" s="10" t="s">
        <v>296</v>
      </c>
      <c r="B66" s="10" t="s">
        <v>327</v>
      </c>
      <c r="C66" s="10" t="s">
        <v>328</v>
      </c>
      <c r="D66" s="13">
        <f>'09_基準仕様'!E63</f>
        <v>1.18</v>
      </c>
      <c r="E66" s="10" t="s">
        <v>86</v>
      </c>
      <c r="F66" s="10" t="s">
        <v>329</v>
      </c>
      <c r="G66" s="14" t="s">
        <v>330</v>
      </c>
      <c r="H66" s="10" t="s">
        <v>123</v>
      </c>
      <c r="I66" s="10" t="s">
        <v>76</v>
      </c>
      <c r="J66" s="12"/>
      <c r="K66" s="12"/>
      <c r="L66" s="12"/>
      <c r="M66" s="12"/>
      <c r="N66" s="12" t="s">
        <v>104</v>
      </c>
      <c r="O66" s="12" t="s">
        <v>105</v>
      </c>
      <c r="P66" s="12" t="s">
        <v>106</v>
      </c>
      <c r="Q66" s="12" t="s">
        <v>69</v>
      </c>
    </row>
    <row r="67" spans="1:17" ht="57">
      <c r="A67" s="10" t="s">
        <v>331</v>
      </c>
      <c r="B67" s="10" t="s">
        <v>332</v>
      </c>
      <c r="C67" s="10" t="s">
        <v>333</v>
      </c>
      <c r="D67" s="13">
        <f>'09_基準仕様'!E64</f>
        <v>0.45</v>
      </c>
      <c r="E67" s="10" t="s">
        <v>262</v>
      </c>
      <c r="F67" s="10" t="s">
        <v>334</v>
      </c>
      <c r="G67" s="14" t="s">
        <v>335</v>
      </c>
      <c r="H67" s="10" t="s">
        <v>3</v>
      </c>
      <c r="I67" s="10" t="s">
        <v>76</v>
      </c>
      <c r="J67" s="12"/>
      <c r="K67" s="12"/>
      <c r="L67" s="12"/>
      <c r="M67" s="12"/>
      <c r="N67" s="12" t="s">
        <v>104</v>
      </c>
      <c r="O67" s="12" t="s">
        <v>105</v>
      </c>
      <c r="P67" s="12" t="s">
        <v>106</v>
      </c>
      <c r="Q67" s="12" t="s">
        <v>69</v>
      </c>
    </row>
    <row r="68" spans="1:17" ht="57">
      <c r="A68" s="10" t="s">
        <v>331</v>
      </c>
      <c r="B68" s="10" t="s">
        <v>336</v>
      </c>
      <c r="C68" s="10" t="s">
        <v>337</v>
      </c>
      <c r="D68" s="13">
        <f>'09_基準仕様'!E65</f>
        <v>0.3</v>
      </c>
      <c r="E68" s="10" t="s">
        <v>262</v>
      </c>
      <c r="F68" s="10" t="s">
        <v>334</v>
      </c>
      <c r="G68" s="14" t="s">
        <v>338</v>
      </c>
      <c r="H68" s="10" t="s">
        <v>3</v>
      </c>
      <c r="I68" s="10" t="s">
        <v>76</v>
      </c>
      <c r="J68" s="12"/>
      <c r="K68" s="12"/>
      <c r="L68" s="12"/>
      <c r="M68" s="12"/>
      <c r="N68" s="12" t="s">
        <v>104</v>
      </c>
      <c r="O68" s="12" t="s">
        <v>105</v>
      </c>
      <c r="P68" s="12" t="s">
        <v>106</v>
      </c>
      <c r="Q68" s="12" t="s">
        <v>69</v>
      </c>
    </row>
    <row r="69" spans="1:17" ht="57">
      <c r="A69" s="10" t="s">
        <v>331</v>
      </c>
      <c r="B69" s="10" t="s">
        <v>339</v>
      </c>
      <c r="C69" s="10" t="s">
        <v>340</v>
      </c>
      <c r="D69" s="13">
        <f>'09_基準仕様'!E66</f>
        <v>0.15</v>
      </c>
      <c r="E69" s="10" t="s">
        <v>262</v>
      </c>
      <c r="F69" s="10" t="s">
        <v>334</v>
      </c>
      <c r="G69" s="14" t="s">
        <v>341</v>
      </c>
      <c r="H69" s="10" t="s">
        <v>3</v>
      </c>
      <c r="I69" s="10" t="s">
        <v>76</v>
      </c>
      <c r="J69" s="12"/>
      <c r="K69" s="12"/>
      <c r="L69" s="12"/>
      <c r="M69" s="12"/>
      <c r="N69" s="12" t="s">
        <v>104</v>
      </c>
      <c r="O69" s="12" t="s">
        <v>105</v>
      </c>
      <c r="P69" s="12" t="s">
        <v>106</v>
      </c>
      <c r="Q69" s="12" t="s">
        <v>69</v>
      </c>
    </row>
    <row r="70" spans="1:17" ht="57">
      <c r="A70" s="10" t="s">
        <v>331</v>
      </c>
      <c r="B70" s="10" t="s">
        <v>342</v>
      </c>
      <c r="C70" s="10" t="s">
        <v>343</v>
      </c>
      <c r="D70" s="13">
        <f>'09_基準仕様'!E67</f>
        <v>1.8E-3</v>
      </c>
      <c r="E70" s="10" t="s">
        <v>262</v>
      </c>
      <c r="F70" s="10" t="s">
        <v>344</v>
      </c>
      <c r="G70" s="14" t="s">
        <v>345</v>
      </c>
      <c r="H70" s="10" t="s">
        <v>3</v>
      </c>
      <c r="I70" s="10" t="s">
        <v>76</v>
      </c>
      <c r="J70" s="12"/>
      <c r="K70" s="12"/>
      <c r="L70" s="12"/>
      <c r="M70" s="12"/>
      <c r="N70" s="12" t="s">
        <v>104</v>
      </c>
      <c r="O70" s="12" t="s">
        <v>105</v>
      </c>
      <c r="P70" s="12" t="s">
        <v>106</v>
      </c>
      <c r="Q70" s="12" t="s">
        <v>69</v>
      </c>
    </row>
    <row r="71" spans="1:17" ht="28.5">
      <c r="A71" s="10" t="s">
        <v>331</v>
      </c>
      <c r="B71" s="10" t="s">
        <v>346</v>
      </c>
      <c r="C71" s="10" t="s">
        <v>347</v>
      </c>
      <c r="D71" s="13">
        <f>'09_基準仕様'!E68</f>
        <v>2700</v>
      </c>
      <c r="E71" s="10" t="s">
        <v>178</v>
      </c>
      <c r="F71" s="10" t="s">
        <v>344</v>
      </c>
      <c r="G71" s="14" t="s">
        <v>226</v>
      </c>
      <c r="H71" s="10" t="s">
        <v>132</v>
      </c>
      <c r="I71" s="10" t="s">
        <v>76</v>
      </c>
      <c r="J71" s="12"/>
      <c r="K71" s="12"/>
      <c r="L71" s="12"/>
      <c r="M71" s="12"/>
      <c r="N71" s="12" t="s">
        <v>104</v>
      </c>
      <c r="O71" s="12" t="s">
        <v>105</v>
      </c>
      <c r="P71" s="12" t="s">
        <v>106</v>
      </c>
      <c r="Q71" s="12" t="s">
        <v>69</v>
      </c>
    </row>
    <row r="72" spans="1:17" ht="28.5">
      <c r="A72" s="10" t="s">
        <v>331</v>
      </c>
      <c r="B72" s="10" t="s">
        <v>348</v>
      </c>
      <c r="C72" s="10" t="s">
        <v>349</v>
      </c>
      <c r="D72" s="13">
        <f>'09_基準仕様'!E69</f>
        <v>0.18</v>
      </c>
      <c r="E72" s="10" t="s">
        <v>86</v>
      </c>
      <c r="F72" s="10" t="s">
        <v>350</v>
      </c>
      <c r="G72" s="14" t="s">
        <v>351</v>
      </c>
      <c r="H72" s="10" t="s">
        <v>3</v>
      </c>
      <c r="I72" s="10" t="s">
        <v>76</v>
      </c>
      <c r="J72" s="12"/>
      <c r="K72" s="12"/>
      <c r="L72" s="12"/>
      <c r="M72" s="12"/>
      <c r="N72" s="12" t="s">
        <v>104</v>
      </c>
      <c r="O72" s="12" t="s">
        <v>105</v>
      </c>
      <c r="P72" s="12" t="s">
        <v>106</v>
      </c>
      <c r="Q72" s="12" t="s">
        <v>69</v>
      </c>
    </row>
    <row r="73" spans="1:17" ht="28.5">
      <c r="A73" s="10" t="s">
        <v>331</v>
      </c>
      <c r="B73" s="10" t="s">
        <v>352</v>
      </c>
      <c r="C73" s="10" t="s">
        <v>353</v>
      </c>
      <c r="D73" s="13">
        <f>'09_基準仕様'!E70</f>
        <v>1.08</v>
      </c>
      <c r="E73" s="10" t="s">
        <v>86</v>
      </c>
      <c r="F73" s="10" t="s">
        <v>350</v>
      </c>
      <c r="G73" s="14" t="s">
        <v>354</v>
      </c>
      <c r="H73" s="10" t="s">
        <v>123</v>
      </c>
      <c r="I73" s="10" t="s">
        <v>76</v>
      </c>
      <c r="J73" s="12"/>
      <c r="K73" s="12"/>
      <c r="L73" s="12"/>
      <c r="M73" s="12"/>
      <c r="N73" s="12" t="s">
        <v>104</v>
      </c>
      <c r="O73" s="12" t="s">
        <v>105</v>
      </c>
      <c r="P73" s="12" t="s">
        <v>106</v>
      </c>
      <c r="Q73" s="12" t="s">
        <v>69</v>
      </c>
    </row>
    <row r="74" spans="1:17" ht="28.5">
      <c r="A74" s="10" t="s">
        <v>331</v>
      </c>
      <c r="B74" s="10" t="s">
        <v>355</v>
      </c>
      <c r="C74" s="10" t="s">
        <v>356</v>
      </c>
      <c r="D74" s="13">
        <f>'09_基準仕様'!E71</f>
        <v>1.02</v>
      </c>
      <c r="E74" s="10" t="s">
        <v>86</v>
      </c>
      <c r="F74" s="10" t="s">
        <v>350</v>
      </c>
      <c r="G74" s="14" t="s">
        <v>357</v>
      </c>
      <c r="H74" s="10" t="s">
        <v>123</v>
      </c>
      <c r="I74" s="10" t="s">
        <v>76</v>
      </c>
      <c r="J74" s="12"/>
      <c r="K74" s="12"/>
      <c r="L74" s="12"/>
      <c r="M74" s="12"/>
      <c r="N74" s="12" t="s">
        <v>104</v>
      </c>
      <c r="O74" s="12" t="s">
        <v>105</v>
      </c>
      <c r="P74" s="12" t="s">
        <v>106</v>
      </c>
      <c r="Q74" s="12" t="s">
        <v>69</v>
      </c>
    </row>
    <row r="75" spans="1:17" ht="42.75">
      <c r="A75" s="10" t="s">
        <v>358</v>
      </c>
      <c r="B75" s="10" t="s">
        <v>359</v>
      </c>
      <c r="C75" s="10" t="s">
        <v>360</v>
      </c>
      <c r="D75" s="13">
        <f>'09_基準仕様'!E72</f>
        <v>60</v>
      </c>
      <c r="E75" s="10" t="s">
        <v>73</v>
      </c>
      <c r="F75" s="10" t="s">
        <v>361</v>
      </c>
      <c r="G75" s="14" t="s">
        <v>362</v>
      </c>
      <c r="H75" s="10" t="s">
        <v>238</v>
      </c>
      <c r="I75" s="10" t="s">
        <v>76</v>
      </c>
      <c r="J75" s="12"/>
      <c r="K75" s="12"/>
      <c r="L75" s="12"/>
      <c r="M75" s="12"/>
      <c r="N75" s="12" t="s">
        <v>104</v>
      </c>
      <c r="O75" s="12" t="s">
        <v>105</v>
      </c>
      <c r="P75" s="12" t="s">
        <v>106</v>
      </c>
      <c r="Q75" s="12" t="s">
        <v>69</v>
      </c>
    </row>
    <row r="76" spans="1:17" ht="28.5">
      <c r="A76" s="10" t="s">
        <v>358</v>
      </c>
      <c r="B76" s="10" t="s">
        <v>363</v>
      </c>
      <c r="C76" s="10" t="s">
        <v>364</v>
      </c>
      <c r="D76" s="13">
        <f>'09_基準仕様'!E73</f>
        <v>0.1</v>
      </c>
      <c r="E76" s="10" t="s">
        <v>86</v>
      </c>
      <c r="F76" s="10" t="s">
        <v>365</v>
      </c>
      <c r="G76" s="14" t="s">
        <v>366</v>
      </c>
      <c r="H76" s="10" t="s">
        <v>3</v>
      </c>
      <c r="I76" s="10" t="s">
        <v>76</v>
      </c>
      <c r="J76" s="12"/>
      <c r="K76" s="12"/>
      <c r="L76" s="12"/>
      <c r="M76" s="12"/>
      <c r="N76" s="12" t="s">
        <v>104</v>
      </c>
      <c r="O76" s="12" t="s">
        <v>105</v>
      </c>
      <c r="P76" s="12" t="s">
        <v>106</v>
      </c>
      <c r="Q76" s="12" t="s">
        <v>69</v>
      </c>
    </row>
    <row r="77" spans="1:17" ht="28.5">
      <c r="A77" s="10" t="s">
        <v>358</v>
      </c>
      <c r="B77" s="10" t="s">
        <v>367</v>
      </c>
      <c r="C77" s="10" t="s">
        <v>368</v>
      </c>
      <c r="D77" s="13">
        <f>'09_基準仕様'!E74</f>
        <v>0.1</v>
      </c>
      <c r="E77" s="10" t="s">
        <v>86</v>
      </c>
      <c r="F77" s="10" t="s">
        <v>369</v>
      </c>
      <c r="G77" s="14" t="s">
        <v>98</v>
      </c>
      <c r="H77" s="10" t="s">
        <v>3</v>
      </c>
      <c r="I77" s="10" t="s">
        <v>76</v>
      </c>
      <c r="J77" s="12"/>
      <c r="K77" s="12"/>
      <c r="L77" s="12"/>
      <c r="M77" s="12"/>
      <c r="N77" s="12" t="s">
        <v>104</v>
      </c>
      <c r="O77" s="12" t="s">
        <v>105</v>
      </c>
      <c r="P77" s="12" t="s">
        <v>106</v>
      </c>
      <c r="Q77" s="12" t="s">
        <v>69</v>
      </c>
    </row>
    <row r="78" spans="1:17" ht="28.5">
      <c r="A78" s="10" t="s">
        <v>358</v>
      </c>
      <c r="B78" s="10" t="s">
        <v>370</v>
      </c>
      <c r="C78" s="10" t="s">
        <v>371</v>
      </c>
      <c r="D78" s="13">
        <f>'09_基準仕様'!E75</f>
        <v>25000</v>
      </c>
      <c r="E78" s="10" t="s">
        <v>372</v>
      </c>
      <c r="F78" s="10" t="s">
        <v>373</v>
      </c>
      <c r="G78" s="14" t="s">
        <v>374</v>
      </c>
      <c r="H78" s="10" t="s">
        <v>123</v>
      </c>
      <c r="I78" s="10" t="s">
        <v>76</v>
      </c>
      <c r="J78" s="12"/>
      <c r="K78" s="12"/>
      <c r="L78" s="12"/>
      <c r="M78" s="12"/>
      <c r="N78" s="12" t="s">
        <v>104</v>
      </c>
      <c r="O78" s="12" t="s">
        <v>105</v>
      </c>
      <c r="P78" s="12" t="s">
        <v>106</v>
      </c>
      <c r="Q78" s="12" t="s">
        <v>69</v>
      </c>
    </row>
    <row r="79" spans="1:17" ht="28.5">
      <c r="A79" s="10" t="s">
        <v>358</v>
      </c>
      <c r="B79" s="10" t="s">
        <v>375</v>
      </c>
      <c r="C79" s="10" t="s">
        <v>376</v>
      </c>
      <c r="D79" s="13">
        <f>'09_基準仕様'!E76</f>
        <v>0.08</v>
      </c>
      <c r="E79" s="10" t="s">
        <v>86</v>
      </c>
      <c r="F79" s="10" t="s">
        <v>377</v>
      </c>
      <c r="G79" s="14" t="s">
        <v>378</v>
      </c>
      <c r="H79" s="10" t="s">
        <v>123</v>
      </c>
      <c r="I79" s="10" t="s">
        <v>76</v>
      </c>
      <c r="J79" s="12"/>
      <c r="K79" s="12"/>
      <c r="L79" s="12"/>
      <c r="M79" s="12"/>
      <c r="N79" s="12" t="s">
        <v>104</v>
      </c>
      <c r="O79" s="12" t="s">
        <v>105</v>
      </c>
      <c r="P79" s="12" t="s">
        <v>106</v>
      </c>
      <c r="Q79" s="12" t="s">
        <v>69</v>
      </c>
    </row>
    <row r="80" spans="1:17" ht="28.5">
      <c r="A80" s="10" t="s">
        <v>358</v>
      </c>
      <c r="B80" s="10" t="s">
        <v>379</v>
      </c>
      <c r="C80" s="10" t="s">
        <v>380</v>
      </c>
      <c r="D80" s="13">
        <f>'09_基準仕様'!E77</f>
        <v>0.02</v>
      </c>
      <c r="E80" s="10" t="s">
        <v>86</v>
      </c>
      <c r="F80" s="10" t="s">
        <v>381</v>
      </c>
      <c r="G80" s="14" t="s">
        <v>382</v>
      </c>
      <c r="H80" s="10" t="s">
        <v>3</v>
      </c>
      <c r="I80" s="10" t="s">
        <v>76</v>
      </c>
      <c r="J80" s="12"/>
      <c r="K80" s="12"/>
      <c r="L80" s="12"/>
      <c r="M80" s="12"/>
      <c r="N80" s="12" t="s">
        <v>104</v>
      </c>
      <c r="O80" s="12" t="s">
        <v>105</v>
      </c>
      <c r="P80" s="12" t="s">
        <v>106</v>
      </c>
      <c r="Q80" s="12" t="s">
        <v>69</v>
      </c>
    </row>
    <row r="81" spans="1:17" ht="28.5">
      <c r="A81" s="10" t="s">
        <v>358</v>
      </c>
      <c r="B81" s="10" t="s">
        <v>383</v>
      </c>
      <c r="C81" s="10" t="s">
        <v>384</v>
      </c>
      <c r="D81" s="13">
        <f>'09_基準仕様'!E78</f>
        <v>2500</v>
      </c>
      <c r="E81" s="10" t="s">
        <v>385</v>
      </c>
      <c r="F81" s="10" t="s">
        <v>386</v>
      </c>
      <c r="G81" s="14" t="s">
        <v>374</v>
      </c>
      <c r="H81" s="10" t="s">
        <v>123</v>
      </c>
      <c r="I81" s="10" t="s">
        <v>76</v>
      </c>
      <c r="J81" s="12"/>
      <c r="K81" s="12"/>
      <c r="L81" s="12"/>
      <c r="M81" s="12"/>
      <c r="N81" s="12" t="s">
        <v>104</v>
      </c>
      <c r="O81" s="12" t="s">
        <v>105</v>
      </c>
      <c r="P81" s="12" t="s">
        <v>106</v>
      </c>
      <c r="Q81" s="12" t="s">
        <v>69</v>
      </c>
    </row>
    <row r="82" spans="1:17" ht="57">
      <c r="A82" s="10" t="s">
        <v>292</v>
      </c>
      <c r="B82" s="10" t="s">
        <v>387</v>
      </c>
      <c r="C82" s="10" t="s">
        <v>388</v>
      </c>
      <c r="D82" s="13">
        <f>'09_基準仕様'!E79</f>
        <v>0.45</v>
      </c>
      <c r="E82" s="10" t="s">
        <v>229</v>
      </c>
      <c r="F82" s="10" t="s">
        <v>389</v>
      </c>
      <c r="G82" s="14" t="s">
        <v>390</v>
      </c>
      <c r="H82" s="10" t="s">
        <v>391</v>
      </c>
      <c r="I82" s="10" t="s">
        <v>63</v>
      </c>
      <c r="J82" s="12"/>
      <c r="K82" s="12"/>
      <c r="L82" s="12"/>
      <c r="M82" s="12"/>
      <c r="N82" s="12" t="s">
        <v>104</v>
      </c>
      <c r="O82" s="12" t="s">
        <v>105</v>
      </c>
      <c r="P82" s="12" t="s">
        <v>106</v>
      </c>
      <c r="Q82" s="12" t="s">
        <v>69</v>
      </c>
    </row>
    <row r="83" spans="1:17" ht="57">
      <c r="A83" s="10" t="s">
        <v>292</v>
      </c>
      <c r="B83" s="10" t="s">
        <v>392</v>
      </c>
      <c r="C83" s="10" t="s">
        <v>393</v>
      </c>
      <c r="D83" s="13">
        <f>'09_基準仕様'!E80</f>
        <v>0.28000000000000003</v>
      </c>
      <c r="E83" s="10" t="s">
        <v>229</v>
      </c>
      <c r="F83" s="10" t="s">
        <v>389</v>
      </c>
      <c r="G83" s="14" t="s">
        <v>394</v>
      </c>
      <c r="H83" s="10" t="s">
        <v>391</v>
      </c>
      <c r="I83" s="10" t="s">
        <v>63</v>
      </c>
      <c r="J83" s="12"/>
      <c r="K83" s="12"/>
      <c r="L83" s="12"/>
      <c r="M83" s="12"/>
      <c r="N83" s="12" t="s">
        <v>104</v>
      </c>
      <c r="O83" s="12" t="s">
        <v>105</v>
      </c>
      <c r="P83" s="12" t="s">
        <v>106</v>
      </c>
      <c r="Q83" s="12" t="s">
        <v>69</v>
      </c>
    </row>
    <row r="84" spans="1:17" ht="57">
      <c r="A84" s="10" t="s">
        <v>292</v>
      </c>
      <c r="B84" s="10" t="s">
        <v>395</v>
      </c>
      <c r="C84" s="10" t="s">
        <v>396</v>
      </c>
      <c r="D84" s="13">
        <f>'09_基準仕様'!E81</f>
        <v>0.42</v>
      </c>
      <c r="E84" s="10" t="s">
        <v>229</v>
      </c>
      <c r="F84" s="10" t="s">
        <v>389</v>
      </c>
      <c r="G84" s="14" t="s">
        <v>397</v>
      </c>
      <c r="H84" s="10" t="s">
        <v>391</v>
      </c>
      <c r="I84" s="10" t="s">
        <v>63</v>
      </c>
      <c r="J84" s="12"/>
      <c r="K84" s="12"/>
      <c r="L84" s="12"/>
      <c r="M84" s="12"/>
      <c r="N84" s="12" t="s">
        <v>104</v>
      </c>
      <c r="O84" s="12" t="s">
        <v>105</v>
      </c>
      <c r="P84" s="12" t="s">
        <v>106</v>
      </c>
      <c r="Q84" s="12" t="s">
        <v>69</v>
      </c>
    </row>
    <row r="85" spans="1:17" ht="57">
      <c r="A85" s="10" t="s">
        <v>292</v>
      </c>
      <c r="B85" s="10" t="s">
        <v>398</v>
      </c>
      <c r="C85" s="10" t="s">
        <v>399</v>
      </c>
      <c r="D85" s="13">
        <f>'09_基準仕様'!E82</f>
        <v>0.5</v>
      </c>
      <c r="E85" s="10" t="s">
        <v>229</v>
      </c>
      <c r="F85" s="10" t="s">
        <v>389</v>
      </c>
      <c r="G85" s="14" t="s">
        <v>400</v>
      </c>
      <c r="H85" s="10" t="s">
        <v>391</v>
      </c>
      <c r="I85" s="10" t="s">
        <v>63</v>
      </c>
      <c r="J85" s="12"/>
      <c r="K85" s="12"/>
      <c r="L85" s="12"/>
      <c r="M85" s="12"/>
      <c r="N85" s="12" t="s">
        <v>104</v>
      </c>
      <c r="O85" s="12" t="s">
        <v>105</v>
      </c>
      <c r="P85" s="12" t="s">
        <v>106</v>
      </c>
      <c r="Q85" s="12" t="s">
        <v>69</v>
      </c>
    </row>
    <row r="86" spans="1:17" ht="28.5">
      <c r="A86" s="10" t="s">
        <v>111</v>
      </c>
      <c r="B86" s="10" t="s">
        <v>401</v>
      </c>
      <c r="C86" s="10" t="s">
        <v>402</v>
      </c>
      <c r="D86" s="13">
        <f>'07_システム要求'!M16</f>
        <v>3</v>
      </c>
      <c r="E86" s="10" t="s">
        <v>86</v>
      </c>
      <c r="F86" s="10" t="s">
        <v>403</v>
      </c>
      <c r="G86" s="14" t="s">
        <v>404</v>
      </c>
      <c r="H86" s="10" t="s">
        <v>3</v>
      </c>
      <c r="I86" s="10" t="s">
        <v>76</v>
      </c>
      <c r="J86" s="12">
        <f>'07_システム要求'!M16</f>
        <v>3</v>
      </c>
      <c r="K86" s="12" t="s">
        <v>405</v>
      </c>
      <c r="L86" s="12" t="s">
        <v>83</v>
      </c>
      <c r="M86" s="12">
        <v>1</v>
      </c>
      <c r="N86" s="12" t="s">
        <v>66</v>
      </c>
      <c r="O86" s="12" t="s">
        <v>67</v>
      </c>
      <c r="P86" s="12" t="s">
        <v>117</v>
      </c>
      <c r="Q86" s="12" t="s">
        <v>406</v>
      </c>
    </row>
    <row r="87" spans="1:17" ht="28.5">
      <c r="A87" s="10" t="s">
        <v>111</v>
      </c>
      <c r="B87" s="10" t="s">
        <v>407</v>
      </c>
      <c r="C87" s="10" t="s">
        <v>408</v>
      </c>
      <c r="D87" s="13">
        <f>'09_基準仕様'!E83</f>
        <v>3.5000000000000003E-2</v>
      </c>
      <c r="E87" s="10" t="s">
        <v>409</v>
      </c>
      <c r="F87" s="10" t="s">
        <v>410</v>
      </c>
      <c r="G87" s="14" t="s">
        <v>411</v>
      </c>
      <c r="H87" s="10" t="s">
        <v>123</v>
      </c>
      <c r="I87" s="10" t="s">
        <v>76</v>
      </c>
      <c r="J87" s="12"/>
      <c r="K87" s="12"/>
      <c r="L87" s="12"/>
      <c r="M87" s="12"/>
      <c r="N87" s="12" t="s">
        <v>104</v>
      </c>
      <c r="O87" s="12" t="s">
        <v>105</v>
      </c>
      <c r="P87" s="12" t="s">
        <v>106</v>
      </c>
      <c r="Q87" s="12" t="s">
        <v>69</v>
      </c>
    </row>
    <row r="88" spans="1:17" ht="28.5">
      <c r="A88" s="10" t="s">
        <v>412</v>
      </c>
      <c r="B88" s="10" t="s">
        <v>413</v>
      </c>
      <c r="C88" s="10" t="s">
        <v>414</v>
      </c>
      <c r="D88" s="13">
        <f>'10_シナリオ入力'!E9</f>
        <v>0</v>
      </c>
      <c r="E88" s="10" t="s">
        <v>415</v>
      </c>
      <c r="F88" s="10" t="s">
        <v>416</v>
      </c>
      <c r="G88" s="14" t="s">
        <v>417</v>
      </c>
      <c r="H88" s="10" t="s">
        <v>418</v>
      </c>
      <c r="I88" s="10" t="s">
        <v>76</v>
      </c>
      <c r="J88" s="12"/>
      <c r="K88" s="12"/>
      <c r="L88" s="12"/>
      <c r="M88" s="12"/>
      <c r="N88" s="12" t="s">
        <v>419</v>
      </c>
      <c r="O88" s="12" t="s">
        <v>420</v>
      </c>
      <c r="P88" s="12" t="s">
        <v>421</v>
      </c>
      <c r="Q88" s="12" t="s">
        <v>422</v>
      </c>
    </row>
    <row r="89" spans="1:17" ht="57">
      <c r="A89" s="10" t="s">
        <v>412</v>
      </c>
      <c r="B89" s="10" t="s">
        <v>423</v>
      </c>
      <c r="C89" s="10" t="s">
        <v>424</v>
      </c>
      <c r="D89" s="13">
        <f>'09_基準仕様'!E84</f>
        <v>0.25</v>
      </c>
      <c r="E89" s="10" t="s">
        <v>86</v>
      </c>
      <c r="F89" s="10" t="s">
        <v>425</v>
      </c>
      <c r="G89" s="14" t="s">
        <v>426</v>
      </c>
      <c r="H89" s="10" t="s">
        <v>123</v>
      </c>
      <c r="I89" s="10" t="s">
        <v>76</v>
      </c>
      <c r="J89" s="12"/>
      <c r="K89" s="12"/>
      <c r="L89" s="12"/>
      <c r="M89" s="12"/>
      <c r="N89" s="12" t="s">
        <v>104</v>
      </c>
      <c r="O89" s="12" t="s">
        <v>105</v>
      </c>
      <c r="P89" s="12" t="s">
        <v>106</v>
      </c>
      <c r="Q89" s="12" t="s">
        <v>69</v>
      </c>
    </row>
    <row r="90" spans="1:17" ht="57">
      <c r="A90" s="10" t="s">
        <v>412</v>
      </c>
      <c r="B90" s="10" t="s">
        <v>427</v>
      </c>
      <c r="C90" s="10" t="s">
        <v>428</v>
      </c>
      <c r="D90" s="13">
        <f>'09_基準仕様'!E85</f>
        <v>2</v>
      </c>
      <c r="E90" s="10" t="s">
        <v>114</v>
      </c>
      <c r="F90" s="10" t="s">
        <v>429</v>
      </c>
      <c r="G90" s="14" t="s">
        <v>430</v>
      </c>
      <c r="H90" s="10" t="s">
        <v>238</v>
      </c>
      <c r="I90" s="10" t="s">
        <v>76</v>
      </c>
      <c r="J90" s="12"/>
      <c r="K90" s="12"/>
      <c r="L90" s="12"/>
      <c r="M90" s="12"/>
      <c r="N90" s="12" t="s">
        <v>104</v>
      </c>
      <c r="O90" s="12" t="s">
        <v>105</v>
      </c>
      <c r="P90" s="12" t="s">
        <v>106</v>
      </c>
      <c r="Q90" s="12" t="s">
        <v>69</v>
      </c>
    </row>
    <row r="91" spans="1:17" ht="57">
      <c r="A91" s="10" t="s">
        <v>412</v>
      </c>
      <c r="B91" s="10" t="s">
        <v>431</v>
      </c>
      <c r="C91" s="10" t="s">
        <v>432</v>
      </c>
      <c r="D91" s="13">
        <f>'09_基準仕様'!E86</f>
        <v>4.4999999999999998E-2</v>
      </c>
      <c r="E91" s="10" t="s">
        <v>433</v>
      </c>
      <c r="F91" s="10" t="s">
        <v>429</v>
      </c>
      <c r="G91" s="14" t="s">
        <v>434</v>
      </c>
      <c r="H91" s="10" t="s">
        <v>238</v>
      </c>
      <c r="I91" s="10" t="s">
        <v>76</v>
      </c>
      <c r="J91" s="12"/>
      <c r="K91" s="12"/>
      <c r="L91" s="12"/>
      <c r="M91" s="12"/>
      <c r="N91" s="12" t="s">
        <v>104</v>
      </c>
      <c r="O91" s="12" t="s">
        <v>105</v>
      </c>
      <c r="P91" s="12" t="s">
        <v>106</v>
      </c>
      <c r="Q91" s="12" t="s">
        <v>69</v>
      </c>
    </row>
    <row r="92" spans="1:17" ht="42.75">
      <c r="A92" s="10" t="s">
        <v>412</v>
      </c>
      <c r="B92" s="10" t="s">
        <v>435</v>
      </c>
      <c r="C92" s="10" t="s">
        <v>436</v>
      </c>
      <c r="D92" s="13">
        <f>'09_基準仕様'!E87</f>
        <v>0.18</v>
      </c>
      <c r="E92" s="10" t="s">
        <v>86</v>
      </c>
      <c r="F92" s="10" t="s">
        <v>437</v>
      </c>
      <c r="G92" s="14" t="s">
        <v>438</v>
      </c>
      <c r="H92" s="10" t="s">
        <v>123</v>
      </c>
      <c r="I92" s="10" t="s">
        <v>76</v>
      </c>
      <c r="J92" s="12"/>
      <c r="K92" s="12"/>
      <c r="L92" s="12"/>
      <c r="M92" s="12"/>
      <c r="N92" s="12" t="s">
        <v>104</v>
      </c>
      <c r="O92" s="12" t="s">
        <v>105</v>
      </c>
      <c r="P92" s="12" t="s">
        <v>106</v>
      </c>
      <c r="Q92" s="12" t="s">
        <v>69</v>
      </c>
    </row>
    <row r="93" spans="1:17" ht="42.75">
      <c r="A93" s="10" t="s">
        <v>412</v>
      </c>
      <c r="B93" s="10" t="s">
        <v>439</v>
      </c>
      <c r="C93" s="10" t="s">
        <v>440</v>
      </c>
      <c r="D93" s="13">
        <f>'09_基準仕様'!E88</f>
        <v>0.18</v>
      </c>
      <c r="E93" s="10" t="s">
        <v>86</v>
      </c>
      <c r="F93" s="10" t="s">
        <v>441</v>
      </c>
      <c r="G93" s="14" t="s">
        <v>442</v>
      </c>
      <c r="H93" s="10" t="s">
        <v>123</v>
      </c>
      <c r="I93" s="10" t="s">
        <v>76</v>
      </c>
      <c r="J93" s="12"/>
      <c r="K93" s="12"/>
      <c r="L93" s="12"/>
      <c r="M93" s="12"/>
      <c r="N93" s="12" t="s">
        <v>104</v>
      </c>
      <c r="O93" s="12" t="s">
        <v>105</v>
      </c>
      <c r="P93" s="12" t="s">
        <v>106</v>
      </c>
      <c r="Q93" s="12" t="s">
        <v>69</v>
      </c>
    </row>
    <row r="94" spans="1:17" ht="28.5">
      <c r="A94" s="10" t="s">
        <v>412</v>
      </c>
      <c r="B94" s="10" t="s">
        <v>443</v>
      </c>
      <c r="C94" s="10" t="s">
        <v>444</v>
      </c>
      <c r="D94" s="13">
        <f>'09_基準仕様'!E89</f>
        <v>25000</v>
      </c>
      <c r="E94" s="10" t="s">
        <v>372</v>
      </c>
      <c r="F94" s="10" t="s">
        <v>445</v>
      </c>
      <c r="G94" s="14" t="s">
        <v>374</v>
      </c>
      <c r="H94" s="10" t="s">
        <v>123</v>
      </c>
      <c r="I94" s="10" t="s">
        <v>76</v>
      </c>
      <c r="J94" s="12"/>
      <c r="K94" s="12"/>
      <c r="L94" s="12"/>
      <c r="M94" s="12"/>
      <c r="N94" s="12" t="s">
        <v>104</v>
      </c>
      <c r="O94" s="12" t="s">
        <v>105</v>
      </c>
      <c r="P94" s="12" t="s">
        <v>106</v>
      </c>
      <c r="Q94" s="12" t="s">
        <v>69</v>
      </c>
    </row>
    <row r="95" spans="1:17" ht="28.5">
      <c r="A95" s="10" t="s">
        <v>412</v>
      </c>
      <c r="B95" s="10" t="s">
        <v>446</v>
      </c>
      <c r="C95" s="10" t="s">
        <v>447</v>
      </c>
      <c r="D95" s="13">
        <f>'09_基準仕様'!E90</f>
        <v>2500</v>
      </c>
      <c r="E95" s="10" t="s">
        <v>385</v>
      </c>
      <c r="F95" s="10" t="s">
        <v>448</v>
      </c>
      <c r="G95" s="14" t="s">
        <v>374</v>
      </c>
      <c r="H95" s="10" t="s">
        <v>123</v>
      </c>
      <c r="I95" s="10" t="s">
        <v>76</v>
      </c>
      <c r="J95" s="12"/>
      <c r="K95" s="12"/>
      <c r="L95" s="12"/>
      <c r="M95" s="12"/>
      <c r="N95" s="12" t="s">
        <v>104</v>
      </c>
      <c r="O95" s="12" t="s">
        <v>105</v>
      </c>
      <c r="P95" s="12" t="s">
        <v>106</v>
      </c>
      <c r="Q95" s="12" t="s">
        <v>69</v>
      </c>
    </row>
    <row r="96" spans="1:17" ht="57">
      <c r="A96" s="10" t="s">
        <v>412</v>
      </c>
      <c r="B96" s="10" t="s">
        <v>449</v>
      </c>
      <c r="C96" s="10" t="s">
        <v>450</v>
      </c>
      <c r="D96" s="13">
        <f>'09_基準仕様'!E91</f>
        <v>0.08</v>
      </c>
      <c r="E96" s="10" t="s">
        <v>229</v>
      </c>
      <c r="F96" s="10" t="s">
        <v>451</v>
      </c>
      <c r="G96" s="14" t="s">
        <v>452</v>
      </c>
      <c r="H96" s="10" t="s">
        <v>238</v>
      </c>
      <c r="I96" s="10" t="s">
        <v>76</v>
      </c>
      <c r="J96" s="12"/>
      <c r="K96" s="12"/>
      <c r="L96" s="12"/>
      <c r="M96" s="12"/>
      <c r="N96" s="12" t="s">
        <v>104</v>
      </c>
      <c r="O96" s="12" t="s">
        <v>105</v>
      </c>
      <c r="P96" s="12" t="s">
        <v>106</v>
      </c>
      <c r="Q96" s="12" t="s">
        <v>69</v>
      </c>
    </row>
    <row r="97" spans="1:17" ht="57">
      <c r="A97" s="10" t="s">
        <v>453</v>
      </c>
      <c r="B97" s="10" t="s">
        <v>454</v>
      </c>
      <c r="C97" s="10" t="s">
        <v>455</v>
      </c>
      <c r="D97" s="13">
        <f>'09_基準仕様'!E92</f>
        <v>7.0000000000000007E-2</v>
      </c>
      <c r="E97" s="10" t="s">
        <v>262</v>
      </c>
      <c r="F97" s="10" t="s">
        <v>208</v>
      </c>
      <c r="G97" s="14" t="s">
        <v>456</v>
      </c>
      <c r="H97" s="10" t="s">
        <v>3</v>
      </c>
      <c r="I97" s="10" t="s">
        <v>76</v>
      </c>
      <c r="J97" s="12"/>
      <c r="K97" s="12"/>
      <c r="L97" s="12"/>
      <c r="M97" s="12"/>
      <c r="N97" s="12" t="s">
        <v>104</v>
      </c>
      <c r="O97" s="12" t="s">
        <v>105</v>
      </c>
      <c r="P97" s="12" t="s">
        <v>106</v>
      </c>
      <c r="Q97" s="12" t="s">
        <v>69</v>
      </c>
    </row>
    <row r="98" spans="1:17" ht="57">
      <c r="A98" s="10" t="s">
        <v>453</v>
      </c>
      <c r="B98" s="10" t="s">
        <v>457</v>
      </c>
      <c r="C98" s="10" t="s">
        <v>458</v>
      </c>
      <c r="D98" s="13">
        <f>'09_基準仕様'!E93</f>
        <v>0.06</v>
      </c>
      <c r="E98" s="10" t="s">
        <v>262</v>
      </c>
      <c r="F98" s="10" t="s">
        <v>208</v>
      </c>
      <c r="G98" s="14" t="s">
        <v>459</v>
      </c>
      <c r="H98" s="10" t="s">
        <v>3</v>
      </c>
      <c r="I98" s="10" t="s">
        <v>76</v>
      </c>
      <c r="J98" s="12"/>
      <c r="K98" s="12"/>
      <c r="L98" s="12"/>
      <c r="M98" s="12"/>
      <c r="N98" s="12" t="s">
        <v>104</v>
      </c>
      <c r="O98" s="12" t="s">
        <v>105</v>
      </c>
      <c r="P98" s="12" t="s">
        <v>106</v>
      </c>
      <c r="Q98" s="12" t="s">
        <v>69</v>
      </c>
    </row>
    <row r="99" spans="1:17" ht="57">
      <c r="A99" s="10" t="s">
        <v>453</v>
      </c>
      <c r="B99" s="10" t="s">
        <v>460</v>
      </c>
      <c r="C99" s="10" t="s">
        <v>461</v>
      </c>
      <c r="D99" s="13">
        <f>'09_基準仕様'!E94</f>
        <v>0.3</v>
      </c>
      <c r="E99" s="10" t="s">
        <v>173</v>
      </c>
      <c r="F99" s="10" t="s">
        <v>462</v>
      </c>
      <c r="G99" s="14" t="s">
        <v>463</v>
      </c>
      <c r="H99" s="10" t="s">
        <v>3</v>
      </c>
      <c r="I99" s="10" t="s">
        <v>76</v>
      </c>
      <c r="J99" s="12"/>
      <c r="K99" s="12"/>
      <c r="L99" s="12"/>
      <c r="M99" s="12"/>
      <c r="N99" s="12" t="s">
        <v>104</v>
      </c>
      <c r="O99" s="12" t="s">
        <v>105</v>
      </c>
      <c r="P99" s="12" t="s">
        <v>106</v>
      </c>
      <c r="Q99" s="12" t="s">
        <v>69</v>
      </c>
    </row>
    <row r="100" spans="1:17" ht="57">
      <c r="A100" s="10" t="s">
        <v>453</v>
      </c>
      <c r="B100" s="10" t="s">
        <v>464</v>
      </c>
      <c r="C100" s="10" t="s">
        <v>465</v>
      </c>
      <c r="D100" s="13">
        <f>'09_基準仕様'!E95</f>
        <v>0.32</v>
      </c>
      <c r="E100" s="10" t="s">
        <v>173</v>
      </c>
      <c r="F100" s="10" t="s">
        <v>462</v>
      </c>
      <c r="G100" s="14" t="s">
        <v>466</v>
      </c>
      <c r="H100" s="10" t="s">
        <v>3</v>
      </c>
      <c r="I100" s="10" t="s">
        <v>76</v>
      </c>
      <c r="J100" s="12"/>
      <c r="K100" s="12"/>
      <c r="L100" s="12"/>
      <c r="M100" s="12"/>
      <c r="N100" s="12" t="s">
        <v>104</v>
      </c>
      <c r="O100" s="12" t="s">
        <v>105</v>
      </c>
      <c r="P100" s="12" t="s">
        <v>106</v>
      </c>
      <c r="Q100" s="12" t="s">
        <v>69</v>
      </c>
    </row>
    <row r="101" spans="1:17" ht="57">
      <c r="A101" s="10" t="s">
        <v>453</v>
      </c>
      <c r="B101" s="10" t="s">
        <v>467</v>
      </c>
      <c r="C101" s="10" t="s">
        <v>468</v>
      </c>
      <c r="D101" s="13">
        <f>'09_基準仕様'!E96</f>
        <v>0.3</v>
      </c>
      <c r="E101" s="10" t="s">
        <v>173</v>
      </c>
      <c r="F101" s="10" t="s">
        <v>462</v>
      </c>
      <c r="G101" s="14" t="s">
        <v>469</v>
      </c>
      <c r="H101" s="10" t="s">
        <v>3</v>
      </c>
      <c r="I101" s="10" t="s">
        <v>76</v>
      </c>
      <c r="J101" s="12"/>
      <c r="K101" s="12"/>
      <c r="L101" s="12"/>
      <c r="M101" s="12"/>
      <c r="N101" s="12" t="s">
        <v>104</v>
      </c>
      <c r="O101" s="12" t="s">
        <v>105</v>
      </c>
      <c r="P101" s="12" t="s">
        <v>106</v>
      </c>
      <c r="Q101" s="12" t="s">
        <v>69</v>
      </c>
    </row>
    <row r="102" spans="1:17" ht="28.5">
      <c r="A102" s="10" t="s">
        <v>453</v>
      </c>
      <c r="B102" s="10" t="s">
        <v>470</v>
      </c>
      <c r="C102" s="10" t="s">
        <v>471</v>
      </c>
      <c r="D102" s="13">
        <f>'09_基準仕様'!E97</f>
        <v>8960</v>
      </c>
      <c r="E102" s="10" t="s">
        <v>178</v>
      </c>
      <c r="F102" s="10" t="s">
        <v>215</v>
      </c>
      <c r="G102" s="14" t="s">
        <v>472</v>
      </c>
      <c r="H102" s="10" t="s">
        <v>132</v>
      </c>
      <c r="I102" s="10" t="s">
        <v>76</v>
      </c>
      <c r="J102" s="12"/>
      <c r="K102" s="12"/>
      <c r="L102" s="12"/>
      <c r="M102" s="12"/>
      <c r="N102" s="12" t="s">
        <v>104</v>
      </c>
      <c r="O102" s="12" t="s">
        <v>105</v>
      </c>
      <c r="P102" s="12" t="s">
        <v>106</v>
      </c>
      <c r="Q102" s="12" t="s">
        <v>69</v>
      </c>
    </row>
    <row r="103" spans="1:17" ht="28.5">
      <c r="A103" s="10" t="s">
        <v>453</v>
      </c>
      <c r="B103" s="10" t="s">
        <v>473</v>
      </c>
      <c r="C103" s="10" t="s">
        <v>474</v>
      </c>
      <c r="D103" s="13">
        <f>'09_基準仕様'!E98</f>
        <v>3260</v>
      </c>
      <c r="E103" s="10" t="s">
        <v>178</v>
      </c>
      <c r="F103" s="10" t="s">
        <v>215</v>
      </c>
      <c r="G103" s="14" t="s">
        <v>475</v>
      </c>
      <c r="H103" s="10" t="s">
        <v>132</v>
      </c>
      <c r="I103" s="10" t="s">
        <v>76</v>
      </c>
      <c r="J103" s="12"/>
      <c r="K103" s="12"/>
      <c r="L103" s="12"/>
      <c r="M103" s="12"/>
      <c r="N103" s="12" t="s">
        <v>104</v>
      </c>
      <c r="O103" s="12" t="s">
        <v>105</v>
      </c>
      <c r="P103" s="12" t="s">
        <v>106</v>
      </c>
      <c r="Q103" s="12" t="s">
        <v>69</v>
      </c>
    </row>
    <row r="104" spans="1:17" ht="57">
      <c r="A104" s="10" t="s">
        <v>476</v>
      </c>
      <c r="B104" s="10" t="s">
        <v>477</v>
      </c>
      <c r="C104" s="10" t="s">
        <v>478</v>
      </c>
      <c r="D104" s="13">
        <f>'09_基準仕様'!E99</f>
        <v>0.08</v>
      </c>
      <c r="E104" s="10" t="s">
        <v>262</v>
      </c>
      <c r="F104" s="10" t="s">
        <v>479</v>
      </c>
      <c r="G104" s="14" t="s">
        <v>480</v>
      </c>
      <c r="H104" s="10" t="s">
        <v>3</v>
      </c>
      <c r="I104" s="10" t="s">
        <v>76</v>
      </c>
      <c r="J104" s="12"/>
      <c r="K104" s="12"/>
      <c r="L104" s="12"/>
      <c r="M104" s="12"/>
      <c r="N104" s="12" t="s">
        <v>104</v>
      </c>
      <c r="O104" s="12" t="s">
        <v>105</v>
      </c>
      <c r="P104" s="12" t="s">
        <v>106</v>
      </c>
      <c r="Q104" s="12" t="s">
        <v>69</v>
      </c>
    </row>
    <row r="105" spans="1:17" ht="57">
      <c r="A105" s="10" t="s">
        <v>476</v>
      </c>
      <c r="B105" s="10" t="s">
        <v>481</v>
      </c>
      <c r="C105" s="10" t="s">
        <v>482</v>
      </c>
      <c r="D105" s="13">
        <f>'09_基準仕様'!E100</f>
        <v>6.5000000000000002E-2</v>
      </c>
      <c r="E105" s="10" t="s">
        <v>262</v>
      </c>
      <c r="F105" s="10" t="s">
        <v>218</v>
      </c>
      <c r="G105" s="14" t="s">
        <v>483</v>
      </c>
      <c r="H105" s="10" t="s">
        <v>3</v>
      </c>
      <c r="I105" s="10" t="s">
        <v>76</v>
      </c>
      <c r="J105" s="12"/>
      <c r="K105" s="12"/>
      <c r="L105" s="12"/>
      <c r="M105" s="12"/>
      <c r="N105" s="12" t="s">
        <v>104</v>
      </c>
      <c r="O105" s="12" t="s">
        <v>105</v>
      </c>
      <c r="P105" s="12" t="s">
        <v>106</v>
      </c>
      <c r="Q105" s="12" t="s">
        <v>69</v>
      </c>
    </row>
    <row r="106" spans="1:17" ht="28.5">
      <c r="A106" s="10" t="s">
        <v>476</v>
      </c>
      <c r="B106" s="10" t="s">
        <v>484</v>
      </c>
      <c r="C106" s="10" t="s">
        <v>485</v>
      </c>
      <c r="D106" s="13">
        <f>'09_基準仕様'!E101</f>
        <v>1</v>
      </c>
      <c r="E106" s="10" t="s">
        <v>86</v>
      </c>
      <c r="F106" s="10" t="s">
        <v>486</v>
      </c>
      <c r="G106" s="14" t="s">
        <v>487</v>
      </c>
      <c r="H106" s="10" t="s">
        <v>123</v>
      </c>
      <c r="I106" s="10" t="s">
        <v>76</v>
      </c>
      <c r="J106" s="12"/>
      <c r="K106" s="12"/>
      <c r="L106" s="12"/>
      <c r="M106" s="12"/>
      <c r="N106" s="12" t="s">
        <v>104</v>
      </c>
      <c r="O106" s="12" t="s">
        <v>105</v>
      </c>
      <c r="P106" s="12" t="s">
        <v>106</v>
      </c>
      <c r="Q106" s="12" t="s">
        <v>69</v>
      </c>
    </row>
    <row r="107" spans="1:17" ht="28.5">
      <c r="A107" s="10" t="s">
        <v>476</v>
      </c>
      <c r="B107" s="10" t="s">
        <v>488</v>
      </c>
      <c r="C107" s="10" t="s">
        <v>489</v>
      </c>
      <c r="D107" s="13">
        <f>'09_基準仕様'!E102</f>
        <v>1</v>
      </c>
      <c r="E107" s="10" t="s">
        <v>86</v>
      </c>
      <c r="F107" s="10" t="s">
        <v>486</v>
      </c>
      <c r="G107" s="14" t="s">
        <v>490</v>
      </c>
      <c r="H107" s="10" t="s">
        <v>132</v>
      </c>
      <c r="I107" s="10" t="s">
        <v>76</v>
      </c>
      <c r="J107" s="12"/>
      <c r="K107" s="12"/>
      <c r="L107" s="12"/>
      <c r="M107" s="12"/>
      <c r="N107" s="12" t="s">
        <v>104</v>
      </c>
      <c r="O107" s="12" t="s">
        <v>105</v>
      </c>
      <c r="P107" s="12" t="s">
        <v>106</v>
      </c>
      <c r="Q107" s="12" t="s">
        <v>69</v>
      </c>
    </row>
    <row r="108" spans="1:17" ht="42.75">
      <c r="A108" s="10" t="s">
        <v>476</v>
      </c>
      <c r="B108" s="10" t="s">
        <v>491</v>
      </c>
      <c r="C108" s="10" t="s">
        <v>492</v>
      </c>
      <c r="D108" s="13">
        <f>'09_基準仕様'!E103</f>
        <v>1.2</v>
      </c>
      <c r="E108" s="10" t="s">
        <v>86</v>
      </c>
      <c r="F108" s="10" t="s">
        <v>222</v>
      </c>
      <c r="G108" s="14" t="s">
        <v>493</v>
      </c>
      <c r="H108" s="10" t="s">
        <v>123</v>
      </c>
      <c r="I108" s="10" t="s">
        <v>76</v>
      </c>
      <c r="J108" s="12"/>
      <c r="K108" s="12"/>
      <c r="L108" s="12"/>
      <c r="M108" s="12"/>
      <c r="N108" s="12" t="s">
        <v>104</v>
      </c>
      <c r="O108" s="12" t="s">
        <v>105</v>
      </c>
      <c r="P108" s="12" t="s">
        <v>106</v>
      </c>
      <c r="Q108" s="12" t="s">
        <v>69</v>
      </c>
    </row>
    <row r="109" spans="1:17" ht="28.5">
      <c r="A109" s="10" t="s">
        <v>494</v>
      </c>
      <c r="B109" s="10" t="s">
        <v>495</v>
      </c>
      <c r="C109" s="10" t="s">
        <v>496</v>
      </c>
      <c r="D109" s="13">
        <f>'09_基準仕様'!E104</f>
        <v>8.8539999999999992E-12</v>
      </c>
      <c r="E109" s="10" t="s">
        <v>497</v>
      </c>
      <c r="F109" s="10" t="s">
        <v>498</v>
      </c>
      <c r="G109" s="14" t="s">
        <v>156</v>
      </c>
      <c r="H109" s="10" t="s">
        <v>157</v>
      </c>
      <c r="I109" s="10" t="s">
        <v>63</v>
      </c>
      <c r="J109" s="12"/>
      <c r="K109" s="12"/>
      <c r="L109" s="12"/>
      <c r="M109" s="12"/>
      <c r="N109" s="12" t="s">
        <v>104</v>
      </c>
      <c r="O109" s="12" t="s">
        <v>105</v>
      </c>
      <c r="P109" s="12" t="s">
        <v>106</v>
      </c>
      <c r="Q109" s="12" t="s">
        <v>69</v>
      </c>
    </row>
    <row r="110" spans="1:17" ht="57">
      <c r="A110" s="10" t="s">
        <v>494</v>
      </c>
      <c r="B110" s="10" t="s">
        <v>499</v>
      </c>
      <c r="C110" s="10" t="s">
        <v>500</v>
      </c>
      <c r="D110" s="13">
        <f>'09_基準仕様'!E105</f>
        <v>2.2000000000000002</v>
      </c>
      <c r="E110" s="10" t="s">
        <v>86</v>
      </c>
      <c r="F110" s="10" t="s">
        <v>498</v>
      </c>
      <c r="G110" s="14" t="s">
        <v>501</v>
      </c>
      <c r="H110" s="10" t="s">
        <v>132</v>
      </c>
      <c r="I110" s="10" t="s">
        <v>76</v>
      </c>
      <c r="J110" s="12"/>
      <c r="K110" s="12"/>
      <c r="L110" s="12"/>
      <c r="M110" s="12"/>
      <c r="N110" s="12" t="s">
        <v>104</v>
      </c>
      <c r="O110" s="12" t="s">
        <v>105</v>
      </c>
      <c r="P110" s="12" t="s">
        <v>106</v>
      </c>
      <c r="Q110" s="12" t="s">
        <v>69</v>
      </c>
    </row>
    <row r="111" spans="1:17" ht="28.5">
      <c r="A111" s="10" t="s">
        <v>494</v>
      </c>
      <c r="B111" s="10" t="s">
        <v>502</v>
      </c>
      <c r="C111" s="10" t="s">
        <v>503</v>
      </c>
      <c r="D111" s="13">
        <f>'09_基準仕様'!E106</f>
        <v>550000000</v>
      </c>
      <c r="E111" s="10" t="s">
        <v>130</v>
      </c>
      <c r="F111" s="10" t="s">
        <v>504</v>
      </c>
      <c r="G111" s="14" t="s">
        <v>141</v>
      </c>
      <c r="H111" s="10" t="s">
        <v>132</v>
      </c>
      <c r="I111" s="10" t="s">
        <v>76</v>
      </c>
      <c r="J111" s="12"/>
      <c r="K111" s="12"/>
      <c r="L111" s="12"/>
      <c r="M111" s="12"/>
      <c r="N111" s="12" t="s">
        <v>104</v>
      </c>
      <c r="O111" s="12" t="s">
        <v>105</v>
      </c>
      <c r="P111" s="12" t="s">
        <v>106</v>
      </c>
      <c r="Q111" s="12" t="s">
        <v>69</v>
      </c>
    </row>
    <row r="112" spans="1:17" ht="42.75">
      <c r="A112" s="10" t="s">
        <v>494</v>
      </c>
      <c r="B112" s="10" t="s">
        <v>505</v>
      </c>
      <c r="C112" s="10" t="s">
        <v>506</v>
      </c>
      <c r="D112" s="13">
        <f>'09_基準仕様'!E107</f>
        <v>0.45</v>
      </c>
      <c r="E112" s="10" t="s">
        <v>86</v>
      </c>
      <c r="F112" s="10" t="s">
        <v>504</v>
      </c>
      <c r="G112" s="14" t="s">
        <v>507</v>
      </c>
      <c r="H112" s="10" t="s">
        <v>123</v>
      </c>
      <c r="I112" s="10" t="s">
        <v>76</v>
      </c>
      <c r="J112" s="12"/>
      <c r="K112" s="12"/>
      <c r="L112" s="12"/>
      <c r="M112" s="12"/>
      <c r="N112" s="12" t="s">
        <v>104</v>
      </c>
      <c r="O112" s="12" t="s">
        <v>105</v>
      </c>
      <c r="P112" s="12" t="s">
        <v>106</v>
      </c>
      <c r="Q112" s="12" t="s">
        <v>69</v>
      </c>
    </row>
    <row r="113" spans="1:17" ht="42.75">
      <c r="A113" s="10" t="s">
        <v>494</v>
      </c>
      <c r="B113" s="10" t="s">
        <v>508</v>
      </c>
      <c r="C113" s="10" t="s">
        <v>509</v>
      </c>
      <c r="D113" s="13">
        <f>'09_基準仕様'!E108</f>
        <v>900</v>
      </c>
      <c r="E113" s="10" t="s">
        <v>178</v>
      </c>
      <c r="F113" s="10" t="s">
        <v>498</v>
      </c>
      <c r="G113" s="14" t="s">
        <v>510</v>
      </c>
      <c r="H113" s="10" t="s">
        <v>132</v>
      </c>
      <c r="I113" s="10" t="s">
        <v>76</v>
      </c>
      <c r="J113" s="12"/>
      <c r="K113" s="12"/>
      <c r="L113" s="12"/>
      <c r="M113" s="12"/>
      <c r="N113" s="12" t="s">
        <v>104</v>
      </c>
      <c r="O113" s="12" t="s">
        <v>105</v>
      </c>
      <c r="P113" s="12" t="s">
        <v>106</v>
      </c>
      <c r="Q113" s="12" t="s">
        <v>69</v>
      </c>
    </row>
    <row r="114" spans="1:17" ht="42.75">
      <c r="A114" s="10" t="s">
        <v>494</v>
      </c>
      <c r="B114" s="10" t="s">
        <v>511</v>
      </c>
      <c r="C114" s="10" t="s">
        <v>512</v>
      </c>
      <c r="D114" s="13">
        <f>'09_基準仕様'!E109</f>
        <v>0.55000000000000004</v>
      </c>
      <c r="E114" s="10" t="s">
        <v>86</v>
      </c>
      <c r="F114" s="10" t="s">
        <v>498</v>
      </c>
      <c r="G114" s="14" t="s">
        <v>513</v>
      </c>
      <c r="H114" s="10" t="s">
        <v>123</v>
      </c>
      <c r="I114" s="10" t="s">
        <v>76</v>
      </c>
      <c r="J114" s="12"/>
      <c r="K114" s="12"/>
      <c r="L114" s="12"/>
      <c r="M114" s="12"/>
      <c r="N114" s="12" t="s">
        <v>104</v>
      </c>
      <c r="O114" s="12" t="s">
        <v>105</v>
      </c>
      <c r="P114" s="12" t="s">
        <v>106</v>
      </c>
      <c r="Q114" s="12" t="s">
        <v>69</v>
      </c>
    </row>
    <row r="115" spans="1:17" ht="28.5">
      <c r="A115" s="10" t="s">
        <v>514</v>
      </c>
      <c r="B115" s="10" t="s">
        <v>515</v>
      </c>
      <c r="C115" s="10" t="s">
        <v>516</v>
      </c>
      <c r="D115" s="13">
        <f>'09_基準仕様'!E110</f>
        <v>1</v>
      </c>
      <c r="E115" s="10" t="s">
        <v>86</v>
      </c>
      <c r="F115" s="10" t="s">
        <v>517</v>
      </c>
      <c r="G115" s="14" t="s">
        <v>518</v>
      </c>
      <c r="H115" s="10" t="s">
        <v>123</v>
      </c>
      <c r="I115" s="10" t="s">
        <v>76</v>
      </c>
      <c r="J115" s="12"/>
      <c r="K115" s="12"/>
      <c r="L115" s="12"/>
      <c r="M115" s="12"/>
      <c r="N115" s="12" t="s">
        <v>104</v>
      </c>
      <c r="O115" s="12" t="s">
        <v>105</v>
      </c>
      <c r="P115" s="12" t="s">
        <v>106</v>
      </c>
      <c r="Q115" s="12" t="s">
        <v>69</v>
      </c>
    </row>
    <row r="116" spans="1:17" ht="28.5">
      <c r="A116" s="10" t="s">
        <v>514</v>
      </c>
      <c r="B116" s="10" t="s">
        <v>519</v>
      </c>
      <c r="C116" s="10" t="s">
        <v>520</v>
      </c>
      <c r="D116" s="13">
        <f>'09_基準仕様'!E111</f>
        <v>1</v>
      </c>
      <c r="E116" s="10" t="s">
        <v>86</v>
      </c>
      <c r="F116" s="10" t="s">
        <v>521</v>
      </c>
      <c r="G116" s="14" t="s">
        <v>522</v>
      </c>
      <c r="H116" s="10" t="s">
        <v>132</v>
      </c>
      <c r="I116" s="10" t="s">
        <v>76</v>
      </c>
      <c r="J116" s="12"/>
      <c r="K116" s="12"/>
      <c r="L116" s="12"/>
      <c r="M116" s="12"/>
      <c r="N116" s="12" t="s">
        <v>104</v>
      </c>
      <c r="O116" s="12" t="s">
        <v>105</v>
      </c>
      <c r="P116" s="12" t="s">
        <v>106</v>
      </c>
      <c r="Q116" s="12" t="s">
        <v>69</v>
      </c>
    </row>
    <row r="117" spans="1:17" ht="42.75">
      <c r="A117" s="10" t="s">
        <v>514</v>
      </c>
      <c r="B117" s="10" t="s">
        <v>523</v>
      </c>
      <c r="C117" s="10" t="s">
        <v>524</v>
      </c>
      <c r="D117" s="13">
        <f>'09_基準仕様'!E112</f>
        <v>0.9</v>
      </c>
      <c r="E117" s="10" t="s">
        <v>86</v>
      </c>
      <c r="F117" s="10" t="s">
        <v>521</v>
      </c>
      <c r="G117" s="14" t="s">
        <v>525</v>
      </c>
      <c r="H117" s="10" t="s">
        <v>123</v>
      </c>
      <c r="I117" s="10" t="s">
        <v>76</v>
      </c>
      <c r="J117" s="12"/>
      <c r="K117" s="12"/>
      <c r="L117" s="12"/>
      <c r="M117" s="12"/>
      <c r="N117" s="12" t="s">
        <v>104</v>
      </c>
      <c r="O117" s="12" t="s">
        <v>105</v>
      </c>
      <c r="P117" s="12" t="s">
        <v>106</v>
      </c>
      <c r="Q117" s="12" t="s">
        <v>69</v>
      </c>
    </row>
    <row r="118" spans="1:17" ht="42.75">
      <c r="A118" s="10" t="s">
        <v>514</v>
      </c>
      <c r="B118" s="10" t="s">
        <v>526</v>
      </c>
      <c r="C118" s="10" t="s">
        <v>527</v>
      </c>
      <c r="D118" s="13">
        <f>'09_基準仕様'!E113</f>
        <v>0.95</v>
      </c>
      <c r="E118" s="10" t="s">
        <v>86</v>
      </c>
      <c r="F118" s="10" t="s">
        <v>521</v>
      </c>
      <c r="G118" s="14" t="s">
        <v>528</v>
      </c>
      <c r="H118" s="10" t="s">
        <v>123</v>
      </c>
      <c r="I118" s="10" t="s">
        <v>76</v>
      </c>
      <c r="J118" s="12"/>
      <c r="K118" s="12"/>
      <c r="L118" s="12"/>
      <c r="M118" s="12"/>
      <c r="N118" s="12" t="s">
        <v>104</v>
      </c>
      <c r="O118" s="12" t="s">
        <v>105</v>
      </c>
      <c r="P118" s="12" t="s">
        <v>106</v>
      </c>
      <c r="Q118" s="12" t="s">
        <v>69</v>
      </c>
    </row>
    <row r="119" spans="1:17" ht="42.75">
      <c r="A119" s="10" t="s">
        <v>514</v>
      </c>
      <c r="B119" s="10" t="s">
        <v>529</v>
      </c>
      <c r="C119" s="10" t="s">
        <v>530</v>
      </c>
      <c r="D119" s="13">
        <f>'09_基準仕様'!E114</f>
        <v>1.1499999999999999</v>
      </c>
      <c r="E119" s="10" t="s">
        <v>86</v>
      </c>
      <c r="F119" s="10" t="s">
        <v>517</v>
      </c>
      <c r="G119" s="14" t="s">
        <v>531</v>
      </c>
      <c r="H119" s="10" t="s">
        <v>123</v>
      </c>
      <c r="I119" s="10" t="s">
        <v>76</v>
      </c>
      <c r="J119" s="12"/>
      <c r="K119" s="12"/>
      <c r="L119" s="12"/>
      <c r="M119" s="12"/>
      <c r="N119" s="12" t="s">
        <v>104</v>
      </c>
      <c r="O119" s="12" t="s">
        <v>105</v>
      </c>
      <c r="P119" s="12" t="s">
        <v>106</v>
      </c>
      <c r="Q119" s="12" t="s">
        <v>69</v>
      </c>
    </row>
    <row r="120" spans="1:17" ht="28.5">
      <c r="A120" s="10" t="s">
        <v>532</v>
      </c>
      <c r="B120" s="10" t="s">
        <v>533</v>
      </c>
      <c r="C120" s="10" t="s">
        <v>534</v>
      </c>
      <c r="D120" s="13">
        <f>'09_基準仕様'!E115</f>
        <v>20</v>
      </c>
      <c r="E120" s="10" t="s">
        <v>235</v>
      </c>
      <c r="F120" s="10" t="s">
        <v>535</v>
      </c>
      <c r="G120" s="14" t="s">
        <v>536</v>
      </c>
      <c r="H120" s="10" t="s">
        <v>238</v>
      </c>
      <c r="I120" s="10" t="s">
        <v>76</v>
      </c>
      <c r="J120" s="12"/>
      <c r="K120" s="12"/>
      <c r="L120" s="12"/>
      <c r="M120" s="12"/>
      <c r="N120" s="12" t="s">
        <v>104</v>
      </c>
      <c r="O120" s="12" t="s">
        <v>105</v>
      </c>
      <c r="P120" s="12" t="s">
        <v>106</v>
      </c>
      <c r="Q120" s="12" t="s">
        <v>69</v>
      </c>
    </row>
    <row r="121" spans="1:17" ht="28.5">
      <c r="A121" s="10" t="s">
        <v>532</v>
      </c>
      <c r="B121" s="10" t="s">
        <v>537</v>
      </c>
      <c r="C121" s="10" t="s">
        <v>538</v>
      </c>
      <c r="D121" s="13">
        <f>'09_基準仕様'!E116</f>
        <v>1.7199999999999999E-8</v>
      </c>
      <c r="E121" s="10" t="s">
        <v>539</v>
      </c>
      <c r="F121" s="10" t="s">
        <v>535</v>
      </c>
      <c r="G121" s="14" t="s">
        <v>540</v>
      </c>
      <c r="H121" s="10" t="s">
        <v>132</v>
      </c>
      <c r="I121" s="10" t="s">
        <v>76</v>
      </c>
      <c r="J121" s="12"/>
      <c r="K121" s="12"/>
      <c r="L121" s="12"/>
      <c r="M121" s="12"/>
      <c r="N121" s="12" t="s">
        <v>104</v>
      </c>
      <c r="O121" s="12" t="s">
        <v>105</v>
      </c>
      <c r="P121" s="12" t="s">
        <v>106</v>
      </c>
      <c r="Q121" s="12" t="s">
        <v>69</v>
      </c>
    </row>
    <row r="122" spans="1:17" ht="28.5">
      <c r="A122" s="10" t="s">
        <v>532</v>
      </c>
      <c r="B122" s="10" t="s">
        <v>541</v>
      </c>
      <c r="C122" s="10" t="s">
        <v>542</v>
      </c>
      <c r="D122" s="13">
        <f>'09_基準仕様'!E117</f>
        <v>1426.4533333333334</v>
      </c>
      <c r="E122" s="10" t="s">
        <v>543</v>
      </c>
      <c r="F122" s="10" t="s">
        <v>535</v>
      </c>
      <c r="G122" s="14" t="s">
        <v>544</v>
      </c>
      <c r="H122" s="10" t="s">
        <v>123</v>
      </c>
      <c r="I122" s="10" t="s">
        <v>76</v>
      </c>
      <c r="J122" s="12"/>
      <c r="K122" s="12"/>
      <c r="L122" s="12"/>
      <c r="M122" s="12"/>
      <c r="N122" s="12" t="s">
        <v>104</v>
      </c>
      <c r="O122" s="12" t="s">
        <v>105</v>
      </c>
      <c r="P122" s="12" t="s">
        <v>106</v>
      </c>
      <c r="Q122" s="12" t="s">
        <v>69</v>
      </c>
    </row>
    <row r="123" spans="1:17" ht="42.75">
      <c r="A123" s="10" t="s">
        <v>545</v>
      </c>
      <c r="B123" s="10" t="s">
        <v>546</v>
      </c>
      <c r="C123" s="10" t="s">
        <v>547</v>
      </c>
      <c r="D123" s="13">
        <f>'09_基準仕様'!E118</f>
        <v>0.25</v>
      </c>
      <c r="E123" s="10" t="s">
        <v>548</v>
      </c>
      <c r="F123" s="10" t="s">
        <v>549</v>
      </c>
      <c r="G123" s="14" t="s">
        <v>550</v>
      </c>
      <c r="H123" s="10" t="s">
        <v>132</v>
      </c>
      <c r="I123" s="10" t="s">
        <v>76</v>
      </c>
      <c r="J123" s="12"/>
      <c r="K123" s="12"/>
      <c r="L123" s="12"/>
      <c r="M123" s="12"/>
      <c r="N123" s="12" t="s">
        <v>104</v>
      </c>
      <c r="O123" s="12" t="s">
        <v>105</v>
      </c>
      <c r="P123" s="12" t="s">
        <v>106</v>
      </c>
      <c r="Q123" s="12" t="s">
        <v>69</v>
      </c>
    </row>
    <row r="124" spans="1:17" ht="42.75">
      <c r="A124" s="10" t="s">
        <v>545</v>
      </c>
      <c r="B124" s="10" t="s">
        <v>551</v>
      </c>
      <c r="C124" s="10" t="s">
        <v>552</v>
      </c>
      <c r="D124" s="13">
        <f>'09_基準仕様'!E119</f>
        <v>1</v>
      </c>
      <c r="E124" s="10" t="s">
        <v>86</v>
      </c>
      <c r="F124" s="10" t="s">
        <v>549</v>
      </c>
      <c r="G124" s="14" t="s">
        <v>553</v>
      </c>
      <c r="H124" s="10" t="s">
        <v>132</v>
      </c>
      <c r="I124" s="10" t="s">
        <v>76</v>
      </c>
      <c r="J124" s="12"/>
      <c r="K124" s="12"/>
      <c r="L124" s="12"/>
      <c r="M124" s="12"/>
      <c r="N124" s="12" t="s">
        <v>104</v>
      </c>
      <c r="O124" s="12" t="s">
        <v>105</v>
      </c>
      <c r="P124" s="12" t="s">
        <v>106</v>
      </c>
      <c r="Q124" s="12" t="s">
        <v>69</v>
      </c>
    </row>
    <row r="125" spans="1:17" ht="42.75">
      <c r="A125" s="10" t="s">
        <v>545</v>
      </c>
      <c r="B125" s="10" t="s">
        <v>554</v>
      </c>
      <c r="C125" s="10" t="s">
        <v>555</v>
      </c>
      <c r="D125" s="13">
        <f>'09_基準仕様'!E120</f>
        <v>0.4</v>
      </c>
      <c r="E125" s="10" t="s">
        <v>86</v>
      </c>
      <c r="F125" s="10" t="s">
        <v>556</v>
      </c>
      <c r="G125" s="14" t="s">
        <v>557</v>
      </c>
      <c r="H125" s="10" t="s">
        <v>123</v>
      </c>
      <c r="I125" s="10" t="s">
        <v>76</v>
      </c>
      <c r="J125" s="12"/>
      <c r="K125" s="12"/>
      <c r="L125" s="12"/>
      <c r="M125" s="12"/>
      <c r="N125" s="12" t="s">
        <v>104</v>
      </c>
      <c r="O125" s="12" t="s">
        <v>105</v>
      </c>
      <c r="P125" s="12" t="s">
        <v>106</v>
      </c>
      <c r="Q125" s="12" t="s">
        <v>69</v>
      </c>
    </row>
    <row r="126" spans="1:17" ht="42.75">
      <c r="A126" s="10" t="s">
        <v>545</v>
      </c>
      <c r="B126" s="10" t="s">
        <v>558</v>
      </c>
      <c r="C126" s="10" t="s">
        <v>559</v>
      </c>
      <c r="D126" s="13">
        <f>'09_基準仕様'!E121</f>
        <v>5000</v>
      </c>
      <c r="E126" s="10" t="s">
        <v>178</v>
      </c>
      <c r="F126" s="10" t="s">
        <v>556</v>
      </c>
      <c r="G126" s="14" t="s">
        <v>560</v>
      </c>
      <c r="H126" s="10" t="s">
        <v>132</v>
      </c>
      <c r="I126" s="10" t="s">
        <v>76</v>
      </c>
      <c r="J126" s="12"/>
      <c r="K126" s="12"/>
      <c r="L126" s="12"/>
      <c r="M126" s="12"/>
      <c r="N126" s="12" t="s">
        <v>104</v>
      </c>
      <c r="O126" s="12" t="s">
        <v>105</v>
      </c>
      <c r="P126" s="12" t="s">
        <v>106</v>
      </c>
      <c r="Q126" s="12" t="s">
        <v>69</v>
      </c>
    </row>
    <row r="127" spans="1:17" ht="57">
      <c r="A127" s="10" t="s">
        <v>561</v>
      </c>
      <c r="B127" s="10" t="s">
        <v>562</v>
      </c>
      <c r="C127" s="10" t="s">
        <v>563</v>
      </c>
      <c r="D127" s="13">
        <f>'09_基準仕様'!E122</f>
        <v>0.03</v>
      </c>
      <c r="E127" s="10" t="s">
        <v>564</v>
      </c>
      <c r="F127" s="10" t="s">
        <v>565</v>
      </c>
      <c r="G127" s="14" t="s">
        <v>566</v>
      </c>
      <c r="H127" s="10" t="s">
        <v>3</v>
      </c>
      <c r="I127" s="10" t="s">
        <v>76</v>
      </c>
      <c r="J127" s="12"/>
      <c r="K127" s="12"/>
      <c r="L127" s="12"/>
      <c r="M127" s="12"/>
      <c r="N127" s="12" t="s">
        <v>104</v>
      </c>
      <c r="O127" s="12" t="s">
        <v>105</v>
      </c>
      <c r="P127" s="12" t="s">
        <v>106</v>
      </c>
      <c r="Q127" s="12" t="s">
        <v>69</v>
      </c>
    </row>
    <row r="128" spans="1:17" ht="57">
      <c r="A128" s="10" t="s">
        <v>561</v>
      </c>
      <c r="B128" s="10" t="s">
        <v>567</v>
      </c>
      <c r="C128" s="10" t="s">
        <v>568</v>
      </c>
      <c r="D128" s="13">
        <f>'09_基準仕様'!E123</f>
        <v>1.6000000000000001E-3</v>
      </c>
      <c r="E128" s="10" t="s">
        <v>262</v>
      </c>
      <c r="F128" s="10" t="s">
        <v>565</v>
      </c>
      <c r="G128" s="14" t="s">
        <v>569</v>
      </c>
      <c r="H128" s="10" t="s">
        <v>3</v>
      </c>
      <c r="I128" s="10" t="s">
        <v>76</v>
      </c>
      <c r="J128" s="12"/>
      <c r="K128" s="12"/>
      <c r="L128" s="12"/>
      <c r="M128" s="12"/>
      <c r="N128" s="12" t="s">
        <v>104</v>
      </c>
      <c r="O128" s="12" t="s">
        <v>105</v>
      </c>
      <c r="P128" s="12" t="s">
        <v>106</v>
      </c>
      <c r="Q128" s="12" t="s">
        <v>69</v>
      </c>
    </row>
    <row r="129" spans="1:17" ht="42.75">
      <c r="A129" s="10" t="s">
        <v>561</v>
      </c>
      <c r="B129" s="10" t="s">
        <v>570</v>
      </c>
      <c r="C129" s="10" t="s">
        <v>571</v>
      </c>
      <c r="D129" s="13">
        <f>'09_基準仕様'!E124</f>
        <v>1900</v>
      </c>
      <c r="E129" s="10" t="s">
        <v>178</v>
      </c>
      <c r="F129" s="10" t="s">
        <v>565</v>
      </c>
      <c r="G129" s="14" t="s">
        <v>572</v>
      </c>
      <c r="H129" s="10" t="s">
        <v>132</v>
      </c>
      <c r="I129" s="10" t="s">
        <v>76</v>
      </c>
      <c r="J129" s="12"/>
      <c r="K129" s="12"/>
      <c r="L129" s="12"/>
      <c r="M129" s="12"/>
      <c r="N129" s="12" t="s">
        <v>104</v>
      </c>
      <c r="O129" s="12" t="s">
        <v>105</v>
      </c>
      <c r="P129" s="12" t="s">
        <v>106</v>
      </c>
      <c r="Q129" s="12" t="s">
        <v>69</v>
      </c>
    </row>
    <row r="130" spans="1:17" ht="57">
      <c r="A130" s="10" t="s">
        <v>561</v>
      </c>
      <c r="B130" s="10" t="s">
        <v>573</v>
      </c>
      <c r="C130" s="10" t="s">
        <v>574</v>
      </c>
      <c r="D130" s="13">
        <f>'09_基準仕様'!E125</f>
        <v>0.1</v>
      </c>
      <c r="E130" s="10" t="s">
        <v>229</v>
      </c>
      <c r="F130" s="10" t="s">
        <v>565</v>
      </c>
      <c r="G130" s="14" t="s">
        <v>575</v>
      </c>
      <c r="H130" s="10" t="s">
        <v>3</v>
      </c>
      <c r="I130" s="10" t="s">
        <v>76</v>
      </c>
      <c r="J130" s="12"/>
      <c r="K130" s="12"/>
      <c r="L130" s="12"/>
      <c r="M130" s="12"/>
      <c r="N130" s="12" t="s">
        <v>104</v>
      </c>
      <c r="O130" s="12" t="s">
        <v>105</v>
      </c>
      <c r="P130" s="12" t="s">
        <v>106</v>
      </c>
      <c r="Q130" s="12" t="s">
        <v>69</v>
      </c>
    </row>
    <row r="131" spans="1:17">
      <c r="A131" s="10" t="s">
        <v>576</v>
      </c>
      <c r="B131" s="10" t="s">
        <v>577</v>
      </c>
      <c r="C131" s="10" t="s">
        <v>578</v>
      </c>
      <c r="D131" s="13">
        <f>'07_システム要求'!M18</f>
        <v>6</v>
      </c>
      <c r="E131" s="10" t="s">
        <v>114</v>
      </c>
      <c r="F131" s="10" t="s">
        <v>579</v>
      </c>
      <c r="G131" s="14" t="s">
        <v>580</v>
      </c>
      <c r="H131" s="10" t="s">
        <v>3</v>
      </c>
      <c r="I131" s="10" t="s">
        <v>76</v>
      </c>
      <c r="J131" s="12">
        <f>'07_システム要求'!M18</f>
        <v>6</v>
      </c>
      <c r="K131" s="12" t="s">
        <v>581</v>
      </c>
      <c r="L131" s="12" t="s">
        <v>65</v>
      </c>
      <c r="M131" s="12">
        <v>6</v>
      </c>
      <c r="N131" s="12" t="s">
        <v>66</v>
      </c>
      <c r="O131" s="12" t="s">
        <v>67</v>
      </c>
      <c r="P131" s="12" t="s">
        <v>117</v>
      </c>
      <c r="Q131" s="12" t="s">
        <v>582</v>
      </c>
    </row>
    <row r="132" spans="1:17" ht="57">
      <c r="A132" s="10" t="s">
        <v>576</v>
      </c>
      <c r="B132" s="10" t="s">
        <v>583</v>
      </c>
      <c r="C132" s="10" t="s">
        <v>584</v>
      </c>
      <c r="D132" s="13">
        <f>'09_基準仕様'!E126</f>
        <v>1.7999999999999999E-2</v>
      </c>
      <c r="E132" s="10" t="s">
        <v>433</v>
      </c>
      <c r="F132" s="10" t="s">
        <v>585</v>
      </c>
      <c r="G132" s="14" t="s">
        <v>586</v>
      </c>
      <c r="H132" s="10" t="s">
        <v>3</v>
      </c>
      <c r="I132" s="10" t="s">
        <v>76</v>
      </c>
      <c r="J132" s="12"/>
      <c r="K132" s="12"/>
      <c r="L132" s="12"/>
      <c r="M132" s="12"/>
      <c r="N132" s="12" t="s">
        <v>104</v>
      </c>
      <c r="O132" s="12" t="s">
        <v>105</v>
      </c>
      <c r="P132" s="12" t="s">
        <v>106</v>
      </c>
      <c r="Q132" s="12" t="s">
        <v>69</v>
      </c>
    </row>
    <row r="133" spans="1:17" ht="57">
      <c r="A133" s="10" t="s">
        <v>561</v>
      </c>
      <c r="B133" s="10" t="s">
        <v>587</v>
      </c>
      <c r="C133" s="10" t="s">
        <v>588</v>
      </c>
      <c r="D133" s="13">
        <f>'09_基準仕様'!E127</f>
        <v>0.12</v>
      </c>
      <c r="E133" s="10" t="s">
        <v>229</v>
      </c>
      <c r="F133" s="10" t="s">
        <v>589</v>
      </c>
      <c r="G133" s="14" t="s">
        <v>590</v>
      </c>
      <c r="H133" s="10" t="s">
        <v>3</v>
      </c>
      <c r="I133" s="10" t="s">
        <v>76</v>
      </c>
      <c r="J133" s="12"/>
      <c r="K133" s="12"/>
      <c r="L133" s="12"/>
      <c r="M133" s="12"/>
      <c r="N133" s="12" t="s">
        <v>104</v>
      </c>
      <c r="O133" s="12" t="s">
        <v>105</v>
      </c>
      <c r="P133" s="12" t="s">
        <v>106</v>
      </c>
      <c r="Q133" s="12" t="s">
        <v>69</v>
      </c>
    </row>
    <row r="134" spans="1:17" ht="57">
      <c r="A134" s="10" t="s">
        <v>591</v>
      </c>
      <c r="B134" s="10" t="s">
        <v>592</v>
      </c>
      <c r="C134" s="10" t="s">
        <v>593</v>
      </c>
      <c r="D134" s="13">
        <f>'09_基準仕様'!E128</f>
        <v>3</v>
      </c>
      <c r="E134" s="10" t="s">
        <v>114</v>
      </c>
      <c r="F134" s="10" t="s">
        <v>594</v>
      </c>
      <c r="G134" s="14" t="s">
        <v>595</v>
      </c>
      <c r="H134" s="10" t="s">
        <v>3</v>
      </c>
      <c r="I134" s="10" t="s">
        <v>76</v>
      </c>
      <c r="J134" s="12"/>
      <c r="K134" s="12"/>
      <c r="L134" s="12"/>
      <c r="M134" s="12"/>
      <c r="N134" s="12" t="s">
        <v>104</v>
      </c>
      <c r="O134" s="12" t="s">
        <v>105</v>
      </c>
      <c r="P134" s="12" t="s">
        <v>106</v>
      </c>
      <c r="Q134" s="12" t="s">
        <v>69</v>
      </c>
    </row>
    <row r="135" spans="1:17" ht="57">
      <c r="A135" s="10" t="s">
        <v>591</v>
      </c>
      <c r="B135" s="10" t="s">
        <v>596</v>
      </c>
      <c r="C135" s="10" t="s">
        <v>597</v>
      </c>
      <c r="D135" s="13">
        <f>'09_基準仕様'!E129</f>
        <v>4.4999999999999998E-2</v>
      </c>
      <c r="E135" s="10" t="s">
        <v>433</v>
      </c>
      <c r="F135" s="10" t="s">
        <v>594</v>
      </c>
      <c r="G135" s="14" t="s">
        <v>598</v>
      </c>
      <c r="H135" s="10" t="s">
        <v>3</v>
      </c>
      <c r="I135" s="10" t="s">
        <v>76</v>
      </c>
      <c r="J135" s="12"/>
      <c r="K135" s="12"/>
      <c r="L135" s="12"/>
      <c r="M135" s="12"/>
      <c r="N135" s="12" t="s">
        <v>104</v>
      </c>
      <c r="O135" s="12" t="s">
        <v>105</v>
      </c>
      <c r="P135" s="12" t="s">
        <v>106</v>
      </c>
      <c r="Q135" s="12" t="s">
        <v>69</v>
      </c>
    </row>
    <row r="136" spans="1:17" ht="57">
      <c r="A136" s="10" t="s">
        <v>591</v>
      </c>
      <c r="B136" s="10" t="s">
        <v>599</v>
      </c>
      <c r="C136" s="10" t="s">
        <v>600</v>
      </c>
      <c r="D136" s="13">
        <f>'09_基準仕様'!E130</f>
        <v>2</v>
      </c>
      <c r="E136" s="10" t="s">
        <v>114</v>
      </c>
      <c r="F136" s="10" t="s">
        <v>601</v>
      </c>
      <c r="G136" s="14" t="s">
        <v>602</v>
      </c>
      <c r="H136" s="10" t="s">
        <v>3</v>
      </c>
      <c r="I136" s="10" t="s">
        <v>76</v>
      </c>
      <c r="J136" s="12"/>
      <c r="K136" s="12"/>
      <c r="L136" s="12"/>
      <c r="M136" s="12"/>
      <c r="N136" s="12" t="s">
        <v>104</v>
      </c>
      <c r="O136" s="12" t="s">
        <v>105</v>
      </c>
      <c r="P136" s="12" t="s">
        <v>106</v>
      </c>
      <c r="Q136" s="12" t="s">
        <v>69</v>
      </c>
    </row>
    <row r="137" spans="1:17" ht="57">
      <c r="A137" s="10" t="s">
        <v>591</v>
      </c>
      <c r="B137" s="10" t="s">
        <v>603</v>
      </c>
      <c r="C137" s="10" t="s">
        <v>604</v>
      </c>
      <c r="D137" s="13">
        <f>'09_基準仕様'!E131</f>
        <v>2.5000000000000001E-2</v>
      </c>
      <c r="E137" s="10" t="s">
        <v>433</v>
      </c>
      <c r="F137" s="10" t="s">
        <v>601</v>
      </c>
      <c r="G137" s="14" t="s">
        <v>605</v>
      </c>
      <c r="H137" s="10" t="s">
        <v>3</v>
      </c>
      <c r="I137" s="10" t="s">
        <v>76</v>
      </c>
      <c r="J137" s="12"/>
      <c r="K137" s="12"/>
      <c r="L137" s="12"/>
      <c r="M137" s="12"/>
      <c r="N137" s="12" t="s">
        <v>104</v>
      </c>
      <c r="O137" s="12" t="s">
        <v>105</v>
      </c>
      <c r="P137" s="12" t="s">
        <v>106</v>
      </c>
      <c r="Q137" s="12" t="s">
        <v>69</v>
      </c>
    </row>
    <row r="138" spans="1:17" ht="57">
      <c r="A138" s="10" t="s">
        <v>591</v>
      </c>
      <c r="B138" s="10" t="s">
        <v>606</v>
      </c>
      <c r="C138" s="10" t="s">
        <v>607</v>
      </c>
      <c r="D138" s="13">
        <f>'09_基準仕様'!E132</f>
        <v>4</v>
      </c>
      <c r="E138" s="10" t="s">
        <v>114</v>
      </c>
      <c r="F138" s="10" t="s">
        <v>608</v>
      </c>
      <c r="G138" s="14" t="s">
        <v>609</v>
      </c>
      <c r="H138" s="10" t="s">
        <v>3</v>
      </c>
      <c r="I138" s="10" t="s">
        <v>76</v>
      </c>
      <c r="J138" s="12"/>
      <c r="K138" s="12"/>
      <c r="L138" s="12"/>
      <c r="M138" s="12"/>
      <c r="N138" s="12" t="s">
        <v>104</v>
      </c>
      <c r="O138" s="12" t="s">
        <v>105</v>
      </c>
      <c r="P138" s="12" t="s">
        <v>106</v>
      </c>
      <c r="Q138" s="12" t="s">
        <v>69</v>
      </c>
    </row>
    <row r="139" spans="1:17" ht="57">
      <c r="A139" s="10" t="s">
        <v>591</v>
      </c>
      <c r="B139" s="10" t="s">
        <v>610</v>
      </c>
      <c r="C139" s="10" t="s">
        <v>611</v>
      </c>
      <c r="D139" s="13">
        <f>'09_基準仕様'!E133</f>
        <v>0.01</v>
      </c>
      <c r="E139" s="10" t="s">
        <v>433</v>
      </c>
      <c r="F139" s="10" t="s">
        <v>608</v>
      </c>
      <c r="G139" s="14" t="s">
        <v>612</v>
      </c>
      <c r="H139" s="10" t="s">
        <v>3</v>
      </c>
      <c r="I139" s="10" t="s">
        <v>76</v>
      </c>
      <c r="J139" s="12"/>
      <c r="K139" s="12"/>
      <c r="L139" s="12"/>
      <c r="M139" s="12"/>
      <c r="N139" s="12" t="s">
        <v>104</v>
      </c>
      <c r="O139" s="12" t="s">
        <v>105</v>
      </c>
      <c r="P139" s="12" t="s">
        <v>106</v>
      </c>
      <c r="Q139" s="12" t="s">
        <v>69</v>
      </c>
    </row>
    <row r="140" spans="1:17" ht="57">
      <c r="A140" s="10" t="s">
        <v>591</v>
      </c>
      <c r="B140" s="10" t="s">
        <v>613</v>
      </c>
      <c r="C140" s="10" t="s">
        <v>614</v>
      </c>
      <c r="D140" s="13">
        <f>'09_基準仕様'!E134</f>
        <v>5.5E-2</v>
      </c>
      <c r="E140" s="10" t="s">
        <v>229</v>
      </c>
      <c r="F140" s="10" t="s">
        <v>615</v>
      </c>
      <c r="G140" s="14" t="s">
        <v>616</v>
      </c>
      <c r="H140" s="10" t="s">
        <v>3</v>
      </c>
      <c r="I140" s="10" t="s">
        <v>76</v>
      </c>
      <c r="J140" s="12"/>
      <c r="K140" s="12"/>
      <c r="L140" s="12"/>
      <c r="M140" s="12"/>
      <c r="N140" s="12" t="s">
        <v>104</v>
      </c>
      <c r="O140" s="12" t="s">
        <v>105</v>
      </c>
      <c r="P140" s="12" t="s">
        <v>106</v>
      </c>
      <c r="Q140" s="12" t="s">
        <v>69</v>
      </c>
    </row>
    <row r="141" spans="1:17" ht="57">
      <c r="A141" s="10" t="s">
        <v>617</v>
      </c>
      <c r="B141" s="10" t="s">
        <v>618</v>
      </c>
      <c r="C141" s="10" t="s">
        <v>619</v>
      </c>
      <c r="D141" s="13">
        <f>'09_基準仕様'!E135</f>
        <v>2</v>
      </c>
      <c r="E141" s="10" t="s">
        <v>114</v>
      </c>
      <c r="F141" s="10" t="s">
        <v>620</v>
      </c>
      <c r="G141" s="14" t="s">
        <v>621</v>
      </c>
      <c r="H141" s="10" t="s">
        <v>3</v>
      </c>
      <c r="I141" s="10" t="s">
        <v>76</v>
      </c>
      <c r="J141" s="12"/>
      <c r="K141" s="12"/>
      <c r="L141" s="12"/>
      <c r="M141" s="12"/>
      <c r="N141" s="12" t="s">
        <v>104</v>
      </c>
      <c r="O141" s="12" t="s">
        <v>105</v>
      </c>
      <c r="P141" s="12" t="s">
        <v>106</v>
      </c>
      <c r="Q141" s="12" t="s">
        <v>69</v>
      </c>
    </row>
    <row r="142" spans="1:17" ht="57">
      <c r="A142" s="10" t="s">
        <v>617</v>
      </c>
      <c r="B142" s="10" t="s">
        <v>622</v>
      </c>
      <c r="C142" s="10" t="s">
        <v>623</v>
      </c>
      <c r="D142" s="13">
        <f>'09_基準仕様'!E136</f>
        <v>5.5E-2</v>
      </c>
      <c r="E142" s="10" t="s">
        <v>433</v>
      </c>
      <c r="F142" s="10" t="s">
        <v>620</v>
      </c>
      <c r="G142" s="14" t="s">
        <v>624</v>
      </c>
      <c r="H142" s="10" t="s">
        <v>3</v>
      </c>
      <c r="I142" s="10" t="s">
        <v>76</v>
      </c>
      <c r="J142" s="12"/>
      <c r="K142" s="12"/>
      <c r="L142" s="12"/>
      <c r="M142" s="12"/>
      <c r="N142" s="12" t="s">
        <v>104</v>
      </c>
      <c r="O142" s="12" t="s">
        <v>105</v>
      </c>
      <c r="P142" s="12" t="s">
        <v>106</v>
      </c>
      <c r="Q142" s="12" t="s">
        <v>69</v>
      </c>
    </row>
    <row r="143" spans="1:17" ht="57">
      <c r="A143" s="10" t="s">
        <v>617</v>
      </c>
      <c r="B143" s="10" t="s">
        <v>625</v>
      </c>
      <c r="C143" s="10" t="s">
        <v>626</v>
      </c>
      <c r="D143" s="13">
        <f>'09_基準仕様'!E137</f>
        <v>3</v>
      </c>
      <c r="E143" s="10" t="s">
        <v>114</v>
      </c>
      <c r="F143" s="10" t="s">
        <v>627</v>
      </c>
      <c r="G143" s="14" t="s">
        <v>628</v>
      </c>
      <c r="H143" s="10" t="s">
        <v>3</v>
      </c>
      <c r="I143" s="10" t="s">
        <v>76</v>
      </c>
      <c r="J143" s="12"/>
      <c r="K143" s="12"/>
      <c r="L143" s="12"/>
      <c r="M143" s="12"/>
      <c r="N143" s="12" t="s">
        <v>104</v>
      </c>
      <c r="O143" s="12" t="s">
        <v>105</v>
      </c>
      <c r="P143" s="12" t="s">
        <v>106</v>
      </c>
      <c r="Q143" s="12" t="s">
        <v>69</v>
      </c>
    </row>
    <row r="144" spans="1:17" ht="57">
      <c r="A144" s="10" t="s">
        <v>617</v>
      </c>
      <c r="B144" s="10" t="s">
        <v>629</v>
      </c>
      <c r="C144" s="10" t="s">
        <v>630</v>
      </c>
      <c r="D144" s="13">
        <f>'09_基準仕様'!E138</f>
        <v>5.5E-2</v>
      </c>
      <c r="E144" s="10" t="s">
        <v>433</v>
      </c>
      <c r="F144" s="10" t="s">
        <v>627</v>
      </c>
      <c r="G144" s="14" t="s">
        <v>631</v>
      </c>
      <c r="H144" s="10" t="s">
        <v>3</v>
      </c>
      <c r="I144" s="10" t="s">
        <v>76</v>
      </c>
      <c r="J144" s="12"/>
      <c r="K144" s="12"/>
      <c r="L144" s="12"/>
      <c r="M144" s="12"/>
      <c r="N144" s="12" t="s">
        <v>104</v>
      </c>
      <c r="O144" s="12" t="s">
        <v>105</v>
      </c>
      <c r="P144" s="12" t="s">
        <v>106</v>
      </c>
      <c r="Q144" s="12" t="s">
        <v>69</v>
      </c>
    </row>
    <row r="145" spans="1:17" ht="57">
      <c r="A145" s="10" t="s">
        <v>617</v>
      </c>
      <c r="B145" s="10" t="s">
        <v>632</v>
      </c>
      <c r="C145" s="10" t="s">
        <v>633</v>
      </c>
      <c r="D145" s="13">
        <f>'09_基準仕様'!E139</f>
        <v>7.4999999999999997E-2</v>
      </c>
      <c r="E145" s="10" t="s">
        <v>229</v>
      </c>
      <c r="F145" s="10" t="s">
        <v>634</v>
      </c>
      <c r="G145" s="14" t="s">
        <v>635</v>
      </c>
      <c r="H145" s="10" t="s">
        <v>3</v>
      </c>
      <c r="I145" s="10" t="s">
        <v>76</v>
      </c>
      <c r="J145" s="12"/>
      <c r="K145" s="12"/>
      <c r="L145" s="12"/>
      <c r="M145" s="12"/>
      <c r="N145" s="12" t="s">
        <v>104</v>
      </c>
      <c r="O145" s="12" t="s">
        <v>105</v>
      </c>
      <c r="P145" s="12" t="s">
        <v>106</v>
      </c>
      <c r="Q145" s="12" t="s">
        <v>69</v>
      </c>
    </row>
    <row r="146" spans="1:17" ht="57">
      <c r="A146" s="10" t="s">
        <v>617</v>
      </c>
      <c r="B146" s="10" t="s">
        <v>636</v>
      </c>
      <c r="C146" s="10" t="s">
        <v>637</v>
      </c>
      <c r="D146" s="13">
        <f>'09_基準仕様'!E140</f>
        <v>7.0000000000000007E-2</v>
      </c>
      <c r="E146" s="10" t="s">
        <v>229</v>
      </c>
      <c r="F146" s="10" t="s">
        <v>634</v>
      </c>
      <c r="G146" s="14" t="s">
        <v>638</v>
      </c>
      <c r="H146" s="10" t="s">
        <v>3</v>
      </c>
      <c r="I146" s="10" t="s">
        <v>76</v>
      </c>
      <c r="J146" s="12"/>
      <c r="K146" s="12"/>
      <c r="L146" s="12"/>
      <c r="M146" s="12"/>
      <c r="N146" s="12" t="s">
        <v>104</v>
      </c>
      <c r="O146" s="12" t="s">
        <v>105</v>
      </c>
      <c r="P146" s="12" t="s">
        <v>106</v>
      </c>
      <c r="Q146" s="12" t="s">
        <v>69</v>
      </c>
    </row>
    <row r="147" spans="1:17" ht="57">
      <c r="A147" s="10" t="s">
        <v>639</v>
      </c>
      <c r="B147" s="10" t="s">
        <v>640</v>
      </c>
      <c r="C147" s="10" t="s">
        <v>641</v>
      </c>
      <c r="D147" s="13">
        <f>'09_基準仕様'!E141</f>
        <v>0.15</v>
      </c>
      <c r="E147" s="10" t="s">
        <v>229</v>
      </c>
      <c r="F147" s="10" t="s">
        <v>642</v>
      </c>
      <c r="G147" s="14" t="s">
        <v>643</v>
      </c>
      <c r="H147" s="10" t="s">
        <v>3</v>
      </c>
      <c r="I147" s="10" t="s">
        <v>76</v>
      </c>
      <c r="J147" s="12"/>
      <c r="K147" s="12"/>
      <c r="L147" s="12"/>
      <c r="M147" s="12"/>
      <c r="N147" s="12" t="s">
        <v>104</v>
      </c>
      <c r="O147" s="12" t="s">
        <v>105</v>
      </c>
      <c r="P147" s="12" t="s">
        <v>106</v>
      </c>
      <c r="Q147" s="12" t="s">
        <v>69</v>
      </c>
    </row>
    <row r="148" spans="1:17" ht="57">
      <c r="A148" s="10" t="s">
        <v>639</v>
      </c>
      <c r="B148" s="10" t="s">
        <v>644</v>
      </c>
      <c r="C148" s="10" t="s">
        <v>645</v>
      </c>
      <c r="D148" s="13">
        <f>'09_基準仕様'!E142</f>
        <v>0.15</v>
      </c>
      <c r="E148" s="10" t="s">
        <v>229</v>
      </c>
      <c r="F148" s="10" t="s">
        <v>642</v>
      </c>
      <c r="G148" s="14" t="s">
        <v>646</v>
      </c>
      <c r="H148" s="10" t="s">
        <v>3</v>
      </c>
      <c r="I148" s="10" t="s">
        <v>76</v>
      </c>
      <c r="J148" s="12"/>
      <c r="K148" s="12"/>
      <c r="L148" s="12"/>
      <c r="M148" s="12"/>
      <c r="N148" s="12" t="s">
        <v>104</v>
      </c>
      <c r="O148" s="12" t="s">
        <v>105</v>
      </c>
      <c r="P148" s="12" t="s">
        <v>106</v>
      </c>
      <c r="Q148" s="12" t="s">
        <v>69</v>
      </c>
    </row>
    <row r="149" spans="1:17" ht="57">
      <c r="A149" s="10" t="s">
        <v>639</v>
      </c>
      <c r="B149" s="10" t="s">
        <v>647</v>
      </c>
      <c r="C149" s="10" t="s">
        <v>648</v>
      </c>
      <c r="D149" s="13">
        <f>'09_基準仕様'!E143</f>
        <v>0.2</v>
      </c>
      <c r="E149" s="10" t="s">
        <v>229</v>
      </c>
      <c r="F149" s="10" t="s">
        <v>642</v>
      </c>
      <c r="G149" s="14" t="s">
        <v>649</v>
      </c>
      <c r="H149" s="10" t="s">
        <v>3</v>
      </c>
      <c r="I149" s="10" t="s">
        <v>76</v>
      </c>
      <c r="J149" s="12"/>
      <c r="K149" s="12"/>
      <c r="L149" s="12"/>
      <c r="M149" s="12"/>
      <c r="N149" s="12" t="s">
        <v>104</v>
      </c>
      <c r="O149" s="12" t="s">
        <v>105</v>
      </c>
      <c r="P149" s="12" t="s">
        <v>106</v>
      </c>
      <c r="Q149" s="12" t="s">
        <v>69</v>
      </c>
    </row>
    <row r="150" spans="1:17">
      <c r="A150" s="10" t="s">
        <v>650</v>
      </c>
      <c r="B150" s="10" t="s">
        <v>651</v>
      </c>
      <c r="C150" s="10" t="s">
        <v>652</v>
      </c>
      <c r="D150" s="13">
        <f>'10_シナリオ入力'!E23</f>
        <v>4</v>
      </c>
      <c r="E150" s="10" t="s">
        <v>653</v>
      </c>
      <c r="F150" s="10" t="s">
        <v>654</v>
      </c>
      <c r="G150" s="14" t="s">
        <v>655</v>
      </c>
      <c r="H150" s="10" t="s">
        <v>3</v>
      </c>
      <c r="I150" s="10" t="s">
        <v>76</v>
      </c>
      <c r="J150" s="12"/>
      <c r="K150" s="12"/>
      <c r="L150" s="12"/>
      <c r="M150" s="12"/>
      <c r="N150" s="12" t="s">
        <v>419</v>
      </c>
      <c r="O150" s="12" t="s">
        <v>420</v>
      </c>
      <c r="P150" s="12" t="s">
        <v>421</v>
      </c>
      <c r="Q150" s="12" t="s">
        <v>422</v>
      </c>
    </row>
    <row r="151" spans="1:17">
      <c r="A151" s="10" t="s">
        <v>650</v>
      </c>
      <c r="B151" s="10" t="s">
        <v>656</v>
      </c>
      <c r="C151" s="10" t="s">
        <v>657</v>
      </c>
      <c r="D151" s="13">
        <f>'10_シナリオ入力'!E24</f>
        <v>4</v>
      </c>
      <c r="E151" s="10" t="s">
        <v>653</v>
      </c>
      <c r="F151" s="10" t="s">
        <v>658</v>
      </c>
      <c r="G151" s="14" t="s">
        <v>655</v>
      </c>
      <c r="H151" s="10" t="s">
        <v>3</v>
      </c>
      <c r="I151" s="10" t="s">
        <v>76</v>
      </c>
      <c r="J151" s="12"/>
      <c r="K151" s="12"/>
      <c r="L151" s="12"/>
      <c r="M151" s="12"/>
      <c r="N151" s="12" t="s">
        <v>419</v>
      </c>
      <c r="O151" s="12" t="s">
        <v>420</v>
      </c>
      <c r="P151" s="12" t="s">
        <v>421</v>
      </c>
      <c r="Q151" s="12" t="s">
        <v>422</v>
      </c>
    </row>
    <row r="152" spans="1:17" ht="42.75">
      <c r="A152" s="10" t="s">
        <v>650</v>
      </c>
      <c r="B152" s="10" t="s">
        <v>659</v>
      </c>
      <c r="C152" s="10" t="s">
        <v>660</v>
      </c>
      <c r="D152" s="13">
        <f>'09_基準仕様'!E144</f>
        <v>4</v>
      </c>
      <c r="E152" s="10" t="s">
        <v>653</v>
      </c>
      <c r="F152" s="10" t="s">
        <v>661</v>
      </c>
      <c r="G152" s="14" t="s">
        <v>662</v>
      </c>
      <c r="H152" s="10" t="s">
        <v>123</v>
      </c>
      <c r="I152" s="10" t="s">
        <v>76</v>
      </c>
      <c r="J152" s="12"/>
      <c r="K152" s="12"/>
      <c r="L152" s="12"/>
      <c r="M152" s="12"/>
      <c r="N152" s="12" t="s">
        <v>104</v>
      </c>
      <c r="O152" s="12" t="s">
        <v>105</v>
      </c>
      <c r="P152" s="12" t="s">
        <v>106</v>
      </c>
      <c r="Q152" s="12" t="s">
        <v>69</v>
      </c>
    </row>
    <row r="153" spans="1:17" ht="42.75">
      <c r="A153" s="10" t="s">
        <v>650</v>
      </c>
      <c r="B153" s="10" t="s">
        <v>663</v>
      </c>
      <c r="C153" s="10" t="s">
        <v>664</v>
      </c>
      <c r="D153" s="13">
        <f>'09_基準仕様'!E145</f>
        <v>4.9999999999999998E-8</v>
      </c>
      <c r="E153" s="10" t="s">
        <v>109</v>
      </c>
      <c r="F153" s="10" t="s">
        <v>665</v>
      </c>
      <c r="G153" s="14" t="s">
        <v>666</v>
      </c>
      <c r="H153" s="10" t="s">
        <v>123</v>
      </c>
      <c r="I153" s="10" t="s">
        <v>76</v>
      </c>
      <c r="J153" s="12"/>
      <c r="K153" s="12"/>
      <c r="L153" s="12"/>
      <c r="M153" s="12"/>
      <c r="N153" s="12" t="s">
        <v>104</v>
      </c>
      <c r="O153" s="12" t="s">
        <v>105</v>
      </c>
      <c r="P153" s="12" t="s">
        <v>106</v>
      </c>
      <c r="Q153" s="12" t="s">
        <v>69</v>
      </c>
    </row>
    <row r="154" spans="1:17" ht="42.75">
      <c r="A154" s="10" t="s">
        <v>650</v>
      </c>
      <c r="B154" s="10" t="s">
        <v>667</v>
      </c>
      <c r="C154" s="10" t="s">
        <v>668</v>
      </c>
      <c r="D154" s="13">
        <f>'09_基準仕様'!E146</f>
        <v>4.9999999999999998E-8</v>
      </c>
      <c r="E154" s="10" t="s">
        <v>109</v>
      </c>
      <c r="F154" s="10" t="s">
        <v>669</v>
      </c>
      <c r="G154" s="14" t="s">
        <v>670</v>
      </c>
      <c r="H154" s="10" t="s">
        <v>123</v>
      </c>
      <c r="I154" s="10" t="s">
        <v>76</v>
      </c>
      <c r="J154" s="12"/>
      <c r="K154" s="12"/>
      <c r="L154" s="12"/>
      <c r="M154" s="12"/>
      <c r="N154" s="12" t="s">
        <v>104</v>
      </c>
      <c r="O154" s="12" t="s">
        <v>105</v>
      </c>
      <c r="P154" s="12" t="s">
        <v>106</v>
      </c>
      <c r="Q154" s="12" t="s">
        <v>69</v>
      </c>
    </row>
    <row r="155" spans="1:17" ht="28.5">
      <c r="A155" s="10" t="s">
        <v>650</v>
      </c>
      <c r="B155" s="10" t="s">
        <v>671</v>
      </c>
      <c r="C155" s="10" t="s">
        <v>672</v>
      </c>
      <c r="D155" s="13">
        <f>'09_基準仕様'!E147</f>
        <v>0</v>
      </c>
      <c r="E155" s="10" t="s">
        <v>415</v>
      </c>
      <c r="F155" s="10" t="s">
        <v>673</v>
      </c>
      <c r="G155" s="14" t="s">
        <v>674</v>
      </c>
      <c r="H155" s="10" t="s">
        <v>418</v>
      </c>
      <c r="I155" s="10" t="s">
        <v>76</v>
      </c>
      <c r="J155" s="12"/>
      <c r="K155" s="12"/>
      <c r="L155" s="12"/>
      <c r="M155" s="12"/>
      <c r="N155" s="12" t="s">
        <v>104</v>
      </c>
      <c r="O155" s="12" t="s">
        <v>105</v>
      </c>
      <c r="P155" s="12" t="s">
        <v>106</v>
      </c>
      <c r="Q155" s="12" t="s">
        <v>69</v>
      </c>
    </row>
    <row r="156" spans="1:17" ht="57">
      <c r="A156" s="10" t="s">
        <v>650</v>
      </c>
      <c r="B156" s="10" t="s">
        <v>675</v>
      </c>
      <c r="C156" s="10" t="s">
        <v>676</v>
      </c>
      <c r="D156" s="13">
        <f>'09_基準仕様'!E148</f>
        <v>0.9</v>
      </c>
      <c r="E156" s="10" t="s">
        <v>86</v>
      </c>
      <c r="F156" s="10" t="s">
        <v>677</v>
      </c>
      <c r="G156" s="14" t="s">
        <v>678</v>
      </c>
      <c r="H156" s="10" t="s">
        <v>123</v>
      </c>
      <c r="I156" s="10" t="s">
        <v>76</v>
      </c>
      <c r="J156" s="12"/>
      <c r="K156" s="12"/>
      <c r="L156" s="12"/>
      <c r="M156" s="12"/>
      <c r="N156" s="12" t="s">
        <v>104</v>
      </c>
      <c r="O156" s="12" t="s">
        <v>105</v>
      </c>
      <c r="P156" s="12" t="s">
        <v>106</v>
      </c>
      <c r="Q156" s="12" t="s">
        <v>69</v>
      </c>
    </row>
    <row r="157" spans="1:17" ht="42.75">
      <c r="A157" s="10" t="s">
        <v>650</v>
      </c>
      <c r="B157" s="10" t="s">
        <v>679</v>
      </c>
      <c r="C157" s="10" t="s">
        <v>680</v>
      </c>
      <c r="D157" s="13">
        <f>'09_基準仕様'!E149</f>
        <v>3.0000000000000001E-3</v>
      </c>
      <c r="E157" s="10" t="s">
        <v>229</v>
      </c>
      <c r="F157" s="10" t="s">
        <v>681</v>
      </c>
      <c r="G157" s="14" t="s">
        <v>682</v>
      </c>
      <c r="H157" s="10" t="s">
        <v>123</v>
      </c>
      <c r="I157" s="10" t="s">
        <v>76</v>
      </c>
      <c r="J157" s="12"/>
      <c r="K157" s="12"/>
      <c r="L157" s="12"/>
      <c r="M157" s="12"/>
      <c r="N157" s="12" t="s">
        <v>104</v>
      </c>
      <c r="O157" s="12" t="s">
        <v>105</v>
      </c>
      <c r="P157" s="12" t="s">
        <v>106</v>
      </c>
      <c r="Q157" s="12" t="s">
        <v>69</v>
      </c>
    </row>
    <row r="158" spans="1:17" ht="42.75">
      <c r="A158" s="10" t="s">
        <v>650</v>
      </c>
      <c r="B158" s="10" t="s">
        <v>683</v>
      </c>
      <c r="C158" s="10" t="s">
        <v>684</v>
      </c>
      <c r="D158" s="13">
        <f>'09_基準仕様'!E150</f>
        <v>0.08</v>
      </c>
      <c r="E158" s="10" t="s">
        <v>229</v>
      </c>
      <c r="F158" s="10" t="s">
        <v>685</v>
      </c>
      <c r="G158" s="14" t="s">
        <v>686</v>
      </c>
      <c r="H158" s="10" t="s">
        <v>123</v>
      </c>
      <c r="I158" s="10" t="s">
        <v>76</v>
      </c>
      <c r="J158" s="12"/>
      <c r="K158" s="12"/>
      <c r="L158" s="12"/>
      <c r="M158" s="12"/>
      <c r="N158" s="12" t="s">
        <v>104</v>
      </c>
      <c r="O158" s="12" t="s">
        <v>105</v>
      </c>
      <c r="P158" s="12" t="s">
        <v>106</v>
      </c>
      <c r="Q158" s="12" t="s">
        <v>69</v>
      </c>
    </row>
    <row r="159" spans="1:17" ht="42.75">
      <c r="A159" s="10" t="s">
        <v>650</v>
      </c>
      <c r="B159" s="10" t="s">
        <v>687</v>
      </c>
      <c r="C159" s="10" t="s">
        <v>688</v>
      </c>
      <c r="D159" s="13">
        <f>'09_基準仕様'!E151</f>
        <v>0.7</v>
      </c>
      <c r="E159" s="10" t="s">
        <v>86</v>
      </c>
      <c r="F159" s="10" t="s">
        <v>685</v>
      </c>
      <c r="G159" s="14" t="s">
        <v>689</v>
      </c>
      <c r="H159" s="10" t="s">
        <v>123</v>
      </c>
      <c r="I159" s="10" t="s">
        <v>76</v>
      </c>
      <c r="J159" s="12"/>
      <c r="K159" s="12"/>
      <c r="L159" s="12"/>
      <c r="M159" s="12"/>
      <c r="N159" s="12" t="s">
        <v>104</v>
      </c>
      <c r="O159" s="12" t="s">
        <v>105</v>
      </c>
      <c r="P159" s="12" t="s">
        <v>106</v>
      </c>
      <c r="Q159" s="12" t="s">
        <v>69</v>
      </c>
    </row>
    <row r="160" spans="1:17" ht="42.75">
      <c r="A160" s="10" t="s">
        <v>690</v>
      </c>
      <c r="B160" s="10" t="s">
        <v>690</v>
      </c>
      <c r="C160" s="10" t="s">
        <v>691</v>
      </c>
      <c r="D160" s="13">
        <f>'09_基準仕様'!E152</f>
        <v>2.9999999999999999E-7</v>
      </c>
      <c r="E160" s="10" t="s">
        <v>109</v>
      </c>
      <c r="F160" s="10" t="s">
        <v>692</v>
      </c>
      <c r="G160" s="14" t="s">
        <v>693</v>
      </c>
      <c r="H160" s="10" t="s">
        <v>3</v>
      </c>
      <c r="I160" s="10" t="s">
        <v>76</v>
      </c>
      <c r="J160" s="12">
        <f>'07_システム要求'!M17</f>
        <v>7.4999999999999997E-8</v>
      </c>
      <c r="K160" s="12" t="s">
        <v>694</v>
      </c>
      <c r="L160" s="12" t="s">
        <v>83</v>
      </c>
      <c r="M160" s="12">
        <v>2.9999999999999999E-7</v>
      </c>
      <c r="N160" s="12" t="s">
        <v>104</v>
      </c>
      <c r="O160" s="12" t="s">
        <v>105</v>
      </c>
      <c r="P160" s="12" t="s">
        <v>106</v>
      </c>
      <c r="Q160" s="12" t="s">
        <v>69</v>
      </c>
    </row>
    <row r="161" spans="1:17" ht="71.25">
      <c r="A161" s="10" t="s">
        <v>690</v>
      </c>
      <c r="B161" s="10" t="s">
        <v>695</v>
      </c>
      <c r="C161" s="10" t="s">
        <v>696</v>
      </c>
      <c r="D161" s="13">
        <f>'09_基準仕様'!E153</f>
        <v>2.5</v>
      </c>
      <c r="E161" s="10" t="s">
        <v>73</v>
      </c>
      <c r="F161" s="10" t="s">
        <v>692</v>
      </c>
      <c r="G161" s="14" t="s">
        <v>697</v>
      </c>
      <c r="H161" s="10" t="s">
        <v>123</v>
      </c>
      <c r="I161" s="10" t="s">
        <v>76</v>
      </c>
      <c r="J161" s="12"/>
      <c r="K161" s="12"/>
      <c r="L161" s="12"/>
      <c r="M161" s="12"/>
      <c r="N161" s="12" t="s">
        <v>104</v>
      </c>
      <c r="O161" s="12" t="s">
        <v>105</v>
      </c>
      <c r="P161" s="12" t="s">
        <v>106</v>
      </c>
      <c r="Q161" s="12" t="s">
        <v>69</v>
      </c>
    </row>
    <row r="162" spans="1:17" ht="42.75">
      <c r="A162" s="10" t="s">
        <v>690</v>
      </c>
      <c r="B162" s="10" t="s">
        <v>698</v>
      </c>
      <c r="C162" s="10" t="s">
        <v>699</v>
      </c>
      <c r="D162" s="13">
        <f>'09_基準仕様'!E154</f>
        <v>0</v>
      </c>
      <c r="E162" s="10" t="s">
        <v>415</v>
      </c>
      <c r="F162" s="10" t="s">
        <v>700</v>
      </c>
      <c r="G162" s="14" t="s">
        <v>701</v>
      </c>
      <c r="H162" s="10" t="s">
        <v>418</v>
      </c>
      <c r="I162" s="10" t="s">
        <v>76</v>
      </c>
      <c r="J162" s="12"/>
      <c r="K162" s="12"/>
      <c r="L162" s="12"/>
      <c r="M162" s="12"/>
      <c r="N162" s="12" t="s">
        <v>104</v>
      </c>
      <c r="O162" s="12" t="s">
        <v>105</v>
      </c>
      <c r="P162" s="12" t="s">
        <v>106</v>
      </c>
      <c r="Q162" s="12" t="s">
        <v>69</v>
      </c>
    </row>
    <row r="163" spans="1:17" ht="42.75">
      <c r="A163" s="10" t="s">
        <v>690</v>
      </c>
      <c r="B163" s="10" t="s">
        <v>702</v>
      </c>
      <c r="C163" s="10" t="s">
        <v>703</v>
      </c>
      <c r="D163" s="13">
        <f>'09_基準仕様'!E155</f>
        <v>0.45</v>
      </c>
      <c r="E163" s="10" t="s">
        <v>86</v>
      </c>
      <c r="F163" s="10" t="s">
        <v>704</v>
      </c>
      <c r="G163" s="14" t="s">
        <v>705</v>
      </c>
      <c r="H163" s="10" t="s">
        <v>123</v>
      </c>
      <c r="I163" s="10" t="s">
        <v>76</v>
      </c>
      <c r="J163" s="12"/>
      <c r="K163" s="12"/>
      <c r="L163" s="12"/>
      <c r="M163" s="12"/>
      <c r="N163" s="12" t="s">
        <v>104</v>
      </c>
      <c r="O163" s="12" t="s">
        <v>105</v>
      </c>
      <c r="P163" s="12" t="s">
        <v>106</v>
      </c>
      <c r="Q163" s="12" t="s">
        <v>69</v>
      </c>
    </row>
    <row r="164" spans="1:17" ht="42.75">
      <c r="A164" s="10" t="s">
        <v>690</v>
      </c>
      <c r="B164" s="10" t="s">
        <v>706</v>
      </c>
      <c r="C164" s="10" t="s">
        <v>707</v>
      </c>
      <c r="D164" s="13">
        <f>'09_基準仕様'!E156</f>
        <v>1.4999999999999999E-2</v>
      </c>
      <c r="E164" s="10" t="s">
        <v>229</v>
      </c>
      <c r="F164" s="10" t="s">
        <v>681</v>
      </c>
      <c r="G164" s="14" t="s">
        <v>708</v>
      </c>
      <c r="H164" s="10" t="s">
        <v>123</v>
      </c>
      <c r="I164" s="10" t="s">
        <v>76</v>
      </c>
      <c r="J164" s="12"/>
      <c r="K164" s="12"/>
      <c r="L164" s="12"/>
      <c r="M164" s="12"/>
      <c r="N164" s="12" t="s">
        <v>104</v>
      </c>
      <c r="O164" s="12" t="s">
        <v>105</v>
      </c>
      <c r="P164" s="12" t="s">
        <v>106</v>
      </c>
      <c r="Q164" s="12" t="s">
        <v>69</v>
      </c>
    </row>
    <row r="165" spans="1:17" ht="28.5">
      <c r="A165" s="10" t="s">
        <v>709</v>
      </c>
      <c r="B165" s="10" t="s">
        <v>710</v>
      </c>
      <c r="C165" s="10" t="s">
        <v>711</v>
      </c>
      <c r="D165" s="13">
        <f>'09_基準仕様'!E157</f>
        <v>18</v>
      </c>
      <c r="E165" s="10" t="s">
        <v>73</v>
      </c>
      <c r="F165" s="10" t="s">
        <v>712</v>
      </c>
      <c r="G165" s="14" t="s">
        <v>713</v>
      </c>
      <c r="H165" s="10" t="s">
        <v>3</v>
      </c>
      <c r="I165" s="10" t="s">
        <v>76</v>
      </c>
      <c r="J165" s="12"/>
      <c r="K165" s="12"/>
      <c r="L165" s="12"/>
      <c r="M165" s="12"/>
      <c r="N165" s="12" t="s">
        <v>104</v>
      </c>
      <c r="O165" s="12" t="s">
        <v>105</v>
      </c>
      <c r="P165" s="12" t="s">
        <v>106</v>
      </c>
      <c r="Q165" s="12" t="s">
        <v>69</v>
      </c>
    </row>
    <row r="166" spans="1:17" ht="28.5">
      <c r="A166" s="10" t="s">
        <v>709</v>
      </c>
      <c r="B166" s="10" t="s">
        <v>714</v>
      </c>
      <c r="C166" s="10" t="s">
        <v>715</v>
      </c>
      <c r="D166" s="13">
        <f>'09_基準仕様'!E158</f>
        <v>-3</v>
      </c>
      <c r="E166" s="10" t="s">
        <v>73</v>
      </c>
      <c r="F166" s="10" t="s">
        <v>716</v>
      </c>
      <c r="G166" s="14" t="s">
        <v>717</v>
      </c>
      <c r="H166" s="10" t="s">
        <v>3</v>
      </c>
      <c r="I166" s="10" t="s">
        <v>76</v>
      </c>
      <c r="J166" s="12"/>
      <c r="K166" s="12"/>
      <c r="L166" s="12"/>
      <c r="M166" s="12"/>
      <c r="N166" s="12" t="s">
        <v>104</v>
      </c>
      <c r="O166" s="12" t="s">
        <v>105</v>
      </c>
      <c r="P166" s="12" t="s">
        <v>106</v>
      </c>
      <c r="Q166" s="12" t="s">
        <v>69</v>
      </c>
    </row>
    <row r="167" spans="1:17" ht="28.5">
      <c r="A167" s="10" t="s">
        <v>709</v>
      </c>
      <c r="B167" s="10" t="s">
        <v>718</v>
      </c>
      <c r="C167" s="10" t="s">
        <v>719</v>
      </c>
      <c r="D167" s="13">
        <f>'09_基準仕様'!E159</f>
        <v>18</v>
      </c>
      <c r="E167" s="10" t="s">
        <v>73</v>
      </c>
      <c r="F167" s="10" t="s">
        <v>720</v>
      </c>
      <c r="G167" s="14" t="s">
        <v>721</v>
      </c>
      <c r="H167" s="10" t="s">
        <v>123</v>
      </c>
      <c r="I167" s="10" t="s">
        <v>76</v>
      </c>
      <c r="J167" s="12"/>
      <c r="K167" s="12"/>
      <c r="L167" s="12"/>
      <c r="M167" s="12"/>
      <c r="N167" s="12" t="s">
        <v>104</v>
      </c>
      <c r="O167" s="12" t="s">
        <v>105</v>
      </c>
      <c r="P167" s="12" t="s">
        <v>106</v>
      </c>
      <c r="Q167" s="12" t="s">
        <v>69</v>
      </c>
    </row>
    <row r="168" spans="1:17" ht="57">
      <c r="A168" s="10" t="s">
        <v>709</v>
      </c>
      <c r="B168" s="10" t="s">
        <v>722</v>
      </c>
      <c r="C168" s="10" t="s">
        <v>723</v>
      </c>
      <c r="D168" s="13">
        <f>'09_基準仕様'!E160</f>
        <v>0.7</v>
      </c>
      <c r="E168" s="10" t="s">
        <v>86</v>
      </c>
      <c r="F168" s="10" t="s">
        <v>720</v>
      </c>
      <c r="G168" s="14" t="s">
        <v>724</v>
      </c>
      <c r="H168" s="10" t="s">
        <v>123</v>
      </c>
      <c r="I168" s="10" t="s">
        <v>76</v>
      </c>
      <c r="J168" s="12"/>
      <c r="K168" s="12"/>
      <c r="L168" s="12"/>
      <c r="M168" s="12"/>
      <c r="N168" s="12" t="s">
        <v>104</v>
      </c>
      <c r="O168" s="12" t="s">
        <v>105</v>
      </c>
      <c r="P168" s="12" t="s">
        <v>106</v>
      </c>
      <c r="Q168" s="12" t="s">
        <v>69</v>
      </c>
    </row>
    <row r="169" spans="1:17" ht="42.75">
      <c r="A169" s="10" t="s">
        <v>709</v>
      </c>
      <c r="B169" s="10" t="s">
        <v>725</v>
      </c>
      <c r="C169" s="10" t="s">
        <v>726</v>
      </c>
      <c r="D169" s="13">
        <f>'09_基準仕様'!E161</f>
        <v>1.1999999999999999E-7</v>
      </c>
      <c r="E169" s="10" t="s">
        <v>155</v>
      </c>
      <c r="F169" s="10" t="s">
        <v>727</v>
      </c>
      <c r="G169" s="14" t="s">
        <v>728</v>
      </c>
      <c r="H169" s="10" t="s">
        <v>123</v>
      </c>
      <c r="I169" s="10" t="s">
        <v>76</v>
      </c>
      <c r="J169" s="12"/>
      <c r="K169" s="12"/>
      <c r="L169" s="12"/>
      <c r="M169" s="12"/>
      <c r="N169" s="12" t="s">
        <v>104</v>
      </c>
      <c r="O169" s="12" t="s">
        <v>105</v>
      </c>
      <c r="P169" s="12" t="s">
        <v>106</v>
      </c>
      <c r="Q169" s="12" t="s">
        <v>69</v>
      </c>
    </row>
    <row r="170" spans="1:17" ht="42.75">
      <c r="A170" s="10" t="s">
        <v>709</v>
      </c>
      <c r="B170" s="10" t="s">
        <v>729</v>
      </c>
      <c r="C170" s="10" t="s">
        <v>730</v>
      </c>
      <c r="D170" s="13">
        <f>'09_基準仕様'!E162</f>
        <v>0.03</v>
      </c>
      <c r="E170" s="10" t="s">
        <v>731</v>
      </c>
      <c r="F170" s="10" t="s">
        <v>732</v>
      </c>
      <c r="G170" s="14" t="s">
        <v>733</v>
      </c>
      <c r="H170" s="10" t="s">
        <v>123</v>
      </c>
      <c r="I170" s="10" t="s">
        <v>76</v>
      </c>
      <c r="J170" s="12"/>
      <c r="K170" s="12"/>
      <c r="L170" s="12"/>
      <c r="M170" s="12"/>
      <c r="N170" s="12" t="s">
        <v>104</v>
      </c>
      <c r="O170" s="12" t="s">
        <v>105</v>
      </c>
      <c r="P170" s="12" t="s">
        <v>106</v>
      </c>
      <c r="Q170" s="12" t="s">
        <v>69</v>
      </c>
    </row>
    <row r="171" spans="1:17" ht="42.75">
      <c r="A171" s="10" t="s">
        <v>709</v>
      </c>
      <c r="B171" s="10" t="s">
        <v>734</v>
      </c>
      <c r="C171" s="10" t="s">
        <v>735</v>
      </c>
      <c r="D171" s="13">
        <f>'09_基準仕様'!E163</f>
        <v>4.0000000000000001E-3</v>
      </c>
      <c r="E171" s="10" t="s">
        <v>736</v>
      </c>
      <c r="F171" s="10" t="s">
        <v>732</v>
      </c>
      <c r="G171" s="14" t="s">
        <v>737</v>
      </c>
      <c r="H171" s="10" t="s">
        <v>123</v>
      </c>
      <c r="I171" s="10" t="s">
        <v>76</v>
      </c>
      <c r="J171" s="12"/>
      <c r="K171" s="12"/>
      <c r="L171" s="12"/>
      <c r="M171" s="12"/>
      <c r="N171" s="12" t="s">
        <v>104</v>
      </c>
      <c r="O171" s="12" t="s">
        <v>105</v>
      </c>
      <c r="P171" s="12" t="s">
        <v>106</v>
      </c>
      <c r="Q171" s="12" t="s">
        <v>69</v>
      </c>
    </row>
    <row r="172" spans="1:17" ht="28.5">
      <c r="A172" s="10" t="s">
        <v>738</v>
      </c>
      <c r="B172" s="10" t="s">
        <v>739</v>
      </c>
      <c r="C172" s="10" t="s">
        <v>740</v>
      </c>
      <c r="D172" s="13">
        <f>'09_基準仕様'!E164</f>
        <v>1.4999999999999999E-8</v>
      </c>
      <c r="E172" s="10" t="s">
        <v>741</v>
      </c>
      <c r="F172" s="10" t="s">
        <v>742</v>
      </c>
      <c r="G172" s="14" t="s">
        <v>743</v>
      </c>
      <c r="H172" s="10" t="s">
        <v>3</v>
      </c>
      <c r="I172" s="10" t="s">
        <v>76</v>
      </c>
      <c r="J172" s="12"/>
      <c r="K172" s="12"/>
      <c r="L172" s="12"/>
      <c r="M172" s="12"/>
      <c r="N172" s="12" t="s">
        <v>104</v>
      </c>
      <c r="O172" s="12" t="s">
        <v>105</v>
      </c>
      <c r="P172" s="12" t="s">
        <v>106</v>
      </c>
      <c r="Q172" s="12" t="s">
        <v>69</v>
      </c>
    </row>
    <row r="173" spans="1:17" ht="42.75">
      <c r="A173" s="10" t="s">
        <v>738</v>
      </c>
      <c r="B173" s="10" t="s">
        <v>744</v>
      </c>
      <c r="C173" s="10" t="s">
        <v>745</v>
      </c>
      <c r="D173" s="13">
        <f>'09_基準仕様'!E165</f>
        <v>1.4999999999999999E-8</v>
      </c>
      <c r="E173" s="10" t="s">
        <v>741</v>
      </c>
      <c r="F173" s="10" t="s">
        <v>746</v>
      </c>
      <c r="G173" s="14" t="s">
        <v>747</v>
      </c>
      <c r="H173" s="10" t="s">
        <v>123</v>
      </c>
      <c r="I173" s="10" t="s">
        <v>76</v>
      </c>
      <c r="J173" s="12"/>
      <c r="K173" s="12"/>
      <c r="L173" s="12"/>
      <c r="M173" s="12"/>
      <c r="N173" s="12" t="s">
        <v>104</v>
      </c>
      <c r="O173" s="12" t="s">
        <v>105</v>
      </c>
      <c r="P173" s="12" t="s">
        <v>106</v>
      </c>
      <c r="Q173" s="12" t="s">
        <v>69</v>
      </c>
    </row>
    <row r="174" spans="1:17" ht="42.75">
      <c r="A174" s="10" t="s">
        <v>738</v>
      </c>
      <c r="B174" s="10" t="s">
        <v>748</v>
      </c>
      <c r="C174" s="10" t="s">
        <v>749</v>
      </c>
      <c r="D174" s="13">
        <f>'09_基準仕様'!E166</f>
        <v>0.05</v>
      </c>
      <c r="E174" s="10" t="s">
        <v>229</v>
      </c>
      <c r="F174" s="10" t="s">
        <v>746</v>
      </c>
      <c r="G174" s="14" t="s">
        <v>750</v>
      </c>
      <c r="H174" s="10" t="s">
        <v>123</v>
      </c>
      <c r="I174" s="10" t="s">
        <v>76</v>
      </c>
      <c r="J174" s="12"/>
      <c r="K174" s="12"/>
      <c r="L174" s="12"/>
      <c r="M174" s="12"/>
      <c r="N174" s="12" t="s">
        <v>104</v>
      </c>
      <c r="O174" s="12" t="s">
        <v>105</v>
      </c>
      <c r="P174" s="12" t="s">
        <v>106</v>
      </c>
      <c r="Q174" s="12" t="s">
        <v>69</v>
      </c>
    </row>
    <row r="175" spans="1:17" ht="42.75">
      <c r="A175" s="10" t="s">
        <v>751</v>
      </c>
      <c r="B175" s="10" t="s">
        <v>752</v>
      </c>
      <c r="C175" s="10" t="s">
        <v>753</v>
      </c>
      <c r="D175" s="13">
        <f>'10_シナリオ入力'!E10</f>
        <v>0</v>
      </c>
      <c r="E175" s="10" t="s">
        <v>415</v>
      </c>
      <c r="F175" s="10" t="s">
        <v>754</v>
      </c>
      <c r="G175" s="14" t="s">
        <v>755</v>
      </c>
      <c r="H175" s="10" t="s">
        <v>418</v>
      </c>
      <c r="I175" s="10" t="s">
        <v>76</v>
      </c>
      <c r="J175" s="12"/>
      <c r="K175" s="12"/>
      <c r="L175" s="12"/>
      <c r="M175" s="12"/>
      <c r="N175" s="12" t="s">
        <v>419</v>
      </c>
      <c r="O175" s="12" t="s">
        <v>420</v>
      </c>
      <c r="P175" s="12" t="s">
        <v>421</v>
      </c>
      <c r="Q175" s="12" t="s">
        <v>422</v>
      </c>
    </row>
    <row r="176" spans="1:17" ht="42.75">
      <c r="A176" s="10" t="s">
        <v>751</v>
      </c>
      <c r="B176" s="10" t="s">
        <v>756</v>
      </c>
      <c r="C176" s="10" t="s">
        <v>757</v>
      </c>
      <c r="D176" s="13">
        <f>'09_基準仕様'!E167</f>
        <v>0.65</v>
      </c>
      <c r="E176" s="10" t="s">
        <v>86</v>
      </c>
      <c r="F176" s="10" t="s">
        <v>758</v>
      </c>
      <c r="G176" s="14" t="s">
        <v>759</v>
      </c>
      <c r="H176" s="10" t="s">
        <v>123</v>
      </c>
      <c r="I176" s="10" t="s">
        <v>76</v>
      </c>
      <c r="J176" s="12"/>
      <c r="K176" s="12"/>
      <c r="L176" s="12"/>
      <c r="M176" s="12"/>
      <c r="N176" s="12" t="s">
        <v>104</v>
      </c>
      <c r="O176" s="12" t="s">
        <v>105</v>
      </c>
      <c r="P176" s="12" t="s">
        <v>106</v>
      </c>
      <c r="Q176" s="12" t="s">
        <v>69</v>
      </c>
    </row>
    <row r="177" spans="1:17" ht="42.75">
      <c r="A177" s="10" t="s">
        <v>751</v>
      </c>
      <c r="B177" s="10" t="s">
        <v>760</v>
      </c>
      <c r="C177" s="10" t="s">
        <v>761</v>
      </c>
      <c r="D177" s="13">
        <f>'09_基準仕様'!E168</f>
        <v>5.0000000000000001E-9</v>
      </c>
      <c r="E177" s="10" t="s">
        <v>762</v>
      </c>
      <c r="F177" s="10" t="s">
        <v>763</v>
      </c>
      <c r="G177" s="14" t="s">
        <v>764</v>
      </c>
      <c r="H177" s="10" t="s">
        <v>3</v>
      </c>
      <c r="I177" s="10" t="s">
        <v>76</v>
      </c>
      <c r="J177" s="12"/>
      <c r="K177" s="12"/>
      <c r="L177" s="12"/>
      <c r="M177" s="12"/>
      <c r="N177" s="12" t="s">
        <v>104</v>
      </c>
      <c r="O177" s="12" t="s">
        <v>105</v>
      </c>
      <c r="P177" s="12" t="s">
        <v>106</v>
      </c>
      <c r="Q177" s="12" t="s">
        <v>69</v>
      </c>
    </row>
    <row r="178" spans="1:17" ht="42.75">
      <c r="A178" s="10" t="s">
        <v>751</v>
      </c>
      <c r="B178" s="10" t="s">
        <v>765</v>
      </c>
      <c r="C178" s="10" t="s">
        <v>766</v>
      </c>
      <c r="D178" s="13">
        <f>'09_基準仕様'!E169</f>
        <v>0.03</v>
      </c>
      <c r="E178" s="10" t="s">
        <v>229</v>
      </c>
      <c r="F178" s="10" t="s">
        <v>767</v>
      </c>
      <c r="G178" s="14" t="s">
        <v>768</v>
      </c>
      <c r="H178" s="10" t="s">
        <v>123</v>
      </c>
      <c r="I178" s="10" t="s">
        <v>76</v>
      </c>
      <c r="J178" s="12"/>
      <c r="K178" s="12"/>
      <c r="L178" s="12"/>
      <c r="M178" s="12"/>
      <c r="N178" s="12" t="s">
        <v>104</v>
      </c>
      <c r="O178" s="12" t="s">
        <v>105</v>
      </c>
      <c r="P178" s="12" t="s">
        <v>106</v>
      </c>
      <c r="Q178" s="12" t="s">
        <v>69</v>
      </c>
    </row>
    <row r="179" spans="1:17" ht="42.75">
      <c r="A179" s="10" t="s">
        <v>769</v>
      </c>
      <c r="B179" s="10" t="s">
        <v>770</v>
      </c>
      <c r="C179" s="10" t="s">
        <v>771</v>
      </c>
      <c r="D179" s="13">
        <f>'10_シナリオ入力'!E11</f>
        <v>0</v>
      </c>
      <c r="E179" s="10" t="s">
        <v>415</v>
      </c>
      <c r="F179" s="10" t="s">
        <v>772</v>
      </c>
      <c r="G179" s="14" t="s">
        <v>773</v>
      </c>
      <c r="H179" s="10" t="s">
        <v>418</v>
      </c>
      <c r="I179" s="10" t="s">
        <v>76</v>
      </c>
      <c r="J179" s="12"/>
      <c r="K179" s="12"/>
      <c r="L179" s="12"/>
      <c r="M179" s="12"/>
      <c r="N179" s="12" t="s">
        <v>419</v>
      </c>
      <c r="O179" s="12" t="s">
        <v>420</v>
      </c>
      <c r="P179" s="12" t="s">
        <v>421</v>
      </c>
      <c r="Q179" s="12" t="s">
        <v>422</v>
      </c>
    </row>
    <row r="180" spans="1:17" ht="42.75">
      <c r="A180" s="10" t="s">
        <v>769</v>
      </c>
      <c r="B180" s="10" t="s">
        <v>774</v>
      </c>
      <c r="C180" s="10" t="s">
        <v>775</v>
      </c>
      <c r="D180" s="13">
        <f>'09_基準仕様'!E170</f>
        <v>0.67</v>
      </c>
      <c r="E180" s="10" t="s">
        <v>86</v>
      </c>
      <c r="F180" s="10" t="s">
        <v>776</v>
      </c>
      <c r="G180" s="14" t="s">
        <v>777</v>
      </c>
      <c r="H180" s="10" t="s">
        <v>123</v>
      </c>
      <c r="I180" s="10" t="s">
        <v>76</v>
      </c>
      <c r="J180" s="12"/>
      <c r="K180" s="12"/>
      <c r="L180" s="12"/>
      <c r="M180" s="12"/>
      <c r="N180" s="12" t="s">
        <v>104</v>
      </c>
      <c r="O180" s="12" t="s">
        <v>105</v>
      </c>
      <c r="P180" s="12" t="s">
        <v>106</v>
      </c>
      <c r="Q180" s="12" t="s">
        <v>69</v>
      </c>
    </row>
    <row r="181" spans="1:17" ht="57">
      <c r="A181" s="10" t="s">
        <v>769</v>
      </c>
      <c r="B181" s="10" t="s">
        <v>778</v>
      </c>
      <c r="C181" s="10" t="s">
        <v>779</v>
      </c>
      <c r="D181" s="13">
        <f>'09_基準仕様'!E171</f>
        <v>0.3</v>
      </c>
      <c r="E181" s="10" t="s">
        <v>86</v>
      </c>
      <c r="F181" s="10" t="s">
        <v>780</v>
      </c>
      <c r="G181" s="14" t="s">
        <v>781</v>
      </c>
      <c r="H181" s="10" t="s">
        <v>123</v>
      </c>
      <c r="I181" s="10" t="s">
        <v>76</v>
      </c>
      <c r="J181" s="12"/>
      <c r="K181" s="12"/>
      <c r="L181" s="12"/>
      <c r="M181" s="12"/>
      <c r="N181" s="12" t="s">
        <v>104</v>
      </c>
      <c r="O181" s="12" t="s">
        <v>105</v>
      </c>
      <c r="P181" s="12" t="s">
        <v>106</v>
      </c>
      <c r="Q181" s="12" t="s">
        <v>69</v>
      </c>
    </row>
    <row r="182" spans="1:17" ht="42.75">
      <c r="A182" s="10" t="s">
        <v>769</v>
      </c>
      <c r="B182" s="10" t="s">
        <v>782</v>
      </c>
      <c r="C182" s="10" t="s">
        <v>783</v>
      </c>
      <c r="D182" s="13">
        <f>'10_シナリオ入力'!E12</f>
        <v>0</v>
      </c>
      <c r="E182" s="10" t="s">
        <v>415</v>
      </c>
      <c r="F182" s="10" t="s">
        <v>784</v>
      </c>
      <c r="G182" s="14" t="s">
        <v>785</v>
      </c>
      <c r="H182" s="10" t="s">
        <v>418</v>
      </c>
      <c r="I182" s="10" t="s">
        <v>76</v>
      </c>
      <c r="J182" s="12"/>
      <c r="K182" s="12"/>
      <c r="L182" s="12"/>
      <c r="M182" s="12"/>
      <c r="N182" s="12" t="s">
        <v>419</v>
      </c>
      <c r="O182" s="12" t="s">
        <v>420</v>
      </c>
      <c r="P182" s="12" t="s">
        <v>421</v>
      </c>
      <c r="Q182" s="12" t="s">
        <v>422</v>
      </c>
    </row>
    <row r="183" spans="1:17" ht="42.75">
      <c r="A183" s="10" t="s">
        <v>769</v>
      </c>
      <c r="B183" s="10" t="s">
        <v>786</v>
      </c>
      <c r="C183" s="10" t="s">
        <v>787</v>
      </c>
      <c r="D183" s="13">
        <f>'09_基準仕様'!E172</f>
        <v>1.08</v>
      </c>
      <c r="E183" s="10" t="s">
        <v>86</v>
      </c>
      <c r="F183" s="10" t="s">
        <v>776</v>
      </c>
      <c r="G183" s="14" t="s">
        <v>788</v>
      </c>
      <c r="H183" s="10" t="s">
        <v>123</v>
      </c>
      <c r="I183" s="10" t="s">
        <v>76</v>
      </c>
      <c r="J183" s="12"/>
      <c r="K183" s="12"/>
      <c r="L183" s="12"/>
      <c r="M183" s="12"/>
      <c r="N183" s="12" t="s">
        <v>104</v>
      </c>
      <c r="O183" s="12" t="s">
        <v>105</v>
      </c>
      <c r="P183" s="12" t="s">
        <v>106</v>
      </c>
      <c r="Q183" s="12" t="s">
        <v>69</v>
      </c>
    </row>
    <row r="184" spans="1:17" ht="57">
      <c r="A184" s="10" t="s">
        <v>789</v>
      </c>
      <c r="B184" s="10" t="s">
        <v>790</v>
      </c>
      <c r="C184" s="10" t="s">
        <v>791</v>
      </c>
      <c r="D184" s="13">
        <f>'09_基準仕様'!E173</f>
        <v>0.2</v>
      </c>
      <c r="E184" s="10" t="s">
        <v>229</v>
      </c>
      <c r="F184" s="10" t="s">
        <v>792</v>
      </c>
      <c r="G184" s="14" t="s">
        <v>793</v>
      </c>
      <c r="H184" s="10" t="s">
        <v>123</v>
      </c>
      <c r="I184" s="10" t="s">
        <v>76</v>
      </c>
      <c r="J184" s="12"/>
      <c r="K184" s="12"/>
      <c r="L184" s="12"/>
      <c r="M184" s="12"/>
      <c r="N184" s="12" t="s">
        <v>104</v>
      </c>
      <c r="O184" s="12" t="s">
        <v>105</v>
      </c>
      <c r="P184" s="12" t="s">
        <v>106</v>
      </c>
      <c r="Q184" s="12" t="s">
        <v>69</v>
      </c>
    </row>
    <row r="185" spans="1:17" ht="28.5">
      <c r="A185" s="10" t="s">
        <v>789</v>
      </c>
      <c r="B185" s="10" t="s">
        <v>794</v>
      </c>
      <c r="C185" s="10" t="s">
        <v>795</v>
      </c>
      <c r="D185" s="13">
        <f>'09_基準仕様'!E174</f>
        <v>0.6</v>
      </c>
      <c r="E185" s="10" t="s">
        <v>86</v>
      </c>
      <c r="F185" s="10" t="s">
        <v>796</v>
      </c>
      <c r="G185" s="14" t="s">
        <v>797</v>
      </c>
      <c r="H185" s="10" t="s">
        <v>123</v>
      </c>
      <c r="I185" s="10" t="s">
        <v>76</v>
      </c>
      <c r="J185" s="12"/>
      <c r="K185" s="12"/>
      <c r="L185" s="12"/>
      <c r="M185" s="12"/>
      <c r="N185" s="12" t="s">
        <v>104</v>
      </c>
      <c r="O185" s="12" t="s">
        <v>105</v>
      </c>
      <c r="P185" s="12" t="s">
        <v>106</v>
      </c>
      <c r="Q185" s="12" t="s">
        <v>69</v>
      </c>
    </row>
    <row r="186" spans="1:17" ht="42.75">
      <c r="A186" s="10" t="s">
        <v>769</v>
      </c>
      <c r="B186" s="10" t="s">
        <v>798</v>
      </c>
      <c r="C186" s="10" t="s">
        <v>799</v>
      </c>
      <c r="D186" s="13">
        <f>'09_基準仕様'!E175</f>
        <v>5.0000000000000001E-3</v>
      </c>
      <c r="E186" s="10" t="s">
        <v>229</v>
      </c>
      <c r="F186" s="10" t="s">
        <v>800</v>
      </c>
      <c r="G186" s="14" t="s">
        <v>801</v>
      </c>
      <c r="H186" s="10" t="s">
        <v>123</v>
      </c>
      <c r="I186" s="10" t="s">
        <v>76</v>
      </c>
      <c r="J186" s="12"/>
      <c r="K186" s="12"/>
      <c r="L186" s="12"/>
      <c r="M186" s="12"/>
      <c r="N186" s="12" t="s">
        <v>104</v>
      </c>
      <c r="O186" s="12" t="s">
        <v>105</v>
      </c>
      <c r="P186" s="12" t="s">
        <v>106</v>
      </c>
      <c r="Q186" s="12" t="s">
        <v>69</v>
      </c>
    </row>
    <row r="187" spans="1:17" ht="28.5">
      <c r="A187" s="10" t="s">
        <v>276</v>
      </c>
      <c r="B187" s="10" t="s">
        <v>802</v>
      </c>
      <c r="C187" s="10" t="s">
        <v>803</v>
      </c>
      <c r="D187" s="13">
        <f>'09_基準仕様'!E176</f>
        <v>0.55000000000000004</v>
      </c>
      <c r="E187" s="10" t="s">
        <v>86</v>
      </c>
      <c r="F187" s="10" t="s">
        <v>804</v>
      </c>
      <c r="G187" s="14" t="s">
        <v>805</v>
      </c>
      <c r="H187" s="10" t="s">
        <v>123</v>
      </c>
      <c r="I187" s="10" t="s">
        <v>76</v>
      </c>
      <c r="J187" s="12"/>
      <c r="K187" s="12"/>
      <c r="L187" s="12"/>
      <c r="M187" s="12"/>
      <c r="N187" s="12" t="s">
        <v>104</v>
      </c>
      <c r="O187" s="12" t="s">
        <v>105</v>
      </c>
      <c r="P187" s="12" t="s">
        <v>106</v>
      </c>
      <c r="Q187" s="12" t="s">
        <v>69</v>
      </c>
    </row>
    <row r="188" spans="1:17" ht="42.75">
      <c r="A188" s="10" t="s">
        <v>276</v>
      </c>
      <c r="B188" s="10" t="s">
        <v>806</v>
      </c>
      <c r="C188" s="10" t="s">
        <v>807</v>
      </c>
      <c r="D188" s="13">
        <f>'09_基準仕様'!E177</f>
        <v>25</v>
      </c>
      <c r="E188" s="10" t="s">
        <v>808</v>
      </c>
      <c r="F188" s="10" t="s">
        <v>809</v>
      </c>
      <c r="G188" s="14" t="s">
        <v>810</v>
      </c>
      <c r="H188" s="10" t="s">
        <v>3</v>
      </c>
      <c r="I188" s="10" t="s">
        <v>76</v>
      </c>
      <c r="J188" s="12"/>
      <c r="K188" s="12"/>
      <c r="L188" s="12"/>
      <c r="M188" s="12"/>
      <c r="N188" s="12" t="s">
        <v>104</v>
      </c>
      <c r="O188" s="12" t="s">
        <v>105</v>
      </c>
      <c r="P188" s="12" t="s">
        <v>106</v>
      </c>
      <c r="Q188" s="12" t="s">
        <v>69</v>
      </c>
    </row>
    <row r="189" spans="1:17" ht="42.75">
      <c r="A189" s="10" t="s">
        <v>276</v>
      </c>
      <c r="B189" s="10" t="s">
        <v>811</v>
      </c>
      <c r="C189" s="10" t="s">
        <v>812</v>
      </c>
      <c r="D189" s="13">
        <f>'09_基準仕様'!E178</f>
        <v>0.35</v>
      </c>
      <c r="E189" s="10" t="s">
        <v>433</v>
      </c>
      <c r="F189" s="10" t="s">
        <v>813</v>
      </c>
      <c r="G189" s="14" t="s">
        <v>814</v>
      </c>
      <c r="H189" s="10" t="s">
        <v>123</v>
      </c>
      <c r="I189" s="10" t="s">
        <v>76</v>
      </c>
      <c r="J189" s="12"/>
      <c r="K189" s="12"/>
      <c r="L189" s="12"/>
      <c r="M189" s="12"/>
      <c r="N189" s="12" t="s">
        <v>104</v>
      </c>
      <c r="O189" s="12" t="s">
        <v>105</v>
      </c>
      <c r="P189" s="12" t="s">
        <v>106</v>
      </c>
      <c r="Q189" s="12" t="s">
        <v>69</v>
      </c>
    </row>
    <row r="190" spans="1:17" ht="42.75">
      <c r="A190" s="10" t="s">
        <v>276</v>
      </c>
      <c r="B190" s="10" t="s">
        <v>815</v>
      </c>
      <c r="C190" s="10" t="s">
        <v>816</v>
      </c>
      <c r="D190" s="13">
        <f>'09_基準仕様'!E179</f>
        <v>3.0000000000000001E-3</v>
      </c>
      <c r="E190" s="10" t="s">
        <v>653</v>
      </c>
      <c r="F190" s="10" t="s">
        <v>817</v>
      </c>
      <c r="G190" s="14" t="s">
        <v>818</v>
      </c>
      <c r="H190" s="10" t="s">
        <v>3</v>
      </c>
      <c r="I190" s="10" t="s">
        <v>76</v>
      </c>
      <c r="J190" s="12"/>
      <c r="K190" s="12"/>
      <c r="L190" s="12"/>
      <c r="M190" s="12"/>
      <c r="N190" s="12" t="s">
        <v>104</v>
      </c>
      <c r="O190" s="12" t="s">
        <v>105</v>
      </c>
      <c r="P190" s="12" t="s">
        <v>106</v>
      </c>
      <c r="Q190" s="12" t="s">
        <v>69</v>
      </c>
    </row>
    <row r="191" spans="1:17" ht="42.75">
      <c r="A191" s="10" t="s">
        <v>276</v>
      </c>
      <c r="B191" s="10" t="s">
        <v>819</v>
      </c>
      <c r="C191" s="10" t="s">
        <v>820</v>
      </c>
      <c r="D191" s="13">
        <f>'09_基準仕様'!E180</f>
        <v>2</v>
      </c>
      <c r="E191" s="10" t="s">
        <v>821</v>
      </c>
      <c r="F191" s="10" t="s">
        <v>817</v>
      </c>
      <c r="G191" s="14" t="s">
        <v>822</v>
      </c>
      <c r="H191" s="10" t="s">
        <v>123</v>
      </c>
      <c r="I191" s="10" t="s">
        <v>76</v>
      </c>
      <c r="J191" s="12"/>
      <c r="K191" s="12"/>
      <c r="L191" s="12"/>
      <c r="M191" s="12"/>
      <c r="N191" s="12" t="s">
        <v>104</v>
      </c>
      <c r="O191" s="12" t="s">
        <v>105</v>
      </c>
      <c r="P191" s="12" t="s">
        <v>106</v>
      </c>
      <c r="Q191" s="12" t="s">
        <v>69</v>
      </c>
    </row>
    <row r="192" spans="1:17" ht="28.5">
      <c r="A192" s="10" t="s">
        <v>276</v>
      </c>
      <c r="B192" s="10" t="s">
        <v>823</v>
      </c>
      <c r="C192" s="10" t="s">
        <v>824</v>
      </c>
      <c r="D192" s="13">
        <f>'09_基準仕様'!E181</f>
        <v>85</v>
      </c>
      <c r="E192" s="10" t="s">
        <v>303</v>
      </c>
      <c r="F192" s="10" t="s">
        <v>825</v>
      </c>
      <c r="G192" s="14" t="s">
        <v>826</v>
      </c>
      <c r="H192" s="10" t="s">
        <v>123</v>
      </c>
      <c r="I192" s="10" t="s">
        <v>76</v>
      </c>
      <c r="J192" s="12"/>
      <c r="K192" s="12"/>
      <c r="L192" s="12"/>
      <c r="M192" s="12"/>
      <c r="N192" s="12" t="s">
        <v>104</v>
      </c>
      <c r="O192" s="12" t="s">
        <v>105</v>
      </c>
      <c r="P192" s="12" t="s">
        <v>106</v>
      </c>
      <c r="Q192" s="12" t="s">
        <v>69</v>
      </c>
    </row>
    <row r="193" spans="1:17" ht="42.75">
      <c r="A193" s="10" t="s">
        <v>276</v>
      </c>
      <c r="B193" s="10" t="s">
        <v>827</v>
      </c>
      <c r="C193" s="10" t="s">
        <v>828</v>
      </c>
      <c r="D193" s="13">
        <f>'09_基準仕様'!E182</f>
        <v>10000</v>
      </c>
      <c r="E193" s="10" t="s">
        <v>829</v>
      </c>
      <c r="F193" s="10" t="s">
        <v>825</v>
      </c>
      <c r="G193" s="14" t="s">
        <v>830</v>
      </c>
      <c r="H193" s="10" t="s">
        <v>123</v>
      </c>
      <c r="I193" s="10" t="s">
        <v>76</v>
      </c>
      <c r="J193" s="12"/>
      <c r="K193" s="12"/>
      <c r="L193" s="12"/>
      <c r="M193" s="12"/>
      <c r="N193" s="12" t="s">
        <v>104</v>
      </c>
      <c r="O193" s="12" t="s">
        <v>105</v>
      </c>
      <c r="P193" s="12" t="s">
        <v>106</v>
      </c>
      <c r="Q193" s="12" t="s">
        <v>69</v>
      </c>
    </row>
    <row r="194" spans="1:17" ht="42.75">
      <c r="A194" s="10" t="s">
        <v>276</v>
      </c>
      <c r="B194" s="10" t="s">
        <v>831</v>
      </c>
      <c r="C194" s="10" t="s">
        <v>832</v>
      </c>
      <c r="D194" s="13">
        <f>'07_システム要求'!D21</f>
        <v>150000</v>
      </c>
      <c r="E194" s="10" t="s">
        <v>829</v>
      </c>
      <c r="F194" s="10" t="s">
        <v>833</v>
      </c>
      <c r="G194" s="14" t="s">
        <v>834</v>
      </c>
      <c r="H194" s="10" t="s">
        <v>835</v>
      </c>
      <c r="I194" s="10" t="s">
        <v>76</v>
      </c>
      <c r="J194" s="12">
        <f>'07_システム要求'!D21</f>
        <v>150000</v>
      </c>
      <c r="K194" s="12" t="s">
        <v>831</v>
      </c>
      <c r="L194" s="12" t="s">
        <v>65</v>
      </c>
      <c r="M194" s="12">
        <v>150000</v>
      </c>
      <c r="N194" s="12" t="s">
        <v>66</v>
      </c>
      <c r="O194" s="12" t="s">
        <v>67</v>
      </c>
      <c r="P194" s="12" t="s">
        <v>68</v>
      </c>
      <c r="Q194" s="12" t="s">
        <v>69</v>
      </c>
    </row>
    <row r="195" spans="1:17" ht="42.75">
      <c r="A195" s="10" t="s">
        <v>650</v>
      </c>
      <c r="B195" s="10" t="s">
        <v>836</v>
      </c>
      <c r="C195" s="10" t="s">
        <v>837</v>
      </c>
      <c r="D195" s="13">
        <f>'09_基準仕様'!E183</f>
        <v>800</v>
      </c>
      <c r="E195" s="10" t="s">
        <v>73</v>
      </c>
      <c r="F195" s="10" t="s">
        <v>685</v>
      </c>
      <c r="G195" s="14" t="s">
        <v>838</v>
      </c>
      <c r="H195" s="10" t="s">
        <v>123</v>
      </c>
      <c r="I195" s="10" t="s">
        <v>76</v>
      </c>
      <c r="J195" s="12"/>
      <c r="K195" s="12"/>
      <c r="L195" s="12"/>
      <c r="M195" s="12"/>
      <c r="N195" s="12" t="s">
        <v>104</v>
      </c>
      <c r="O195" s="12" t="s">
        <v>105</v>
      </c>
      <c r="P195" s="12" t="s">
        <v>106</v>
      </c>
      <c r="Q195" s="12" t="s">
        <v>69</v>
      </c>
    </row>
    <row r="196" spans="1:17" ht="42.75">
      <c r="A196" s="10" t="s">
        <v>839</v>
      </c>
      <c r="B196" s="10" t="s">
        <v>840</v>
      </c>
      <c r="C196" s="10" t="s">
        <v>841</v>
      </c>
      <c r="D196" s="13">
        <f>'09_基準仕様'!E184</f>
        <v>1.2E-8</v>
      </c>
      <c r="E196" s="10" t="s">
        <v>741</v>
      </c>
      <c r="F196" s="10" t="s">
        <v>758</v>
      </c>
      <c r="G196" s="14" t="s">
        <v>842</v>
      </c>
      <c r="H196" s="10" t="s">
        <v>3</v>
      </c>
      <c r="I196" s="10" t="s">
        <v>76</v>
      </c>
      <c r="J196" s="12"/>
      <c r="K196" s="12"/>
      <c r="L196" s="12"/>
      <c r="M196" s="12"/>
      <c r="N196" s="12" t="s">
        <v>104</v>
      </c>
      <c r="O196" s="12" t="s">
        <v>105</v>
      </c>
      <c r="P196" s="12" t="s">
        <v>106</v>
      </c>
      <c r="Q196" s="12" t="s">
        <v>69</v>
      </c>
    </row>
    <row r="197" spans="1:17" ht="42.75">
      <c r="A197" s="10" t="s">
        <v>839</v>
      </c>
      <c r="B197" s="10" t="s">
        <v>843</v>
      </c>
      <c r="C197" s="10" t="s">
        <v>844</v>
      </c>
      <c r="D197" s="13">
        <f>'10_シナリオ入力'!E13</f>
        <v>0</v>
      </c>
      <c r="E197" s="10" t="s">
        <v>415</v>
      </c>
      <c r="F197" s="10" t="s">
        <v>845</v>
      </c>
      <c r="G197" s="14" t="s">
        <v>846</v>
      </c>
      <c r="H197" s="10" t="s">
        <v>418</v>
      </c>
      <c r="I197" s="10" t="s">
        <v>76</v>
      </c>
      <c r="J197" s="12"/>
      <c r="K197" s="12"/>
      <c r="L197" s="12"/>
      <c r="M197" s="12"/>
      <c r="N197" s="12" t="s">
        <v>419</v>
      </c>
      <c r="O197" s="12" t="s">
        <v>420</v>
      </c>
      <c r="P197" s="12" t="s">
        <v>421</v>
      </c>
      <c r="Q197" s="12" t="s">
        <v>422</v>
      </c>
    </row>
    <row r="198" spans="1:17" ht="42.75">
      <c r="A198" s="10" t="s">
        <v>839</v>
      </c>
      <c r="B198" s="10" t="s">
        <v>847</v>
      </c>
      <c r="C198" s="10" t="s">
        <v>848</v>
      </c>
      <c r="D198" s="13">
        <f>'09_基準仕様'!E185</f>
        <v>0.45</v>
      </c>
      <c r="E198" s="10" t="s">
        <v>86</v>
      </c>
      <c r="F198" s="10" t="s">
        <v>742</v>
      </c>
      <c r="G198" s="14" t="s">
        <v>849</v>
      </c>
      <c r="H198" s="10" t="s">
        <v>123</v>
      </c>
      <c r="I198" s="10" t="s">
        <v>76</v>
      </c>
      <c r="J198" s="12"/>
      <c r="K198" s="12"/>
      <c r="L198" s="12"/>
      <c r="M198" s="12"/>
      <c r="N198" s="12" t="s">
        <v>104</v>
      </c>
      <c r="O198" s="12" t="s">
        <v>105</v>
      </c>
      <c r="P198" s="12" t="s">
        <v>106</v>
      </c>
      <c r="Q198" s="12" t="s">
        <v>69</v>
      </c>
    </row>
    <row r="199" spans="1:17" ht="42.75">
      <c r="A199" s="10" t="s">
        <v>839</v>
      </c>
      <c r="B199" s="10" t="s">
        <v>850</v>
      </c>
      <c r="C199" s="10" t="s">
        <v>851</v>
      </c>
      <c r="D199" s="13">
        <f>'09_基準仕様'!E186</f>
        <v>3.5000000000000003E-2</v>
      </c>
      <c r="E199" s="10" t="s">
        <v>229</v>
      </c>
      <c r="F199" s="10" t="s">
        <v>389</v>
      </c>
      <c r="G199" s="14" t="s">
        <v>852</v>
      </c>
      <c r="H199" s="10" t="s">
        <v>123</v>
      </c>
      <c r="I199" s="10" t="s">
        <v>76</v>
      </c>
      <c r="J199" s="12"/>
      <c r="K199" s="12"/>
      <c r="L199" s="12"/>
      <c r="M199" s="12"/>
      <c r="N199" s="12" t="s">
        <v>104</v>
      </c>
      <c r="O199" s="12" t="s">
        <v>105</v>
      </c>
      <c r="P199" s="12" t="s">
        <v>106</v>
      </c>
      <c r="Q199" s="12" t="s">
        <v>69</v>
      </c>
    </row>
    <row r="200" spans="1:17" ht="42.75">
      <c r="A200" s="10" t="s">
        <v>232</v>
      </c>
      <c r="B200" s="10" t="s">
        <v>853</v>
      </c>
      <c r="C200" s="10" t="s">
        <v>854</v>
      </c>
      <c r="D200" s="13">
        <f>'09_基準仕様'!E187</f>
        <v>1.4999999999999999E-4</v>
      </c>
      <c r="E200" s="10" t="s">
        <v>855</v>
      </c>
      <c r="F200" s="10" t="s">
        <v>856</v>
      </c>
      <c r="G200" s="14" t="s">
        <v>857</v>
      </c>
      <c r="H200" s="10" t="s">
        <v>3</v>
      </c>
      <c r="I200" s="10" t="s">
        <v>76</v>
      </c>
      <c r="J200" s="12"/>
      <c r="K200" s="12"/>
      <c r="L200" s="12"/>
      <c r="M200" s="12"/>
      <c r="N200" s="12" t="s">
        <v>104</v>
      </c>
      <c r="O200" s="12" t="s">
        <v>105</v>
      </c>
      <c r="P200" s="12" t="s">
        <v>106</v>
      </c>
      <c r="Q200" s="12" t="s">
        <v>69</v>
      </c>
    </row>
    <row r="201" spans="1:17" ht="28.5">
      <c r="A201" s="10" t="s">
        <v>232</v>
      </c>
      <c r="B201" s="10" t="s">
        <v>858</v>
      </c>
      <c r="C201" s="10" t="s">
        <v>859</v>
      </c>
      <c r="D201" s="13">
        <f>'09_基準仕様'!E188</f>
        <v>1.4999999999999999E-4</v>
      </c>
      <c r="E201" s="10" t="s">
        <v>855</v>
      </c>
      <c r="F201" s="10" t="s">
        <v>860</v>
      </c>
      <c r="G201" s="14" t="s">
        <v>861</v>
      </c>
      <c r="H201" s="10" t="s">
        <v>123</v>
      </c>
      <c r="I201" s="10" t="s">
        <v>76</v>
      </c>
      <c r="J201" s="12"/>
      <c r="K201" s="12"/>
      <c r="L201" s="12"/>
      <c r="M201" s="12"/>
      <c r="N201" s="12" t="s">
        <v>104</v>
      </c>
      <c r="O201" s="12" t="s">
        <v>105</v>
      </c>
      <c r="P201" s="12" t="s">
        <v>106</v>
      </c>
      <c r="Q201" s="12" t="s">
        <v>69</v>
      </c>
    </row>
    <row r="202" spans="1:17" ht="42.75">
      <c r="A202" s="10" t="s">
        <v>232</v>
      </c>
      <c r="B202" s="10" t="s">
        <v>862</v>
      </c>
      <c r="C202" s="10" t="s">
        <v>863</v>
      </c>
      <c r="D202" s="13">
        <f>'09_基準仕様'!E189</f>
        <v>45000</v>
      </c>
      <c r="E202" s="10" t="s">
        <v>864</v>
      </c>
      <c r="F202" s="10" t="s">
        <v>860</v>
      </c>
      <c r="G202" s="14" t="s">
        <v>865</v>
      </c>
      <c r="H202" s="10" t="s">
        <v>123</v>
      </c>
      <c r="I202" s="10" t="s">
        <v>76</v>
      </c>
      <c r="J202" s="12"/>
      <c r="K202" s="12"/>
      <c r="L202" s="12"/>
      <c r="M202" s="12"/>
      <c r="N202" s="12" t="s">
        <v>104</v>
      </c>
      <c r="O202" s="12" t="s">
        <v>105</v>
      </c>
      <c r="P202" s="12" t="s">
        <v>106</v>
      </c>
      <c r="Q202" s="12" t="s">
        <v>69</v>
      </c>
    </row>
    <row r="203" spans="1:17" ht="42.75">
      <c r="A203" s="10" t="s">
        <v>232</v>
      </c>
      <c r="B203" s="10" t="s">
        <v>866</v>
      </c>
      <c r="C203" s="10" t="s">
        <v>867</v>
      </c>
      <c r="D203" s="13">
        <f>'09_基準仕様'!E190</f>
        <v>1.8</v>
      </c>
      <c r="E203" s="10" t="s">
        <v>86</v>
      </c>
      <c r="F203" s="10" t="s">
        <v>860</v>
      </c>
      <c r="G203" s="14" t="s">
        <v>868</v>
      </c>
      <c r="H203" s="10" t="s">
        <v>123</v>
      </c>
      <c r="I203" s="10" t="s">
        <v>76</v>
      </c>
      <c r="J203" s="12"/>
      <c r="K203" s="12"/>
      <c r="L203" s="12"/>
      <c r="M203" s="12"/>
      <c r="N203" s="12" t="s">
        <v>104</v>
      </c>
      <c r="O203" s="12" t="s">
        <v>105</v>
      </c>
      <c r="P203" s="12" t="s">
        <v>106</v>
      </c>
      <c r="Q203" s="12" t="s">
        <v>69</v>
      </c>
    </row>
    <row r="204" spans="1:17" ht="28.5">
      <c r="A204" s="10" t="s">
        <v>232</v>
      </c>
      <c r="B204" s="10" t="s">
        <v>869</v>
      </c>
      <c r="C204" s="10" t="s">
        <v>870</v>
      </c>
      <c r="D204" s="13">
        <f>'09_基準仕様'!E191</f>
        <v>0.45</v>
      </c>
      <c r="E204" s="10" t="s">
        <v>86</v>
      </c>
      <c r="F204" s="10" t="s">
        <v>856</v>
      </c>
      <c r="G204" s="14" t="s">
        <v>871</v>
      </c>
      <c r="H204" s="10" t="s">
        <v>3</v>
      </c>
      <c r="I204" s="10" t="s">
        <v>76</v>
      </c>
      <c r="J204" s="12"/>
      <c r="K204" s="12"/>
      <c r="L204" s="12"/>
      <c r="M204" s="12"/>
      <c r="N204" s="12" t="s">
        <v>104</v>
      </c>
      <c r="O204" s="12" t="s">
        <v>105</v>
      </c>
      <c r="P204" s="12" t="s">
        <v>106</v>
      </c>
      <c r="Q204" s="12" t="s">
        <v>69</v>
      </c>
    </row>
    <row r="205" spans="1:17" ht="42.75">
      <c r="A205" s="10" t="s">
        <v>232</v>
      </c>
      <c r="B205" s="10" t="s">
        <v>872</v>
      </c>
      <c r="C205" s="10" t="s">
        <v>873</v>
      </c>
      <c r="D205" s="13">
        <f>'09_基準仕様'!E192</f>
        <v>0.01</v>
      </c>
      <c r="E205" s="10" t="s">
        <v>731</v>
      </c>
      <c r="F205" s="10" t="s">
        <v>874</v>
      </c>
      <c r="G205" s="14" t="s">
        <v>875</v>
      </c>
      <c r="H205" s="10" t="s">
        <v>123</v>
      </c>
      <c r="I205" s="10" t="s">
        <v>76</v>
      </c>
      <c r="J205" s="12"/>
      <c r="K205" s="12"/>
      <c r="L205" s="12"/>
      <c r="M205" s="12"/>
      <c r="N205" s="12" t="s">
        <v>104</v>
      </c>
      <c r="O205" s="12" t="s">
        <v>105</v>
      </c>
      <c r="P205" s="12" t="s">
        <v>106</v>
      </c>
      <c r="Q205" s="12" t="s">
        <v>69</v>
      </c>
    </row>
    <row r="206" spans="1:17" ht="28.5">
      <c r="A206" s="10" t="s">
        <v>232</v>
      </c>
      <c r="B206" s="10" t="s">
        <v>876</v>
      </c>
      <c r="C206" s="10" t="s">
        <v>877</v>
      </c>
      <c r="D206" s="13">
        <f>'09_基準仕様'!E246</f>
        <v>1</v>
      </c>
      <c r="E206" s="10" t="s">
        <v>86</v>
      </c>
      <c r="F206" s="10" t="s">
        <v>878</v>
      </c>
      <c r="G206" s="14" t="s">
        <v>879</v>
      </c>
      <c r="H206" s="10" t="s">
        <v>3</v>
      </c>
      <c r="I206" s="10" t="s">
        <v>76</v>
      </c>
      <c r="J206" s="12"/>
      <c r="K206" s="12"/>
      <c r="L206" s="12"/>
      <c r="M206" s="12"/>
      <c r="N206" s="12" t="s">
        <v>104</v>
      </c>
      <c r="O206" s="12" t="s">
        <v>105</v>
      </c>
      <c r="P206" s="12" t="s">
        <v>106</v>
      </c>
      <c r="Q206" s="12" t="s">
        <v>880</v>
      </c>
    </row>
    <row r="207" spans="1:17" ht="42.75">
      <c r="A207" s="10" t="s">
        <v>232</v>
      </c>
      <c r="B207" s="10" t="s">
        <v>881</v>
      </c>
      <c r="C207" s="10" t="s">
        <v>882</v>
      </c>
      <c r="D207" s="13">
        <f>'09_基準仕様'!E193</f>
        <v>0.65</v>
      </c>
      <c r="E207" s="10" t="s">
        <v>86</v>
      </c>
      <c r="F207" s="10" t="s">
        <v>236</v>
      </c>
      <c r="G207" s="14" t="s">
        <v>883</v>
      </c>
      <c r="H207" s="10" t="s">
        <v>123</v>
      </c>
      <c r="I207" s="10" t="s">
        <v>76</v>
      </c>
      <c r="J207" s="12"/>
      <c r="K207" s="12"/>
      <c r="L207" s="12"/>
      <c r="M207" s="12"/>
      <c r="N207" s="12" t="s">
        <v>104</v>
      </c>
      <c r="O207" s="12" t="s">
        <v>105</v>
      </c>
      <c r="P207" s="12" t="s">
        <v>106</v>
      </c>
      <c r="Q207" s="12" t="s">
        <v>69</v>
      </c>
    </row>
    <row r="208" spans="1:17" ht="42.75">
      <c r="A208" s="10" t="s">
        <v>232</v>
      </c>
      <c r="B208" s="10" t="s">
        <v>884</v>
      </c>
      <c r="C208" s="10" t="s">
        <v>885</v>
      </c>
      <c r="D208" s="13">
        <f>'09_基準仕様'!E194</f>
        <v>1.7</v>
      </c>
      <c r="E208" s="10" t="s">
        <v>86</v>
      </c>
      <c r="F208" s="10" t="s">
        <v>860</v>
      </c>
      <c r="G208" s="14" t="s">
        <v>886</v>
      </c>
      <c r="H208" s="10" t="s">
        <v>123</v>
      </c>
      <c r="I208" s="10" t="s">
        <v>76</v>
      </c>
      <c r="J208" s="12"/>
      <c r="K208" s="12"/>
      <c r="L208" s="12"/>
      <c r="M208" s="12"/>
      <c r="N208" s="12" t="s">
        <v>104</v>
      </c>
      <c r="O208" s="12" t="s">
        <v>105</v>
      </c>
      <c r="P208" s="12" t="s">
        <v>106</v>
      </c>
      <c r="Q208" s="12" t="s">
        <v>69</v>
      </c>
    </row>
    <row r="209" spans="1:17" ht="42.75">
      <c r="A209" s="10" t="s">
        <v>887</v>
      </c>
      <c r="B209" s="10" t="s">
        <v>888</v>
      </c>
      <c r="C209" s="10" t="s">
        <v>889</v>
      </c>
      <c r="D209" s="13">
        <f>'09_基準仕様'!E195</f>
        <v>1.4999999999999999E-4</v>
      </c>
      <c r="E209" s="10" t="s">
        <v>262</v>
      </c>
      <c r="F209" s="10" t="s">
        <v>890</v>
      </c>
      <c r="G209" s="14" t="s">
        <v>891</v>
      </c>
      <c r="H209" s="10" t="s">
        <v>3</v>
      </c>
      <c r="I209" s="10" t="s">
        <v>76</v>
      </c>
      <c r="J209" s="12"/>
      <c r="K209" s="12"/>
      <c r="L209" s="12"/>
      <c r="M209" s="12"/>
      <c r="N209" s="12" t="s">
        <v>104</v>
      </c>
      <c r="O209" s="12" t="s">
        <v>105</v>
      </c>
      <c r="P209" s="12" t="s">
        <v>106</v>
      </c>
      <c r="Q209" s="12" t="s">
        <v>69</v>
      </c>
    </row>
    <row r="210" spans="1:17" ht="42.75">
      <c r="A210" s="10" t="s">
        <v>887</v>
      </c>
      <c r="B210" s="10" t="s">
        <v>892</v>
      </c>
      <c r="C210" s="10" t="s">
        <v>893</v>
      </c>
      <c r="D210" s="13">
        <f>'09_基準仕様'!E196</f>
        <v>5</v>
      </c>
      <c r="E210" s="10" t="s">
        <v>894</v>
      </c>
      <c r="F210" s="10" t="s">
        <v>890</v>
      </c>
      <c r="G210" s="14" t="s">
        <v>895</v>
      </c>
      <c r="H210" s="10" t="s">
        <v>3</v>
      </c>
      <c r="I210" s="10" t="s">
        <v>76</v>
      </c>
      <c r="J210" s="12"/>
      <c r="K210" s="12"/>
      <c r="L210" s="12"/>
      <c r="M210" s="12"/>
      <c r="N210" s="12" t="s">
        <v>104</v>
      </c>
      <c r="O210" s="12" t="s">
        <v>105</v>
      </c>
      <c r="P210" s="12" t="s">
        <v>106</v>
      </c>
      <c r="Q210" s="12" t="s">
        <v>69</v>
      </c>
    </row>
    <row r="211" spans="1:17" ht="42.75">
      <c r="A211" s="10" t="s">
        <v>887</v>
      </c>
      <c r="B211" s="10" t="s">
        <v>896</v>
      </c>
      <c r="C211" s="10" t="s">
        <v>897</v>
      </c>
      <c r="D211" s="13">
        <f>'09_基準仕様'!E197</f>
        <v>2.5000000000000001E-2</v>
      </c>
      <c r="E211" s="10" t="s">
        <v>898</v>
      </c>
      <c r="F211" s="10" t="s">
        <v>890</v>
      </c>
      <c r="G211" s="14" t="s">
        <v>899</v>
      </c>
      <c r="H211" s="10" t="s">
        <v>3</v>
      </c>
      <c r="I211" s="10" t="s">
        <v>76</v>
      </c>
      <c r="J211" s="12"/>
      <c r="K211" s="12"/>
      <c r="L211" s="12"/>
      <c r="M211" s="12"/>
      <c r="N211" s="12" t="s">
        <v>104</v>
      </c>
      <c r="O211" s="12" t="s">
        <v>105</v>
      </c>
      <c r="P211" s="12" t="s">
        <v>106</v>
      </c>
      <c r="Q211" s="12" t="s">
        <v>69</v>
      </c>
    </row>
    <row r="212" spans="1:17" ht="42.75">
      <c r="A212" s="10" t="s">
        <v>887</v>
      </c>
      <c r="B212" s="10" t="s">
        <v>900</v>
      </c>
      <c r="C212" s="10" t="s">
        <v>901</v>
      </c>
      <c r="D212" s="13">
        <f>'09_基準仕様'!E198</f>
        <v>1.1999999999999999E-3</v>
      </c>
      <c r="E212" s="10" t="s">
        <v>821</v>
      </c>
      <c r="F212" s="10" t="s">
        <v>902</v>
      </c>
      <c r="G212" s="14" t="s">
        <v>903</v>
      </c>
      <c r="H212" s="10" t="s">
        <v>123</v>
      </c>
      <c r="I212" s="10" t="s">
        <v>76</v>
      </c>
      <c r="J212" s="12"/>
      <c r="K212" s="12"/>
      <c r="L212" s="12"/>
      <c r="M212" s="12"/>
      <c r="N212" s="12" t="s">
        <v>104</v>
      </c>
      <c r="O212" s="12" t="s">
        <v>105</v>
      </c>
      <c r="P212" s="12" t="s">
        <v>106</v>
      </c>
      <c r="Q212" s="12" t="s">
        <v>69</v>
      </c>
    </row>
    <row r="213" spans="1:17" ht="28.5">
      <c r="A213" s="10" t="s">
        <v>887</v>
      </c>
      <c r="B213" s="10" t="s">
        <v>904</v>
      </c>
      <c r="C213" s="10" t="s">
        <v>905</v>
      </c>
      <c r="D213" s="13">
        <f>'09_基準仕様'!E245</f>
        <v>1</v>
      </c>
      <c r="E213" s="10" t="s">
        <v>86</v>
      </c>
      <c r="F213" s="10" t="s">
        <v>906</v>
      </c>
      <c r="G213" s="14" t="s">
        <v>907</v>
      </c>
      <c r="H213" s="10" t="s">
        <v>3</v>
      </c>
      <c r="I213" s="10" t="s">
        <v>76</v>
      </c>
      <c r="J213" s="12"/>
      <c r="K213" s="12"/>
      <c r="L213" s="12"/>
      <c r="M213" s="12"/>
      <c r="N213" s="12" t="s">
        <v>104</v>
      </c>
      <c r="O213" s="12" t="s">
        <v>105</v>
      </c>
      <c r="P213" s="12" t="s">
        <v>106</v>
      </c>
      <c r="Q213" s="12" t="s">
        <v>880</v>
      </c>
    </row>
    <row r="214" spans="1:17" ht="42.75">
      <c r="A214" s="10" t="s">
        <v>887</v>
      </c>
      <c r="B214" s="10" t="s">
        <v>908</v>
      </c>
      <c r="C214" s="10" t="s">
        <v>909</v>
      </c>
      <c r="D214" s="13">
        <f>'09_基準仕様'!E199</f>
        <v>0.25</v>
      </c>
      <c r="E214" s="10" t="s">
        <v>86</v>
      </c>
      <c r="F214" s="10" t="s">
        <v>890</v>
      </c>
      <c r="G214" s="14" t="s">
        <v>910</v>
      </c>
      <c r="H214" s="10" t="s">
        <v>123</v>
      </c>
      <c r="I214" s="10" t="s">
        <v>76</v>
      </c>
      <c r="J214" s="12"/>
      <c r="K214" s="12"/>
      <c r="L214" s="12"/>
      <c r="M214" s="12"/>
      <c r="N214" s="12" t="s">
        <v>104</v>
      </c>
      <c r="O214" s="12" t="s">
        <v>105</v>
      </c>
      <c r="P214" s="12" t="s">
        <v>106</v>
      </c>
      <c r="Q214" s="12" t="s">
        <v>69</v>
      </c>
    </row>
    <row r="215" spans="1:17" ht="42.75">
      <c r="A215" s="10" t="s">
        <v>887</v>
      </c>
      <c r="B215" s="10" t="s">
        <v>911</v>
      </c>
      <c r="C215" s="10" t="s">
        <v>912</v>
      </c>
      <c r="D215" s="13">
        <f>'09_基準仕様'!E200</f>
        <v>0.05</v>
      </c>
      <c r="E215" s="10" t="s">
        <v>229</v>
      </c>
      <c r="F215" s="10" t="s">
        <v>913</v>
      </c>
      <c r="G215" s="14" t="s">
        <v>914</v>
      </c>
      <c r="H215" s="10" t="s">
        <v>123</v>
      </c>
      <c r="I215" s="10" t="s">
        <v>76</v>
      </c>
      <c r="J215" s="12"/>
      <c r="K215" s="12"/>
      <c r="L215" s="12"/>
      <c r="M215" s="12"/>
      <c r="N215" s="12" t="s">
        <v>104</v>
      </c>
      <c r="O215" s="12" t="s">
        <v>105</v>
      </c>
      <c r="P215" s="12" t="s">
        <v>106</v>
      </c>
      <c r="Q215" s="12" t="s">
        <v>69</v>
      </c>
    </row>
    <row r="216" spans="1:17" ht="42.75">
      <c r="A216" s="10" t="s">
        <v>915</v>
      </c>
      <c r="B216" s="10" t="s">
        <v>916</v>
      </c>
      <c r="C216" s="10" t="s">
        <v>917</v>
      </c>
      <c r="D216" s="13">
        <f>'07_システム要求'!D20</f>
        <v>150</v>
      </c>
      <c r="E216" s="10" t="s">
        <v>918</v>
      </c>
      <c r="F216" s="10" t="s">
        <v>919</v>
      </c>
      <c r="G216" s="14" t="s">
        <v>834</v>
      </c>
      <c r="H216" s="10" t="s">
        <v>3</v>
      </c>
      <c r="I216" s="10" t="s">
        <v>76</v>
      </c>
      <c r="J216" s="12">
        <f>'07_システム要求'!D20</f>
        <v>150</v>
      </c>
      <c r="K216" s="12" t="s">
        <v>916</v>
      </c>
      <c r="L216" s="12" t="s">
        <v>65</v>
      </c>
      <c r="M216" s="12">
        <v>150</v>
      </c>
      <c r="N216" s="12" t="s">
        <v>66</v>
      </c>
      <c r="O216" s="12" t="s">
        <v>67</v>
      </c>
      <c r="P216" s="12" t="s">
        <v>68</v>
      </c>
      <c r="Q216" s="12" t="s">
        <v>69</v>
      </c>
    </row>
    <row r="217" spans="1:17" ht="28.5">
      <c r="A217" s="10" t="s">
        <v>915</v>
      </c>
      <c r="B217" s="10" t="s">
        <v>920</v>
      </c>
      <c r="C217" s="10" t="s">
        <v>921</v>
      </c>
      <c r="D217" s="13">
        <f>'09_基準仕様'!E201</f>
        <v>125</v>
      </c>
      <c r="E217" s="10" t="s">
        <v>918</v>
      </c>
      <c r="F217" s="10" t="s">
        <v>919</v>
      </c>
      <c r="G217" s="14" t="s">
        <v>922</v>
      </c>
      <c r="H217" s="10" t="s">
        <v>123</v>
      </c>
      <c r="I217" s="10" t="s">
        <v>76</v>
      </c>
      <c r="J217" s="12"/>
      <c r="K217" s="12"/>
      <c r="L217" s="12"/>
      <c r="M217" s="12"/>
      <c r="N217" s="12" t="s">
        <v>104</v>
      </c>
      <c r="O217" s="12" t="s">
        <v>105</v>
      </c>
      <c r="P217" s="12" t="s">
        <v>106</v>
      </c>
      <c r="Q217" s="12" t="s">
        <v>69</v>
      </c>
    </row>
    <row r="218" spans="1:17" ht="42.75">
      <c r="A218" s="10" t="s">
        <v>915</v>
      </c>
      <c r="B218" s="10" t="s">
        <v>923</v>
      </c>
      <c r="C218" s="10" t="s">
        <v>924</v>
      </c>
      <c r="D218" s="13">
        <f>'07_システム要求'!D19</f>
        <v>65</v>
      </c>
      <c r="E218" s="10" t="s">
        <v>918</v>
      </c>
      <c r="F218" s="10" t="s">
        <v>902</v>
      </c>
      <c r="G218" s="14" t="s">
        <v>834</v>
      </c>
      <c r="H218" s="10" t="s">
        <v>308</v>
      </c>
      <c r="I218" s="10" t="s">
        <v>76</v>
      </c>
      <c r="J218" s="12"/>
      <c r="K218" s="12"/>
      <c r="L218" s="12"/>
      <c r="M218" s="12"/>
      <c r="N218" s="12" t="s">
        <v>66</v>
      </c>
      <c r="O218" s="12" t="s">
        <v>67</v>
      </c>
      <c r="P218" s="12" t="s">
        <v>68</v>
      </c>
      <c r="Q218" s="12" t="s">
        <v>69</v>
      </c>
    </row>
    <row r="219" spans="1:17" ht="42.75">
      <c r="A219" s="10" t="s">
        <v>915</v>
      </c>
      <c r="B219" s="10" t="s">
        <v>925</v>
      </c>
      <c r="C219" s="10" t="s">
        <v>926</v>
      </c>
      <c r="D219" s="13">
        <f>'09_基準仕様'!E202</f>
        <v>3.5000000000000001E-3</v>
      </c>
      <c r="E219" s="10" t="s">
        <v>927</v>
      </c>
      <c r="F219" s="10" t="s">
        <v>928</v>
      </c>
      <c r="G219" s="14" t="s">
        <v>929</v>
      </c>
      <c r="H219" s="10" t="s">
        <v>123</v>
      </c>
      <c r="I219" s="10" t="s">
        <v>76</v>
      </c>
      <c r="J219" s="12"/>
      <c r="K219" s="12"/>
      <c r="L219" s="12"/>
      <c r="M219" s="12"/>
      <c r="N219" s="12" t="s">
        <v>104</v>
      </c>
      <c r="O219" s="12" t="s">
        <v>105</v>
      </c>
      <c r="P219" s="12" t="s">
        <v>106</v>
      </c>
      <c r="Q219" s="12" t="s">
        <v>69</v>
      </c>
    </row>
    <row r="220" spans="1:17" ht="42.75">
      <c r="A220" s="10" t="s">
        <v>296</v>
      </c>
      <c r="B220" s="10" t="s">
        <v>930</v>
      </c>
      <c r="C220" s="10" t="s">
        <v>931</v>
      </c>
      <c r="D220" s="13">
        <f>'09_基準仕様'!E203</f>
        <v>1E-3</v>
      </c>
      <c r="E220" s="10" t="s">
        <v>262</v>
      </c>
      <c r="F220" s="10" t="s">
        <v>932</v>
      </c>
      <c r="G220" s="14" t="s">
        <v>933</v>
      </c>
      <c r="H220" s="10" t="s">
        <v>3</v>
      </c>
      <c r="I220" s="10" t="s">
        <v>76</v>
      </c>
      <c r="J220" s="12"/>
      <c r="K220" s="12"/>
      <c r="L220" s="12"/>
      <c r="M220" s="12"/>
      <c r="N220" s="12" t="s">
        <v>104</v>
      </c>
      <c r="O220" s="12" t="s">
        <v>105</v>
      </c>
      <c r="P220" s="12" t="s">
        <v>106</v>
      </c>
      <c r="Q220" s="12" t="s">
        <v>69</v>
      </c>
    </row>
    <row r="221" spans="1:17" ht="28.5">
      <c r="A221" s="10" t="s">
        <v>296</v>
      </c>
      <c r="B221" s="10" t="s">
        <v>934</v>
      </c>
      <c r="C221" s="10" t="s">
        <v>935</v>
      </c>
      <c r="D221" s="13">
        <f>'09_基準仕様'!E204</f>
        <v>1E-3</v>
      </c>
      <c r="E221" s="10" t="s">
        <v>262</v>
      </c>
      <c r="F221" s="10" t="s">
        <v>742</v>
      </c>
      <c r="G221" s="14" t="s">
        <v>936</v>
      </c>
      <c r="H221" s="10" t="s">
        <v>123</v>
      </c>
      <c r="I221" s="10" t="s">
        <v>76</v>
      </c>
      <c r="J221" s="12"/>
      <c r="K221" s="12"/>
      <c r="L221" s="12"/>
      <c r="M221" s="12"/>
      <c r="N221" s="12" t="s">
        <v>104</v>
      </c>
      <c r="O221" s="12" t="s">
        <v>105</v>
      </c>
      <c r="P221" s="12" t="s">
        <v>106</v>
      </c>
      <c r="Q221" s="12" t="s">
        <v>69</v>
      </c>
    </row>
    <row r="222" spans="1:17" ht="28.5">
      <c r="A222" s="10" t="s">
        <v>296</v>
      </c>
      <c r="B222" s="10" t="s">
        <v>937</v>
      </c>
      <c r="C222" s="10" t="s">
        <v>938</v>
      </c>
      <c r="D222" s="13">
        <f>'09_基準仕様'!E205</f>
        <v>1</v>
      </c>
      <c r="E222" s="10" t="s">
        <v>86</v>
      </c>
      <c r="F222" s="10" t="s">
        <v>939</v>
      </c>
      <c r="G222" s="14" t="s">
        <v>940</v>
      </c>
      <c r="H222" s="10" t="s">
        <v>3</v>
      </c>
      <c r="I222" s="10" t="s">
        <v>76</v>
      </c>
      <c r="J222" s="12"/>
      <c r="K222" s="12"/>
      <c r="L222" s="12"/>
      <c r="M222" s="12"/>
      <c r="N222" s="12" t="s">
        <v>104</v>
      </c>
      <c r="O222" s="12" t="s">
        <v>105</v>
      </c>
      <c r="P222" s="12" t="s">
        <v>106</v>
      </c>
      <c r="Q222" s="12" t="s">
        <v>69</v>
      </c>
    </row>
    <row r="223" spans="1:17" ht="42.75">
      <c r="A223" s="10" t="s">
        <v>296</v>
      </c>
      <c r="B223" s="10" t="s">
        <v>941</v>
      </c>
      <c r="C223" s="10" t="s">
        <v>942</v>
      </c>
      <c r="D223" s="13">
        <f>'09_基準仕様'!E206</f>
        <v>0.08</v>
      </c>
      <c r="E223" s="10" t="s">
        <v>229</v>
      </c>
      <c r="F223" s="10" t="s">
        <v>389</v>
      </c>
      <c r="G223" s="14" t="s">
        <v>943</v>
      </c>
      <c r="H223" s="10" t="s">
        <v>123</v>
      </c>
      <c r="I223" s="10" t="s">
        <v>76</v>
      </c>
      <c r="J223" s="12"/>
      <c r="K223" s="12"/>
      <c r="L223" s="12"/>
      <c r="M223" s="12"/>
      <c r="N223" s="12" t="s">
        <v>104</v>
      </c>
      <c r="O223" s="12" t="s">
        <v>105</v>
      </c>
      <c r="P223" s="12" t="s">
        <v>106</v>
      </c>
      <c r="Q223" s="12" t="s">
        <v>69</v>
      </c>
    </row>
    <row r="224" spans="1:17" ht="42.75">
      <c r="A224" s="10" t="s">
        <v>296</v>
      </c>
      <c r="B224" s="10" t="s">
        <v>944</v>
      </c>
      <c r="C224" s="10" t="s">
        <v>945</v>
      </c>
      <c r="D224" s="13">
        <f>'10_シナリオ入力'!E21</f>
        <v>0</v>
      </c>
      <c r="E224" s="10" t="s">
        <v>415</v>
      </c>
      <c r="F224" s="10" t="s">
        <v>946</v>
      </c>
      <c r="G224" s="14" t="s">
        <v>947</v>
      </c>
      <c r="H224" s="10" t="s">
        <v>418</v>
      </c>
      <c r="I224" s="10" t="s">
        <v>76</v>
      </c>
      <c r="J224" s="12"/>
      <c r="K224" s="12"/>
      <c r="L224" s="12"/>
      <c r="M224" s="12"/>
      <c r="N224" s="12" t="s">
        <v>419</v>
      </c>
      <c r="O224" s="12" t="s">
        <v>420</v>
      </c>
      <c r="P224" s="12" t="s">
        <v>421</v>
      </c>
      <c r="Q224" s="12" t="s">
        <v>422</v>
      </c>
    </row>
    <row r="225" spans="1:17" ht="28.5">
      <c r="A225" s="10" t="s">
        <v>296</v>
      </c>
      <c r="B225" s="10" t="s">
        <v>948</v>
      </c>
      <c r="C225" s="10" t="s">
        <v>949</v>
      </c>
      <c r="D225" s="13">
        <f>'09_基準仕様'!E207</f>
        <v>0.30099999999999999</v>
      </c>
      <c r="E225" s="10" t="s">
        <v>86</v>
      </c>
      <c r="F225" s="10" t="s">
        <v>329</v>
      </c>
      <c r="G225" s="14" t="s">
        <v>950</v>
      </c>
      <c r="H225" s="10" t="s">
        <v>123</v>
      </c>
      <c r="I225" s="10" t="s">
        <v>76</v>
      </c>
      <c r="J225" s="12"/>
      <c r="K225" s="12"/>
      <c r="L225" s="12"/>
      <c r="M225" s="12"/>
      <c r="N225" s="12" t="s">
        <v>104</v>
      </c>
      <c r="O225" s="12" t="s">
        <v>105</v>
      </c>
      <c r="P225" s="12" t="s">
        <v>106</v>
      </c>
      <c r="Q225" s="12" t="s">
        <v>69</v>
      </c>
    </row>
    <row r="226" spans="1:17" ht="28.5">
      <c r="A226" s="10" t="s">
        <v>296</v>
      </c>
      <c r="B226" s="10" t="s">
        <v>951</v>
      </c>
      <c r="C226" s="10" t="s">
        <v>952</v>
      </c>
      <c r="D226" s="13">
        <f>'09_基準仕様'!E208</f>
        <v>1.64</v>
      </c>
      <c r="E226" s="10" t="s">
        <v>86</v>
      </c>
      <c r="F226" s="10" t="s">
        <v>953</v>
      </c>
      <c r="G226" s="14" t="s">
        <v>954</v>
      </c>
      <c r="H226" s="10" t="s">
        <v>123</v>
      </c>
      <c r="I226" s="10" t="s">
        <v>76</v>
      </c>
      <c r="J226" s="12"/>
      <c r="K226" s="12"/>
      <c r="L226" s="12"/>
      <c r="M226" s="12"/>
      <c r="N226" s="12" t="s">
        <v>104</v>
      </c>
      <c r="O226" s="12" t="s">
        <v>105</v>
      </c>
      <c r="P226" s="12" t="s">
        <v>106</v>
      </c>
      <c r="Q226" s="12" t="s">
        <v>69</v>
      </c>
    </row>
    <row r="227" spans="1:17" ht="42.75">
      <c r="A227" s="10" t="s">
        <v>296</v>
      </c>
      <c r="B227" s="10" t="s">
        <v>955</v>
      </c>
      <c r="C227" s="10" t="s">
        <v>956</v>
      </c>
      <c r="D227" s="13">
        <f>'09_基準仕様'!E209</f>
        <v>1.5E-3</v>
      </c>
      <c r="E227" s="10" t="s">
        <v>262</v>
      </c>
      <c r="F227" s="10" t="s">
        <v>957</v>
      </c>
      <c r="G227" s="14" t="s">
        <v>958</v>
      </c>
      <c r="H227" s="10" t="s">
        <v>3</v>
      </c>
      <c r="I227" s="10" t="s">
        <v>76</v>
      </c>
      <c r="J227" s="12"/>
      <c r="K227" s="12"/>
      <c r="L227" s="12"/>
      <c r="M227" s="12"/>
      <c r="N227" s="12" t="s">
        <v>104</v>
      </c>
      <c r="O227" s="12" t="s">
        <v>105</v>
      </c>
      <c r="P227" s="12" t="s">
        <v>106</v>
      </c>
      <c r="Q227" s="12" t="s">
        <v>69</v>
      </c>
    </row>
    <row r="228" spans="1:17" ht="57">
      <c r="A228" s="10" t="s">
        <v>296</v>
      </c>
      <c r="B228" s="10" t="s">
        <v>959</v>
      </c>
      <c r="C228" s="10" t="s">
        <v>960</v>
      </c>
      <c r="D228" s="13">
        <f>'09_基準仕様'!E210</f>
        <v>5.2182437758194352E-4</v>
      </c>
      <c r="E228" s="10" t="s">
        <v>262</v>
      </c>
      <c r="F228" s="10" t="s">
        <v>957</v>
      </c>
      <c r="G228" s="14" t="s">
        <v>961</v>
      </c>
      <c r="H228" s="10" t="s">
        <v>123</v>
      </c>
      <c r="I228" s="10" t="s">
        <v>76</v>
      </c>
      <c r="J228" s="12"/>
      <c r="K228" s="12"/>
      <c r="L228" s="12"/>
      <c r="M228" s="12"/>
      <c r="N228" s="12" t="s">
        <v>104</v>
      </c>
      <c r="O228" s="12" t="s">
        <v>105</v>
      </c>
      <c r="P228" s="12" t="s">
        <v>106</v>
      </c>
      <c r="Q228" s="12" t="s">
        <v>69</v>
      </c>
    </row>
    <row r="229" spans="1:17" ht="28.5">
      <c r="A229" s="10" t="s">
        <v>296</v>
      </c>
      <c r="B229" s="10" t="s">
        <v>962</v>
      </c>
      <c r="C229" s="10" t="s">
        <v>963</v>
      </c>
      <c r="D229" s="13">
        <f>'10_シナリオ入力'!E22</f>
        <v>1</v>
      </c>
      <c r="E229" s="10" t="s">
        <v>86</v>
      </c>
      <c r="F229" s="10" t="s">
        <v>964</v>
      </c>
      <c r="G229" s="14" t="s">
        <v>965</v>
      </c>
      <c r="H229" s="10" t="s">
        <v>3</v>
      </c>
      <c r="I229" s="10" t="s">
        <v>76</v>
      </c>
      <c r="J229" s="12"/>
      <c r="K229" s="12"/>
      <c r="L229" s="12"/>
      <c r="M229" s="12"/>
      <c r="N229" s="12" t="s">
        <v>419</v>
      </c>
      <c r="O229" s="12" t="s">
        <v>420</v>
      </c>
      <c r="P229" s="12" t="s">
        <v>421</v>
      </c>
      <c r="Q229" s="12" t="s">
        <v>422</v>
      </c>
    </row>
    <row r="230" spans="1:17" ht="42.75">
      <c r="A230" s="10" t="s">
        <v>296</v>
      </c>
      <c r="B230" s="10" t="s">
        <v>966</v>
      </c>
      <c r="C230" s="10" t="s">
        <v>967</v>
      </c>
      <c r="D230" s="13">
        <f>'09_基準仕様'!E211</f>
        <v>3.5000000000000003E-2</v>
      </c>
      <c r="E230" s="10" t="s">
        <v>968</v>
      </c>
      <c r="F230" s="10" t="s">
        <v>969</v>
      </c>
      <c r="G230" s="14" t="s">
        <v>970</v>
      </c>
      <c r="H230" s="10" t="s">
        <v>123</v>
      </c>
      <c r="I230" s="10" t="s">
        <v>76</v>
      </c>
      <c r="J230" s="12"/>
      <c r="K230" s="12"/>
      <c r="L230" s="12"/>
      <c r="M230" s="12"/>
      <c r="N230" s="12" t="s">
        <v>104</v>
      </c>
      <c r="O230" s="12" t="s">
        <v>105</v>
      </c>
      <c r="P230" s="12" t="s">
        <v>106</v>
      </c>
      <c r="Q230" s="12" t="s">
        <v>69</v>
      </c>
    </row>
    <row r="231" spans="1:17" ht="42.75">
      <c r="A231" s="10" t="s">
        <v>971</v>
      </c>
      <c r="B231" s="10" t="s">
        <v>972</v>
      </c>
      <c r="C231" s="10" t="s">
        <v>973</v>
      </c>
      <c r="D231" s="13">
        <f>'10_シナリオ入力'!E14</f>
        <v>0</v>
      </c>
      <c r="E231" s="10" t="s">
        <v>415</v>
      </c>
      <c r="F231" s="10" t="s">
        <v>974</v>
      </c>
      <c r="G231" s="14" t="s">
        <v>975</v>
      </c>
      <c r="H231" s="10" t="s">
        <v>418</v>
      </c>
      <c r="I231" s="10" t="s">
        <v>76</v>
      </c>
      <c r="J231" s="12"/>
      <c r="K231" s="12"/>
      <c r="L231" s="12"/>
      <c r="M231" s="12"/>
      <c r="N231" s="12" t="s">
        <v>419</v>
      </c>
      <c r="O231" s="12" t="s">
        <v>420</v>
      </c>
      <c r="P231" s="12" t="s">
        <v>421</v>
      </c>
      <c r="Q231" s="12" t="s">
        <v>422</v>
      </c>
    </row>
    <row r="232" spans="1:17" ht="42.75">
      <c r="A232" s="10" t="s">
        <v>971</v>
      </c>
      <c r="B232" s="10" t="s">
        <v>976</v>
      </c>
      <c r="C232" s="10" t="s">
        <v>977</v>
      </c>
      <c r="D232" s="13">
        <f>'09_基準仕様'!E212</f>
        <v>0.18</v>
      </c>
      <c r="E232" s="10" t="s">
        <v>229</v>
      </c>
      <c r="F232" s="10" t="s">
        <v>389</v>
      </c>
      <c r="G232" s="14" t="s">
        <v>978</v>
      </c>
      <c r="H232" s="10" t="s">
        <v>123</v>
      </c>
      <c r="I232" s="10" t="s">
        <v>76</v>
      </c>
      <c r="J232" s="12"/>
      <c r="K232" s="12"/>
      <c r="L232" s="12"/>
      <c r="M232" s="12"/>
      <c r="N232" s="12" t="s">
        <v>104</v>
      </c>
      <c r="O232" s="12" t="s">
        <v>105</v>
      </c>
      <c r="P232" s="12" t="s">
        <v>106</v>
      </c>
      <c r="Q232" s="12" t="s">
        <v>69</v>
      </c>
    </row>
    <row r="233" spans="1:17" ht="42.75">
      <c r="A233" s="10" t="s">
        <v>971</v>
      </c>
      <c r="B233" s="10" t="s">
        <v>979</v>
      </c>
      <c r="C233" s="10" t="s">
        <v>980</v>
      </c>
      <c r="D233" s="13">
        <f>'09_基準仕様'!E213</f>
        <v>0.75</v>
      </c>
      <c r="E233" s="10" t="s">
        <v>86</v>
      </c>
      <c r="F233" s="10" t="s">
        <v>685</v>
      </c>
      <c r="G233" s="14" t="s">
        <v>981</v>
      </c>
      <c r="H233" s="10" t="s">
        <v>123</v>
      </c>
      <c r="I233" s="10" t="s">
        <v>76</v>
      </c>
      <c r="J233" s="12"/>
      <c r="K233" s="12"/>
      <c r="L233" s="12"/>
      <c r="M233" s="12"/>
      <c r="N233" s="12" t="s">
        <v>104</v>
      </c>
      <c r="O233" s="12" t="s">
        <v>105</v>
      </c>
      <c r="P233" s="12" t="s">
        <v>106</v>
      </c>
      <c r="Q233" s="12" t="s">
        <v>69</v>
      </c>
    </row>
    <row r="234" spans="1:17" ht="42.75">
      <c r="A234" s="10" t="s">
        <v>971</v>
      </c>
      <c r="B234" s="10" t="s">
        <v>982</v>
      </c>
      <c r="C234" s="10" t="s">
        <v>983</v>
      </c>
      <c r="D234" s="13">
        <f>'09_基準仕様'!E214</f>
        <v>120</v>
      </c>
      <c r="E234" s="10" t="s">
        <v>984</v>
      </c>
      <c r="F234" s="10" t="s">
        <v>270</v>
      </c>
      <c r="G234" s="14" t="s">
        <v>985</v>
      </c>
      <c r="H234" s="10" t="s">
        <v>123</v>
      </c>
      <c r="I234" s="10" t="s">
        <v>76</v>
      </c>
      <c r="J234" s="12"/>
      <c r="K234" s="12"/>
      <c r="L234" s="12"/>
      <c r="M234" s="12"/>
      <c r="N234" s="12" t="s">
        <v>104</v>
      </c>
      <c r="O234" s="12" t="s">
        <v>105</v>
      </c>
      <c r="P234" s="12" t="s">
        <v>106</v>
      </c>
      <c r="Q234" s="12" t="s">
        <v>69</v>
      </c>
    </row>
    <row r="235" spans="1:17" ht="42.75">
      <c r="A235" s="10" t="s">
        <v>789</v>
      </c>
      <c r="B235" s="10" t="s">
        <v>986</v>
      </c>
      <c r="C235" s="10" t="s">
        <v>987</v>
      </c>
      <c r="D235" s="13">
        <f>'10_シナリオ入力'!E15</f>
        <v>0</v>
      </c>
      <c r="E235" s="10" t="s">
        <v>415</v>
      </c>
      <c r="F235" s="10" t="s">
        <v>792</v>
      </c>
      <c r="G235" s="14" t="s">
        <v>988</v>
      </c>
      <c r="H235" s="10" t="s">
        <v>418</v>
      </c>
      <c r="I235" s="10" t="s">
        <v>76</v>
      </c>
      <c r="J235" s="12"/>
      <c r="K235" s="12"/>
      <c r="L235" s="12"/>
      <c r="M235" s="12"/>
      <c r="N235" s="12" t="s">
        <v>419</v>
      </c>
      <c r="O235" s="12" t="s">
        <v>420</v>
      </c>
      <c r="P235" s="12" t="s">
        <v>421</v>
      </c>
      <c r="Q235" s="12" t="s">
        <v>422</v>
      </c>
    </row>
    <row r="236" spans="1:17" ht="71.25">
      <c r="A236" s="10" t="s">
        <v>789</v>
      </c>
      <c r="B236" s="10" t="s">
        <v>989</v>
      </c>
      <c r="C236" s="10" t="s">
        <v>990</v>
      </c>
      <c r="D236" s="13">
        <f>'09_基準仕様'!E215</f>
        <v>0.08</v>
      </c>
      <c r="E236" s="10" t="s">
        <v>229</v>
      </c>
      <c r="F236" s="10" t="s">
        <v>991</v>
      </c>
      <c r="G236" s="14" t="s">
        <v>992</v>
      </c>
      <c r="H236" s="10" t="s">
        <v>123</v>
      </c>
      <c r="I236" s="10" t="s">
        <v>76</v>
      </c>
      <c r="J236" s="12"/>
      <c r="K236" s="12"/>
      <c r="L236" s="12"/>
      <c r="M236" s="12"/>
      <c r="N236" s="12" t="s">
        <v>104</v>
      </c>
      <c r="O236" s="12" t="s">
        <v>105</v>
      </c>
      <c r="P236" s="12" t="s">
        <v>106</v>
      </c>
      <c r="Q236" s="12" t="s">
        <v>69</v>
      </c>
    </row>
    <row r="237" spans="1:17" ht="28.5">
      <c r="A237" s="10" t="s">
        <v>789</v>
      </c>
      <c r="B237" s="10" t="s">
        <v>993</v>
      </c>
      <c r="C237" s="10" t="s">
        <v>994</v>
      </c>
      <c r="D237" s="13">
        <f>'09_基準仕様'!E216</f>
        <v>0.65</v>
      </c>
      <c r="E237" s="10" t="s">
        <v>86</v>
      </c>
      <c r="F237" s="10" t="s">
        <v>792</v>
      </c>
      <c r="G237" s="14" t="s">
        <v>995</v>
      </c>
      <c r="H237" s="10" t="s">
        <v>123</v>
      </c>
      <c r="I237" s="10" t="s">
        <v>76</v>
      </c>
      <c r="J237" s="12"/>
      <c r="K237" s="12"/>
      <c r="L237" s="12"/>
      <c r="M237" s="12"/>
      <c r="N237" s="12" t="s">
        <v>104</v>
      </c>
      <c r="O237" s="12" t="s">
        <v>105</v>
      </c>
      <c r="P237" s="12" t="s">
        <v>106</v>
      </c>
      <c r="Q237" s="12" t="s">
        <v>69</v>
      </c>
    </row>
    <row r="238" spans="1:17" ht="57">
      <c r="A238" s="10" t="s">
        <v>789</v>
      </c>
      <c r="B238" s="10" t="s">
        <v>996</v>
      </c>
      <c r="C238" s="10" t="s">
        <v>997</v>
      </c>
      <c r="D238" s="13">
        <f>'09_基準仕様'!E217</f>
        <v>0.3</v>
      </c>
      <c r="E238" s="10" t="s">
        <v>86</v>
      </c>
      <c r="F238" s="10" t="s">
        <v>991</v>
      </c>
      <c r="G238" s="14" t="s">
        <v>998</v>
      </c>
      <c r="H238" s="10" t="s">
        <v>123</v>
      </c>
      <c r="I238" s="10" t="s">
        <v>76</v>
      </c>
      <c r="J238" s="12"/>
      <c r="K238" s="12"/>
      <c r="L238" s="12"/>
      <c r="M238" s="12"/>
      <c r="N238" s="12" t="s">
        <v>104</v>
      </c>
      <c r="O238" s="12" t="s">
        <v>105</v>
      </c>
      <c r="P238" s="12" t="s">
        <v>106</v>
      </c>
      <c r="Q238" s="12" t="s">
        <v>69</v>
      </c>
    </row>
    <row r="239" spans="1:17" ht="42.75">
      <c r="A239" s="10" t="s">
        <v>999</v>
      </c>
      <c r="B239" s="10" t="s">
        <v>1000</v>
      </c>
      <c r="C239" s="10" t="s">
        <v>1001</v>
      </c>
      <c r="D239" s="13">
        <f>'10_シナリオ入力'!E16</f>
        <v>0</v>
      </c>
      <c r="E239" s="10" t="s">
        <v>415</v>
      </c>
      <c r="F239" s="10" t="s">
        <v>1002</v>
      </c>
      <c r="G239" s="14" t="s">
        <v>1003</v>
      </c>
      <c r="H239" s="10" t="s">
        <v>418</v>
      </c>
      <c r="I239" s="10" t="s">
        <v>76</v>
      </c>
      <c r="J239" s="12"/>
      <c r="K239" s="12"/>
      <c r="L239" s="12"/>
      <c r="M239" s="12"/>
      <c r="N239" s="12" t="s">
        <v>419</v>
      </c>
      <c r="O239" s="12" t="s">
        <v>420</v>
      </c>
      <c r="P239" s="12" t="s">
        <v>421</v>
      </c>
      <c r="Q239" s="12" t="s">
        <v>422</v>
      </c>
    </row>
    <row r="240" spans="1:17" ht="42.75">
      <c r="A240" s="10" t="s">
        <v>999</v>
      </c>
      <c r="B240" s="10" t="s">
        <v>1004</v>
      </c>
      <c r="C240" s="10" t="s">
        <v>1005</v>
      </c>
      <c r="D240" s="13">
        <f>'09_基準仕様'!E218</f>
        <v>0.12</v>
      </c>
      <c r="E240" s="10" t="s">
        <v>229</v>
      </c>
      <c r="F240" s="10" t="s">
        <v>1006</v>
      </c>
      <c r="G240" s="14" t="s">
        <v>1007</v>
      </c>
      <c r="H240" s="10" t="s">
        <v>123</v>
      </c>
      <c r="I240" s="10" t="s">
        <v>76</v>
      </c>
      <c r="J240" s="12"/>
      <c r="K240" s="12"/>
      <c r="L240" s="12"/>
      <c r="M240" s="12"/>
      <c r="N240" s="12" t="s">
        <v>104</v>
      </c>
      <c r="O240" s="12" t="s">
        <v>105</v>
      </c>
      <c r="P240" s="12" t="s">
        <v>106</v>
      </c>
      <c r="Q240" s="12" t="s">
        <v>69</v>
      </c>
    </row>
    <row r="241" spans="1:17" ht="42.75">
      <c r="A241" s="10" t="s">
        <v>999</v>
      </c>
      <c r="B241" s="10" t="s">
        <v>1008</v>
      </c>
      <c r="C241" s="10" t="s">
        <v>1009</v>
      </c>
      <c r="D241" s="13">
        <f>'09_基準仕様'!E219</f>
        <v>0.35</v>
      </c>
      <c r="E241" s="10" t="s">
        <v>86</v>
      </c>
      <c r="F241" s="10" t="s">
        <v>1010</v>
      </c>
      <c r="G241" s="14" t="s">
        <v>1011</v>
      </c>
      <c r="H241" s="10" t="s">
        <v>123</v>
      </c>
      <c r="I241" s="10" t="s">
        <v>76</v>
      </c>
      <c r="J241" s="12"/>
      <c r="K241" s="12"/>
      <c r="L241" s="12"/>
      <c r="M241" s="12"/>
      <c r="N241" s="12" t="s">
        <v>104</v>
      </c>
      <c r="O241" s="12" t="s">
        <v>105</v>
      </c>
      <c r="P241" s="12" t="s">
        <v>106</v>
      </c>
      <c r="Q241" s="12" t="s">
        <v>69</v>
      </c>
    </row>
    <row r="242" spans="1:17" ht="42.75">
      <c r="A242" s="10" t="s">
        <v>1012</v>
      </c>
      <c r="B242" s="10" t="s">
        <v>1013</v>
      </c>
      <c r="C242" s="10" t="s">
        <v>1014</v>
      </c>
      <c r="D242" s="13">
        <f>'09_基準仕様'!E220</f>
        <v>5.0000000000000001E-4</v>
      </c>
      <c r="E242" s="10" t="s">
        <v>1015</v>
      </c>
      <c r="F242" s="10" t="s">
        <v>1016</v>
      </c>
      <c r="G242" s="14" t="s">
        <v>1017</v>
      </c>
      <c r="H242" s="10" t="s">
        <v>3</v>
      </c>
      <c r="I242" s="10" t="s">
        <v>76</v>
      </c>
      <c r="J242" s="12"/>
      <c r="K242" s="12"/>
      <c r="L242" s="12"/>
      <c r="M242" s="12"/>
      <c r="N242" s="12" t="s">
        <v>104</v>
      </c>
      <c r="O242" s="12" t="s">
        <v>105</v>
      </c>
      <c r="P242" s="12" t="s">
        <v>106</v>
      </c>
      <c r="Q242" s="12" t="s">
        <v>69</v>
      </c>
    </row>
    <row r="243" spans="1:17" ht="28.5">
      <c r="A243" s="10" t="s">
        <v>1012</v>
      </c>
      <c r="B243" s="10" t="s">
        <v>1018</v>
      </c>
      <c r="C243" s="10" t="s">
        <v>1019</v>
      </c>
      <c r="D243" s="13">
        <f>'09_基準仕様'!E221</f>
        <v>5.0000000000000001E-4</v>
      </c>
      <c r="E243" s="10" t="s">
        <v>1015</v>
      </c>
      <c r="F243" s="10" t="s">
        <v>1020</v>
      </c>
      <c r="G243" s="14" t="s">
        <v>1021</v>
      </c>
      <c r="H243" s="10" t="s">
        <v>123</v>
      </c>
      <c r="I243" s="10" t="s">
        <v>76</v>
      </c>
      <c r="J243" s="12"/>
      <c r="K243" s="12"/>
      <c r="L243" s="12"/>
      <c r="M243" s="12"/>
      <c r="N243" s="12" t="s">
        <v>104</v>
      </c>
      <c r="O243" s="12" t="s">
        <v>105</v>
      </c>
      <c r="P243" s="12" t="s">
        <v>106</v>
      </c>
      <c r="Q243" s="12" t="s">
        <v>69</v>
      </c>
    </row>
    <row r="244" spans="1:17" ht="42.75">
      <c r="A244" s="10" t="s">
        <v>1012</v>
      </c>
      <c r="B244" s="10" t="s">
        <v>1022</v>
      </c>
      <c r="C244" s="10" t="s">
        <v>1023</v>
      </c>
      <c r="D244" s="13">
        <f>'09_基準仕様'!E222</f>
        <v>3.5000000000000003E-2</v>
      </c>
      <c r="E244" s="10" t="s">
        <v>229</v>
      </c>
      <c r="F244" s="10" t="s">
        <v>1020</v>
      </c>
      <c r="G244" s="14" t="s">
        <v>1024</v>
      </c>
      <c r="H244" s="10" t="s">
        <v>123</v>
      </c>
      <c r="I244" s="10" t="s">
        <v>76</v>
      </c>
      <c r="J244" s="12"/>
      <c r="K244" s="12"/>
      <c r="L244" s="12"/>
      <c r="M244" s="12"/>
      <c r="N244" s="12" t="s">
        <v>104</v>
      </c>
      <c r="O244" s="12" t="s">
        <v>105</v>
      </c>
      <c r="P244" s="12" t="s">
        <v>106</v>
      </c>
      <c r="Q244" s="12" t="s">
        <v>69</v>
      </c>
    </row>
    <row r="245" spans="1:17">
      <c r="A245" s="10" t="s">
        <v>1012</v>
      </c>
      <c r="B245" s="10" t="s">
        <v>1025</v>
      </c>
      <c r="C245" s="10" t="s">
        <v>1026</v>
      </c>
      <c r="D245" s="13">
        <f>'10_シナリオ入力'!E25</f>
        <v>0</v>
      </c>
      <c r="E245" s="10" t="s">
        <v>1027</v>
      </c>
      <c r="F245" s="10" t="s">
        <v>1028</v>
      </c>
      <c r="G245" s="14" t="s">
        <v>1029</v>
      </c>
      <c r="H245" s="10" t="s">
        <v>418</v>
      </c>
      <c r="I245" s="10" t="s">
        <v>76</v>
      </c>
      <c r="J245" s="12"/>
      <c r="K245" s="12"/>
      <c r="L245" s="12"/>
      <c r="M245" s="12"/>
      <c r="N245" s="12" t="s">
        <v>419</v>
      </c>
      <c r="O245" s="12" t="s">
        <v>420</v>
      </c>
      <c r="P245" s="12" t="s">
        <v>421</v>
      </c>
      <c r="Q245" s="12" t="s">
        <v>422</v>
      </c>
    </row>
    <row r="246" spans="1:17" ht="42.75">
      <c r="A246" s="10" t="s">
        <v>1012</v>
      </c>
      <c r="B246" s="10" t="s">
        <v>1030</v>
      </c>
      <c r="C246" s="10" t="s">
        <v>1031</v>
      </c>
      <c r="D246" s="13">
        <f>'09_基準仕様'!E223</f>
        <v>0.08</v>
      </c>
      <c r="E246" s="10" t="s">
        <v>229</v>
      </c>
      <c r="F246" s="10" t="s">
        <v>1032</v>
      </c>
      <c r="G246" s="14" t="s">
        <v>1033</v>
      </c>
      <c r="H246" s="10" t="s">
        <v>123</v>
      </c>
      <c r="I246" s="10" t="s">
        <v>76</v>
      </c>
      <c r="J246" s="12"/>
      <c r="K246" s="12"/>
      <c r="L246" s="12"/>
      <c r="M246" s="12"/>
      <c r="N246" s="12" t="s">
        <v>104</v>
      </c>
      <c r="O246" s="12" t="s">
        <v>105</v>
      </c>
      <c r="P246" s="12" t="s">
        <v>106</v>
      </c>
      <c r="Q246" s="12" t="s">
        <v>69</v>
      </c>
    </row>
    <row r="247" spans="1:17" ht="42.75">
      <c r="A247" s="10" t="s">
        <v>1012</v>
      </c>
      <c r="B247" s="10" t="s">
        <v>1034</v>
      </c>
      <c r="C247" s="10" t="s">
        <v>1035</v>
      </c>
      <c r="D247" s="13">
        <f>'09_基準仕様'!E224</f>
        <v>0.06</v>
      </c>
      <c r="E247" s="10" t="s">
        <v>229</v>
      </c>
      <c r="F247" s="10" t="s">
        <v>1032</v>
      </c>
      <c r="G247" s="14" t="s">
        <v>1036</v>
      </c>
      <c r="H247" s="10" t="s">
        <v>123</v>
      </c>
      <c r="I247" s="10" t="s">
        <v>76</v>
      </c>
      <c r="J247" s="12"/>
      <c r="K247" s="12"/>
      <c r="L247" s="12"/>
      <c r="M247" s="12"/>
      <c r="N247" s="12" t="s">
        <v>104</v>
      </c>
      <c r="O247" s="12" t="s">
        <v>105</v>
      </c>
      <c r="P247" s="12" t="s">
        <v>106</v>
      </c>
      <c r="Q247" s="12" t="s">
        <v>69</v>
      </c>
    </row>
    <row r="248" spans="1:17" ht="42.75">
      <c r="A248" s="10" t="s">
        <v>1037</v>
      </c>
      <c r="B248" s="10" t="s">
        <v>1038</v>
      </c>
      <c r="C248" s="10" t="s">
        <v>1039</v>
      </c>
      <c r="D248" s="13">
        <f>'09_基準仕様'!E225</f>
        <v>1</v>
      </c>
      <c r="E248" s="10" t="s">
        <v>415</v>
      </c>
      <c r="F248" s="10" t="s">
        <v>1040</v>
      </c>
      <c r="G248" s="14" t="s">
        <v>1041</v>
      </c>
      <c r="H248" s="10" t="s">
        <v>418</v>
      </c>
      <c r="I248" s="10" t="s">
        <v>76</v>
      </c>
      <c r="J248" s="12"/>
      <c r="K248" s="12"/>
      <c r="L248" s="12"/>
      <c r="M248" s="12"/>
      <c r="N248" s="12" t="s">
        <v>104</v>
      </c>
      <c r="O248" s="12" t="s">
        <v>105</v>
      </c>
      <c r="P248" s="12" t="s">
        <v>106</v>
      </c>
      <c r="Q248" s="12" t="s">
        <v>69</v>
      </c>
    </row>
    <row r="249" spans="1:17" ht="42.75">
      <c r="A249" s="10" t="s">
        <v>1037</v>
      </c>
      <c r="B249" s="10" t="s">
        <v>1042</v>
      </c>
      <c r="C249" s="10" t="s">
        <v>1043</v>
      </c>
      <c r="D249" s="13">
        <f>'09_基準仕様'!E226</f>
        <v>0.09</v>
      </c>
      <c r="E249" s="10" t="s">
        <v>229</v>
      </c>
      <c r="F249" s="10" t="s">
        <v>1044</v>
      </c>
      <c r="G249" s="14" t="s">
        <v>1045</v>
      </c>
      <c r="H249" s="10" t="s">
        <v>123</v>
      </c>
      <c r="I249" s="10" t="s">
        <v>76</v>
      </c>
      <c r="J249" s="12"/>
      <c r="K249" s="12"/>
      <c r="L249" s="12"/>
      <c r="M249" s="12"/>
      <c r="N249" s="12" t="s">
        <v>104</v>
      </c>
      <c r="O249" s="12" t="s">
        <v>105</v>
      </c>
      <c r="P249" s="12" t="s">
        <v>106</v>
      </c>
      <c r="Q249" s="12" t="s">
        <v>69</v>
      </c>
    </row>
    <row r="250" spans="1:17" ht="42.75">
      <c r="A250" s="10" t="s">
        <v>1037</v>
      </c>
      <c r="B250" s="10" t="s">
        <v>1046</v>
      </c>
      <c r="C250" s="10" t="s">
        <v>1047</v>
      </c>
      <c r="D250" s="13">
        <f>'09_基準仕様'!E227</f>
        <v>0.04</v>
      </c>
      <c r="E250" s="10" t="s">
        <v>229</v>
      </c>
      <c r="F250" s="10" t="s">
        <v>1044</v>
      </c>
      <c r="G250" s="14" t="s">
        <v>1048</v>
      </c>
      <c r="H250" s="10" t="s">
        <v>123</v>
      </c>
      <c r="I250" s="10" t="s">
        <v>76</v>
      </c>
      <c r="J250" s="12"/>
      <c r="K250" s="12"/>
      <c r="L250" s="12"/>
      <c r="M250" s="12"/>
      <c r="N250" s="12" t="s">
        <v>104</v>
      </c>
      <c r="O250" s="12" t="s">
        <v>105</v>
      </c>
      <c r="P250" s="12" t="s">
        <v>106</v>
      </c>
      <c r="Q250" s="12" t="s">
        <v>69</v>
      </c>
    </row>
    <row r="251" spans="1:17" ht="42.75">
      <c r="A251" s="10" t="s">
        <v>1049</v>
      </c>
      <c r="B251" s="10" t="s">
        <v>1050</v>
      </c>
      <c r="C251" s="10" t="s">
        <v>1051</v>
      </c>
      <c r="D251" s="13">
        <f>'09_基準仕様'!E228</f>
        <v>1</v>
      </c>
      <c r="E251" s="10" t="s">
        <v>415</v>
      </c>
      <c r="F251" s="10" t="s">
        <v>1052</v>
      </c>
      <c r="G251" s="14" t="s">
        <v>1053</v>
      </c>
      <c r="H251" s="10" t="s">
        <v>418</v>
      </c>
      <c r="I251" s="10" t="s">
        <v>76</v>
      </c>
      <c r="J251" s="12"/>
      <c r="K251" s="12"/>
      <c r="L251" s="12"/>
      <c r="M251" s="12"/>
      <c r="N251" s="12" t="s">
        <v>104</v>
      </c>
      <c r="O251" s="12" t="s">
        <v>105</v>
      </c>
      <c r="P251" s="12" t="s">
        <v>106</v>
      </c>
      <c r="Q251" s="12" t="s">
        <v>69</v>
      </c>
    </row>
    <row r="252" spans="1:17" ht="42.75">
      <c r="A252" s="10" t="s">
        <v>1049</v>
      </c>
      <c r="B252" s="10" t="s">
        <v>1054</v>
      </c>
      <c r="C252" s="10" t="s">
        <v>1055</v>
      </c>
      <c r="D252" s="13">
        <f>'09_基準仕様'!E229</f>
        <v>2.5000000000000001E-2</v>
      </c>
      <c r="E252" s="10" t="s">
        <v>229</v>
      </c>
      <c r="F252" s="10" t="s">
        <v>1056</v>
      </c>
      <c r="G252" s="14" t="s">
        <v>1057</v>
      </c>
      <c r="H252" s="10" t="s">
        <v>123</v>
      </c>
      <c r="I252" s="10" t="s">
        <v>76</v>
      </c>
      <c r="J252" s="12"/>
      <c r="K252" s="12"/>
      <c r="L252" s="12"/>
      <c r="M252" s="12"/>
      <c r="N252" s="12" t="s">
        <v>104</v>
      </c>
      <c r="O252" s="12" t="s">
        <v>105</v>
      </c>
      <c r="P252" s="12" t="s">
        <v>106</v>
      </c>
      <c r="Q252" s="12" t="s">
        <v>69</v>
      </c>
    </row>
    <row r="253" spans="1:17" ht="42.75">
      <c r="A253" s="10" t="s">
        <v>1049</v>
      </c>
      <c r="B253" s="10" t="s">
        <v>1058</v>
      </c>
      <c r="C253" s="10" t="s">
        <v>1059</v>
      </c>
      <c r="D253" s="13">
        <f>'09_基準仕様'!E230</f>
        <v>0.08</v>
      </c>
      <c r="E253" s="10" t="s">
        <v>86</v>
      </c>
      <c r="F253" s="10" t="s">
        <v>196</v>
      </c>
      <c r="G253" s="14" t="s">
        <v>1060</v>
      </c>
      <c r="H253" s="10" t="s">
        <v>123</v>
      </c>
      <c r="I253" s="10" t="s">
        <v>76</v>
      </c>
      <c r="J253" s="12"/>
      <c r="K253" s="12"/>
      <c r="L253" s="12"/>
      <c r="M253" s="12"/>
      <c r="N253" s="12" t="s">
        <v>104</v>
      </c>
      <c r="O253" s="12" t="s">
        <v>105</v>
      </c>
      <c r="P253" s="12" t="s">
        <v>106</v>
      </c>
      <c r="Q253" s="12" t="s">
        <v>69</v>
      </c>
    </row>
    <row r="254" spans="1:17" ht="42.75">
      <c r="A254" s="10" t="s">
        <v>1049</v>
      </c>
      <c r="B254" s="10" t="s">
        <v>1061</v>
      </c>
      <c r="C254" s="10" t="s">
        <v>1062</v>
      </c>
      <c r="D254" s="13">
        <f>'10_シナリオ入力'!E17</f>
        <v>0</v>
      </c>
      <c r="E254" s="10" t="s">
        <v>415</v>
      </c>
      <c r="F254" s="10" t="s">
        <v>1063</v>
      </c>
      <c r="G254" s="14" t="s">
        <v>1064</v>
      </c>
      <c r="H254" s="10" t="s">
        <v>418</v>
      </c>
      <c r="I254" s="10" t="s">
        <v>76</v>
      </c>
      <c r="J254" s="12"/>
      <c r="K254" s="12"/>
      <c r="L254" s="12"/>
      <c r="M254" s="12"/>
      <c r="N254" s="12" t="s">
        <v>419</v>
      </c>
      <c r="O254" s="12" t="s">
        <v>420</v>
      </c>
      <c r="P254" s="12" t="s">
        <v>421</v>
      </c>
      <c r="Q254" s="12" t="s">
        <v>422</v>
      </c>
    </row>
    <row r="255" spans="1:17" ht="42.75">
      <c r="A255" s="10" t="s">
        <v>1049</v>
      </c>
      <c r="B255" s="10" t="s">
        <v>1065</v>
      </c>
      <c r="C255" s="10" t="s">
        <v>1066</v>
      </c>
      <c r="D255" s="13">
        <f>'09_基準仕様'!E231</f>
        <v>0.45</v>
      </c>
      <c r="E255" s="10" t="s">
        <v>86</v>
      </c>
      <c r="F255" s="10" t="s">
        <v>742</v>
      </c>
      <c r="G255" s="14" t="s">
        <v>1067</v>
      </c>
      <c r="H255" s="10" t="s">
        <v>123</v>
      </c>
      <c r="I255" s="10" t="s">
        <v>76</v>
      </c>
      <c r="J255" s="12"/>
      <c r="K255" s="12"/>
      <c r="L255" s="12"/>
      <c r="M255" s="12"/>
      <c r="N255" s="12" t="s">
        <v>104</v>
      </c>
      <c r="O255" s="12" t="s">
        <v>105</v>
      </c>
      <c r="P255" s="12" t="s">
        <v>106</v>
      </c>
      <c r="Q255" s="12" t="s">
        <v>69</v>
      </c>
    </row>
    <row r="256" spans="1:17" ht="42.75">
      <c r="A256" s="10" t="s">
        <v>1049</v>
      </c>
      <c r="B256" s="10" t="s">
        <v>1068</v>
      </c>
      <c r="C256" s="10" t="s">
        <v>1069</v>
      </c>
      <c r="D256" s="13">
        <f>'09_基準仕様'!E232</f>
        <v>3.5000000000000003E-2</v>
      </c>
      <c r="E256" s="10" t="s">
        <v>229</v>
      </c>
      <c r="F256" s="10" t="s">
        <v>1070</v>
      </c>
      <c r="G256" s="14" t="s">
        <v>1071</v>
      </c>
      <c r="H256" s="10" t="s">
        <v>123</v>
      </c>
      <c r="I256" s="10" t="s">
        <v>76</v>
      </c>
      <c r="J256" s="12"/>
      <c r="K256" s="12"/>
      <c r="L256" s="12"/>
      <c r="M256" s="12"/>
      <c r="N256" s="12" t="s">
        <v>104</v>
      </c>
      <c r="O256" s="12" t="s">
        <v>105</v>
      </c>
      <c r="P256" s="12" t="s">
        <v>106</v>
      </c>
      <c r="Q256" s="12" t="s">
        <v>69</v>
      </c>
    </row>
    <row r="257" spans="1:17" ht="42.75">
      <c r="A257" s="10" t="s">
        <v>1049</v>
      </c>
      <c r="B257" s="10" t="s">
        <v>1072</v>
      </c>
      <c r="C257" s="10" t="s">
        <v>1073</v>
      </c>
      <c r="D257" s="13">
        <f>'09_基準仕様'!E233</f>
        <v>25</v>
      </c>
      <c r="E257" s="10" t="s">
        <v>984</v>
      </c>
      <c r="F257" s="10" t="s">
        <v>270</v>
      </c>
      <c r="G257" s="14" t="s">
        <v>1074</v>
      </c>
      <c r="H257" s="10" t="s">
        <v>123</v>
      </c>
      <c r="I257" s="10" t="s">
        <v>76</v>
      </c>
      <c r="J257" s="12"/>
      <c r="K257" s="12"/>
      <c r="L257" s="12"/>
      <c r="M257" s="12"/>
      <c r="N257" s="12" t="s">
        <v>104</v>
      </c>
      <c r="O257" s="12" t="s">
        <v>105</v>
      </c>
      <c r="P257" s="12" t="s">
        <v>106</v>
      </c>
      <c r="Q257" s="12" t="s">
        <v>69</v>
      </c>
    </row>
    <row r="258" spans="1:17" ht="42.75">
      <c r="A258" s="10" t="s">
        <v>1075</v>
      </c>
      <c r="B258" s="10" t="s">
        <v>1076</v>
      </c>
      <c r="C258" s="10" t="s">
        <v>1077</v>
      </c>
      <c r="D258" s="13">
        <f>'10_シナリオ入力'!E18</f>
        <v>0</v>
      </c>
      <c r="E258" s="10" t="s">
        <v>415</v>
      </c>
      <c r="F258" s="10" t="s">
        <v>1078</v>
      </c>
      <c r="G258" s="14" t="s">
        <v>1079</v>
      </c>
      <c r="H258" s="10" t="s">
        <v>418</v>
      </c>
      <c r="I258" s="10" t="s">
        <v>76</v>
      </c>
      <c r="J258" s="12"/>
      <c r="K258" s="12"/>
      <c r="L258" s="12"/>
      <c r="M258" s="12"/>
      <c r="N258" s="12" t="s">
        <v>419</v>
      </c>
      <c r="O258" s="12" t="s">
        <v>420</v>
      </c>
      <c r="P258" s="12" t="s">
        <v>421</v>
      </c>
      <c r="Q258" s="12" t="s">
        <v>422</v>
      </c>
    </row>
    <row r="259" spans="1:17" ht="42.75">
      <c r="A259" s="10" t="s">
        <v>1075</v>
      </c>
      <c r="B259" s="10" t="s">
        <v>1080</v>
      </c>
      <c r="C259" s="10" t="s">
        <v>1081</v>
      </c>
      <c r="D259" s="13">
        <f>'09_基準仕様'!E234</f>
        <v>0.3</v>
      </c>
      <c r="E259" s="10" t="s">
        <v>86</v>
      </c>
      <c r="F259" s="10" t="s">
        <v>1082</v>
      </c>
      <c r="G259" s="14" t="s">
        <v>1083</v>
      </c>
      <c r="H259" s="10" t="s">
        <v>123</v>
      </c>
      <c r="I259" s="10" t="s">
        <v>76</v>
      </c>
      <c r="J259" s="12"/>
      <c r="K259" s="12"/>
      <c r="L259" s="12"/>
      <c r="M259" s="12"/>
      <c r="N259" s="12" t="s">
        <v>104</v>
      </c>
      <c r="O259" s="12" t="s">
        <v>105</v>
      </c>
      <c r="P259" s="12" t="s">
        <v>106</v>
      </c>
      <c r="Q259" s="12" t="s">
        <v>69</v>
      </c>
    </row>
    <row r="260" spans="1:17" ht="42.75">
      <c r="A260" s="10" t="s">
        <v>1075</v>
      </c>
      <c r="B260" s="10" t="s">
        <v>1084</v>
      </c>
      <c r="C260" s="10" t="s">
        <v>1085</v>
      </c>
      <c r="D260" s="13">
        <f>'09_基準仕様'!E235</f>
        <v>0.06</v>
      </c>
      <c r="E260" s="10" t="s">
        <v>229</v>
      </c>
      <c r="F260" s="10" t="s">
        <v>1086</v>
      </c>
      <c r="G260" s="14" t="s">
        <v>1087</v>
      </c>
      <c r="H260" s="10" t="s">
        <v>123</v>
      </c>
      <c r="I260" s="10" t="s">
        <v>76</v>
      </c>
      <c r="J260" s="12"/>
      <c r="K260" s="12"/>
      <c r="L260" s="12"/>
      <c r="M260" s="12"/>
      <c r="N260" s="12" t="s">
        <v>104</v>
      </c>
      <c r="O260" s="12" t="s">
        <v>105</v>
      </c>
      <c r="P260" s="12" t="s">
        <v>106</v>
      </c>
      <c r="Q260" s="12" t="s">
        <v>69</v>
      </c>
    </row>
    <row r="261" spans="1:17" ht="42.75">
      <c r="A261" s="10" t="s">
        <v>1075</v>
      </c>
      <c r="B261" s="10" t="s">
        <v>1088</v>
      </c>
      <c r="C261" s="10" t="s">
        <v>1089</v>
      </c>
      <c r="D261" s="13">
        <f>'09_基準仕様'!E236</f>
        <v>0.18</v>
      </c>
      <c r="E261" s="10" t="s">
        <v>229</v>
      </c>
      <c r="F261" s="10" t="s">
        <v>1082</v>
      </c>
      <c r="G261" s="14" t="s">
        <v>1090</v>
      </c>
      <c r="H261" s="10" t="s">
        <v>123</v>
      </c>
      <c r="I261" s="10" t="s">
        <v>76</v>
      </c>
      <c r="J261" s="12"/>
      <c r="K261" s="12"/>
      <c r="L261" s="12"/>
      <c r="M261" s="12"/>
      <c r="N261" s="12" t="s">
        <v>104</v>
      </c>
      <c r="O261" s="12" t="s">
        <v>105</v>
      </c>
      <c r="P261" s="12" t="s">
        <v>106</v>
      </c>
      <c r="Q261" s="12" t="s">
        <v>69</v>
      </c>
    </row>
    <row r="262" spans="1:17" ht="42.75">
      <c r="A262" s="10" t="s">
        <v>1075</v>
      </c>
      <c r="B262" s="10" t="s">
        <v>1091</v>
      </c>
      <c r="C262" s="10" t="s">
        <v>1092</v>
      </c>
      <c r="D262" s="13">
        <f>'10_シナリオ入力'!E19</f>
        <v>0</v>
      </c>
      <c r="E262" s="10" t="s">
        <v>415</v>
      </c>
      <c r="F262" s="10" t="s">
        <v>1093</v>
      </c>
      <c r="G262" s="14" t="s">
        <v>1094</v>
      </c>
      <c r="H262" s="10" t="s">
        <v>418</v>
      </c>
      <c r="I262" s="10" t="s">
        <v>76</v>
      </c>
      <c r="J262" s="12"/>
      <c r="K262" s="12"/>
      <c r="L262" s="12"/>
      <c r="M262" s="12"/>
      <c r="N262" s="12" t="s">
        <v>419</v>
      </c>
      <c r="O262" s="12" t="s">
        <v>420</v>
      </c>
      <c r="P262" s="12" t="s">
        <v>421</v>
      </c>
      <c r="Q262" s="12" t="s">
        <v>422</v>
      </c>
    </row>
    <row r="263" spans="1:17" ht="42.75">
      <c r="A263" s="10" t="s">
        <v>1075</v>
      </c>
      <c r="B263" s="10" t="s">
        <v>1095</v>
      </c>
      <c r="C263" s="10" t="s">
        <v>1096</v>
      </c>
      <c r="D263" s="13">
        <f>'09_基準仕様'!E237</f>
        <v>0.22</v>
      </c>
      <c r="E263" s="10" t="s">
        <v>229</v>
      </c>
      <c r="F263" s="10" t="s">
        <v>1097</v>
      </c>
      <c r="G263" s="14" t="s">
        <v>1098</v>
      </c>
      <c r="H263" s="10" t="s">
        <v>123</v>
      </c>
      <c r="I263" s="10" t="s">
        <v>76</v>
      </c>
      <c r="J263" s="12"/>
      <c r="K263" s="12"/>
      <c r="L263" s="12"/>
      <c r="M263" s="12"/>
      <c r="N263" s="12" t="s">
        <v>104</v>
      </c>
      <c r="O263" s="12" t="s">
        <v>105</v>
      </c>
      <c r="P263" s="12" t="s">
        <v>106</v>
      </c>
      <c r="Q263" s="12" t="s">
        <v>69</v>
      </c>
    </row>
    <row r="264" spans="1:17" ht="42.75">
      <c r="A264" s="10" t="s">
        <v>1075</v>
      </c>
      <c r="B264" s="10" t="s">
        <v>1099</v>
      </c>
      <c r="C264" s="10" t="s">
        <v>1100</v>
      </c>
      <c r="D264" s="13">
        <f>'09_基準仕様'!E238</f>
        <v>0.45</v>
      </c>
      <c r="E264" s="10" t="s">
        <v>86</v>
      </c>
      <c r="F264" s="10" t="s">
        <v>1082</v>
      </c>
      <c r="G264" s="14" t="s">
        <v>1101</v>
      </c>
      <c r="H264" s="10" t="s">
        <v>123</v>
      </c>
      <c r="I264" s="10" t="s">
        <v>76</v>
      </c>
      <c r="J264" s="12"/>
      <c r="K264" s="12"/>
      <c r="L264" s="12"/>
      <c r="M264" s="12"/>
      <c r="N264" s="12" t="s">
        <v>104</v>
      </c>
      <c r="O264" s="12" t="s">
        <v>105</v>
      </c>
      <c r="P264" s="12" t="s">
        <v>106</v>
      </c>
      <c r="Q264" s="12" t="s">
        <v>69</v>
      </c>
    </row>
    <row r="265" spans="1:17" ht="42.75">
      <c r="A265" s="10" t="s">
        <v>1075</v>
      </c>
      <c r="B265" s="10" t="s">
        <v>1102</v>
      </c>
      <c r="C265" s="10" t="s">
        <v>1103</v>
      </c>
      <c r="D265" s="13">
        <f>'09_基準仕様'!E239</f>
        <v>0.08</v>
      </c>
      <c r="E265" s="10" t="s">
        <v>86</v>
      </c>
      <c r="F265" s="10" t="s">
        <v>902</v>
      </c>
      <c r="G265" s="14" t="s">
        <v>1104</v>
      </c>
      <c r="H265" s="10" t="s">
        <v>123</v>
      </c>
      <c r="I265" s="10" t="s">
        <v>76</v>
      </c>
      <c r="J265" s="12"/>
      <c r="K265" s="12"/>
      <c r="L265" s="12"/>
      <c r="M265" s="12"/>
      <c r="N265" s="12" t="s">
        <v>104</v>
      </c>
      <c r="O265" s="12" t="s">
        <v>105</v>
      </c>
      <c r="P265" s="12" t="s">
        <v>106</v>
      </c>
      <c r="Q265" s="12" t="s">
        <v>69</v>
      </c>
    </row>
    <row r="266" spans="1:17" ht="28.5">
      <c r="A266" s="10" t="s">
        <v>1105</v>
      </c>
      <c r="B266" s="10" t="s">
        <v>1106</v>
      </c>
      <c r="C266" s="10" t="s">
        <v>1107</v>
      </c>
      <c r="D266" s="13">
        <f>'09_基準仕様'!E240</f>
        <v>0.82</v>
      </c>
      <c r="E266" s="10" t="s">
        <v>86</v>
      </c>
      <c r="F266" s="10" t="s">
        <v>1108</v>
      </c>
      <c r="G266" s="14" t="s">
        <v>1109</v>
      </c>
      <c r="H266" s="10" t="s">
        <v>3</v>
      </c>
      <c r="I266" s="10" t="s">
        <v>76</v>
      </c>
      <c r="J266" s="12"/>
      <c r="K266" s="12"/>
      <c r="L266" s="12"/>
      <c r="M266" s="12"/>
      <c r="N266" s="12" t="s">
        <v>104</v>
      </c>
      <c r="O266" s="12" t="s">
        <v>105</v>
      </c>
      <c r="P266" s="12" t="s">
        <v>106</v>
      </c>
      <c r="Q266" s="12" t="s">
        <v>69</v>
      </c>
    </row>
    <row r="267" spans="1:17" ht="42.75">
      <c r="A267" s="10" t="s">
        <v>1105</v>
      </c>
      <c r="B267" s="10" t="s">
        <v>1110</v>
      </c>
      <c r="C267" s="10" t="s">
        <v>1111</v>
      </c>
      <c r="D267" s="13">
        <f>'09_基準仕様'!E241</f>
        <v>0.02</v>
      </c>
      <c r="E267" s="10" t="s">
        <v>731</v>
      </c>
      <c r="F267" s="10" t="s">
        <v>1112</v>
      </c>
      <c r="G267" s="14" t="s">
        <v>1113</v>
      </c>
      <c r="H267" s="10" t="s">
        <v>123</v>
      </c>
      <c r="I267" s="10" t="s">
        <v>76</v>
      </c>
      <c r="J267" s="12"/>
      <c r="K267" s="12"/>
      <c r="L267" s="12"/>
      <c r="M267" s="12"/>
      <c r="N267" s="12" t="s">
        <v>104</v>
      </c>
      <c r="O267" s="12" t="s">
        <v>105</v>
      </c>
      <c r="P267" s="12" t="s">
        <v>106</v>
      </c>
      <c r="Q267" s="12" t="s">
        <v>69</v>
      </c>
    </row>
    <row r="268" spans="1:17" ht="42.75">
      <c r="A268" s="10" t="s">
        <v>1114</v>
      </c>
      <c r="B268" s="10" t="s">
        <v>1115</v>
      </c>
      <c r="C268" s="10" t="s">
        <v>1116</v>
      </c>
      <c r="D268" s="13">
        <f>'10_シナリオ入力'!E20</f>
        <v>1</v>
      </c>
      <c r="E268" s="10" t="s">
        <v>415</v>
      </c>
      <c r="F268" s="10" t="s">
        <v>1117</v>
      </c>
      <c r="G268" s="14" t="s">
        <v>1118</v>
      </c>
      <c r="H268" s="10" t="s">
        <v>418</v>
      </c>
      <c r="I268" s="10" t="s">
        <v>76</v>
      </c>
      <c r="J268" s="12"/>
      <c r="K268" s="12"/>
      <c r="L268" s="12"/>
      <c r="M268" s="12"/>
      <c r="N268" s="12" t="s">
        <v>419</v>
      </c>
      <c r="O268" s="12" t="s">
        <v>420</v>
      </c>
      <c r="P268" s="12" t="s">
        <v>421</v>
      </c>
      <c r="Q268" s="12" t="s">
        <v>422</v>
      </c>
    </row>
    <row r="269" spans="1:17" ht="42.75">
      <c r="A269" s="10" t="s">
        <v>1114</v>
      </c>
      <c r="B269" s="10" t="s">
        <v>1119</v>
      </c>
      <c r="C269" s="10" t="s">
        <v>1120</v>
      </c>
      <c r="D269" s="13">
        <f>'09_基準仕様'!E242</f>
        <v>0.1</v>
      </c>
      <c r="E269" s="10" t="s">
        <v>229</v>
      </c>
      <c r="F269" s="10" t="s">
        <v>1121</v>
      </c>
      <c r="G269" s="14" t="s">
        <v>1122</v>
      </c>
      <c r="H269" s="10" t="s">
        <v>123</v>
      </c>
      <c r="I269" s="10" t="s">
        <v>76</v>
      </c>
      <c r="J269" s="12"/>
      <c r="K269" s="12"/>
      <c r="L269" s="12"/>
      <c r="M269" s="12"/>
      <c r="N269" s="12" t="s">
        <v>104</v>
      </c>
      <c r="O269" s="12" t="s">
        <v>105</v>
      </c>
      <c r="P269" s="12" t="s">
        <v>106</v>
      </c>
      <c r="Q269" s="12" t="s">
        <v>69</v>
      </c>
    </row>
    <row r="270" spans="1:17" ht="42.75">
      <c r="A270" s="10" t="s">
        <v>1114</v>
      </c>
      <c r="B270" s="10" t="s">
        <v>1123</v>
      </c>
      <c r="C270" s="10" t="s">
        <v>1124</v>
      </c>
      <c r="D270" s="13">
        <f>'09_基準仕様'!E243</f>
        <v>0.2</v>
      </c>
      <c r="E270" s="10" t="s">
        <v>86</v>
      </c>
      <c r="F270" s="10" t="s">
        <v>1125</v>
      </c>
      <c r="G270" s="14" t="s">
        <v>1126</v>
      </c>
      <c r="H270" s="10" t="s">
        <v>123</v>
      </c>
      <c r="I270" s="10" t="s">
        <v>76</v>
      </c>
      <c r="J270" s="12"/>
      <c r="K270" s="12"/>
      <c r="L270" s="12"/>
      <c r="M270" s="12"/>
      <c r="N270" s="12" t="s">
        <v>104</v>
      </c>
      <c r="O270" s="12" t="s">
        <v>105</v>
      </c>
      <c r="P270" s="12" t="s">
        <v>106</v>
      </c>
      <c r="Q270" s="12" t="s">
        <v>69</v>
      </c>
    </row>
    <row r="271" spans="1:17" ht="42.75">
      <c r="A271" s="10" t="s">
        <v>1114</v>
      </c>
      <c r="B271" s="10" t="s">
        <v>1127</v>
      </c>
      <c r="C271" s="10" t="s">
        <v>1128</v>
      </c>
      <c r="D271" s="13">
        <f>'09_基準仕様'!E244</f>
        <v>0.35</v>
      </c>
      <c r="E271" s="10" t="s">
        <v>229</v>
      </c>
      <c r="F271" s="10" t="s">
        <v>1125</v>
      </c>
      <c r="G271" s="14" t="s">
        <v>1129</v>
      </c>
      <c r="H271" s="10" t="s">
        <v>123</v>
      </c>
      <c r="I271" s="10" t="s">
        <v>76</v>
      </c>
      <c r="J271" s="12"/>
      <c r="K271" s="12"/>
      <c r="L271" s="12"/>
      <c r="M271" s="12"/>
      <c r="N271" s="12" t="s">
        <v>104</v>
      </c>
      <c r="O271" s="12" t="s">
        <v>105</v>
      </c>
      <c r="P271" s="12" t="s">
        <v>106</v>
      </c>
      <c r="Q271" s="12" t="s">
        <v>69</v>
      </c>
    </row>
    <row r="272" spans="1:17">
      <c r="A272" s="10" t="s">
        <v>57</v>
      </c>
      <c r="B272" s="10" t="s">
        <v>1130</v>
      </c>
      <c r="C272" s="10" t="s">
        <v>1131</v>
      </c>
      <c r="D272" s="13">
        <f>'07_システム要求'!D22</f>
        <v>2</v>
      </c>
      <c r="E272" s="10" t="s">
        <v>262</v>
      </c>
      <c r="F272" s="10" t="s">
        <v>1132</v>
      </c>
      <c r="G272" s="14" t="s">
        <v>1133</v>
      </c>
      <c r="H272" s="10" t="s">
        <v>1</v>
      </c>
      <c r="I272" s="10" t="s">
        <v>63</v>
      </c>
      <c r="J272" s="12"/>
      <c r="K272" s="12"/>
      <c r="L272" s="12"/>
      <c r="M272" s="12"/>
      <c r="N272" s="12" t="s">
        <v>66</v>
      </c>
      <c r="O272" s="12" t="s">
        <v>67</v>
      </c>
      <c r="P272" s="12" t="s">
        <v>1134</v>
      </c>
      <c r="Q272" s="12" t="s">
        <v>1135</v>
      </c>
    </row>
    <row r="273" spans="1:17">
      <c r="A273" s="10" t="s">
        <v>57</v>
      </c>
      <c r="B273" s="10" t="s">
        <v>1136</v>
      </c>
      <c r="C273" s="10" t="s">
        <v>1137</v>
      </c>
      <c r="D273" s="13">
        <f>'07_システム要求'!D23</f>
        <v>0.1</v>
      </c>
      <c r="E273" s="10" t="s">
        <v>86</v>
      </c>
      <c r="F273" s="10" t="s">
        <v>95</v>
      </c>
      <c r="G273" s="14" t="s">
        <v>1133</v>
      </c>
      <c r="H273" s="10" t="s">
        <v>1</v>
      </c>
      <c r="I273" s="10" t="s">
        <v>63</v>
      </c>
      <c r="J273" s="12"/>
      <c r="K273" s="12"/>
      <c r="L273" s="12"/>
      <c r="M273" s="12"/>
      <c r="N273" s="12" t="s">
        <v>66</v>
      </c>
      <c r="O273" s="12" t="s">
        <v>67</v>
      </c>
      <c r="P273" s="12" t="s">
        <v>1134</v>
      </c>
      <c r="Q273" s="12" t="s">
        <v>1135</v>
      </c>
    </row>
    <row r="274" spans="1:17">
      <c r="A274" s="10" t="s">
        <v>57</v>
      </c>
      <c r="B274" s="10" t="s">
        <v>1138</v>
      </c>
      <c r="C274" s="10" t="s">
        <v>1139</v>
      </c>
      <c r="D274" s="13">
        <f>'07_システム要求'!D24</f>
        <v>3.5E-4</v>
      </c>
      <c r="E274" s="10" t="s">
        <v>741</v>
      </c>
      <c r="F274" s="10" t="s">
        <v>95</v>
      </c>
      <c r="G274" s="14" t="s">
        <v>1133</v>
      </c>
      <c r="H274" s="10" t="s">
        <v>1</v>
      </c>
      <c r="I274" s="10" t="s">
        <v>63</v>
      </c>
      <c r="J274" s="12"/>
      <c r="K274" s="12"/>
      <c r="L274" s="12"/>
      <c r="M274" s="12"/>
      <c r="N274" s="12" t="s">
        <v>66</v>
      </c>
      <c r="O274" s="12" t="s">
        <v>67</v>
      </c>
      <c r="P274" s="12" t="s">
        <v>1134</v>
      </c>
      <c r="Q274" s="12" t="s">
        <v>1135</v>
      </c>
    </row>
    <row r="275" spans="1:17">
      <c r="A275" s="10" t="s">
        <v>57</v>
      </c>
      <c r="B275" s="10" t="s">
        <v>1140</v>
      </c>
      <c r="C275" s="10" t="s">
        <v>1141</v>
      </c>
      <c r="D275" s="13">
        <f>'07_システム要求'!D28</f>
        <v>5</v>
      </c>
      <c r="E275" s="10" t="s">
        <v>109</v>
      </c>
      <c r="F275" s="10" t="s">
        <v>1142</v>
      </c>
      <c r="G275" s="14" t="s">
        <v>1133</v>
      </c>
      <c r="H275" s="10" t="s">
        <v>1</v>
      </c>
      <c r="I275" s="10" t="s">
        <v>63</v>
      </c>
      <c r="J275" s="12"/>
      <c r="K275" s="12"/>
      <c r="L275" s="12"/>
      <c r="M275" s="12"/>
      <c r="N275" s="12" t="s">
        <v>66</v>
      </c>
      <c r="O275" s="12" t="s">
        <v>67</v>
      </c>
      <c r="P275" s="12" t="s">
        <v>1134</v>
      </c>
      <c r="Q275" s="12" t="s">
        <v>1135</v>
      </c>
    </row>
    <row r="276" spans="1:17">
      <c r="A276" s="10" t="s">
        <v>57</v>
      </c>
      <c r="B276" s="10" t="s">
        <v>1143</v>
      </c>
      <c r="C276" s="10" t="s">
        <v>1144</v>
      </c>
      <c r="D276" s="13">
        <f>'07_システム要求'!D29</f>
        <v>60</v>
      </c>
      <c r="E276" s="10" t="s">
        <v>73</v>
      </c>
      <c r="F276" s="10" t="s">
        <v>1142</v>
      </c>
      <c r="G276" s="14" t="s">
        <v>1133</v>
      </c>
      <c r="H276" s="10" t="s">
        <v>1</v>
      </c>
      <c r="I276" s="10" t="s">
        <v>63</v>
      </c>
      <c r="J276" s="12"/>
      <c r="K276" s="12"/>
      <c r="L276" s="12"/>
      <c r="M276" s="12"/>
      <c r="N276" s="12" t="s">
        <v>66</v>
      </c>
      <c r="O276" s="12" t="s">
        <v>67</v>
      </c>
      <c r="P276" s="12" t="s">
        <v>1134</v>
      </c>
      <c r="Q276" s="12" t="s">
        <v>1135</v>
      </c>
    </row>
    <row r="277" spans="1:17">
      <c r="A277" s="10" t="s">
        <v>57</v>
      </c>
      <c r="B277" s="10" t="s">
        <v>1145</v>
      </c>
      <c r="C277" s="10" t="s">
        <v>1146</v>
      </c>
      <c r="D277" s="13">
        <f>'07_システム要求'!D30</f>
        <v>1000</v>
      </c>
      <c r="E277" s="10" t="s">
        <v>96</v>
      </c>
      <c r="F277" s="10" t="s">
        <v>95</v>
      </c>
      <c r="G277" s="14" t="s">
        <v>1133</v>
      </c>
      <c r="H277" s="10" t="s">
        <v>1</v>
      </c>
      <c r="I277" s="10" t="s">
        <v>63</v>
      </c>
      <c r="J277" s="12"/>
      <c r="K277" s="12"/>
      <c r="L277" s="12"/>
      <c r="M277" s="12"/>
      <c r="N277" s="12" t="s">
        <v>66</v>
      </c>
      <c r="O277" s="12" t="s">
        <v>67</v>
      </c>
      <c r="P277" s="12" t="s">
        <v>1134</v>
      </c>
      <c r="Q277" s="12" t="s">
        <v>1135</v>
      </c>
    </row>
    <row r="278" spans="1:17" ht="28.5">
      <c r="A278" s="10" t="s">
        <v>1147</v>
      </c>
      <c r="B278" s="10" t="s">
        <v>1148</v>
      </c>
      <c r="C278" s="10" t="s">
        <v>1149</v>
      </c>
      <c r="D278" s="13">
        <f>'09_基準仕様'!E247</f>
        <v>0.35</v>
      </c>
      <c r="E278" s="10" t="s">
        <v>86</v>
      </c>
      <c r="F278" s="10" t="s">
        <v>1150</v>
      </c>
      <c r="G278" s="14" t="s">
        <v>1151</v>
      </c>
      <c r="H278" s="10" t="s">
        <v>123</v>
      </c>
      <c r="I278" s="10" t="s">
        <v>76</v>
      </c>
      <c r="J278" s="12"/>
      <c r="K278" s="12"/>
      <c r="L278" s="12"/>
      <c r="M278" s="12"/>
      <c r="N278" s="12" t="s">
        <v>104</v>
      </c>
      <c r="O278" s="12" t="s">
        <v>105</v>
      </c>
      <c r="P278" s="12" t="s">
        <v>1134</v>
      </c>
      <c r="Q278" s="12" t="s">
        <v>1135</v>
      </c>
    </row>
    <row r="279" spans="1:17" ht="28.5">
      <c r="A279" s="10" t="s">
        <v>1147</v>
      </c>
      <c r="B279" s="10" t="s">
        <v>1152</v>
      </c>
      <c r="C279" s="10" t="s">
        <v>1153</v>
      </c>
      <c r="D279" s="13">
        <f>'09_基準仕様'!E248</f>
        <v>0.02</v>
      </c>
      <c r="E279" s="10" t="s">
        <v>86</v>
      </c>
      <c r="F279" s="10" t="s">
        <v>1154</v>
      </c>
      <c r="G279" s="14" t="s">
        <v>1155</v>
      </c>
      <c r="H279" s="10" t="s">
        <v>123</v>
      </c>
      <c r="I279" s="10" t="s">
        <v>76</v>
      </c>
      <c r="J279" s="12"/>
      <c r="K279" s="12"/>
      <c r="L279" s="12"/>
      <c r="M279" s="12"/>
      <c r="N279" s="12" t="s">
        <v>104</v>
      </c>
      <c r="O279" s="12" t="s">
        <v>105</v>
      </c>
      <c r="P279" s="12" t="s">
        <v>1134</v>
      </c>
      <c r="Q279" s="12" t="s">
        <v>1135</v>
      </c>
    </row>
    <row r="280" spans="1:17" ht="28.5">
      <c r="A280" s="10" t="s">
        <v>1147</v>
      </c>
      <c r="B280" s="10" t="s">
        <v>1156</v>
      </c>
      <c r="C280" s="10" t="s">
        <v>1157</v>
      </c>
      <c r="D280" s="13">
        <f>'09_基準仕様'!E249</f>
        <v>3.5E-4</v>
      </c>
      <c r="E280" s="10" t="s">
        <v>731</v>
      </c>
      <c r="F280" s="10" t="s">
        <v>1150</v>
      </c>
      <c r="G280" s="14" t="s">
        <v>1158</v>
      </c>
      <c r="H280" s="10" t="s">
        <v>123</v>
      </c>
      <c r="I280" s="10" t="s">
        <v>76</v>
      </c>
      <c r="J280" s="12"/>
      <c r="K280" s="12"/>
      <c r="L280" s="12"/>
      <c r="M280" s="12"/>
      <c r="N280" s="12" t="s">
        <v>104</v>
      </c>
      <c r="O280" s="12" t="s">
        <v>105</v>
      </c>
      <c r="P280" s="12" t="s">
        <v>1134</v>
      </c>
      <c r="Q280" s="12" t="s">
        <v>1135</v>
      </c>
    </row>
    <row r="281" spans="1:17" ht="28.5">
      <c r="A281" s="10" t="s">
        <v>1147</v>
      </c>
      <c r="B281" s="10" t="s">
        <v>1159</v>
      </c>
      <c r="C281" s="10" t="s">
        <v>1160</v>
      </c>
      <c r="D281" s="13">
        <f>'09_基準仕様'!E250</f>
        <v>0.05</v>
      </c>
      <c r="E281" s="10" t="s">
        <v>229</v>
      </c>
      <c r="F281" s="10" t="s">
        <v>1161</v>
      </c>
      <c r="G281" s="14" t="s">
        <v>1162</v>
      </c>
      <c r="H281" s="10" t="s">
        <v>123</v>
      </c>
      <c r="I281" s="10" t="s">
        <v>76</v>
      </c>
      <c r="J281" s="12"/>
      <c r="K281" s="12"/>
      <c r="L281" s="12"/>
      <c r="M281" s="12"/>
      <c r="N281" s="12" t="s">
        <v>104</v>
      </c>
      <c r="O281" s="12" t="s">
        <v>105</v>
      </c>
      <c r="P281" s="12" t="s">
        <v>1134</v>
      </c>
      <c r="Q281" s="12" t="s">
        <v>1135</v>
      </c>
    </row>
    <row r="282" spans="1:17" ht="28.5">
      <c r="A282" s="10" t="s">
        <v>1163</v>
      </c>
      <c r="B282" s="10" t="s">
        <v>1164</v>
      </c>
      <c r="C282" s="10" t="s">
        <v>1165</v>
      </c>
      <c r="D282" s="13">
        <f>'09_基準仕様'!E251</f>
        <v>0.3</v>
      </c>
      <c r="E282" s="10" t="s">
        <v>86</v>
      </c>
      <c r="F282" s="10" t="s">
        <v>1166</v>
      </c>
      <c r="G282" s="14" t="s">
        <v>1167</v>
      </c>
      <c r="H282" s="10" t="s">
        <v>123</v>
      </c>
      <c r="I282" s="10" t="s">
        <v>76</v>
      </c>
      <c r="J282" s="12"/>
      <c r="K282" s="12"/>
      <c r="L282" s="12"/>
      <c r="M282" s="12"/>
      <c r="N282" s="12" t="s">
        <v>104</v>
      </c>
      <c r="O282" s="12" t="s">
        <v>105</v>
      </c>
      <c r="P282" s="12" t="s">
        <v>1134</v>
      </c>
      <c r="Q282" s="12" t="s">
        <v>1135</v>
      </c>
    </row>
    <row r="283" spans="1:17" ht="28.5">
      <c r="A283" s="10" t="s">
        <v>1163</v>
      </c>
      <c r="B283" s="10" t="s">
        <v>1168</v>
      </c>
      <c r="C283" s="10" t="s">
        <v>1169</v>
      </c>
      <c r="D283" s="13">
        <f>'09_基準仕様'!E252</f>
        <v>0.15</v>
      </c>
      <c r="E283" s="10" t="s">
        <v>86</v>
      </c>
      <c r="F283" s="10" t="s">
        <v>1170</v>
      </c>
      <c r="G283" s="14" t="s">
        <v>1171</v>
      </c>
      <c r="H283" s="10" t="s">
        <v>123</v>
      </c>
      <c r="I283" s="10" t="s">
        <v>76</v>
      </c>
      <c r="J283" s="12"/>
      <c r="K283" s="12"/>
      <c r="L283" s="12"/>
      <c r="M283" s="12"/>
      <c r="N283" s="12" t="s">
        <v>104</v>
      </c>
      <c r="O283" s="12" t="s">
        <v>105</v>
      </c>
      <c r="P283" s="12" t="s">
        <v>1134</v>
      </c>
      <c r="Q283" s="12" t="s">
        <v>1135</v>
      </c>
    </row>
    <row r="284" spans="1:17" ht="28.5">
      <c r="A284" s="10" t="s">
        <v>1163</v>
      </c>
      <c r="B284" s="10" t="s">
        <v>1172</v>
      </c>
      <c r="C284" s="10" t="s">
        <v>1173</v>
      </c>
      <c r="D284" s="13">
        <f>'09_基準仕様'!E253</f>
        <v>0.08</v>
      </c>
      <c r="E284" s="10" t="s">
        <v>229</v>
      </c>
      <c r="F284" s="10" t="s">
        <v>1174</v>
      </c>
      <c r="G284" s="14" t="s">
        <v>1175</v>
      </c>
      <c r="H284" s="10" t="s">
        <v>123</v>
      </c>
      <c r="I284" s="10" t="s">
        <v>76</v>
      </c>
      <c r="J284" s="12"/>
      <c r="K284" s="12"/>
      <c r="L284" s="12"/>
      <c r="M284" s="12"/>
      <c r="N284" s="12" t="s">
        <v>104</v>
      </c>
      <c r="O284" s="12" t="s">
        <v>105</v>
      </c>
      <c r="P284" s="12" t="s">
        <v>1134</v>
      </c>
      <c r="Q284" s="12" t="s">
        <v>1135</v>
      </c>
    </row>
    <row r="285" spans="1:17" ht="28.5">
      <c r="A285" s="10" t="s">
        <v>1176</v>
      </c>
      <c r="B285" s="10" t="s">
        <v>1177</v>
      </c>
      <c r="C285" s="10" t="s">
        <v>1178</v>
      </c>
      <c r="D285" s="13">
        <f>'09_基準仕様'!E254</f>
        <v>1.5E-10</v>
      </c>
      <c r="E285" s="10" t="s">
        <v>497</v>
      </c>
      <c r="F285" s="10" t="s">
        <v>1179</v>
      </c>
      <c r="G285" s="14" t="s">
        <v>1180</v>
      </c>
      <c r="H285" s="10" t="s">
        <v>123</v>
      </c>
      <c r="I285" s="10" t="s">
        <v>76</v>
      </c>
      <c r="J285" s="12"/>
      <c r="K285" s="12"/>
      <c r="L285" s="12"/>
      <c r="M285" s="12"/>
      <c r="N285" s="12" t="s">
        <v>104</v>
      </c>
      <c r="O285" s="12" t="s">
        <v>105</v>
      </c>
      <c r="P285" s="12" t="s">
        <v>1134</v>
      </c>
      <c r="Q285" s="12" t="s">
        <v>1135</v>
      </c>
    </row>
    <row r="286" spans="1:17" ht="28.5">
      <c r="A286" s="10" t="s">
        <v>1176</v>
      </c>
      <c r="B286" s="10" t="s">
        <v>1181</v>
      </c>
      <c r="C286" s="10" t="s">
        <v>1182</v>
      </c>
      <c r="D286" s="13">
        <f>'09_基準仕様'!E255</f>
        <v>2</v>
      </c>
      <c r="E286" s="10" t="s">
        <v>262</v>
      </c>
      <c r="F286" s="10" t="s">
        <v>1183</v>
      </c>
      <c r="G286" s="14" t="s">
        <v>1184</v>
      </c>
      <c r="H286" s="10" t="s">
        <v>123</v>
      </c>
      <c r="I286" s="10" t="s">
        <v>76</v>
      </c>
      <c r="J286" s="12"/>
      <c r="K286" s="12"/>
      <c r="L286" s="12"/>
      <c r="M286" s="12"/>
      <c r="N286" s="12" t="s">
        <v>104</v>
      </c>
      <c r="O286" s="12" t="s">
        <v>105</v>
      </c>
      <c r="P286" s="12" t="s">
        <v>1134</v>
      </c>
      <c r="Q286" s="12" t="s">
        <v>1135</v>
      </c>
    </row>
    <row r="287" spans="1:17" ht="28.5">
      <c r="A287" s="10" t="s">
        <v>1176</v>
      </c>
      <c r="B287" s="10" t="s">
        <v>1185</v>
      </c>
      <c r="C287" s="10" t="s">
        <v>1186</v>
      </c>
      <c r="D287" s="13">
        <f>'09_基準仕様'!E256</f>
        <v>0.7</v>
      </c>
      <c r="E287" s="10" t="s">
        <v>86</v>
      </c>
      <c r="F287" s="10" t="s">
        <v>1187</v>
      </c>
      <c r="G287" s="14" t="s">
        <v>1188</v>
      </c>
      <c r="H287" s="10" t="s">
        <v>123</v>
      </c>
      <c r="I287" s="10" t="s">
        <v>76</v>
      </c>
      <c r="J287" s="12"/>
      <c r="K287" s="12"/>
      <c r="L287" s="12"/>
      <c r="M287" s="12"/>
      <c r="N287" s="12" t="s">
        <v>104</v>
      </c>
      <c r="O287" s="12" t="s">
        <v>105</v>
      </c>
      <c r="P287" s="12" t="s">
        <v>1134</v>
      </c>
      <c r="Q287" s="12" t="s">
        <v>1135</v>
      </c>
    </row>
    <row r="288" spans="1:17" ht="28.5">
      <c r="A288" s="10" t="s">
        <v>1176</v>
      </c>
      <c r="B288" s="10" t="s">
        <v>1189</v>
      </c>
      <c r="C288" s="10" t="s">
        <v>1190</v>
      </c>
      <c r="D288" s="13">
        <f>'09_基準仕様'!E257</f>
        <v>0.5</v>
      </c>
      <c r="E288" s="10" t="s">
        <v>86</v>
      </c>
      <c r="F288" s="10" t="s">
        <v>685</v>
      </c>
      <c r="G288" s="14" t="s">
        <v>1188</v>
      </c>
      <c r="H288" s="10" t="s">
        <v>123</v>
      </c>
      <c r="I288" s="10" t="s">
        <v>76</v>
      </c>
      <c r="J288" s="12"/>
      <c r="K288" s="12"/>
      <c r="L288" s="12"/>
      <c r="M288" s="12"/>
      <c r="N288" s="12" t="s">
        <v>104</v>
      </c>
      <c r="O288" s="12" t="s">
        <v>105</v>
      </c>
      <c r="P288" s="12" t="s">
        <v>1134</v>
      </c>
      <c r="Q288" s="12" t="s">
        <v>1135</v>
      </c>
    </row>
    <row r="289" spans="1:17" ht="28.5">
      <c r="A289" s="10" t="s">
        <v>1191</v>
      </c>
      <c r="B289" s="10" t="s">
        <v>1192</v>
      </c>
      <c r="C289" s="10" t="s">
        <v>1193</v>
      </c>
      <c r="D289" s="13">
        <f>'09_基準仕様'!E258</f>
        <v>0.125</v>
      </c>
      <c r="E289" s="10" t="s">
        <v>86</v>
      </c>
      <c r="F289" s="10" t="s">
        <v>1194</v>
      </c>
      <c r="G289" s="14" t="s">
        <v>1195</v>
      </c>
      <c r="H289" s="10" t="s">
        <v>123</v>
      </c>
      <c r="I289" s="10" t="s">
        <v>76</v>
      </c>
      <c r="J289" s="12"/>
      <c r="K289" s="12"/>
      <c r="L289" s="12"/>
      <c r="M289" s="12"/>
      <c r="N289" s="12" t="s">
        <v>104</v>
      </c>
      <c r="O289" s="12" t="s">
        <v>105</v>
      </c>
      <c r="P289" s="12" t="s">
        <v>1134</v>
      </c>
      <c r="Q289" s="12" t="s">
        <v>1135</v>
      </c>
    </row>
    <row r="290" spans="1:17" ht="28.5">
      <c r="A290" s="10" t="s">
        <v>1191</v>
      </c>
      <c r="B290" s="10" t="s">
        <v>1196</v>
      </c>
      <c r="C290" s="10" t="s">
        <v>1197</v>
      </c>
      <c r="D290" s="13">
        <f>'09_基準仕様'!E259</f>
        <v>10</v>
      </c>
      <c r="E290" s="10" t="s">
        <v>86</v>
      </c>
      <c r="F290" s="10" t="s">
        <v>1198</v>
      </c>
      <c r="G290" s="14" t="s">
        <v>1199</v>
      </c>
      <c r="H290" s="10" t="s">
        <v>123</v>
      </c>
      <c r="I290" s="10" t="s">
        <v>76</v>
      </c>
      <c r="J290" s="12"/>
      <c r="K290" s="12"/>
      <c r="L290" s="12"/>
      <c r="M290" s="12"/>
      <c r="N290" s="12" t="s">
        <v>104</v>
      </c>
      <c r="O290" s="12" t="s">
        <v>105</v>
      </c>
      <c r="P290" s="12" t="s">
        <v>1134</v>
      </c>
      <c r="Q290" s="12" t="s">
        <v>1135</v>
      </c>
    </row>
    <row r="291" spans="1:17" ht="28.5">
      <c r="A291" s="10" t="s">
        <v>650</v>
      </c>
      <c r="B291" s="10" t="s">
        <v>1200</v>
      </c>
      <c r="C291" s="10" t="s">
        <v>1201</v>
      </c>
      <c r="D291" s="13">
        <f>'09_基準仕様'!E260</f>
        <v>0.1</v>
      </c>
      <c r="E291" s="10" t="s">
        <v>86</v>
      </c>
      <c r="F291" s="10" t="s">
        <v>1202</v>
      </c>
      <c r="G291" s="14" t="s">
        <v>1203</v>
      </c>
      <c r="H291" s="10" t="s">
        <v>123</v>
      </c>
      <c r="I291" s="10" t="s">
        <v>76</v>
      </c>
      <c r="J291" s="12"/>
      <c r="K291" s="12"/>
      <c r="L291" s="12"/>
      <c r="M291" s="12"/>
      <c r="N291" s="12" t="s">
        <v>104</v>
      </c>
      <c r="O291" s="12" t="s">
        <v>105</v>
      </c>
      <c r="P291" s="12" t="s">
        <v>1134</v>
      </c>
      <c r="Q291" s="12" t="s">
        <v>1135</v>
      </c>
    </row>
    <row r="292" spans="1:17" ht="28.5">
      <c r="A292" s="10" t="s">
        <v>650</v>
      </c>
      <c r="B292" s="10" t="s">
        <v>1204</v>
      </c>
      <c r="C292" s="10" t="s">
        <v>1205</v>
      </c>
      <c r="D292" s="13">
        <f>'09_基準仕様'!E261</f>
        <v>0.02</v>
      </c>
      <c r="E292" s="10" t="s">
        <v>229</v>
      </c>
      <c r="F292" s="10" t="s">
        <v>1206</v>
      </c>
      <c r="G292" s="14" t="s">
        <v>1207</v>
      </c>
      <c r="H292" s="10" t="s">
        <v>123</v>
      </c>
      <c r="I292" s="10" t="s">
        <v>76</v>
      </c>
      <c r="J292" s="12"/>
      <c r="K292" s="12"/>
      <c r="L292" s="12"/>
      <c r="M292" s="12"/>
      <c r="N292" s="12" t="s">
        <v>104</v>
      </c>
      <c r="O292" s="12" t="s">
        <v>105</v>
      </c>
      <c r="P292" s="12" t="s">
        <v>1134</v>
      </c>
      <c r="Q292" s="12" t="s">
        <v>1135</v>
      </c>
    </row>
    <row r="293" spans="1:17">
      <c r="A293" s="10" t="s">
        <v>1208</v>
      </c>
      <c r="B293" s="10" t="s">
        <v>1209</v>
      </c>
      <c r="C293" s="10" t="s">
        <v>1210</v>
      </c>
      <c r="D293" s="13">
        <f>'10_シナリオ入力'!E26</f>
        <v>0</v>
      </c>
      <c r="E293" s="10" t="s">
        <v>415</v>
      </c>
      <c r="F293" s="10" t="s">
        <v>1211</v>
      </c>
      <c r="G293" s="14" t="s">
        <v>418</v>
      </c>
      <c r="H293" s="10" t="s">
        <v>418</v>
      </c>
      <c r="I293" s="10" t="s">
        <v>76</v>
      </c>
      <c r="J293" s="12"/>
      <c r="K293" s="12"/>
      <c r="L293" s="12"/>
      <c r="M293" s="12"/>
      <c r="N293" s="12" t="s">
        <v>419</v>
      </c>
      <c r="O293" s="12" t="s">
        <v>420</v>
      </c>
      <c r="P293" s="12" t="s">
        <v>421</v>
      </c>
      <c r="Q293" s="12" t="s">
        <v>422</v>
      </c>
    </row>
    <row r="294" spans="1:17">
      <c r="A294" s="10" t="s">
        <v>1212</v>
      </c>
      <c r="B294" s="10" t="s">
        <v>1213</v>
      </c>
      <c r="C294" s="10" t="s">
        <v>1214</v>
      </c>
      <c r="D294" s="13">
        <f>'10_シナリオ入力'!E27</f>
        <v>0</v>
      </c>
      <c r="E294" s="10" t="s">
        <v>415</v>
      </c>
      <c r="F294" s="10" t="s">
        <v>1215</v>
      </c>
      <c r="G294" s="14" t="s">
        <v>418</v>
      </c>
      <c r="H294" s="10" t="s">
        <v>418</v>
      </c>
      <c r="I294" s="10" t="s">
        <v>76</v>
      </c>
      <c r="J294" s="12"/>
      <c r="K294" s="12"/>
      <c r="L294" s="12"/>
      <c r="M294" s="12"/>
      <c r="N294" s="12" t="s">
        <v>419</v>
      </c>
      <c r="O294" s="12" t="s">
        <v>420</v>
      </c>
      <c r="P294" s="12" t="s">
        <v>421</v>
      </c>
      <c r="Q294" s="12" t="s">
        <v>422</v>
      </c>
    </row>
    <row r="295" spans="1:17">
      <c r="A295" s="10" t="s">
        <v>650</v>
      </c>
      <c r="B295" s="10" t="s">
        <v>1216</v>
      </c>
      <c r="C295" s="10" t="s">
        <v>1217</v>
      </c>
      <c r="D295" s="13">
        <f>'10_シナリオ入力'!E28</f>
        <v>0</v>
      </c>
      <c r="E295" s="10" t="s">
        <v>415</v>
      </c>
      <c r="F295" s="10" t="s">
        <v>1218</v>
      </c>
      <c r="G295" s="14" t="s">
        <v>418</v>
      </c>
      <c r="H295" s="10" t="s">
        <v>418</v>
      </c>
      <c r="I295" s="10" t="s">
        <v>76</v>
      </c>
      <c r="J295" s="12"/>
      <c r="K295" s="12"/>
      <c r="L295" s="12"/>
      <c r="M295" s="12"/>
      <c r="N295" s="12" t="s">
        <v>419</v>
      </c>
      <c r="O295" s="12" t="s">
        <v>420</v>
      </c>
      <c r="P295" s="12" t="s">
        <v>421</v>
      </c>
      <c r="Q295" s="12" t="s">
        <v>422</v>
      </c>
    </row>
    <row r="296" spans="1:17">
      <c r="A296" s="10" t="s">
        <v>1219</v>
      </c>
      <c r="B296" s="10" t="s">
        <v>1220</v>
      </c>
      <c r="C296" s="10" t="s">
        <v>1221</v>
      </c>
      <c r="D296" s="13">
        <f>'10_シナリオ入力'!E29</f>
        <v>0</v>
      </c>
      <c r="E296" s="10" t="s">
        <v>415</v>
      </c>
      <c r="F296" s="10" t="s">
        <v>1222</v>
      </c>
      <c r="G296" s="14" t="s">
        <v>1223</v>
      </c>
      <c r="H296" s="10" t="s">
        <v>418</v>
      </c>
      <c r="I296" s="10" t="s">
        <v>76</v>
      </c>
      <c r="J296" s="12"/>
      <c r="K296" s="12"/>
      <c r="L296" s="12"/>
      <c r="M296" s="12"/>
      <c r="N296" s="12" t="s">
        <v>419</v>
      </c>
      <c r="O296" s="12" t="s">
        <v>420</v>
      </c>
      <c r="P296" s="12" t="s">
        <v>421</v>
      </c>
      <c r="Q296" s="12" t="s">
        <v>422</v>
      </c>
    </row>
    <row r="297" spans="1:17" ht="42.75">
      <c r="A297" s="10" t="s">
        <v>1224</v>
      </c>
      <c r="B297" s="10" t="s">
        <v>1225</v>
      </c>
      <c r="C297" s="10" t="s">
        <v>1226</v>
      </c>
      <c r="D297" s="13">
        <f>'10_シナリオ入力'!E30</f>
        <v>0</v>
      </c>
      <c r="E297" s="10" t="s">
        <v>415</v>
      </c>
      <c r="F297" s="10" t="s">
        <v>1227</v>
      </c>
      <c r="G297" s="14" t="s">
        <v>1228</v>
      </c>
      <c r="H297" s="10" t="s">
        <v>418</v>
      </c>
      <c r="I297" s="10" t="s">
        <v>76</v>
      </c>
      <c r="J297" s="12"/>
      <c r="K297" s="12"/>
      <c r="L297" s="12"/>
      <c r="M297" s="12"/>
      <c r="N297" s="12" t="s">
        <v>419</v>
      </c>
      <c r="O297" s="12" t="s">
        <v>420</v>
      </c>
      <c r="P297" s="12" t="s">
        <v>421</v>
      </c>
      <c r="Q297" s="12" t="s">
        <v>422</v>
      </c>
    </row>
    <row r="298" spans="1:17">
      <c r="A298" s="10" t="s">
        <v>1229</v>
      </c>
      <c r="B298" s="10" t="s">
        <v>1230</v>
      </c>
      <c r="C298" s="10" t="s">
        <v>1231</v>
      </c>
      <c r="D298" s="13">
        <f>'10_シナリオ入力'!E31</f>
        <v>0</v>
      </c>
      <c r="E298" s="10" t="s">
        <v>415</v>
      </c>
      <c r="F298" s="10" t="s">
        <v>1232</v>
      </c>
      <c r="G298" s="14" t="s">
        <v>1233</v>
      </c>
      <c r="H298" s="10" t="s">
        <v>418</v>
      </c>
      <c r="I298" s="10" t="s">
        <v>76</v>
      </c>
      <c r="J298" s="12"/>
      <c r="K298" s="12"/>
      <c r="L298" s="12"/>
      <c r="M298" s="12"/>
      <c r="N298" s="12" t="s">
        <v>419</v>
      </c>
      <c r="O298" s="12" t="s">
        <v>420</v>
      </c>
      <c r="P298" s="12" t="s">
        <v>421</v>
      </c>
      <c r="Q298" s="12" t="s">
        <v>422</v>
      </c>
    </row>
    <row r="299" spans="1:17" ht="28.5">
      <c r="A299" s="10" t="s">
        <v>1229</v>
      </c>
      <c r="B299" s="10" t="s">
        <v>1234</v>
      </c>
      <c r="C299" s="10" t="s">
        <v>1235</v>
      </c>
      <c r="D299" s="13">
        <f>'10_シナリオ入力'!E32</f>
        <v>0</v>
      </c>
      <c r="E299" s="10" t="s">
        <v>415</v>
      </c>
      <c r="F299" s="10" t="s">
        <v>1236</v>
      </c>
      <c r="G299" s="14" t="s">
        <v>674</v>
      </c>
      <c r="H299" s="10" t="s">
        <v>418</v>
      </c>
      <c r="I299" s="10" t="s">
        <v>76</v>
      </c>
      <c r="J299" s="12"/>
      <c r="K299" s="12"/>
      <c r="L299" s="12"/>
      <c r="M299" s="12"/>
      <c r="N299" s="12" t="s">
        <v>419</v>
      </c>
      <c r="O299" s="12" t="s">
        <v>420</v>
      </c>
      <c r="P299" s="12" t="s">
        <v>421</v>
      </c>
      <c r="Q299" s="12" t="s">
        <v>422</v>
      </c>
    </row>
    <row r="300" spans="1:17" ht="57">
      <c r="A300" s="10" t="s">
        <v>1237</v>
      </c>
      <c r="B300" s="10" t="s">
        <v>1238</v>
      </c>
      <c r="C300" s="10" t="s">
        <v>1239</v>
      </c>
      <c r="D300" s="13">
        <f>'09_基準仕様'!E262</f>
        <v>0.15</v>
      </c>
      <c r="E300" s="10" t="s">
        <v>229</v>
      </c>
      <c r="F300" s="10" t="s">
        <v>1240</v>
      </c>
      <c r="G300" s="14" t="s">
        <v>1241</v>
      </c>
      <c r="H300" s="10" t="s">
        <v>123</v>
      </c>
      <c r="I300" s="10" t="s">
        <v>76</v>
      </c>
      <c r="J300" s="12"/>
      <c r="K300" s="12"/>
      <c r="L300" s="12"/>
      <c r="M300" s="12"/>
      <c r="N300" s="12" t="s">
        <v>104</v>
      </c>
      <c r="O300" s="12" t="s">
        <v>105</v>
      </c>
      <c r="P300" s="12" t="s">
        <v>1134</v>
      </c>
      <c r="Q300" s="12" t="s">
        <v>1135</v>
      </c>
    </row>
    <row r="301" spans="1:17" ht="57">
      <c r="A301" s="10" t="s">
        <v>1237</v>
      </c>
      <c r="B301" s="10" t="s">
        <v>1242</v>
      </c>
      <c r="C301" s="10" t="s">
        <v>1243</v>
      </c>
      <c r="D301" s="13">
        <f>'09_基準仕様'!E263</f>
        <v>0.15</v>
      </c>
      <c r="E301" s="10" t="s">
        <v>229</v>
      </c>
      <c r="F301" s="10" t="s">
        <v>1244</v>
      </c>
      <c r="G301" s="14" t="s">
        <v>1245</v>
      </c>
      <c r="H301" s="10" t="s">
        <v>123</v>
      </c>
      <c r="I301" s="10" t="s">
        <v>76</v>
      </c>
      <c r="J301" s="12"/>
      <c r="K301" s="12"/>
      <c r="L301" s="12"/>
      <c r="M301" s="12"/>
      <c r="N301" s="12" t="s">
        <v>104</v>
      </c>
      <c r="O301" s="12" t="s">
        <v>105</v>
      </c>
      <c r="P301" s="12" t="s">
        <v>1134</v>
      </c>
      <c r="Q301" s="12" t="s">
        <v>1135</v>
      </c>
    </row>
    <row r="302" spans="1:17" ht="42.75">
      <c r="A302" s="10" t="s">
        <v>1237</v>
      </c>
      <c r="B302" s="10" t="s">
        <v>1246</v>
      </c>
      <c r="C302" s="10" t="s">
        <v>1247</v>
      </c>
      <c r="D302" s="13">
        <f>'09_基準仕様'!E264</f>
        <v>0.98</v>
      </c>
      <c r="E302" s="10" t="s">
        <v>86</v>
      </c>
      <c r="F302" s="10" t="s">
        <v>1248</v>
      </c>
      <c r="G302" s="14" t="s">
        <v>1249</v>
      </c>
      <c r="H302" s="10" t="s">
        <v>123</v>
      </c>
      <c r="I302" s="10" t="s">
        <v>76</v>
      </c>
      <c r="J302" s="12"/>
      <c r="K302" s="12"/>
      <c r="L302" s="12"/>
      <c r="M302" s="12"/>
      <c r="N302" s="12" t="s">
        <v>104</v>
      </c>
      <c r="O302" s="12" t="s">
        <v>105</v>
      </c>
      <c r="P302" s="12" t="s">
        <v>1134</v>
      </c>
      <c r="Q302" s="12" t="s">
        <v>1135</v>
      </c>
    </row>
    <row r="303" spans="1:17" ht="42.75">
      <c r="A303" s="10" t="s">
        <v>1237</v>
      </c>
      <c r="B303" s="10" t="s">
        <v>1250</v>
      </c>
      <c r="C303" s="10" t="s">
        <v>1251</v>
      </c>
      <c r="D303" s="13">
        <f>'09_基準仕様'!E265</f>
        <v>4</v>
      </c>
      <c r="E303" s="10" t="s">
        <v>114</v>
      </c>
      <c r="F303" s="10" t="s">
        <v>1240</v>
      </c>
      <c r="G303" s="14" t="s">
        <v>1252</v>
      </c>
      <c r="H303" s="10" t="s">
        <v>123</v>
      </c>
      <c r="I303" s="10" t="s">
        <v>76</v>
      </c>
      <c r="J303" s="12"/>
      <c r="K303" s="12"/>
      <c r="L303" s="12"/>
      <c r="M303" s="12"/>
      <c r="N303" s="12" t="s">
        <v>104</v>
      </c>
      <c r="O303" s="12" t="s">
        <v>105</v>
      </c>
      <c r="P303" s="12" t="s">
        <v>1134</v>
      </c>
      <c r="Q303" s="12" t="s">
        <v>1135</v>
      </c>
    </row>
    <row r="304" spans="1:17" ht="28.5">
      <c r="A304" s="10" t="s">
        <v>1224</v>
      </c>
      <c r="B304" s="10" t="s">
        <v>1253</v>
      </c>
      <c r="C304" s="10" t="s">
        <v>1254</v>
      </c>
      <c r="D304" s="13">
        <f>'09_基準仕様'!E266</f>
        <v>1.9399999999999999E-3</v>
      </c>
      <c r="E304" s="10" t="s">
        <v>741</v>
      </c>
      <c r="F304" s="10" t="s">
        <v>1255</v>
      </c>
      <c r="G304" s="14" t="s">
        <v>1256</v>
      </c>
      <c r="H304" s="10" t="s">
        <v>123</v>
      </c>
      <c r="I304" s="10" t="s">
        <v>76</v>
      </c>
      <c r="J304" s="12"/>
      <c r="K304" s="12"/>
      <c r="L304" s="12"/>
      <c r="M304" s="12"/>
      <c r="N304" s="12" t="s">
        <v>104</v>
      </c>
      <c r="O304" s="12" t="s">
        <v>105</v>
      </c>
      <c r="P304" s="12" t="s">
        <v>1134</v>
      </c>
      <c r="Q304" s="12" t="s">
        <v>1135</v>
      </c>
    </row>
    <row r="305" spans="1:17" ht="57">
      <c r="A305" s="10" t="s">
        <v>1229</v>
      </c>
      <c r="B305" s="10" t="s">
        <v>1257</v>
      </c>
      <c r="C305" s="10" t="s">
        <v>1258</v>
      </c>
      <c r="D305" s="13">
        <f>'09_基準仕様'!E267</f>
        <v>0.7</v>
      </c>
      <c r="E305" s="10" t="s">
        <v>86</v>
      </c>
      <c r="F305" s="10" t="s">
        <v>1255</v>
      </c>
      <c r="G305" s="14" t="s">
        <v>1259</v>
      </c>
      <c r="H305" s="10" t="s">
        <v>123</v>
      </c>
      <c r="I305" s="10" t="s">
        <v>76</v>
      </c>
      <c r="J305" s="12"/>
      <c r="K305" s="12"/>
      <c r="L305" s="12"/>
      <c r="M305" s="12"/>
      <c r="N305" s="12" t="s">
        <v>104</v>
      </c>
      <c r="O305" s="12" t="s">
        <v>105</v>
      </c>
      <c r="P305" s="12" t="s">
        <v>1134</v>
      </c>
      <c r="Q305" s="12" t="s">
        <v>1135</v>
      </c>
    </row>
    <row r="306" spans="1:17" ht="28.5">
      <c r="A306" s="10" t="s">
        <v>1229</v>
      </c>
      <c r="B306" s="10" t="s">
        <v>1260</v>
      </c>
      <c r="C306" s="10" t="s">
        <v>1261</v>
      </c>
      <c r="D306" s="13">
        <f>'09_基準仕様'!E268</f>
        <v>0.05</v>
      </c>
      <c r="E306" s="10" t="s">
        <v>1262</v>
      </c>
      <c r="F306" s="10" t="s">
        <v>1263</v>
      </c>
      <c r="G306" s="14" t="s">
        <v>1264</v>
      </c>
      <c r="H306" s="10" t="s">
        <v>123</v>
      </c>
      <c r="I306" s="10" t="s">
        <v>76</v>
      </c>
      <c r="J306" s="12"/>
      <c r="K306" s="12"/>
      <c r="L306" s="12"/>
      <c r="M306" s="12"/>
      <c r="N306" s="12" t="s">
        <v>104</v>
      </c>
      <c r="O306" s="12" t="s">
        <v>105</v>
      </c>
      <c r="P306" s="12" t="s">
        <v>1134</v>
      </c>
      <c r="Q306" s="12" t="s">
        <v>1135</v>
      </c>
    </row>
    <row r="307" spans="1:17" ht="28.5">
      <c r="A307" s="10" t="s">
        <v>1229</v>
      </c>
      <c r="B307" s="10" t="s">
        <v>1265</v>
      </c>
      <c r="C307" s="10" t="s">
        <v>1266</v>
      </c>
      <c r="D307" s="13">
        <f>'09_基準仕様'!E269</f>
        <v>0.8</v>
      </c>
      <c r="E307" s="10" t="s">
        <v>86</v>
      </c>
      <c r="F307" s="10" t="s">
        <v>1267</v>
      </c>
      <c r="G307" s="14" t="s">
        <v>1268</v>
      </c>
      <c r="H307" s="10" t="s">
        <v>123</v>
      </c>
      <c r="I307" s="10" t="s">
        <v>76</v>
      </c>
      <c r="J307" s="12"/>
      <c r="K307" s="12"/>
      <c r="L307" s="12"/>
      <c r="M307" s="12"/>
      <c r="N307" s="12" t="s">
        <v>104</v>
      </c>
      <c r="O307" s="12" t="s">
        <v>105</v>
      </c>
      <c r="P307" s="12" t="s">
        <v>1134</v>
      </c>
      <c r="Q307" s="12" t="s">
        <v>1135</v>
      </c>
    </row>
    <row r="308" spans="1:17" ht="28.5">
      <c r="A308" s="10" t="s">
        <v>1269</v>
      </c>
      <c r="B308" s="10" t="s">
        <v>1270</v>
      </c>
      <c r="C308" s="10" t="s">
        <v>1271</v>
      </c>
      <c r="D308" s="13">
        <f>'09_基準仕様'!E270</f>
        <v>6.4</v>
      </c>
      <c r="E308" s="10" t="s">
        <v>229</v>
      </c>
      <c r="F308" s="10" t="s">
        <v>1272</v>
      </c>
      <c r="G308" s="14" t="s">
        <v>1273</v>
      </c>
      <c r="H308" s="10" t="s">
        <v>123</v>
      </c>
      <c r="I308" s="10" t="s">
        <v>76</v>
      </c>
      <c r="J308" s="12"/>
      <c r="K308" s="12"/>
      <c r="L308" s="12"/>
      <c r="M308" s="12"/>
      <c r="N308" s="12" t="s">
        <v>104</v>
      </c>
      <c r="O308" s="12" t="s">
        <v>105</v>
      </c>
      <c r="P308" s="12" t="s">
        <v>1134</v>
      </c>
      <c r="Q308" s="12" t="s">
        <v>1135</v>
      </c>
    </row>
    <row r="309" spans="1:17" ht="28.5">
      <c r="A309" s="10" t="s">
        <v>1269</v>
      </c>
      <c r="B309" s="10" t="s">
        <v>1274</v>
      </c>
      <c r="C309" s="10" t="s">
        <v>1275</v>
      </c>
      <c r="D309" s="13">
        <f>'09_基準仕様'!E271</f>
        <v>480</v>
      </c>
      <c r="E309" s="10" t="s">
        <v>984</v>
      </c>
      <c r="F309" s="10" t="s">
        <v>1276</v>
      </c>
      <c r="G309" s="14" t="s">
        <v>1273</v>
      </c>
      <c r="H309" s="10" t="s">
        <v>123</v>
      </c>
      <c r="I309" s="10" t="s">
        <v>76</v>
      </c>
      <c r="J309" s="12"/>
      <c r="K309" s="12"/>
      <c r="L309" s="12"/>
      <c r="M309" s="12"/>
      <c r="N309" s="12" t="s">
        <v>104</v>
      </c>
      <c r="O309" s="12" t="s">
        <v>105</v>
      </c>
      <c r="P309" s="12" t="s">
        <v>1134</v>
      </c>
      <c r="Q309" s="12" t="s">
        <v>1135</v>
      </c>
    </row>
    <row r="310" spans="1:17" ht="28.5">
      <c r="A310" s="10" t="s">
        <v>1269</v>
      </c>
      <c r="B310" s="10" t="s">
        <v>1277</v>
      </c>
      <c r="C310" s="10" t="s">
        <v>1278</v>
      </c>
      <c r="D310" s="13">
        <f>'09_基準仕様'!E272</f>
        <v>0.5</v>
      </c>
      <c r="E310" s="10" t="s">
        <v>229</v>
      </c>
      <c r="F310" s="10" t="s">
        <v>1279</v>
      </c>
      <c r="G310" s="14" t="s">
        <v>1273</v>
      </c>
      <c r="H310" s="10" t="s">
        <v>123</v>
      </c>
      <c r="I310" s="10" t="s">
        <v>76</v>
      </c>
      <c r="J310" s="12"/>
      <c r="K310" s="12"/>
      <c r="L310" s="12"/>
      <c r="M310" s="12"/>
      <c r="N310" s="12" t="s">
        <v>104</v>
      </c>
      <c r="O310" s="12" t="s">
        <v>105</v>
      </c>
      <c r="P310" s="12" t="s">
        <v>1134</v>
      </c>
      <c r="Q310" s="12" t="s">
        <v>1135</v>
      </c>
    </row>
    <row r="311" spans="1:17" ht="28.5">
      <c r="A311" s="10" t="s">
        <v>1269</v>
      </c>
      <c r="B311" s="10" t="s">
        <v>1280</v>
      </c>
      <c r="C311" s="10" t="s">
        <v>1281</v>
      </c>
      <c r="D311" s="13">
        <f>'09_基準仕様'!E273</f>
        <v>0.5</v>
      </c>
      <c r="E311" s="10" t="s">
        <v>229</v>
      </c>
      <c r="F311" s="10" t="s">
        <v>1282</v>
      </c>
      <c r="G311" s="14" t="s">
        <v>1273</v>
      </c>
      <c r="H311" s="10" t="s">
        <v>123</v>
      </c>
      <c r="I311" s="10" t="s">
        <v>76</v>
      </c>
      <c r="J311" s="12"/>
      <c r="K311" s="12"/>
      <c r="L311" s="12"/>
      <c r="M311" s="12"/>
      <c r="N311" s="12" t="s">
        <v>104</v>
      </c>
      <c r="O311" s="12" t="s">
        <v>105</v>
      </c>
      <c r="P311" s="12" t="s">
        <v>1134</v>
      </c>
      <c r="Q311" s="12" t="s">
        <v>1135</v>
      </c>
    </row>
    <row r="312" spans="1:17" ht="28.5">
      <c r="A312" s="10" t="s">
        <v>1269</v>
      </c>
      <c r="B312" s="10" t="s">
        <v>1283</v>
      </c>
      <c r="C312" s="10" t="s">
        <v>1284</v>
      </c>
      <c r="D312" s="13">
        <f>'09_基準仕様'!E274</f>
        <v>20</v>
      </c>
      <c r="E312" s="10" t="s">
        <v>984</v>
      </c>
      <c r="F312" s="10" t="s">
        <v>1285</v>
      </c>
      <c r="G312" s="14" t="s">
        <v>1286</v>
      </c>
      <c r="H312" s="10" t="s">
        <v>123</v>
      </c>
      <c r="I312" s="10" t="s">
        <v>76</v>
      </c>
      <c r="J312" s="12"/>
      <c r="K312" s="12"/>
      <c r="L312" s="12"/>
      <c r="M312" s="12"/>
      <c r="N312" s="12" t="s">
        <v>104</v>
      </c>
      <c r="O312" s="12" t="s">
        <v>105</v>
      </c>
      <c r="P312" s="12" t="s">
        <v>1134</v>
      </c>
      <c r="Q312" s="12" t="s">
        <v>1135</v>
      </c>
    </row>
    <row r="313" spans="1:17" ht="57">
      <c r="A313" s="10" t="s">
        <v>1229</v>
      </c>
      <c r="B313" s="10" t="s">
        <v>1287</v>
      </c>
      <c r="C313" s="10" t="s">
        <v>1288</v>
      </c>
      <c r="D313" s="13">
        <f>'09_基準仕様'!E275</f>
        <v>2E-3</v>
      </c>
      <c r="E313" s="10" t="s">
        <v>1015</v>
      </c>
      <c r="F313" s="10" t="s">
        <v>1289</v>
      </c>
      <c r="G313" s="14" t="s">
        <v>1290</v>
      </c>
      <c r="H313" s="10" t="s">
        <v>123</v>
      </c>
      <c r="I313" s="10" t="s">
        <v>76</v>
      </c>
      <c r="J313" s="12"/>
      <c r="K313" s="12"/>
      <c r="L313" s="12"/>
      <c r="M313" s="12"/>
      <c r="N313" s="12" t="s">
        <v>104</v>
      </c>
      <c r="O313" s="12" t="s">
        <v>105</v>
      </c>
      <c r="P313" s="12" t="s">
        <v>1134</v>
      </c>
      <c r="Q313" s="12" t="s">
        <v>1135</v>
      </c>
    </row>
    <row r="314" spans="1:17" ht="42.75">
      <c r="A314" s="10" t="s">
        <v>1229</v>
      </c>
      <c r="B314" s="10" t="s">
        <v>1291</v>
      </c>
      <c r="C314" s="10" t="s">
        <v>1292</v>
      </c>
      <c r="D314" s="13">
        <f>'09_基準仕様'!E276</f>
        <v>0.05</v>
      </c>
      <c r="E314" s="10" t="s">
        <v>86</v>
      </c>
      <c r="F314" s="10" t="s">
        <v>1293</v>
      </c>
      <c r="G314" s="14" t="s">
        <v>1294</v>
      </c>
      <c r="H314" s="10" t="s">
        <v>123</v>
      </c>
      <c r="I314" s="10" t="s">
        <v>76</v>
      </c>
      <c r="J314" s="12"/>
      <c r="K314" s="12"/>
      <c r="L314" s="12"/>
      <c r="M314" s="12"/>
      <c r="N314" s="12" t="s">
        <v>104</v>
      </c>
      <c r="O314" s="12" t="s">
        <v>105</v>
      </c>
      <c r="P314" s="12" t="s">
        <v>1134</v>
      </c>
      <c r="Q314" s="12" t="s">
        <v>1135</v>
      </c>
    </row>
    <row r="315" spans="1:17" ht="42.75">
      <c r="A315" s="10" t="s">
        <v>1229</v>
      </c>
      <c r="B315" s="10" t="s">
        <v>1295</v>
      </c>
      <c r="C315" s="10" t="s">
        <v>1296</v>
      </c>
      <c r="D315" s="13">
        <f>'09_基準仕様'!E277</f>
        <v>0.8</v>
      </c>
      <c r="E315" s="10" t="s">
        <v>86</v>
      </c>
      <c r="F315" s="10" t="s">
        <v>1293</v>
      </c>
      <c r="G315" s="14" t="s">
        <v>1297</v>
      </c>
      <c r="H315" s="10" t="s">
        <v>123</v>
      </c>
      <c r="I315" s="10" t="s">
        <v>76</v>
      </c>
      <c r="J315" s="12"/>
      <c r="K315" s="12"/>
      <c r="L315" s="12"/>
      <c r="M315" s="12"/>
      <c r="N315" s="12" t="s">
        <v>104</v>
      </c>
      <c r="O315" s="12" t="s">
        <v>105</v>
      </c>
      <c r="P315" s="12" t="s">
        <v>1134</v>
      </c>
      <c r="Q315" s="12" t="s">
        <v>1135</v>
      </c>
    </row>
    <row r="316" spans="1:17" ht="57">
      <c r="A316" s="10" t="s">
        <v>1229</v>
      </c>
      <c r="B316" s="10" t="s">
        <v>1298</v>
      </c>
      <c r="C316" s="10" t="s">
        <v>1299</v>
      </c>
      <c r="D316" s="13">
        <f>'09_基準仕様'!E278</f>
        <v>0.3</v>
      </c>
      <c r="E316" s="10" t="s">
        <v>229</v>
      </c>
      <c r="F316" s="10" t="s">
        <v>1300</v>
      </c>
      <c r="G316" s="14" t="s">
        <v>1301</v>
      </c>
      <c r="H316" s="10" t="s">
        <v>123</v>
      </c>
      <c r="I316" s="10" t="s">
        <v>76</v>
      </c>
      <c r="J316" s="12"/>
      <c r="K316" s="12"/>
      <c r="L316" s="12"/>
      <c r="M316" s="12"/>
      <c r="N316" s="12" t="s">
        <v>104</v>
      </c>
      <c r="O316" s="12" t="s">
        <v>105</v>
      </c>
      <c r="P316" s="12" t="s">
        <v>1134</v>
      </c>
      <c r="Q316" s="12" t="s">
        <v>1135</v>
      </c>
    </row>
    <row r="317" spans="1:17" ht="28.5">
      <c r="A317" s="10" t="s">
        <v>1302</v>
      </c>
      <c r="B317" s="10" t="s">
        <v>1303</v>
      </c>
      <c r="C317" s="10" t="s">
        <v>1304</v>
      </c>
      <c r="D317" s="13">
        <f>'09_基準仕様'!E279</f>
        <v>500</v>
      </c>
      <c r="E317" s="10" t="s">
        <v>984</v>
      </c>
      <c r="F317" s="10" t="s">
        <v>1305</v>
      </c>
      <c r="G317" s="14" t="s">
        <v>1306</v>
      </c>
      <c r="H317" s="10" t="s">
        <v>123</v>
      </c>
      <c r="I317" s="10" t="s">
        <v>76</v>
      </c>
      <c r="J317" s="12"/>
      <c r="K317" s="12"/>
      <c r="L317" s="12"/>
      <c r="M317" s="12"/>
      <c r="N317" s="12" t="s">
        <v>104</v>
      </c>
      <c r="O317" s="12" t="s">
        <v>105</v>
      </c>
      <c r="P317" s="12" t="s">
        <v>1134</v>
      </c>
      <c r="Q317" s="12" t="s">
        <v>1135</v>
      </c>
    </row>
    <row r="318" spans="1:17" ht="28.5">
      <c r="A318" s="10" t="s">
        <v>1302</v>
      </c>
      <c r="B318" s="10" t="s">
        <v>1307</v>
      </c>
      <c r="C318" s="10" t="s">
        <v>1308</v>
      </c>
      <c r="D318" s="13">
        <f>'09_基準仕様'!E280</f>
        <v>0.6</v>
      </c>
      <c r="E318" s="10" t="s">
        <v>86</v>
      </c>
      <c r="F318" s="10" t="s">
        <v>1305</v>
      </c>
      <c r="G318" s="14" t="s">
        <v>1306</v>
      </c>
      <c r="H318" s="10" t="s">
        <v>123</v>
      </c>
      <c r="I318" s="10" t="s">
        <v>76</v>
      </c>
      <c r="J318" s="12"/>
      <c r="K318" s="12"/>
      <c r="L318" s="12"/>
      <c r="M318" s="12"/>
      <c r="N318" s="12" t="s">
        <v>104</v>
      </c>
      <c r="O318" s="12" t="s">
        <v>105</v>
      </c>
      <c r="P318" s="12" t="s">
        <v>1134</v>
      </c>
      <c r="Q318" s="12" t="s">
        <v>1135</v>
      </c>
    </row>
    <row r="319" spans="1:17" ht="28.5">
      <c r="A319" s="10" t="s">
        <v>358</v>
      </c>
      <c r="B319" s="10" t="s">
        <v>1309</v>
      </c>
      <c r="C319" s="10" t="s">
        <v>1310</v>
      </c>
      <c r="D319" s="13">
        <f>'09_基準仕様'!E281</f>
        <v>0.2</v>
      </c>
      <c r="E319" s="10" t="s">
        <v>86</v>
      </c>
      <c r="F319" s="10" t="s">
        <v>1311</v>
      </c>
      <c r="G319" s="14" t="s">
        <v>1312</v>
      </c>
      <c r="H319" s="10" t="s">
        <v>123</v>
      </c>
      <c r="I319" s="10" t="s">
        <v>76</v>
      </c>
      <c r="J319" s="12"/>
      <c r="K319" s="12"/>
      <c r="L319" s="12"/>
      <c r="M319" s="12"/>
      <c r="N319" s="12" t="s">
        <v>104</v>
      </c>
      <c r="O319" s="12" t="s">
        <v>105</v>
      </c>
      <c r="P319" s="12" t="s">
        <v>106</v>
      </c>
      <c r="Q319" s="12" t="s">
        <v>69</v>
      </c>
    </row>
    <row r="320" spans="1:17" ht="28.5">
      <c r="A320" s="10" t="s">
        <v>789</v>
      </c>
      <c r="B320" s="10" t="s">
        <v>1313</v>
      </c>
      <c r="C320" s="10" t="s">
        <v>1314</v>
      </c>
      <c r="D320" s="13">
        <f>'09_基準仕様'!E282</f>
        <v>0.5</v>
      </c>
      <c r="E320" s="10" t="s">
        <v>808</v>
      </c>
      <c r="F320" s="10" t="s">
        <v>1315</v>
      </c>
      <c r="G320" s="14" t="s">
        <v>1316</v>
      </c>
      <c r="H320" s="10" t="s">
        <v>1317</v>
      </c>
      <c r="I320" s="10" t="s">
        <v>76</v>
      </c>
      <c r="J320" s="12"/>
      <c r="K320" s="12"/>
      <c r="L320" s="12"/>
      <c r="M320" s="12"/>
      <c r="N320" s="12" t="s">
        <v>104</v>
      </c>
      <c r="O320" s="12" t="s">
        <v>105</v>
      </c>
      <c r="P320" s="12" t="s">
        <v>106</v>
      </c>
      <c r="Q320" s="12" t="s">
        <v>69</v>
      </c>
    </row>
    <row r="321" spans="1:17" ht="28.5">
      <c r="A321" s="10" t="s">
        <v>789</v>
      </c>
      <c r="B321" s="10" t="s">
        <v>1318</v>
      </c>
      <c r="C321" s="10" t="s">
        <v>1319</v>
      </c>
      <c r="D321" s="13">
        <f>'09_基準仕様'!E283</f>
        <v>16000</v>
      </c>
      <c r="E321" s="10" t="s">
        <v>96</v>
      </c>
      <c r="F321" s="10" t="s">
        <v>796</v>
      </c>
      <c r="G321" s="14" t="s">
        <v>1320</v>
      </c>
      <c r="H321" s="10" t="s">
        <v>1317</v>
      </c>
      <c r="I321" s="10" t="s">
        <v>76</v>
      </c>
      <c r="J321" s="12"/>
      <c r="K321" s="12"/>
      <c r="L321" s="12"/>
      <c r="M321" s="12"/>
      <c r="N321" s="12" t="s">
        <v>104</v>
      </c>
      <c r="O321" s="12" t="s">
        <v>105</v>
      </c>
      <c r="P321" s="12" t="s">
        <v>106</v>
      </c>
      <c r="Q321" s="12" t="s">
        <v>69</v>
      </c>
    </row>
    <row r="322" spans="1:17" ht="28.5">
      <c r="A322" s="10" t="s">
        <v>789</v>
      </c>
      <c r="B322" s="10" t="s">
        <v>1321</v>
      </c>
      <c r="C322" s="10" t="s">
        <v>1322</v>
      </c>
      <c r="D322" s="13">
        <f>'09_基準仕様'!E284</f>
        <v>0.5</v>
      </c>
      <c r="E322" s="10" t="s">
        <v>86</v>
      </c>
      <c r="F322" s="10" t="s">
        <v>796</v>
      </c>
      <c r="G322" s="14" t="s">
        <v>1323</v>
      </c>
      <c r="H322" s="10" t="s">
        <v>123</v>
      </c>
      <c r="I322" s="10" t="s">
        <v>76</v>
      </c>
      <c r="J322" s="12"/>
      <c r="K322" s="12"/>
      <c r="L322" s="12"/>
      <c r="M322" s="12"/>
      <c r="N322" s="12" t="s">
        <v>104</v>
      </c>
      <c r="O322" s="12" t="s">
        <v>105</v>
      </c>
      <c r="P322" s="12" t="s">
        <v>106</v>
      </c>
      <c r="Q322" s="12" t="s">
        <v>69</v>
      </c>
    </row>
    <row r="323" spans="1:17" ht="28.5">
      <c r="A323" s="10" t="s">
        <v>789</v>
      </c>
      <c r="B323" s="10" t="s">
        <v>1324</v>
      </c>
      <c r="C323" s="10" t="s">
        <v>1325</v>
      </c>
      <c r="D323" s="13">
        <f>'09_基準仕様'!E285</f>
        <v>0.5</v>
      </c>
      <c r="E323" s="10" t="s">
        <v>86</v>
      </c>
      <c r="F323" s="10" t="s">
        <v>792</v>
      </c>
      <c r="G323" s="14" t="s">
        <v>1326</v>
      </c>
      <c r="H323" s="10" t="s">
        <v>123</v>
      </c>
      <c r="I323" s="10" t="s">
        <v>76</v>
      </c>
      <c r="J323" s="12"/>
      <c r="K323" s="12"/>
      <c r="L323" s="12"/>
      <c r="M323" s="12"/>
      <c r="N323" s="12" t="s">
        <v>104</v>
      </c>
      <c r="O323" s="12" t="s">
        <v>105</v>
      </c>
      <c r="P323" s="12" t="s">
        <v>106</v>
      </c>
      <c r="Q323" s="12" t="s">
        <v>69</v>
      </c>
    </row>
    <row r="324" spans="1:17">
      <c r="A324" s="10" t="s">
        <v>789</v>
      </c>
      <c r="B324" s="10" t="s">
        <v>1327</v>
      </c>
      <c r="C324" s="10" t="s">
        <v>1328</v>
      </c>
      <c r="D324" s="13">
        <f>'10_シナリオ入力'!E33</f>
        <v>0</v>
      </c>
      <c r="E324" s="10" t="s">
        <v>415</v>
      </c>
      <c r="F324" s="10" t="s">
        <v>1329</v>
      </c>
      <c r="G324" s="14" t="s">
        <v>1330</v>
      </c>
      <c r="H324" s="10" t="s">
        <v>418</v>
      </c>
      <c r="I324" s="10" t="s">
        <v>76</v>
      </c>
      <c r="J324" s="12"/>
      <c r="K324" s="12"/>
      <c r="L324" s="12"/>
      <c r="M324" s="12"/>
      <c r="N324" s="12" t="s">
        <v>419</v>
      </c>
      <c r="O324" s="12" t="s">
        <v>420</v>
      </c>
      <c r="P324" s="12" t="s">
        <v>421</v>
      </c>
      <c r="Q324" s="12" t="s">
        <v>422</v>
      </c>
    </row>
    <row r="325" spans="1:17" ht="28.5">
      <c r="A325" s="10" t="s">
        <v>789</v>
      </c>
      <c r="B325" s="10" t="s">
        <v>1331</v>
      </c>
      <c r="C325" s="10" t="s">
        <v>1332</v>
      </c>
      <c r="D325" s="13">
        <f>'09_基準仕様'!E286</f>
        <v>0.6</v>
      </c>
      <c r="E325" s="10" t="s">
        <v>86</v>
      </c>
      <c r="F325" s="10" t="s">
        <v>1333</v>
      </c>
      <c r="G325" s="14" t="s">
        <v>1334</v>
      </c>
      <c r="H325" s="10" t="s">
        <v>123</v>
      </c>
      <c r="I325" s="10" t="s">
        <v>76</v>
      </c>
      <c r="J325" s="12"/>
      <c r="K325" s="12"/>
      <c r="L325" s="12"/>
      <c r="M325" s="12"/>
      <c r="N325" s="12" t="s">
        <v>104</v>
      </c>
      <c r="O325" s="12" t="s">
        <v>105</v>
      </c>
      <c r="P325" s="12" t="s">
        <v>106</v>
      </c>
      <c r="Q325" s="12" t="s">
        <v>69</v>
      </c>
    </row>
    <row r="326" spans="1:17" ht="28.5">
      <c r="A326" s="10" t="s">
        <v>111</v>
      </c>
      <c r="B326" s="10" t="s">
        <v>1335</v>
      </c>
      <c r="C326" s="10" t="s">
        <v>1336</v>
      </c>
      <c r="D326" s="13">
        <f>'07_システム要求'!M25</f>
        <v>0</v>
      </c>
      <c r="E326" s="10" t="s">
        <v>114</v>
      </c>
      <c r="F326" s="10" t="s">
        <v>1337</v>
      </c>
      <c r="G326" s="14" t="s">
        <v>1338</v>
      </c>
      <c r="H326" s="10" t="s">
        <v>3</v>
      </c>
      <c r="I326" s="10" t="s">
        <v>76</v>
      </c>
      <c r="J326" s="12"/>
      <c r="K326" s="12"/>
      <c r="L326" s="12"/>
      <c r="M326" s="12"/>
      <c r="N326" s="12" t="s">
        <v>66</v>
      </c>
      <c r="O326" s="12" t="s">
        <v>67</v>
      </c>
      <c r="P326" s="12" t="s">
        <v>117</v>
      </c>
      <c r="Q326" s="12" t="s">
        <v>1339</v>
      </c>
    </row>
    <row r="327" spans="1:17" ht="28.5">
      <c r="A327" s="10" t="s">
        <v>111</v>
      </c>
      <c r="B327" s="10" t="s">
        <v>1340</v>
      </c>
      <c r="C327" s="10" t="s">
        <v>1341</v>
      </c>
      <c r="D327" s="13">
        <f>'09_基準仕様'!E287</f>
        <v>1.7</v>
      </c>
      <c r="E327" s="10" t="s">
        <v>73</v>
      </c>
      <c r="F327" s="10" t="s">
        <v>1337</v>
      </c>
      <c r="G327" s="14" t="s">
        <v>1342</v>
      </c>
      <c r="H327" s="10" t="s">
        <v>123</v>
      </c>
      <c r="I327" s="10" t="s">
        <v>76</v>
      </c>
      <c r="J327" s="12"/>
      <c r="K327" s="12"/>
      <c r="L327" s="12"/>
      <c r="M327" s="12"/>
      <c r="N327" s="12" t="s">
        <v>104</v>
      </c>
      <c r="O327" s="12" t="s">
        <v>105</v>
      </c>
      <c r="P327" s="12" t="s">
        <v>106</v>
      </c>
      <c r="Q327" s="12" t="s">
        <v>1343</v>
      </c>
    </row>
    <row r="328" spans="1:17" ht="42.75">
      <c r="A328" s="10" t="s">
        <v>111</v>
      </c>
      <c r="B328" s="10" t="s">
        <v>1344</v>
      </c>
      <c r="C328" s="10" t="s">
        <v>1345</v>
      </c>
      <c r="D328" s="13">
        <f>IF(D296=1,IF(D334=1,2/D131,1/3),IF('07_システム要求'!D25="2L-VSI",0.5,IF('07_システム要求'!D25="3L-NPC",0.5,1/3)))</f>
        <v>0.5</v>
      </c>
      <c r="E328" s="10" t="s">
        <v>86</v>
      </c>
      <c r="F328" s="10" t="s">
        <v>1337</v>
      </c>
      <c r="G328" s="14" t="s">
        <v>1346</v>
      </c>
      <c r="H328" s="10" t="s">
        <v>1347</v>
      </c>
      <c r="I328" s="10" t="s">
        <v>76</v>
      </c>
      <c r="J328" s="12"/>
      <c r="K328" s="12"/>
      <c r="L328" s="12"/>
      <c r="M328" s="12"/>
      <c r="N328" s="12" t="s">
        <v>116</v>
      </c>
      <c r="O328" s="12" t="s">
        <v>67</v>
      </c>
      <c r="P328" s="12" t="s">
        <v>117</v>
      </c>
      <c r="Q328" s="12" t="s">
        <v>1348</v>
      </c>
    </row>
    <row r="329" spans="1:17" ht="28.5">
      <c r="A329" s="10" t="s">
        <v>111</v>
      </c>
      <c r="B329" s="10" t="s">
        <v>1349</v>
      </c>
      <c r="C329" s="10" t="s">
        <v>1350</v>
      </c>
      <c r="D329" s="13">
        <f>IF(D296=1,IF(D334=1,0,1/3),IF('07_システム要求'!D25="3L-NPC",0.25,0))</f>
        <v>0</v>
      </c>
      <c r="E329" s="10" t="s">
        <v>86</v>
      </c>
      <c r="F329" s="10" t="s">
        <v>1337</v>
      </c>
      <c r="G329" s="14" t="s">
        <v>1351</v>
      </c>
      <c r="H329" s="10" t="s">
        <v>1347</v>
      </c>
      <c r="I329" s="10" t="s">
        <v>76</v>
      </c>
      <c r="J329" s="12"/>
      <c r="K329" s="12"/>
      <c r="L329" s="12"/>
      <c r="M329" s="12"/>
      <c r="N329" s="12" t="s">
        <v>116</v>
      </c>
      <c r="O329" s="12" t="s">
        <v>67</v>
      </c>
      <c r="P329" s="12" t="s">
        <v>117</v>
      </c>
      <c r="Q329" s="12" t="s">
        <v>1352</v>
      </c>
    </row>
    <row r="330" spans="1:17" ht="28.5">
      <c r="A330" s="10" t="s">
        <v>111</v>
      </c>
      <c r="B330" s="10" t="s">
        <v>1353</v>
      </c>
      <c r="C330" s="10" t="s">
        <v>1354</v>
      </c>
      <c r="D330" s="13">
        <f>D131*D328</f>
        <v>3</v>
      </c>
      <c r="E330" s="10" t="s">
        <v>86</v>
      </c>
      <c r="F330" s="10" t="s">
        <v>1337</v>
      </c>
      <c r="G330" s="14" t="s">
        <v>1355</v>
      </c>
      <c r="H330" s="10" t="s">
        <v>1347</v>
      </c>
      <c r="I330" s="10" t="s">
        <v>76</v>
      </c>
      <c r="J330" s="12"/>
      <c r="K330" s="12"/>
      <c r="L330" s="12"/>
      <c r="M330" s="12"/>
      <c r="N330" s="12" t="s">
        <v>1347</v>
      </c>
      <c r="O330" s="12" t="s">
        <v>1356</v>
      </c>
      <c r="P330" s="12" t="s">
        <v>117</v>
      </c>
      <c r="Q330" s="12" t="s">
        <v>1357</v>
      </c>
    </row>
    <row r="331" spans="1:17" ht="42.75">
      <c r="A331" s="10" t="s">
        <v>111</v>
      </c>
      <c r="B331" s="10" t="s">
        <v>1358</v>
      </c>
      <c r="C331" s="10" t="s">
        <v>1359</v>
      </c>
      <c r="D331" s="13">
        <f>D326*D329</f>
        <v>0</v>
      </c>
      <c r="E331" s="10" t="s">
        <v>86</v>
      </c>
      <c r="F331" s="10" t="s">
        <v>1337</v>
      </c>
      <c r="G331" s="14" t="s">
        <v>1360</v>
      </c>
      <c r="H331" s="10" t="s">
        <v>1347</v>
      </c>
      <c r="I331" s="10" t="s">
        <v>76</v>
      </c>
      <c r="J331" s="12"/>
      <c r="K331" s="12"/>
      <c r="L331" s="12"/>
      <c r="M331" s="12"/>
      <c r="N331" s="12" t="s">
        <v>1347</v>
      </c>
      <c r="O331" s="12" t="s">
        <v>1356</v>
      </c>
      <c r="P331" s="12" t="s">
        <v>117</v>
      </c>
      <c r="Q331" s="12" t="s">
        <v>1361</v>
      </c>
    </row>
    <row r="332" spans="1:17" ht="28.5">
      <c r="A332" s="10" t="s">
        <v>111</v>
      </c>
      <c r="B332" s="10" t="s">
        <v>1362</v>
      </c>
      <c r="C332" s="10" t="s">
        <v>1363</v>
      </c>
      <c r="D332" s="13">
        <f>IF(D296=1,D5*1000/(D6*D9),D5*1000/(SQRT(3)*D7*D8*D9))</f>
        <v>156.63327975844433</v>
      </c>
      <c r="E332" s="10" t="s">
        <v>808</v>
      </c>
      <c r="F332" s="10" t="s">
        <v>1337</v>
      </c>
      <c r="G332" s="14" t="s">
        <v>1364</v>
      </c>
      <c r="H332" s="10" t="s">
        <v>1347</v>
      </c>
      <c r="I332" s="10" t="s">
        <v>76</v>
      </c>
      <c r="J332" s="12"/>
      <c r="K332" s="12"/>
      <c r="L332" s="12"/>
      <c r="M332" s="12"/>
      <c r="N332" s="12" t="s">
        <v>1347</v>
      </c>
      <c r="O332" s="12" t="s">
        <v>1356</v>
      </c>
      <c r="P332" s="12" t="s">
        <v>117</v>
      </c>
      <c r="Q332" s="12" t="s">
        <v>1365</v>
      </c>
    </row>
    <row r="333" spans="1:17">
      <c r="A333" s="10" t="s">
        <v>1366</v>
      </c>
      <c r="B333" s="10" t="s">
        <v>1367</v>
      </c>
      <c r="C333" s="10" t="s">
        <v>1368</v>
      </c>
      <c r="D333" s="13">
        <f>'10_シナリオ入力'!E34</f>
        <v>0</v>
      </c>
      <c r="E333" s="10" t="s">
        <v>415</v>
      </c>
      <c r="F333" s="10" t="s">
        <v>1369</v>
      </c>
      <c r="G333" s="14" t="s">
        <v>1370</v>
      </c>
      <c r="H333" s="10" t="s">
        <v>418</v>
      </c>
      <c r="I333" s="10" t="s">
        <v>76</v>
      </c>
      <c r="J333" s="12"/>
      <c r="K333" s="12"/>
      <c r="L333" s="12"/>
      <c r="M333" s="12"/>
      <c r="N333" s="12" t="s">
        <v>419</v>
      </c>
      <c r="O333" s="12" t="s">
        <v>420</v>
      </c>
      <c r="P333" s="12" t="s">
        <v>421</v>
      </c>
      <c r="Q333" s="12" t="s">
        <v>422</v>
      </c>
    </row>
    <row r="334" spans="1:17">
      <c r="A334" s="10" t="s">
        <v>1366</v>
      </c>
      <c r="B334" s="10" t="s">
        <v>1371</v>
      </c>
      <c r="C334" s="10" t="s">
        <v>1372</v>
      </c>
      <c r="D334" s="13">
        <f>D296*D333</f>
        <v>0</v>
      </c>
      <c r="E334" s="10" t="s">
        <v>415</v>
      </c>
      <c r="F334" s="10" t="s">
        <v>1373</v>
      </c>
      <c r="G334" s="14" t="s">
        <v>1374</v>
      </c>
      <c r="H334" s="10" t="s">
        <v>1347</v>
      </c>
      <c r="I334" s="10" t="s">
        <v>76</v>
      </c>
      <c r="J334" s="12"/>
      <c r="K334" s="12"/>
      <c r="L334" s="12"/>
      <c r="M334" s="12"/>
      <c r="N334" s="12" t="s">
        <v>1347</v>
      </c>
      <c r="O334" s="12" t="s">
        <v>1356</v>
      </c>
      <c r="P334" s="12" t="s">
        <v>1375</v>
      </c>
      <c r="Q334" s="12" t="s">
        <v>1376</v>
      </c>
    </row>
    <row r="335" spans="1:17" ht="28.5">
      <c r="A335" s="10" t="s">
        <v>1366</v>
      </c>
      <c r="B335" s="10" t="s">
        <v>1377</v>
      </c>
      <c r="C335" s="10" t="s">
        <v>1378</v>
      </c>
      <c r="D335" s="13">
        <f>'10_シナリオ入力'!E35</f>
        <v>0</v>
      </c>
      <c r="E335" s="10" t="s">
        <v>415</v>
      </c>
      <c r="F335" s="10" t="s">
        <v>1379</v>
      </c>
      <c r="G335" s="14" t="s">
        <v>1380</v>
      </c>
      <c r="H335" s="10" t="s">
        <v>418</v>
      </c>
      <c r="I335" s="10" t="s">
        <v>76</v>
      </c>
      <c r="J335" s="12"/>
      <c r="K335" s="12"/>
      <c r="L335" s="12"/>
      <c r="M335" s="12"/>
      <c r="N335" s="12" t="s">
        <v>419</v>
      </c>
      <c r="O335" s="12" t="s">
        <v>420</v>
      </c>
      <c r="P335" s="12" t="s">
        <v>421</v>
      </c>
      <c r="Q335" s="12" t="s">
        <v>1381</v>
      </c>
    </row>
    <row r="336" spans="1:17" ht="28.5">
      <c r="A336" s="10" t="s">
        <v>1366</v>
      </c>
      <c r="B336" s="10" t="s">
        <v>1382</v>
      </c>
      <c r="C336" s="10" t="s">
        <v>1383</v>
      </c>
      <c r="D336" s="13">
        <f>'09_基準仕様'!E288</f>
        <v>0.5</v>
      </c>
      <c r="E336" s="10" t="s">
        <v>86</v>
      </c>
      <c r="F336" s="10" t="s">
        <v>1384</v>
      </c>
      <c r="G336" s="14" t="s">
        <v>1385</v>
      </c>
      <c r="H336" s="10" t="s">
        <v>123</v>
      </c>
      <c r="I336" s="10" t="s">
        <v>76</v>
      </c>
      <c r="J336" s="12"/>
      <c r="K336" s="12"/>
      <c r="L336" s="12"/>
      <c r="M336" s="12"/>
      <c r="N336" s="12" t="s">
        <v>104</v>
      </c>
      <c r="O336" s="12" t="s">
        <v>105</v>
      </c>
      <c r="P336" s="12" t="s">
        <v>1134</v>
      </c>
      <c r="Q336" s="12" t="s">
        <v>1386</v>
      </c>
    </row>
    <row r="337" spans="1:17" ht="28.5">
      <c r="A337" s="10" t="s">
        <v>1366</v>
      </c>
      <c r="B337" s="10" t="s">
        <v>1387</v>
      </c>
      <c r="C337" s="10" t="s">
        <v>1388</v>
      </c>
      <c r="D337" s="13">
        <f>'09_基準仕様'!E289</f>
        <v>1</v>
      </c>
      <c r="E337" s="10" t="s">
        <v>86</v>
      </c>
      <c r="F337" s="10" t="s">
        <v>1384</v>
      </c>
      <c r="G337" s="14" t="s">
        <v>1385</v>
      </c>
      <c r="H337" s="10" t="s">
        <v>123</v>
      </c>
      <c r="I337" s="10" t="s">
        <v>76</v>
      </c>
      <c r="J337" s="12"/>
      <c r="K337" s="12"/>
      <c r="L337" s="12"/>
      <c r="M337" s="12"/>
      <c r="N337" s="12" t="s">
        <v>104</v>
      </c>
      <c r="O337" s="12" t="s">
        <v>105</v>
      </c>
      <c r="P337" s="12" t="s">
        <v>1134</v>
      </c>
      <c r="Q337" s="12" t="s">
        <v>1389</v>
      </c>
    </row>
    <row r="338" spans="1:17">
      <c r="A338" s="10" t="s">
        <v>1366</v>
      </c>
      <c r="B338" s="10" t="s">
        <v>1390</v>
      </c>
      <c r="C338" s="10" t="s">
        <v>1384</v>
      </c>
      <c r="D338" s="13">
        <f>'02_ツリー'!F44*D336*D337</f>
        <v>7.2008206296653282E-5</v>
      </c>
      <c r="E338" s="10" t="s">
        <v>653</v>
      </c>
      <c r="F338" s="10" t="s">
        <v>1337</v>
      </c>
      <c r="G338" s="14" t="s">
        <v>1391</v>
      </c>
      <c r="H338" s="10" t="s">
        <v>1347</v>
      </c>
      <c r="I338" s="10" t="s">
        <v>76</v>
      </c>
      <c r="J338" s="12"/>
      <c r="K338" s="12"/>
      <c r="L338" s="12"/>
      <c r="M338" s="12"/>
      <c r="N338" s="12" t="s">
        <v>1347</v>
      </c>
      <c r="O338" s="12" t="s">
        <v>1392</v>
      </c>
      <c r="P338" s="12" t="s">
        <v>1375</v>
      </c>
      <c r="Q338" s="12" t="s">
        <v>1393</v>
      </c>
    </row>
    <row r="339" spans="1:17" ht="28.5">
      <c r="A339" s="10" t="s">
        <v>1366</v>
      </c>
      <c r="B339" s="10" t="s">
        <v>1394</v>
      </c>
      <c r="C339" s="10" t="s">
        <v>1395</v>
      </c>
      <c r="D339" s="13">
        <f>'09_基準仕様'!E290</f>
        <v>0</v>
      </c>
      <c r="E339" s="10" t="s">
        <v>1396</v>
      </c>
      <c r="F339" s="10" t="s">
        <v>1202</v>
      </c>
      <c r="G339" s="14" t="s">
        <v>1397</v>
      </c>
      <c r="H339" s="10" t="s">
        <v>123</v>
      </c>
      <c r="I339" s="10" t="s">
        <v>76</v>
      </c>
      <c r="J339" s="12"/>
      <c r="K339" s="12"/>
      <c r="L339" s="12"/>
      <c r="M339" s="12"/>
      <c r="N339" s="12" t="s">
        <v>104</v>
      </c>
      <c r="O339" s="12" t="s">
        <v>105</v>
      </c>
      <c r="P339" s="12" t="s">
        <v>1134</v>
      </c>
      <c r="Q339" s="12" t="s">
        <v>1398</v>
      </c>
    </row>
    <row r="340" spans="1:17" ht="28.5">
      <c r="A340" s="10" t="s">
        <v>1366</v>
      </c>
      <c r="B340" s="10" t="s">
        <v>1399</v>
      </c>
      <c r="C340" s="10" t="s">
        <v>1400</v>
      </c>
      <c r="D340" s="13">
        <f>'09_基準仕様'!E291</f>
        <v>0</v>
      </c>
      <c r="E340" s="10" t="s">
        <v>1396</v>
      </c>
      <c r="F340" s="10" t="s">
        <v>1202</v>
      </c>
      <c r="G340" s="14" t="s">
        <v>1397</v>
      </c>
      <c r="H340" s="10" t="s">
        <v>123</v>
      </c>
      <c r="I340" s="10" t="s">
        <v>76</v>
      </c>
      <c r="J340" s="12"/>
      <c r="K340" s="12"/>
      <c r="L340" s="12"/>
      <c r="M340" s="12"/>
      <c r="N340" s="12" t="s">
        <v>104</v>
      </c>
      <c r="O340" s="12" t="s">
        <v>105</v>
      </c>
      <c r="P340" s="12" t="s">
        <v>1134</v>
      </c>
      <c r="Q340" s="12" t="s">
        <v>1398</v>
      </c>
    </row>
    <row r="341" spans="1:17" ht="28.5">
      <c r="A341" s="10" t="s">
        <v>1366</v>
      </c>
      <c r="B341" s="10" t="s">
        <v>1401</v>
      </c>
      <c r="C341" s="10" t="s">
        <v>1402</v>
      </c>
      <c r="D341" s="13">
        <f>'09_基準仕様'!E292</f>
        <v>0</v>
      </c>
      <c r="E341" s="10" t="s">
        <v>1396</v>
      </c>
      <c r="F341" s="10" t="s">
        <v>1202</v>
      </c>
      <c r="G341" s="14" t="s">
        <v>1397</v>
      </c>
      <c r="H341" s="10" t="s">
        <v>123</v>
      </c>
      <c r="I341" s="10" t="s">
        <v>76</v>
      </c>
      <c r="J341" s="12"/>
      <c r="K341" s="12"/>
      <c r="L341" s="12"/>
      <c r="M341" s="12"/>
      <c r="N341" s="12" t="s">
        <v>104</v>
      </c>
      <c r="O341" s="12" t="s">
        <v>105</v>
      </c>
      <c r="P341" s="12" t="s">
        <v>1134</v>
      </c>
      <c r="Q341" s="12" t="s">
        <v>1398</v>
      </c>
    </row>
    <row r="342" spans="1:17" ht="57">
      <c r="A342" s="10" t="s">
        <v>1366</v>
      </c>
      <c r="B342" s="10" t="s">
        <v>1403</v>
      </c>
      <c r="C342" s="10" t="s">
        <v>1404</v>
      </c>
      <c r="D342" s="13">
        <f>'09_基準仕様'!E293</f>
        <v>0.5</v>
      </c>
      <c r="E342" s="10" t="s">
        <v>86</v>
      </c>
      <c r="F342" s="10" t="s">
        <v>1405</v>
      </c>
      <c r="G342" s="14" t="s">
        <v>1406</v>
      </c>
      <c r="H342" s="10" t="s">
        <v>123</v>
      </c>
      <c r="I342" s="10" t="s">
        <v>76</v>
      </c>
      <c r="J342" s="12"/>
      <c r="K342" s="12"/>
      <c r="L342" s="12"/>
      <c r="M342" s="12"/>
      <c r="N342" s="12" t="s">
        <v>104</v>
      </c>
      <c r="O342" s="12" t="s">
        <v>105</v>
      </c>
      <c r="P342" s="12" t="s">
        <v>1134</v>
      </c>
      <c r="Q342" s="12" t="s">
        <v>1407</v>
      </c>
    </row>
    <row r="343" spans="1:17">
      <c r="A343" s="10" t="s">
        <v>1366</v>
      </c>
      <c r="B343" s="10" t="s">
        <v>1408</v>
      </c>
      <c r="C343" s="10" t="s">
        <v>1405</v>
      </c>
      <c r="D343" s="13">
        <f>IF(SUM(D339:D341)&gt;0,SUM(D339:D341),'02_ツリー'!F70*D342)</f>
        <v>9.2194474933910862E-5</v>
      </c>
      <c r="E343" s="10" t="s">
        <v>1396</v>
      </c>
      <c r="F343" s="10" t="s">
        <v>1202</v>
      </c>
      <c r="G343" s="14" t="s">
        <v>1409</v>
      </c>
      <c r="H343" s="10" t="s">
        <v>1347</v>
      </c>
      <c r="I343" s="10" t="s">
        <v>76</v>
      </c>
      <c r="J343" s="12"/>
      <c r="K343" s="12"/>
      <c r="L343" s="12"/>
      <c r="M343" s="12"/>
      <c r="N343" s="12" t="s">
        <v>1347</v>
      </c>
      <c r="O343" s="12" t="s">
        <v>1410</v>
      </c>
      <c r="P343" s="12" t="s">
        <v>1375</v>
      </c>
      <c r="Q343" s="12" t="s">
        <v>1411</v>
      </c>
    </row>
    <row r="344" spans="1:17" ht="28.5">
      <c r="A344" s="10" t="s">
        <v>1366</v>
      </c>
      <c r="B344" s="10" t="s">
        <v>1412</v>
      </c>
      <c r="C344" s="10" t="s">
        <v>1413</v>
      </c>
      <c r="D344" s="13">
        <f>'09_基準仕様'!E294</f>
        <v>2</v>
      </c>
      <c r="E344" s="10" t="s">
        <v>1414</v>
      </c>
      <c r="F344" s="10" t="s">
        <v>578</v>
      </c>
      <c r="G344" s="14" t="s">
        <v>1415</v>
      </c>
      <c r="H344" s="10" t="s">
        <v>123</v>
      </c>
      <c r="I344" s="10" t="s">
        <v>76</v>
      </c>
      <c r="J344" s="12"/>
      <c r="K344" s="12"/>
      <c r="L344" s="12"/>
      <c r="M344" s="12"/>
      <c r="N344" s="12" t="s">
        <v>104</v>
      </c>
      <c r="O344" s="12" t="s">
        <v>105</v>
      </c>
      <c r="P344" s="12" t="s">
        <v>1134</v>
      </c>
      <c r="Q344" s="12" t="s">
        <v>1416</v>
      </c>
    </row>
    <row r="345" spans="1:17" ht="28.5">
      <c r="A345" s="10" t="s">
        <v>1366</v>
      </c>
      <c r="B345" s="10" t="s">
        <v>1417</v>
      </c>
      <c r="C345" s="10" t="s">
        <v>1418</v>
      </c>
      <c r="D345" s="13">
        <f>'09_基準仕様'!E295</f>
        <v>0.05</v>
      </c>
      <c r="E345" s="10" t="s">
        <v>229</v>
      </c>
      <c r="F345" s="10" t="s">
        <v>585</v>
      </c>
      <c r="G345" s="14" t="s">
        <v>1419</v>
      </c>
      <c r="H345" s="10" t="s">
        <v>123</v>
      </c>
      <c r="I345" s="10" t="s">
        <v>76</v>
      </c>
      <c r="J345" s="12"/>
      <c r="K345" s="12"/>
      <c r="L345" s="12"/>
      <c r="M345" s="12"/>
      <c r="N345" s="12" t="s">
        <v>104</v>
      </c>
      <c r="O345" s="12" t="s">
        <v>105</v>
      </c>
      <c r="P345" s="12" t="s">
        <v>1134</v>
      </c>
      <c r="Q345" s="12" t="s">
        <v>1420</v>
      </c>
    </row>
    <row r="346" spans="1:17" ht="28.5">
      <c r="A346" s="10" t="s">
        <v>1366</v>
      </c>
      <c r="B346" s="10" t="s">
        <v>1421</v>
      </c>
      <c r="C346" s="10" t="s">
        <v>1422</v>
      </c>
      <c r="D346" s="13">
        <f>'09_基準仕様'!E296</f>
        <v>2</v>
      </c>
      <c r="E346" s="10" t="s">
        <v>984</v>
      </c>
      <c r="F346" s="10" t="s">
        <v>1423</v>
      </c>
      <c r="G346" s="14" t="s">
        <v>1419</v>
      </c>
      <c r="H346" s="10" t="s">
        <v>123</v>
      </c>
      <c r="I346" s="10" t="s">
        <v>76</v>
      </c>
      <c r="J346" s="12"/>
      <c r="K346" s="12"/>
      <c r="L346" s="12"/>
      <c r="M346" s="12"/>
      <c r="N346" s="12" t="s">
        <v>104</v>
      </c>
      <c r="O346" s="12" t="s">
        <v>105</v>
      </c>
      <c r="P346" s="12" t="s">
        <v>1134</v>
      </c>
      <c r="Q346" s="12" t="s">
        <v>1424</v>
      </c>
    </row>
    <row r="347" spans="1:17" ht="28.5">
      <c r="A347" s="10" t="s">
        <v>1366</v>
      </c>
      <c r="B347" s="10" t="s">
        <v>1425</v>
      </c>
      <c r="C347" s="10" t="s">
        <v>1426</v>
      </c>
      <c r="D347" s="13">
        <f>'09_基準仕様'!E297</f>
        <v>1200</v>
      </c>
      <c r="E347" s="10" t="s">
        <v>73</v>
      </c>
      <c r="F347" s="10" t="s">
        <v>1427</v>
      </c>
      <c r="G347" s="14" t="s">
        <v>1428</v>
      </c>
      <c r="H347" s="10" t="s">
        <v>1317</v>
      </c>
      <c r="I347" s="10" t="s">
        <v>76</v>
      </c>
      <c r="J347" s="12"/>
      <c r="K347" s="12"/>
      <c r="L347" s="12"/>
      <c r="M347" s="12"/>
      <c r="N347" s="12" t="s">
        <v>104</v>
      </c>
      <c r="O347" s="12" t="s">
        <v>105</v>
      </c>
      <c r="P347" s="12" t="s">
        <v>1134</v>
      </c>
      <c r="Q347" s="12" t="s">
        <v>1429</v>
      </c>
    </row>
    <row r="348" spans="1:17" ht="28.5">
      <c r="A348" s="10" t="s">
        <v>1366</v>
      </c>
      <c r="B348" s="10" t="s">
        <v>1430</v>
      </c>
      <c r="C348" s="10" t="s">
        <v>1431</v>
      </c>
      <c r="D348" s="13">
        <f>'09_基準仕様'!E298</f>
        <v>2</v>
      </c>
      <c r="E348" s="10" t="s">
        <v>86</v>
      </c>
      <c r="F348" s="10" t="s">
        <v>1432</v>
      </c>
      <c r="G348" s="14" t="s">
        <v>1385</v>
      </c>
      <c r="H348" s="10" t="s">
        <v>123</v>
      </c>
      <c r="I348" s="10" t="s">
        <v>76</v>
      </c>
      <c r="J348" s="12"/>
      <c r="K348" s="12"/>
      <c r="L348" s="12"/>
      <c r="M348" s="12"/>
      <c r="N348" s="12" t="s">
        <v>104</v>
      </c>
      <c r="O348" s="12" t="s">
        <v>105</v>
      </c>
      <c r="P348" s="12" t="s">
        <v>1134</v>
      </c>
      <c r="Q348" s="12" t="s">
        <v>1433</v>
      </c>
    </row>
    <row r="349" spans="1:17">
      <c r="A349" s="10" t="s">
        <v>1366</v>
      </c>
      <c r="B349" s="10" t="s">
        <v>1434</v>
      </c>
      <c r="C349" s="10" t="s">
        <v>1435</v>
      </c>
      <c r="D349" s="13">
        <f>IF(D334=1,6,0)</f>
        <v>0</v>
      </c>
      <c r="E349" s="10" t="s">
        <v>114</v>
      </c>
      <c r="F349" s="10" t="s">
        <v>115</v>
      </c>
      <c r="G349" s="14" t="s">
        <v>1436</v>
      </c>
      <c r="H349" s="10" t="s">
        <v>1347</v>
      </c>
      <c r="I349" s="10" t="s">
        <v>76</v>
      </c>
      <c r="J349" s="12"/>
      <c r="K349" s="12"/>
      <c r="L349" s="12"/>
      <c r="M349" s="12"/>
      <c r="N349" s="12" t="s">
        <v>1347</v>
      </c>
      <c r="O349" s="12" t="s">
        <v>1356</v>
      </c>
      <c r="P349" s="12" t="s">
        <v>1375</v>
      </c>
      <c r="Q349" s="12" t="s">
        <v>1437</v>
      </c>
    </row>
    <row r="350" spans="1:17" ht="28.5">
      <c r="A350" s="1" t="s">
        <v>1438</v>
      </c>
      <c r="B350" s="1" t="s">
        <v>1439</v>
      </c>
      <c r="C350" s="1" t="s">
        <v>1440</v>
      </c>
      <c r="D350" s="1">
        <v>0</v>
      </c>
      <c r="E350" s="1" t="s">
        <v>415</v>
      </c>
      <c r="F350" s="1" t="s">
        <v>1441</v>
      </c>
      <c r="G350" s="1" t="s">
        <v>1442</v>
      </c>
      <c r="H350" s="1"/>
      <c r="I350" s="1"/>
      <c r="J350" s="1"/>
      <c r="K350" s="1"/>
      <c r="L350" s="1"/>
      <c r="M350" s="1"/>
      <c r="N350" s="1"/>
      <c r="O350" s="1"/>
      <c r="P350" s="1"/>
      <c r="Q350" s="1"/>
    </row>
    <row r="351" spans="1:17" ht="71.25">
      <c r="A351" s="1" t="s">
        <v>1438</v>
      </c>
      <c r="B351" s="1" t="s">
        <v>1443</v>
      </c>
      <c r="C351" s="1" t="s">
        <v>1444</v>
      </c>
      <c r="D351" s="1">
        <v>0.05</v>
      </c>
      <c r="E351" s="1" t="s">
        <v>229</v>
      </c>
      <c r="F351" s="1" t="s">
        <v>1445</v>
      </c>
      <c r="G351" s="1" t="s">
        <v>1446</v>
      </c>
      <c r="H351" s="1"/>
      <c r="I351" s="1"/>
      <c r="J351" s="1"/>
      <c r="K351" s="1"/>
      <c r="L351" s="1"/>
      <c r="M351" s="1"/>
      <c r="N351" s="1"/>
      <c r="O351" s="1"/>
      <c r="P351" s="1"/>
      <c r="Q351" s="1"/>
    </row>
    <row r="352" spans="1:17" ht="57">
      <c r="A352" s="1" t="s">
        <v>1438</v>
      </c>
      <c r="B352" s="1" t="s">
        <v>1447</v>
      </c>
      <c r="C352" s="1" t="s">
        <v>1448</v>
      </c>
      <c r="D352" s="1">
        <v>50</v>
      </c>
      <c r="E352" s="1" t="s">
        <v>984</v>
      </c>
      <c r="F352" s="1" t="s">
        <v>1449</v>
      </c>
      <c r="G352" s="1" t="s">
        <v>1450</v>
      </c>
      <c r="H352" s="1"/>
      <c r="I352" s="1"/>
      <c r="J352" s="1"/>
      <c r="K352" s="1"/>
      <c r="L352" s="1"/>
      <c r="M352" s="1"/>
      <c r="N352" s="1"/>
      <c r="O352" s="1"/>
      <c r="P352" s="1"/>
      <c r="Q352" s="1"/>
    </row>
    <row r="353" spans="1:17" ht="42.75">
      <c r="A353" s="1" t="s">
        <v>1269</v>
      </c>
      <c r="B353" s="1" t="s">
        <v>1451</v>
      </c>
      <c r="C353" s="1" t="s">
        <v>1452</v>
      </c>
      <c r="D353" s="1">
        <f>'09_基準仕様'!E299</f>
        <v>6.4432989689999998</v>
      </c>
      <c r="E353" s="1" t="s">
        <v>808</v>
      </c>
      <c r="F353" s="1" t="s">
        <v>1285</v>
      </c>
      <c r="G353" s="1" t="s">
        <v>1453</v>
      </c>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5:Q349">
    <cfRule type="expression" dxfId="9"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79"/>
  <sheetViews>
    <sheetView workbookViewId="0">
      <selection activeCell="E5" sqref="E5"/>
    </sheetView>
  </sheetViews>
  <sheetFormatPr defaultRowHeight="14.25"/>
  <cols>
    <col min="1" max="2" width="10" customWidth="1"/>
    <col min="3" max="3" width="7" customWidth="1"/>
    <col min="4" max="5" width="28" customWidth="1"/>
    <col min="6" max="6" width="16" customWidth="1"/>
    <col min="7" max="7" width="12" customWidth="1"/>
    <col min="8" max="8" width="16" customWidth="1"/>
    <col min="9" max="9" width="48" customWidth="1"/>
    <col min="10" max="10" width="14" customWidth="1"/>
    <col min="11" max="11" width="16" customWidth="1"/>
    <col min="12" max="12" width="18" customWidth="1"/>
    <col min="13" max="13" width="13" customWidth="1"/>
    <col min="14" max="14" width="42" customWidth="1"/>
    <col min="15" max="18" width="12" customWidth="1"/>
  </cols>
  <sheetData>
    <row r="1" spans="1:18">
      <c r="A1" s="18" t="s">
        <v>1454</v>
      </c>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c r="A3" s="1"/>
      <c r="B3" s="1"/>
      <c r="C3" s="1"/>
      <c r="D3" s="1"/>
      <c r="E3" s="1"/>
      <c r="F3" s="1"/>
      <c r="G3" s="1"/>
      <c r="H3" s="1"/>
      <c r="I3" s="1"/>
      <c r="J3" s="1"/>
      <c r="K3" s="1"/>
      <c r="L3" s="1"/>
      <c r="M3" s="1"/>
      <c r="N3" s="1"/>
      <c r="O3" s="1"/>
      <c r="P3" s="1"/>
      <c r="Q3" s="1"/>
      <c r="R3" s="1"/>
    </row>
    <row r="4" spans="1:18" ht="71.25">
      <c r="A4" s="1" t="s">
        <v>1455</v>
      </c>
      <c r="B4" s="1" t="s">
        <v>1456</v>
      </c>
      <c r="C4" s="1" t="s">
        <v>1457</v>
      </c>
      <c r="D4" s="1" t="s">
        <v>1458</v>
      </c>
      <c r="E4" s="1" t="s">
        <v>50</v>
      </c>
      <c r="F4" s="1" t="s">
        <v>1459</v>
      </c>
      <c r="G4" s="1" t="s">
        <v>52</v>
      </c>
      <c r="H4" s="1" t="s">
        <v>1460</v>
      </c>
      <c r="I4" s="1" t="s">
        <v>1461</v>
      </c>
      <c r="J4" s="1" t="s">
        <v>1462</v>
      </c>
      <c r="K4" s="1" t="s">
        <v>1463</v>
      </c>
      <c r="L4" s="1" t="s">
        <v>1464</v>
      </c>
      <c r="M4" s="1" t="s">
        <v>1465</v>
      </c>
      <c r="N4" s="1" t="s">
        <v>54</v>
      </c>
      <c r="O4" s="1" t="s">
        <v>1466</v>
      </c>
      <c r="P4" s="1" t="s">
        <v>1467</v>
      </c>
      <c r="Q4" s="1" t="s">
        <v>1468</v>
      </c>
      <c r="R4" s="1" t="s">
        <v>1469</v>
      </c>
    </row>
    <row r="5" spans="1:18" ht="42.75">
      <c r="A5" s="1" t="s">
        <v>1470</v>
      </c>
      <c r="B5" s="1"/>
      <c r="C5" s="1">
        <v>0</v>
      </c>
      <c r="D5" s="1" t="s">
        <v>1471</v>
      </c>
      <c r="E5" s="1" t="s">
        <v>389</v>
      </c>
      <c r="F5" s="1">
        <f>F6+F34+F96+F111+F129+F140+F174+F175+F176+F177+F561+F186+F355+F600</f>
        <v>12.438076280647966</v>
      </c>
      <c r="G5" s="1" t="s">
        <v>229</v>
      </c>
      <c r="H5" s="1">
        <f t="shared" ref="H5:H39" si="0">ABS(K5)*$F$5</f>
        <v>12.438076280647966</v>
      </c>
      <c r="I5" s="1" t="s">
        <v>1472</v>
      </c>
      <c r="J5" s="1">
        <f>1</f>
        <v>1</v>
      </c>
      <c r="K5" s="1">
        <f>1</f>
        <v>1</v>
      </c>
      <c r="L5" s="1" t="s">
        <v>1473</v>
      </c>
      <c r="M5" s="1" t="s">
        <v>1474</v>
      </c>
      <c r="N5" s="1" t="s">
        <v>1475</v>
      </c>
      <c r="O5" s="1">
        <f t="shared" ref="O5:O68" si="1">IF($A5="","",--(COUNTIF($B$5:$B$679,$A5)=0))</f>
        <v>0</v>
      </c>
      <c r="P5" s="1"/>
      <c r="Q5" s="1">
        <f t="shared" ref="Q5:Q39" si="2">IF(E5="","",--(MATCH(E5,$E$5:$E$560,0)=ROW()-4))</f>
        <v>1</v>
      </c>
      <c r="R5" s="1">
        <f>IF(Q5=1,COUNTIF($Q$5:Q5,1),"")</f>
        <v>1</v>
      </c>
    </row>
    <row r="6" spans="1:18" ht="85.5">
      <c r="A6" s="1" t="s">
        <v>1476</v>
      </c>
      <c r="B6" s="1" t="s">
        <v>1470</v>
      </c>
      <c r="C6" s="1">
        <v>1</v>
      </c>
      <c r="D6" s="1" t="s">
        <v>1477</v>
      </c>
      <c r="E6" s="1" t="s">
        <v>1478</v>
      </c>
      <c r="F6" s="1">
        <f>F7*F8+F178</f>
        <v>1.6469356109152578</v>
      </c>
      <c r="G6" s="1" t="s">
        <v>229</v>
      </c>
      <c r="H6" s="1">
        <f t="shared" si="0"/>
        <v>1.6469356109152578</v>
      </c>
      <c r="I6" s="1" t="s">
        <v>1479</v>
      </c>
      <c r="J6" s="1">
        <f>F6/F5</f>
        <v>0.13241079840277842</v>
      </c>
      <c r="K6" s="1">
        <f>K5*J6</f>
        <v>0.13241079840277842</v>
      </c>
      <c r="L6" s="1" t="str">
        <f t="shared" ref="L6:L39" si="3">IF(K6&gt;0,"増加→総重量増",IF(K6&lt;0,"増加→総重量減","中立"))</f>
        <v>増加→総重量増</v>
      </c>
      <c r="M6" s="1" t="s">
        <v>1474</v>
      </c>
      <c r="N6" s="1" t="s">
        <v>1480</v>
      </c>
      <c r="O6" s="1">
        <f t="shared" si="1"/>
        <v>0</v>
      </c>
      <c r="P6" s="1"/>
      <c r="Q6" s="1">
        <f t="shared" si="2"/>
        <v>1</v>
      </c>
      <c r="R6" s="1">
        <f>IF(Q6=1,COUNTIF($Q$5:Q6,1),"")</f>
        <v>2</v>
      </c>
    </row>
    <row r="7" spans="1:18" ht="28.5">
      <c r="A7" s="1" t="s">
        <v>1481</v>
      </c>
      <c r="B7" s="1" t="s">
        <v>1476</v>
      </c>
      <c r="C7" s="1">
        <v>2</v>
      </c>
      <c r="D7" s="1" t="s">
        <v>112</v>
      </c>
      <c r="E7" s="1" t="s">
        <v>113</v>
      </c>
      <c r="F7" s="1">
        <f>'01_入力仕様'!D13</f>
        <v>6</v>
      </c>
      <c r="G7" s="1" t="s">
        <v>114</v>
      </c>
      <c r="H7" s="1">
        <f t="shared" si="0"/>
        <v>1.0169356109152576</v>
      </c>
      <c r="I7" s="1" t="s">
        <v>1482</v>
      </c>
      <c r="J7" s="1">
        <f>('01_入力仕様'!D13*F8)/F6</f>
        <v>0.61747138392988676</v>
      </c>
      <c r="K7" s="1">
        <f>K6*J7</f>
        <v>8.1759878937024827E-2</v>
      </c>
      <c r="L7" s="1" t="str">
        <f t="shared" si="3"/>
        <v>増加→総重量増</v>
      </c>
      <c r="M7" s="1" t="s">
        <v>1474</v>
      </c>
      <c r="N7" s="1" t="s">
        <v>1483</v>
      </c>
      <c r="O7" s="1">
        <f t="shared" si="1"/>
        <v>1</v>
      </c>
      <c r="P7" s="1"/>
      <c r="Q7" s="1">
        <f t="shared" si="2"/>
        <v>1</v>
      </c>
      <c r="R7" s="1">
        <f>IF(Q7=1,COUNTIF($Q$5:Q7,1),"")</f>
        <v>3</v>
      </c>
    </row>
    <row r="8" spans="1:18">
      <c r="A8" s="1" t="s">
        <v>1484</v>
      </c>
      <c r="B8" s="1" t="s">
        <v>1476</v>
      </c>
      <c r="C8" s="1">
        <v>2</v>
      </c>
      <c r="D8" s="1" t="s">
        <v>1485</v>
      </c>
      <c r="E8" s="1" t="s">
        <v>230</v>
      </c>
      <c r="F8" s="1">
        <f>F9+F25+F29+F33</f>
        <v>0.16948926848587625</v>
      </c>
      <c r="G8" s="1" t="s">
        <v>229</v>
      </c>
      <c r="H8" s="1">
        <f t="shared" si="0"/>
        <v>1.0169356109152576</v>
      </c>
      <c r="I8" s="1" t="s">
        <v>1486</v>
      </c>
      <c r="J8" s="1">
        <f>('01_入力仕様'!D13*F8)/F6</f>
        <v>0.61747138392988676</v>
      </c>
      <c r="K8" s="1">
        <f>K6*J8</f>
        <v>8.1759878937024827E-2</v>
      </c>
      <c r="L8" s="1" t="str">
        <f t="shared" si="3"/>
        <v>増加→総重量増</v>
      </c>
      <c r="M8" s="1" t="s">
        <v>1474</v>
      </c>
      <c r="N8" s="1"/>
      <c r="O8" s="1">
        <f t="shared" si="1"/>
        <v>0</v>
      </c>
      <c r="P8" s="1"/>
      <c r="Q8" s="1">
        <f t="shared" si="2"/>
        <v>1</v>
      </c>
      <c r="R8" s="1">
        <f>IF(Q8=1,COUNTIF($Q$5:Q8,1),"")</f>
        <v>4</v>
      </c>
    </row>
    <row r="9" spans="1:18">
      <c r="A9" s="1" t="s">
        <v>1487</v>
      </c>
      <c r="B9" s="1" t="s">
        <v>1484</v>
      </c>
      <c r="C9" s="1">
        <v>3</v>
      </c>
      <c r="D9" s="1" t="s">
        <v>1488</v>
      </c>
      <c r="E9" s="1" t="s">
        <v>1489</v>
      </c>
      <c r="F9" s="1">
        <f>F10*F21</f>
        <v>1.3662848587625174E-4</v>
      </c>
      <c r="G9" s="1" t="s">
        <v>229</v>
      </c>
      <c r="H9" s="1">
        <f t="shared" si="0"/>
        <v>8.1977091525751067E-4</v>
      </c>
      <c r="I9" s="1" t="s">
        <v>1490</v>
      </c>
      <c r="J9" s="1">
        <f>F9/F8</f>
        <v>8.0611880089409408E-4</v>
      </c>
      <c r="K9" s="1">
        <f>K8*J9</f>
        <v>6.5908175569960757E-5</v>
      </c>
      <c r="L9" s="1" t="str">
        <f t="shared" si="3"/>
        <v>増加→総重量増</v>
      </c>
      <c r="M9" s="1" t="s">
        <v>1474</v>
      </c>
      <c r="N9" s="1"/>
      <c r="O9" s="1">
        <f t="shared" si="1"/>
        <v>0</v>
      </c>
      <c r="P9" s="1"/>
      <c r="Q9" s="1">
        <f t="shared" si="2"/>
        <v>1</v>
      </c>
      <c r="R9" s="1">
        <f>IF(Q9=1,COUNTIF($Q$5:Q9,1),"")</f>
        <v>5</v>
      </c>
    </row>
    <row r="10" spans="1:18">
      <c r="A10" s="1" t="s">
        <v>1491</v>
      </c>
      <c r="B10" s="1" t="s">
        <v>1487</v>
      </c>
      <c r="C10" s="1">
        <v>4</v>
      </c>
      <c r="D10" s="1" t="s">
        <v>1492</v>
      </c>
      <c r="E10" s="1" t="s">
        <v>196</v>
      </c>
      <c r="F10" s="1">
        <f>F11*F12/F16</f>
        <v>2.3646328465948723</v>
      </c>
      <c r="G10" s="1" t="s">
        <v>114</v>
      </c>
      <c r="H10" s="1">
        <f t="shared" si="0"/>
        <v>8.1977091525751067E-4</v>
      </c>
      <c r="I10" s="1" t="s">
        <v>1493</v>
      </c>
      <c r="J10" s="1">
        <f>1</f>
        <v>1</v>
      </c>
      <c r="K10" s="1">
        <f>K9*J10</f>
        <v>6.5908175569960757E-5</v>
      </c>
      <c r="L10" s="1" t="str">
        <f t="shared" si="3"/>
        <v>増加→総重量増</v>
      </c>
      <c r="M10" s="1" t="s">
        <v>1474</v>
      </c>
      <c r="N10" s="1"/>
      <c r="O10" s="1">
        <f t="shared" si="1"/>
        <v>0</v>
      </c>
      <c r="P10" s="1"/>
      <c r="Q10" s="1">
        <f t="shared" si="2"/>
        <v>1</v>
      </c>
      <c r="R10" s="1">
        <f>IF(Q10=1,COUNTIF($Q$5:Q10,1),"")</f>
        <v>6</v>
      </c>
    </row>
    <row r="11" spans="1:18">
      <c r="A11" s="1" t="s">
        <v>1494</v>
      </c>
      <c r="B11" s="1" t="s">
        <v>1491</v>
      </c>
      <c r="C11" s="1">
        <v>5</v>
      </c>
      <c r="D11" s="1" t="s">
        <v>194</v>
      </c>
      <c r="E11" s="1" t="s">
        <v>195</v>
      </c>
      <c r="F11" s="1">
        <f>'01_入力仕様'!D32</f>
        <v>1.25</v>
      </c>
      <c r="G11" s="1" t="s">
        <v>86</v>
      </c>
      <c r="H11" s="1">
        <f t="shared" si="0"/>
        <v>8.1977091525751067E-4</v>
      </c>
      <c r="I11" s="1" t="s">
        <v>1482</v>
      </c>
      <c r="J11" s="1">
        <f>1</f>
        <v>1</v>
      </c>
      <c r="K11" s="1">
        <f>K10*J11</f>
        <v>6.5908175569960757E-5</v>
      </c>
      <c r="L11" s="1" t="str">
        <f t="shared" si="3"/>
        <v>増加→総重量増</v>
      </c>
      <c r="M11" s="1" t="s">
        <v>1474</v>
      </c>
      <c r="N11" s="1"/>
      <c r="O11" s="1">
        <f t="shared" si="1"/>
        <v>1</v>
      </c>
      <c r="P11" s="1"/>
      <c r="Q11" s="1">
        <f t="shared" si="2"/>
        <v>1</v>
      </c>
      <c r="R11" s="1">
        <f>IF(Q11=1,COUNTIF($Q$5:Q11,1),"")</f>
        <v>7</v>
      </c>
    </row>
    <row r="12" spans="1:18">
      <c r="A12" s="1" t="s">
        <v>1495</v>
      </c>
      <c r="B12" s="1" t="s">
        <v>1491</v>
      </c>
      <c r="C12" s="1">
        <v>5</v>
      </c>
      <c r="D12" s="1" t="s">
        <v>1496</v>
      </c>
      <c r="E12" s="1" t="s">
        <v>1497</v>
      </c>
      <c r="F12" s="1">
        <f>'01_入力仕様'!D5*1000/(SQRT(3)*F13*F14*F15)</f>
        <v>156.63327975844433</v>
      </c>
      <c r="G12" s="1" t="s">
        <v>808</v>
      </c>
      <c r="H12" s="1">
        <f t="shared" si="0"/>
        <v>8.1977091525751067E-4</v>
      </c>
      <c r="I12" s="1" t="s">
        <v>1498</v>
      </c>
      <c r="J12" s="1">
        <f>1</f>
        <v>1</v>
      </c>
      <c r="K12" s="1">
        <f>K10*J12</f>
        <v>6.5908175569960757E-5</v>
      </c>
      <c r="L12" s="1" t="str">
        <f t="shared" si="3"/>
        <v>増加→総重量増</v>
      </c>
      <c r="M12" s="1" t="s">
        <v>1474</v>
      </c>
      <c r="N12" s="1" t="s">
        <v>1499</v>
      </c>
      <c r="O12" s="1">
        <f t="shared" si="1"/>
        <v>0</v>
      </c>
      <c r="P12" s="1"/>
      <c r="Q12" s="1">
        <f t="shared" si="2"/>
        <v>1</v>
      </c>
      <c r="R12" s="1">
        <f>IF(Q12=1,COUNTIF($Q$5:Q12,1),"")</f>
        <v>8</v>
      </c>
    </row>
    <row r="13" spans="1:18">
      <c r="A13" s="1" t="s">
        <v>1500</v>
      </c>
      <c r="B13" s="1" t="s">
        <v>1495</v>
      </c>
      <c r="C13" s="1">
        <v>6</v>
      </c>
      <c r="D13" s="1" t="s">
        <v>1501</v>
      </c>
      <c r="E13" s="1" t="s">
        <v>79</v>
      </c>
      <c r="F13" s="1">
        <f>'01_入力仕様'!D7</f>
        <v>400</v>
      </c>
      <c r="G13" s="1" t="s">
        <v>73</v>
      </c>
      <c r="H13" s="1">
        <f t="shared" si="0"/>
        <v>8.1977091525751067E-4</v>
      </c>
      <c r="I13" s="1" t="s">
        <v>1482</v>
      </c>
      <c r="J13" s="1">
        <f>-1</f>
        <v>-1</v>
      </c>
      <c r="K13" s="1">
        <f>K12*J13</f>
        <v>-6.5908175569960757E-5</v>
      </c>
      <c r="L13" s="1" t="str">
        <f t="shared" si="3"/>
        <v>増加→総重量減</v>
      </c>
      <c r="M13" s="1" t="s">
        <v>1474</v>
      </c>
      <c r="N13" s="1"/>
      <c r="O13" s="1">
        <f t="shared" si="1"/>
        <v>1</v>
      </c>
      <c r="P13" s="1"/>
      <c r="Q13" s="1">
        <f t="shared" si="2"/>
        <v>1</v>
      </c>
      <c r="R13" s="1">
        <f>IF(Q13=1,COUNTIF($Q$5:Q13,1),"")</f>
        <v>9</v>
      </c>
    </row>
    <row r="14" spans="1:18">
      <c r="A14" s="1" t="s">
        <v>1502</v>
      </c>
      <c r="B14" s="1" t="s">
        <v>1495</v>
      </c>
      <c r="C14" s="1">
        <v>6</v>
      </c>
      <c r="D14" s="1" t="s">
        <v>84</v>
      </c>
      <c r="E14" s="1" t="s">
        <v>85</v>
      </c>
      <c r="F14" s="1">
        <f>'01_入力仕様'!D8</f>
        <v>0.95</v>
      </c>
      <c r="G14" s="1" t="s">
        <v>86</v>
      </c>
      <c r="H14" s="1">
        <f t="shared" si="0"/>
        <v>8.1977091525751067E-4</v>
      </c>
      <c r="I14" s="1" t="s">
        <v>1482</v>
      </c>
      <c r="J14" s="1">
        <f>-1</f>
        <v>-1</v>
      </c>
      <c r="K14" s="1">
        <f>K12*J14</f>
        <v>-6.5908175569960757E-5</v>
      </c>
      <c r="L14" s="1" t="str">
        <f t="shared" si="3"/>
        <v>増加→総重量減</v>
      </c>
      <c r="M14" s="1" t="s">
        <v>1474</v>
      </c>
      <c r="N14" s="1"/>
      <c r="O14" s="1">
        <f t="shared" si="1"/>
        <v>1</v>
      </c>
      <c r="P14" s="1"/>
      <c r="Q14" s="1">
        <f t="shared" si="2"/>
        <v>1</v>
      </c>
      <c r="R14" s="1">
        <f>IF(Q14=1,COUNTIF($Q$5:Q14,1),"")</f>
        <v>10</v>
      </c>
    </row>
    <row r="15" spans="1:18">
      <c r="A15" s="1" t="s">
        <v>1503</v>
      </c>
      <c r="B15" s="1" t="s">
        <v>1495</v>
      </c>
      <c r="C15" s="1">
        <v>6</v>
      </c>
      <c r="D15" s="1" t="s">
        <v>1504</v>
      </c>
      <c r="E15" s="1" t="s">
        <v>90</v>
      </c>
      <c r="F15" s="1">
        <f>'01_入力仕様'!D9</f>
        <v>0.97</v>
      </c>
      <c r="G15" s="1" t="s">
        <v>86</v>
      </c>
      <c r="H15" s="1">
        <f t="shared" si="0"/>
        <v>8.1977091525751067E-4</v>
      </c>
      <c r="I15" s="1" t="s">
        <v>1482</v>
      </c>
      <c r="J15" s="1">
        <f>-1</f>
        <v>-1</v>
      </c>
      <c r="K15" s="1">
        <f>K12*J15</f>
        <v>-6.5908175569960757E-5</v>
      </c>
      <c r="L15" s="1" t="str">
        <f t="shared" si="3"/>
        <v>増加→総重量減</v>
      </c>
      <c r="M15" s="1" t="s">
        <v>1474</v>
      </c>
      <c r="N15" s="1"/>
      <c r="O15" s="1">
        <f t="shared" si="1"/>
        <v>1</v>
      </c>
      <c r="P15" s="1"/>
      <c r="Q15" s="1">
        <f t="shared" si="2"/>
        <v>1</v>
      </c>
      <c r="R15" s="1">
        <f>IF(Q15=1,COUNTIF($Q$5:Q15,1),"")</f>
        <v>11</v>
      </c>
    </row>
    <row r="16" spans="1:18">
      <c r="A16" s="1" t="s">
        <v>1505</v>
      </c>
      <c r="B16" s="1" t="s">
        <v>1491</v>
      </c>
      <c r="C16" s="1">
        <v>5</v>
      </c>
      <c r="D16" s="1" t="s">
        <v>1506</v>
      </c>
      <c r="E16" s="1" t="s">
        <v>201</v>
      </c>
      <c r="F16" s="1">
        <f>F17*F18</f>
        <v>82.8</v>
      </c>
      <c r="G16" s="1" t="s">
        <v>808</v>
      </c>
      <c r="H16" s="1">
        <f t="shared" si="0"/>
        <v>8.1977091525751067E-4</v>
      </c>
      <c r="I16" s="1" t="s">
        <v>1507</v>
      </c>
      <c r="J16" s="1">
        <f>-1</f>
        <v>-1</v>
      </c>
      <c r="K16" s="1">
        <f>K10*J16</f>
        <v>-6.5908175569960757E-5</v>
      </c>
      <c r="L16" s="1" t="str">
        <f t="shared" si="3"/>
        <v>増加→総重量減</v>
      </c>
      <c r="M16" s="1" t="s">
        <v>1474</v>
      </c>
      <c r="N16" s="1"/>
      <c r="O16" s="1">
        <f t="shared" si="1"/>
        <v>0</v>
      </c>
      <c r="P16" s="1"/>
      <c r="Q16" s="1">
        <f t="shared" si="2"/>
        <v>1</v>
      </c>
      <c r="R16" s="1">
        <f>IF(Q16=1,COUNTIF($Q$5:Q16,1),"")</f>
        <v>12</v>
      </c>
    </row>
    <row r="17" spans="1:18">
      <c r="A17" s="1" t="s">
        <v>1508</v>
      </c>
      <c r="B17" s="1" t="s">
        <v>1505</v>
      </c>
      <c r="C17" s="1">
        <v>6</v>
      </c>
      <c r="D17" s="1" t="s">
        <v>1509</v>
      </c>
      <c r="E17" s="1" t="s">
        <v>1170</v>
      </c>
      <c r="F17" s="1">
        <f>'01_入力仕様'!D33*F538</f>
        <v>1.1499999999999999</v>
      </c>
      <c r="G17" s="1" t="s">
        <v>200</v>
      </c>
      <c r="H17" s="1">
        <f t="shared" si="0"/>
        <v>8.1977091525751067E-4</v>
      </c>
      <c r="I17" s="1" t="s">
        <v>1510</v>
      </c>
      <c r="J17" s="1">
        <f>1</f>
        <v>1</v>
      </c>
      <c r="K17" s="1">
        <f>K16*J17</f>
        <v>-6.5908175569960757E-5</v>
      </c>
      <c r="L17" s="1" t="str">
        <f t="shared" si="3"/>
        <v>増加→総重量減</v>
      </c>
      <c r="M17" s="1" t="s">
        <v>1474</v>
      </c>
      <c r="N17" s="1"/>
      <c r="O17" s="1">
        <f t="shared" si="1"/>
        <v>0</v>
      </c>
      <c r="P17" s="1"/>
      <c r="Q17" s="1">
        <f t="shared" si="2"/>
        <v>1</v>
      </c>
      <c r="R17" s="1">
        <f>IF(Q17=1,COUNTIF($Q$5:Q17,1),"")</f>
        <v>13</v>
      </c>
    </row>
    <row r="18" spans="1:18">
      <c r="A18" s="1" t="s">
        <v>1511</v>
      </c>
      <c r="B18" s="1" t="s">
        <v>1505</v>
      </c>
      <c r="C18" s="1">
        <v>6</v>
      </c>
      <c r="D18" s="1" t="s">
        <v>1512</v>
      </c>
      <c r="E18" s="1" t="s">
        <v>205</v>
      </c>
      <c r="F18" s="1">
        <f>F19*F20</f>
        <v>72</v>
      </c>
      <c r="G18" s="1" t="s">
        <v>168</v>
      </c>
      <c r="H18" s="1">
        <f t="shared" si="0"/>
        <v>8.1977091525751067E-4</v>
      </c>
      <c r="I18" s="1" t="s">
        <v>1513</v>
      </c>
      <c r="J18" s="1">
        <f>1</f>
        <v>1</v>
      </c>
      <c r="K18" s="1">
        <f>K16*J18</f>
        <v>-6.5908175569960757E-5</v>
      </c>
      <c r="L18" s="1" t="str">
        <f t="shared" si="3"/>
        <v>増加→総重量減</v>
      </c>
      <c r="M18" s="1" t="s">
        <v>1474</v>
      </c>
      <c r="N18" s="1"/>
      <c r="O18" s="1">
        <f t="shared" si="1"/>
        <v>0</v>
      </c>
      <c r="P18" s="1"/>
      <c r="Q18" s="1">
        <f t="shared" si="2"/>
        <v>1</v>
      </c>
      <c r="R18" s="1">
        <f>IF(Q18=1,COUNTIF($Q$5:Q18,1),"")</f>
        <v>14</v>
      </c>
    </row>
    <row r="19" spans="1:18">
      <c r="A19" s="1" t="s">
        <v>1514</v>
      </c>
      <c r="B19" s="1" t="s">
        <v>1511</v>
      </c>
      <c r="C19" s="1">
        <v>7</v>
      </c>
      <c r="D19" s="1" t="s">
        <v>1515</v>
      </c>
      <c r="E19" s="1" t="s">
        <v>204</v>
      </c>
      <c r="F19" s="1">
        <f>'01_入力仕様'!D34</f>
        <v>0.72</v>
      </c>
      <c r="G19" s="1" t="s">
        <v>86</v>
      </c>
      <c r="H19" s="1">
        <f t="shared" si="0"/>
        <v>8.1977091525751067E-4</v>
      </c>
      <c r="I19" s="1" t="s">
        <v>1482</v>
      </c>
      <c r="J19" s="1">
        <f>1</f>
        <v>1</v>
      </c>
      <c r="K19" s="1">
        <f>K18*J19</f>
        <v>-6.5908175569960757E-5</v>
      </c>
      <c r="L19" s="1" t="str">
        <f t="shared" si="3"/>
        <v>増加→総重量減</v>
      </c>
      <c r="M19" s="1" t="s">
        <v>1474</v>
      </c>
      <c r="N19" s="1"/>
      <c r="O19" s="1">
        <f t="shared" si="1"/>
        <v>1</v>
      </c>
      <c r="P19" s="1"/>
      <c r="Q19" s="1">
        <f t="shared" si="2"/>
        <v>1</v>
      </c>
      <c r="R19" s="1">
        <f>IF(Q19=1,COUNTIF($Q$5:Q19,1),"")</f>
        <v>15</v>
      </c>
    </row>
    <row r="20" spans="1:18">
      <c r="A20" s="1" t="s">
        <v>1516</v>
      </c>
      <c r="B20" s="1" t="s">
        <v>1511</v>
      </c>
      <c r="C20" s="1">
        <v>7</v>
      </c>
      <c r="D20" s="1" t="s">
        <v>166</v>
      </c>
      <c r="E20" s="1" t="s">
        <v>167</v>
      </c>
      <c r="F20" s="1">
        <f>'01_入力仕様'!D25</f>
        <v>100</v>
      </c>
      <c r="G20" s="1" t="s">
        <v>168</v>
      </c>
      <c r="H20" s="1">
        <f t="shared" si="0"/>
        <v>8.1977091525751067E-4</v>
      </c>
      <c r="I20" s="1" t="s">
        <v>1482</v>
      </c>
      <c r="J20" s="1">
        <f>1</f>
        <v>1</v>
      </c>
      <c r="K20" s="1">
        <f>K18*J20</f>
        <v>-6.5908175569960757E-5</v>
      </c>
      <c r="L20" s="1" t="str">
        <f t="shared" si="3"/>
        <v>増加→総重量減</v>
      </c>
      <c r="M20" s="1" t="s">
        <v>1474</v>
      </c>
      <c r="N20" s="1" t="s">
        <v>1517</v>
      </c>
      <c r="O20" s="1">
        <f t="shared" si="1"/>
        <v>1</v>
      </c>
      <c r="P20" s="1"/>
      <c r="Q20" s="1">
        <f t="shared" si="2"/>
        <v>1</v>
      </c>
      <c r="R20" s="1">
        <f>IF(Q20=1,COUNTIF($Q$5:Q20,1),"")</f>
        <v>16</v>
      </c>
    </row>
    <row r="21" spans="1:18">
      <c r="A21" s="1" t="s">
        <v>1518</v>
      </c>
      <c r="B21" s="1" t="s">
        <v>1487</v>
      </c>
      <c r="C21" s="1">
        <v>4</v>
      </c>
      <c r="D21" s="1" t="s">
        <v>1519</v>
      </c>
      <c r="E21" s="1" t="s">
        <v>174</v>
      </c>
      <c r="F21" s="1">
        <f>F22*F23*F24*0.000000001</f>
        <v>5.7780000000000006E-5</v>
      </c>
      <c r="G21" s="1" t="s">
        <v>229</v>
      </c>
      <c r="H21" s="1">
        <f t="shared" si="0"/>
        <v>8.1977091525751067E-4</v>
      </c>
      <c r="I21" s="1" t="s">
        <v>1520</v>
      </c>
      <c r="J21" s="1">
        <f>1</f>
        <v>1</v>
      </c>
      <c r="K21" s="1">
        <f>K9*J21</f>
        <v>6.5908175569960757E-5</v>
      </c>
      <c r="L21" s="1" t="str">
        <f t="shared" si="3"/>
        <v>増加→総重量増</v>
      </c>
      <c r="M21" s="1" t="s">
        <v>1474</v>
      </c>
      <c r="N21" s="1"/>
      <c r="O21" s="1">
        <f t="shared" si="1"/>
        <v>0</v>
      </c>
      <c r="P21" s="1"/>
      <c r="Q21" s="1">
        <f t="shared" si="2"/>
        <v>1</v>
      </c>
      <c r="R21" s="1">
        <f>IF(Q21=1,COUNTIF($Q$5:Q21,1),"")</f>
        <v>17</v>
      </c>
    </row>
    <row r="22" spans="1:18">
      <c r="A22" s="1" t="s">
        <v>1521</v>
      </c>
      <c r="B22" s="1" t="s">
        <v>1518</v>
      </c>
      <c r="C22" s="1">
        <v>5</v>
      </c>
      <c r="D22" s="1" t="s">
        <v>166</v>
      </c>
      <c r="E22" s="1" t="s">
        <v>167</v>
      </c>
      <c r="F22" s="1">
        <f>'01_入力仕様'!D25</f>
        <v>100</v>
      </c>
      <c r="G22" s="1" t="s">
        <v>168</v>
      </c>
      <c r="H22" s="1">
        <f t="shared" si="0"/>
        <v>8.1977091525751067E-4</v>
      </c>
      <c r="I22" s="1" t="s">
        <v>1482</v>
      </c>
      <c r="J22" s="1">
        <f>1</f>
        <v>1</v>
      </c>
      <c r="K22" s="1">
        <f>K21*J22</f>
        <v>6.5908175569960757E-5</v>
      </c>
      <c r="L22" s="1" t="str">
        <f t="shared" si="3"/>
        <v>増加→総重量増</v>
      </c>
      <c r="M22" s="1" t="s">
        <v>1474</v>
      </c>
      <c r="N22" s="1" t="s">
        <v>1522</v>
      </c>
      <c r="O22" s="1">
        <f t="shared" si="1"/>
        <v>1</v>
      </c>
      <c r="P22" s="1"/>
      <c r="Q22" s="1">
        <f t="shared" si="2"/>
        <v>0</v>
      </c>
      <c r="R22" s="1" t="str">
        <f>IF(Q22=1,COUNTIF($Q$5:Q22,1),"")</f>
        <v/>
      </c>
    </row>
    <row r="23" spans="1:18">
      <c r="A23" s="1" t="s">
        <v>1523</v>
      </c>
      <c r="B23" s="1" t="s">
        <v>1518</v>
      </c>
      <c r="C23" s="1">
        <v>5</v>
      </c>
      <c r="D23" s="1" t="s">
        <v>171</v>
      </c>
      <c r="E23" s="1" t="s">
        <v>172</v>
      </c>
      <c r="F23" s="1">
        <f>'01_入力仕様'!D26</f>
        <v>0.18</v>
      </c>
      <c r="G23" s="1" t="s">
        <v>173</v>
      </c>
      <c r="H23" s="1">
        <f t="shared" si="0"/>
        <v>8.1977091525751067E-4</v>
      </c>
      <c r="I23" s="1" t="s">
        <v>1482</v>
      </c>
      <c r="J23" s="1">
        <f>1</f>
        <v>1</v>
      </c>
      <c r="K23" s="1">
        <f>K21*J23</f>
        <v>6.5908175569960757E-5</v>
      </c>
      <c r="L23" s="1" t="str">
        <f t="shared" si="3"/>
        <v>増加→総重量増</v>
      </c>
      <c r="M23" s="1" t="s">
        <v>1474</v>
      </c>
      <c r="N23" s="1"/>
      <c r="O23" s="1">
        <f t="shared" si="1"/>
        <v>1</v>
      </c>
      <c r="P23" s="1"/>
      <c r="Q23" s="1">
        <f t="shared" si="2"/>
        <v>1</v>
      </c>
      <c r="R23" s="1">
        <f>IF(Q23=1,COUNTIF($Q$5:Q23,1),"")</f>
        <v>18</v>
      </c>
    </row>
    <row r="24" spans="1:18">
      <c r="A24" s="1" t="s">
        <v>1524</v>
      </c>
      <c r="B24" s="1" t="s">
        <v>1518</v>
      </c>
      <c r="C24" s="1">
        <v>5</v>
      </c>
      <c r="D24" s="1" t="s">
        <v>1525</v>
      </c>
      <c r="E24" s="1" t="s">
        <v>177</v>
      </c>
      <c r="F24" s="1">
        <f>'01_入力仕様'!D27</f>
        <v>3210</v>
      </c>
      <c r="G24" s="1" t="s">
        <v>178</v>
      </c>
      <c r="H24" s="1">
        <f t="shared" si="0"/>
        <v>8.1977091525751067E-4</v>
      </c>
      <c r="I24" s="1" t="s">
        <v>1482</v>
      </c>
      <c r="J24" s="1">
        <f>1</f>
        <v>1</v>
      </c>
      <c r="K24" s="1">
        <f>K21*J24</f>
        <v>6.5908175569960757E-5</v>
      </c>
      <c r="L24" s="1" t="str">
        <f t="shared" si="3"/>
        <v>増加→総重量増</v>
      </c>
      <c r="M24" s="1" t="s">
        <v>1474</v>
      </c>
      <c r="N24" s="1"/>
      <c r="O24" s="1">
        <f t="shared" si="1"/>
        <v>1</v>
      </c>
      <c r="P24" s="1"/>
      <c r="Q24" s="1">
        <f t="shared" si="2"/>
        <v>1</v>
      </c>
      <c r="R24" s="1">
        <f>IF(Q24=1,COUNTIF($Q$5:Q24,1),"")</f>
        <v>19</v>
      </c>
    </row>
    <row r="25" spans="1:18">
      <c r="A25" s="1" t="s">
        <v>1526</v>
      </c>
      <c r="B25" s="1" t="s">
        <v>1484</v>
      </c>
      <c r="C25" s="1">
        <v>3</v>
      </c>
      <c r="D25" s="1" t="s">
        <v>1527</v>
      </c>
      <c r="E25" s="1" t="s">
        <v>209</v>
      </c>
      <c r="F25" s="1">
        <f>F26*F27*F28*0.000000001</f>
        <v>2.6960640000000004E-2</v>
      </c>
      <c r="G25" s="1" t="s">
        <v>229</v>
      </c>
      <c r="H25" s="1">
        <f t="shared" si="0"/>
        <v>0.16176384000000008</v>
      </c>
      <c r="I25" s="1" t="s">
        <v>1528</v>
      </c>
      <c r="J25" s="1">
        <f>F25/F8</f>
        <v>0.15906989416410555</v>
      </c>
      <c r="K25" s="1">
        <f>K8*J25</f>
        <v>1.3005535289382622E-2</v>
      </c>
      <c r="L25" s="1" t="str">
        <f t="shared" si="3"/>
        <v>増加→総重量増</v>
      </c>
      <c r="M25" s="1" t="s">
        <v>1474</v>
      </c>
      <c r="N25" s="1"/>
      <c r="O25" s="1">
        <f t="shared" si="1"/>
        <v>0</v>
      </c>
      <c r="P25" s="1"/>
      <c r="Q25" s="1">
        <f t="shared" si="2"/>
        <v>1</v>
      </c>
      <c r="R25" s="1">
        <f>IF(Q25=1,COUNTIF($Q$5:Q25,1),"")</f>
        <v>20</v>
      </c>
    </row>
    <row r="26" spans="1:18">
      <c r="A26" s="1" t="s">
        <v>1529</v>
      </c>
      <c r="B26" s="1" t="s">
        <v>1526</v>
      </c>
      <c r="C26" s="1">
        <v>4</v>
      </c>
      <c r="D26" s="1" t="s">
        <v>207</v>
      </c>
      <c r="E26" s="1" t="s">
        <v>208</v>
      </c>
      <c r="F26" s="1">
        <f>F218*F219*1000000</f>
        <v>4200.0000000000009</v>
      </c>
      <c r="G26" s="1" t="s">
        <v>168</v>
      </c>
      <c r="H26" s="1">
        <f t="shared" si="0"/>
        <v>0.16176384000000008</v>
      </c>
      <c r="I26" s="1" t="s">
        <v>1530</v>
      </c>
      <c r="J26" s="1">
        <f>1</f>
        <v>1</v>
      </c>
      <c r="K26" s="1">
        <f>K25*J26</f>
        <v>1.3005535289382622E-2</v>
      </c>
      <c r="L26" s="1" t="str">
        <f t="shared" si="3"/>
        <v>増加→総重量増</v>
      </c>
      <c r="M26" s="1" t="s">
        <v>1474</v>
      </c>
      <c r="N26" s="1"/>
      <c r="O26" s="1">
        <f t="shared" si="1"/>
        <v>0</v>
      </c>
      <c r="P26" s="1"/>
      <c r="Q26" s="1">
        <f t="shared" si="2"/>
        <v>1</v>
      </c>
      <c r="R26" s="1">
        <f>IF(Q26=1,COUNTIF($Q$5:Q26,1),"")</f>
        <v>21</v>
      </c>
    </row>
    <row r="27" spans="1:18">
      <c r="A27" s="1" t="s">
        <v>1531</v>
      </c>
      <c r="B27" s="1" t="s">
        <v>1526</v>
      </c>
      <c r="C27" s="1">
        <v>4</v>
      </c>
      <c r="D27" s="1" t="s">
        <v>1532</v>
      </c>
      <c r="E27" s="1" t="s">
        <v>212</v>
      </c>
      <c r="F27" s="1">
        <f>F220+F221+F222</f>
        <v>0.91999999999999993</v>
      </c>
      <c r="G27" s="1" t="s">
        <v>173</v>
      </c>
      <c r="H27" s="1">
        <f t="shared" si="0"/>
        <v>0.16176384000000008</v>
      </c>
      <c r="I27" s="1" t="s">
        <v>1533</v>
      </c>
      <c r="J27" s="1">
        <f>1</f>
        <v>1</v>
      </c>
      <c r="K27" s="1">
        <f>K25*J27</f>
        <v>1.3005535289382622E-2</v>
      </c>
      <c r="L27" s="1" t="str">
        <f t="shared" si="3"/>
        <v>増加→総重量増</v>
      </c>
      <c r="M27" s="1" t="s">
        <v>1474</v>
      </c>
      <c r="N27" s="1"/>
      <c r="O27" s="1">
        <f t="shared" si="1"/>
        <v>0</v>
      </c>
      <c r="P27" s="1"/>
      <c r="Q27" s="1">
        <f t="shared" si="2"/>
        <v>1</v>
      </c>
      <c r="R27" s="1">
        <f>IF(Q27=1,COUNTIF($Q$5:Q27,1),"")</f>
        <v>22</v>
      </c>
    </row>
    <row r="28" spans="1:18">
      <c r="A28" s="1" t="s">
        <v>1534</v>
      </c>
      <c r="B28" s="1" t="s">
        <v>1526</v>
      </c>
      <c r="C28" s="1">
        <v>4</v>
      </c>
      <c r="D28" s="1" t="s">
        <v>1535</v>
      </c>
      <c r="E28" s="1" t="s">
        <v>215</v>
      </c>
      <c r="F28" s="1">
        <f>(F223*(F254+F256)+F224*F255)/F225</f>
        <v>6977.391304347826</v>
      </c>
      <c r="G28" s="1" t="s">
        <v>178</v>
      </c>
      <c r="H28" s="1">
        <f t="shared" si="0"/>
        <v>0.16176384000000008</v>
      </c>
      <c r="I28" s="1" t="s">
        <v>1536</v>
      </c>
      <c r="J28" s="1">
        <f>1</f>
        <v>1</v>
      </c>
      <c r="K28" s="1">
        <f>K25*J28</f>
        <v>1.3005535289382622E-2</v>
      </c>
      <c r="L28" s="1" t="str">
        <f t="shared" si="3"/>
        <v>増加→総重量増</v>
      </c>
      <c r="M28" s="1" t="s">
        <v>1474</v>
      </c>
      <c r="N28" s="1"/>
      <c r="O28" s="1">
        <f t="shared" si="1"/>
        <v>0</v>
      </c>
      <c r="P28" s="1"/>
      <c r="Q28" s="1">
        <f t="shared" si="2"/>
        <v>1</v>
      </c>
      <c r="R28" s="1">
        <f>IF(Q28=1,COUNTIF($Q$5:Q28,1),"")</f>
        <v>23</v>
      </c>
    </row>
    <row r="29" spans="1:18">
      <c r="A29" s="1" t="s">
        <v>1537</v>
      </c>
      <c r="B29" s="1" t="s">
        <v>1484</v>
      </c>
      <c r="C29" s="1">
        <v>3</v>
      </c>
      <c r="D29" s="1" t="s">
        <v>1538</v>
      </c>
      <c r="E29" s="1" t="s">
        <v>219</v>
      </c>
      <c r="F29" s="1">
        <f>F30*F31*F32*0.000000001</f>
        <v>6.7392000000000021E-2</v>
      </c>
      <c r="G29" s="1" t="s">
        <v>229</v>
      </c>
      <c r="H29" s="1">
        <f t="shared" si="0"/>
        <v>0.40435200000000027</v>
      </c>
      <c r="I29" s="1" t="s">
        <v>1539</v>
      </c>
      <c r="J29" s="1">
        <f>F29/F8</f>
        <v>0.39761809465603942</v>
      </c>
      <c r="K29" s="1">
        <f>K8*J29</f>
        <v>3.2509207282248265E-2</v>
      </c>
      <c r="L29" s="1" t="str">
        <f t="shared" si="3"/>
        <v>増加→総重量増</v>
      </c>
      <c r="M29" s="1" t="s">
        <v>1474</v>
      </c>
      <c r="N29" s="1"/>
      <c r="O29" s="1">
        <f t="shared" si="1"/>
        <v>0</v>
      </c>
      <c r="P29" s="1"/>
      <c r="Q29" s="1">
        <f t="shared" si="2"/>
        <v>1</v>
      </c>
      <c r="R29" s="1">
        <f>IF(Q29=1,COUNTIF($Q$5:Q29,1),"")</f>
        <v>24</v>
      </c>
    </row>
    <row r="30" spans="1:18">
      <c r="A30" s="1" t="s">
        <v>1540</v>
      </c>
      <c r="B30" s="1" t="s">
        <v>1537</v>
      </c>
      <c r="C30" s="1">
        <v>4</v>
      </c>
      <c r="D30" s="1" t="s">
        <v>217</v>
      </c>
      <c r="E30" s="1" t="s">
        <v>218</v>
      </c>
      <c r="F30" s="1">
        <f>F229*F230*1000000</f>
        <v>5200.0000000000009</v>
      </c>
      <c r="G30" s="1" t="s">
        <v>168</v>
      </c>
      <c r="H30" s="1">
        <f t="shared" si="0"/>
        <v>0.40435200000000027</v>
      </c>
      <c r="I30" s="1" t="s">
        <v>1541</v>
      </c>
      <c r="J30" s="1">
        <f>1</f>
        <v>1</v>
      </c>
      <c r="K30" s="1">
        <f>K29*J30</f>
        <v>3.2509207282248265E-2</v>
      </c>
      <c r="L30" s="1" t="str">
        <f t="shared" si="3"/>
        <v>増加→総重量増</v>
      </c>
      <c r="M30" s="1" t="s">
        <v>1474</v>
      </c>
      <c r="N30" s="1"/>
      <c r="O30" s="1">
        <f t="shared" si="1"/>
        <v>0</v>
      </c>
      <c r="P30" s="1"/>
      <c r="Q30" s="1">
        <f t="shared" si="2"/>
        <v>1</v>
      </c>
      <c r="R30" s="1">
        <f>IF(Q30=1,COUNTIF($Q$5:Q30,1),"")</f>
        <v>25</v>
      </c>
    </row>
    <row r="31" spans="1:18">
      <c r="A31" s="1" t="s">
        <v>1542</v>
      </c>
      <c r="B31" s="1" t="s">
        <v>1537</v>
      </c>
      <c r="C31" s="1">
        <v>4</v>
      </c>
      <c r="D31" s="1" t="s">
        <v>221</v>
      </c>
      <c r="E31" s="1" t="s">
        <v>222</v>
      </c>
      <c r="F31" s="1">
        <f>MAX(F269,F231)</f>
        <v>4.8</v>
      </c>
      <c r="G31" s="1" t="s">
        <v>173</v>
      </c>
      <c r="H31" s="1">
        <f t="shared" si="0"/>
        <v>0.40435200000000027</v>
      </c>
      <c r="I31" s="1" t="s">
        <v>1543</v>
      </c>
      <c r="J31" s="1">
        <f>1</f>
        <v>1</v>
      </c>
      <c r="K31" s="1">
        <f>K29*J31</f>
        <v>3.2509207282248265E-2</v>
      </c>
      <c r="L31" s="1" t="str">
        <f t="shared" si="3"/>
        <v>増加→総重量増</v>
      </c>
      <c r="M31" s="1" t="s">
        <v>1474</v>
      </c>
      <c r="N31" s="1"/>
      <c r="O31" s="1">
        <f t="shared" si="1"/>
        <v>0</v>
      </c>
      <c r="P31" s="1"/>
      <c r="Q31" s="1">
        <f t="shared" si="2"/>
        <v>1</v>
      </c>
      <c r="R31" s="1">
        <f>IF(Q31=1,COUNTIF($Q$5:Q31,1),"")</f>
        <v>26</v>
      </c>
    </row>
    <row r="32" spans="1:18">
      <c r="A32" s="1" t="s">
        <v>1544</v>
      </c>
      <c r="B32" s="1" t="s">
        <v>1537</v>
      </c>
      <c r="C32" s="1">
        <v>4</v>
      </c>
      <c r="D32" s="1" t="s">
        <v>224</v>
      </c>
      <c r="E32" s="1" t="s">
        <v>225</v>
      </c>
      <c r="F32" s="1">
        <f>'01_入力仕様'!D40</f>
        <v>2700</v>
      </c>
      <c r="G32" s="1" t="s">
        <v>178</v>
      </c>
      <c r="H32" s="1">
        <f t="shared" si="0"/>
        <v>0.40435200000000027</v>
      </c>
      <c r="I32" s="1" t="s">
        <v>1482</v>
      </c>
      <c r="J32" s="1">
        <f>1</f>
        <v>1</v>
      </c>
      <c r="K32" s="1">
        <f>K29*J32</f>
        <v>3.2509207282248265E-2</v>
      </c>
      <c r="L32" s="1" t="str">
        <f t="shared" si="3"/>
        <v>増加→総重量増</v>
      </c>
      <c r="M32" s="1" t="s">
        <v>1474</v>
      </c>
      <c r="N32" s="1"/>
      <c r="O32" s="1">
        <f t="shared" si="1"/>
        <v>1</v>
      </c>
      <c r="P32" s="1"/>
      <c r="Q32" s="1">
        <f t="shared" si="2"/>
        <v>1</v>
      </c>
      <c r="R32" s="1">
        <f>IF(Q32=1,COUNTIF($Q$5:Q32,1),"")</f>
        <v>27</v>
      </c>
    </row>
    <row r="33" spans="1:18">
      <c r="A33" s="1" t="s">
        <v>1545</v>
      </c>
      <c r="B33" s="1" t="s">
        <v>1484</v>
      </c>
      <c r="C33" s="1">
        <v>3</v>
      </c>
      <c r="D33" s="1" t="s">
        <v>1546</v>
      </c>
      <c r="E33" s="1" t="s">
        <v>228</v>
      </c>
      <c r="F33" s="1">
        <f>'01_入力仕様'!D41</f>
        <v>7.4999999999999997E-2</v>
      </c>
      <c r="G33" s="1" t="s">
        <v>229</v>
      </c>
      <c r="H33" s="1">
        <f t="shared" si="0"/>
        <v>0.45000000000000012</v>
      </c>
      <c r="I33" s="1" t="s">
        <v>1482</v>
      </c>
      <c r="J33" s="1">
        <f>F33/F8</f>
        <v>0.4425058923789611</v>
      </c>
      <c r="K33" s="1">
        <f>K8*J33</f>
        <v>3.6179228189823998E-2</v>
      </c>
      <c r="L33" s="1" t="str">
        <f t="shared" si="3"/>
        <v>増加→総重量増</v>
      </c>
      <c r="M33" s="1" t="s">
        <v>1474</v>
      </c>
      <c r="N33" s="1"/>
      <c r="O33" s="1">
        <f t="shared" si="1"/>
        <v>1</v>
      </c>
      <c r="P33" s="1"/>
      <c r="Q33" s="1">
        <f t="shared" si="2"/>
        <v>1</v>
      </c>
      <c r="R33" s="1">
        <f>IF(Q33=1,COUNTIF($Q$5:Q33,1),"")</f>
        <v>28</v>
      </c>
    </row>
    <row r="34" spans="1:18">
      <c r="A34" s="1" t="s">
        <v>1547</v>
      </c>
      <c r="B34" s="1" t="s">
        <v>1470</v>
      </c>
      <c r="C34" s="1">
        <v>1</v>
      </c>
      <c r="D34" s="1" t="s">
        <v>1548</v>
      </c>
      <c r="E34" s="1" t="s">
        <v>274</v>
      </c>
      <c r="F34" s="1">
        <f>F35+F443+F457+F95+F540</f>
        <v>0.56688782308704977</v>
      </c>
      <c r="G34" s="1" t="s">
        <v>229</v>
      </c>
      <c r="H34" s="1">
        <f t="shared" si="0"/>
        <v>0.56688782308704977</v>
      </c>
      <c r="I34" s="1" t="s">
        <v>1549</v>
      </c>
      <c r="J34" s="1">
        <f>F34/F5</f>
        <v>4.5576808687775437E-2</v>
      </c>
      <c r="K34" s="1">
        <f>K5*J34</f>
        <v>4.5576808687775437E-2</v>
      </c>
      <c r="L34" s="1" t="str">
        <f t="shared" si="3"/>
        <v>増加→総重量増</v>
      </c>
      <c r="M34" s="1" t="s">
        <v>1474</v>
      </c>
      <c r="N34" s="1"/>
      <c r="O34" s="1">
        <f t="shared" si="1"/>
        <v>0</v>
      </c>
      <c r="P34" s="1"/>
      <c r="Q34" s="1">
        <f t="shared" si="2"/>
        <v>1</v>
      </c>
      <c r="R34" s="1">
        <f>IF(Q34=1,COUNTIF($Q$5:Q34,1),"")</f>
        <v>29</v>
      </c>
    </row>
    <row r="35" spans="1:18">
      <c r="A35" s="1" t="s">
        <v>1550</v>
      </c>
      <c r="B35" s="1" t="s">
        <v>1547</v>
      </c>
      <c r="C35" s="1">
        <v>2</v>
      </c>
      <c r="D35" s="1" t="s">
        <v>1551</v>
      </c>
      <c r="E35" s="1" t="s">
        <v>1166</v>
      </c>
      <c r="F35" s="1">
        <f>F36/F82*F452*F459*F514*F536</f>
        <v>1.6887823087049829E-2</v>
      </c>
      <c r="G35" s="1" t="s">
        <v>229</v>
      </c>
      <c r="H35" s="1">
        <f t="shared" si="0"/>
        <v>1.6887823087049829E-2</v>
      </c>
      <c r="I35" s="1" t="s">
        <v>1552</v>
      </c>
      <c r="J35" s="1">
        <f>F35/F34</f>
        <v>2.979041425706648E-2</v>
      </c>
      <c r="K35" s="1">
        <f>K34*J35</f>
        <v>1.3577520113238967E-3</v>
      </c>
      <c r="L35" s="1" t="str">
        <f t="shared" si="3"/>
        <v>増加→総重量増</v>
      </c>
      <c r="M35" s="1" t="s">
        <v>1474</v>
      </c>
      <c r="N35" s="1"/>
      <c r="O35" s="1">
        <f t="shared" si="1"/>
        <v>0</v>
      </c>
      <c r="P35" s="1"/>
      <c r="Q35" s="1">
        <f t="shared" si="2"/>
        <v>1</v>
      </c>
      <c r="R35" s="1">
        <f>IF(Q35=1,COUNTIF($Q$5:Q35,1),"")</f>
        <v>30</v>
      </c>
    </row>
    <row r="36" spans="1:18" ht="57">
      <c r="A36" s="1" t="s">
        <v>1553</v>
      </c>
      <c r="B36" s="1" t="s">
        <v>1550</v>
      </c>
      <c r="C36" s="1">
        <v>3</v>
      </c>
      <c r="D36" s="1" t="s">
        <v>1554</v>
      </c>
      <c r="E36" s="1" t="s">
        <v>270</v>
      </c>
      <c r="F36" s="1">
        <f>F37*(F38+F444+F471+F479+F488+F504+F516+F534+F569+F595+F675)</f>
        <v>777.77730958902305</v>
      </c>
      <c r="G36" s="1" t="s">
        <v>984</v>
      </c>
      <c r="H36" s="1">
        <f t="shared" si="0"/>
        <v>1.6887823087049829E-2</v>
      </c>
      <c r="I36" s="1" t="s">
        <v>1555</v>
      </c>
      <c r="J36" s="1">
        <f>1</f>
        <v>1</v>
      </c>
      <c r="K36" s="1">
        <f>K35*J36</f>
        <v>1.3577520113238967E-3</v>
      </c>
      <c r="L36" s="1" t="str">
        <f t="shared" si="3"/>
        <v>増加→総重量増</v>
      </c>
      <c r="M36" s="1" t="s">
        <v>1474</v>
      </c>
      <c r="N36" s="1" t="s">
        <v>1556</v>
      </c>
      <c r="O36" s="1">
        <f t="shared" si="1"/>
        <v>0</v>
      </c>
      <c r="P36" s="1"/>
      <c r="Q36" s="1">
        <f t="shared" si="2"/>
        <v>1</v>
      </c>
      <c r="R36" s="1">
        <f>IF(Q36=1,COUNTIF($Q$5:Q36,1),"")</f>
        <v>31</v>
      </c>
    </row>
    <row r="37" spans="1:18">
      <c r="A37" s="1" t="s">
        <v>1557</v>
      </c>
      <c r="B37" s="1" t="s">
        <v>1553</v>
      </c>
      <c r="C37" s="1">
        <v>4</v>
      </c>
      <c r="D37" s="1" t="s">
        <v>268</v>
      </c>
      <c r="E37" s="1" t="s">
        <v>269</v>
      </c>
      <c r="F37" s="1">
        <f>'01_入力仕様'!D51</f>
        <v>1.2</v>
      </c>
      <c r="G37" s="1" t="s">
        <v>86</v>
      </c>
      <c r="H37" s="1">
        <f t="shared" si="0"/>
        <v>1.6887823087049829E-2</v>
      </c>
      <c r="I37" s="1" t="s">
        <v>1482</v>
      </c>
      <c r="J37" s="1">
        <f>1</f>
        <v>1</v>
      </c>
      <c r="K37" s="1">
        <f>K36*J37</f>
        <v>1.3577520113238967E-3</v>
      </c>
      <c r="L37" s="1" t="str">
        <f t="shared" si="3"/>
        <v>増加→総重量増</v>
      </c>
      <c r="M37" s="1" t="s">
        <v>1474</v>
      </c>
      <c r="N37" s="1"/>
      <c r="O37" s="1">
        <f t="shared" si="1"/>
        <v>1</v>
      </c>
      <c r="P37" s="1"/>
      <c r="Q37" s="1">
        <f t="shared" si="2"/>
        <v>1</v>
      </c>
      <c r="R37" s="1">
        <f>IF(Q37=1,COUNTIF($Q$5:Q37,1),"")</f>
        <v>32</v>
      </c>
    </row>
    <row r="38" spans="1:18" ht="28.5">
      <c r="A38" s="1" t="s">
        <v>1558</v>
      </c>
      <c r="B38" s="1" t="s">
        <v>1553</v>
      </c>
      <c r="C38" s="1">
        <v>4</v>
      </c>
      <c r="D38" s="1" t="s">
        <v>1559</v>
      </c>
      <c r="E38" s="1" t="s">
        <v>1423</v>
      </c>
      <c r="F38" s="1">
        <f>F39+F68+F319+F332+F350+'01_入力仕様'!D334*'01_入力仕様'!D335*F660</f>
        <v>39.820744558486986</v>
      </c>
      <c r="G38" s="1" t="s">
        <v>984</v>
      </c>
      <c r="H38" s="1">
        <f t="shared" si="0"/>
        <v>1.037549973763577E-3</v>
      </c>
      <c r="I38" s="1" t="s">
        <v>1560</v>
      </c>
      <c r="J38" s="1">
        <f>IFERROR(F38/(F38+F444+F471+F479+F488+F504+F516+F534+F569+F595+F675),0)</f>
        <v>6.1437757158837508E-2</v>
      </c>
      <c r="K38" s="1">
        <f>K36*J38</f>
        <v>8.3417238353640757E-5</v>
      </c>
      <c r="L38" s="1" t="str">
        <f t="shared" si="3"/>
        <v>増加→総重量増</v>
      </c>
      <c r="M38" s="1" t="s">
        <v>1474</v>
      </c>
      <c r="N38" s="1"/>
      <c r="O38" s="1">
        <f t="shared" si="1"/>
        <v>0</v>
      </c>
      <c r="P38" s="1"/>
      <c r="Q38" s="1">
        <f t="shared" si="2"/>
        <v>1</v>
      </c>
      <c r="R38" s="1">
        <f>IF(Q38=1,COUNTIF($Q$5:Q38,1),"")</f>
        <v>33</v>
      </c>
    </row>
    <row r="39" spans="1:18" ht="57">
      <c r="A39" s="1" t="s">
        <v>1561</v>
      </c>
      <c r="B39" s="1" t="s">
        <v>1558</v>
      </c>
      <c r="C39" s="1">
        <v>5</v>
      </c>
      <c r="D39" s="1" t="s">
        <v>1562</v>
      </c>
      <c r="E39" s="1" t="s">
        <v>1337</v>
      </c>
      <c r="F39" s="1">
        <f>IF(F649=1,F644*F646^2*F650,F644*F646^2*F44+F645*F646*F647)</f>
        <v>10.599889228568111</v>
      </c>
      <c r="G39" s="1" t="s">
        <v>984</v>
      </c>
      <c r="H39" s="1">
        <f t="shared" si="0"/>
        <v>2.7618556390487389E-4</v>
      </c>
      <c r="I39" s="1" t="s">
        <v>1563</v>
      </c>
      <c r="J39" s="1">
        <f>IF(F38=0,0,F39/F38)</f>
        <v>0.26619013145270182</v>
      </c>
      <c r="K39" s="1">
        <f>K38*J39</f>
        <v>2.2204845642776994E-5</v>
      </c>
      <c r="L39" s="1" t="str">
        <f t="shared" si="3"/>
        <v>増加→総重量増</v>
      </c>
      <c r="M39" s="1" t="s">
        <v>1474</v>
      </c>
      <c r="N39" s="1" t="s">
        <v>1564</v>
      </c>
      <c r="O39" s="1">
        <f t="shared" si="1"/>
        <v>0</v>
      </c>
      <c r="P39" s="1"/>
      <c r="Q39" s="1">
        <f t="shared" si="2"/>
        <v>1</v>
      </c>
      <c r="R39" s="1">
        <f>IF(Q39=1,COUNTIF($Q$5:Q39,1),"")</f>
        <v>34</v>
      </c>
    </row>
    <row r="40" spans="1:18">
      <c r="A40" s="1"/>
      <c r="B40" s="1"/>
      <c r="C40" s="1"/>
      <c r="D40" s="1"/>
      <c r="E40" s="1"/>
      <c r="F40" s="1"/>
      <c r="G40" s="1"/>
      <c r="H40" s="1"/>
      <c r="I40" s="1"/>
      <c r="J40" s="1"/>
      <c r="K40" s="1"/>
      <c r="L40" s="1"/>
      <c r="M40" s="1"/>
      <c r="N40" s="1"/>
      <c r="O40" s="1" t="str">
        <f t="shared" si="1"/>
        <v/>
      </c>
      <c r="P40" s="1"/>
      <c r="Q40" s="1"/>
      <c r="R40" s="1"/>
    </row>
    <row r="41" spans="1:18">
      <c r="A41" s="1"/>
      <c r="B41" s="1"/>
      <c r="C41" s="1"/>
      <c r="D41" s="1"/>
      <c r="E41" s="1"/>
      <c r="F41" s="1"/>
      <c r="G41" s="1"/>
      <c r="H41" s="1"/>
      <c r="I41" s="1"/>
      <c r="J41" s="1"/>
      <c r="K41" s="1"/>
      <c r="L41" s="1"/>
      <c r="M41" s="1"/>
      <c r="N41" s="1"/>
      <c r="O41" s="1" t="str">
        <f t="shared" si="1"/>
        <v/>
      </c>
      <c r="P41" s="1"/>
      <c r="Q41" s="1"/>
      <c r="R41" s="1"/>
    </row>
    <row r="42" spans="1:18">
      <c r="A42" s="1"/>
      <c r="B42" s="1"/>
      <c r="C42" s="1"/>
      <c r="D42" s="1"/>
      <c r="E42" s="1"/>
      <c r="F42" s="1"/>
      <c r="G42" s="1"/>
      <c r="H42" s="1"/>
      <c r="I42" s="1"/>
      <c r="J42" s="1"/>
      <c r="K42" s="1"/>
      <c r="L42" s="1"/>
      <c r="M42" s="1"/>
      <c r="N42" s="1"/>
      <c r="O42" s="1" t="str">
        <f t="shared" si="1"/>
        <v/>
      </c>
      <c r="P42" s="1"/>
      <c r="Q42" s="1"/>
      <c r="R42" s="1"/>
    </row>
    <row r="43" spans="1:18">
      <c r="A43" s="1"/>
      <c r="B43" s="1"/>
      <c r="C43" s="1"/>
      <c r="D43" s="1"/>
      <c r="E43" s="1"/>
      <c r="F43" s="1"/>
      <c r="G43" s="1"/>
      <c r="H43" s="1"/>
      <c r="I43" s="1"/>
      <c r="J43" s="1"/>
      <c r="K43" s="1"/>
      <c r="L43" s="1"/>
      <c r="M43" s="1"/>
      <c r="N43" s="1"/>
      <c r="O43" s="1" t="str">
        <f t="shared" si="1"/>
        <v/>
      </c>
      <c r="P43" s="1"/>
      <c r="Q43" s="1"/>
      <c r="R43" s="1"/>
    </row>
    <row r="44" spans="1:18" ht="28.5">
      <c r="A44" s="1" t="s">
        <v>1565</v>
      </c>
      <c r="B44" s="1" t="s">
        <v>1561</v>
      </c>
      <c r="C44" s="1">
        <v>6</v>
      </c>
      <c r="D44" s="1" t="s">
        <v>1566</v>
      </c>
      <c r="E44" s="1" t="s">
        <v>1567</v>
      </c>
      <c r="F44" s="1">
        <f>F45/(F67*F182)*F328*F461</f>
        <v>1.4401641259330656E-4</v>
      </c>
      <c r="G44" s="1" t="s">
        <v>653</v>
      </c>
      <c r="H44" s="1">
        <f t="shared" ref="H44:H55" si="4">ABS(K44)*$F$5</f>
        <v>2.7618556390487389E-4</v>
      </c>
      <c r="I44" s="1" t="s">
        <v>1568</v>
      </c>
      <c r="J44" s="1">
        <f>1</f>
        <v>1</v>
      </c>
      <c r="K44" s="1">
        <f>K39*J44</f>
        <v>2.2204845642776994E-5</v>
      </c>
      <c r="L44" s="1" t="str">
        <f>IF(K44&gt;0,"増加→総重量増",IF(K44&lt;0,"増加→総重量減","中立"))</f>
        <v>増加→総重量増</v>
      </c>
      <c r="M44" s="1" t="s">
        <v>1474</v>
      </c>
      <c r="N44" s="1"/>
      <c r="O44" s="1">
        <f t="shared" si="1"/>
        <v>0</v>
      </c>
      <c r="P44" s="1"/>
      <c r="Q44" s="1">
        <f t="shared" ref="Q44:Q75" si="5">IF(E44="","",--(MATCH(E44,$E$5:$E$560,0)=ROW()-4))</f>
        <v>1</v>
      </c>
      <c r="R44" s="1">
        <f>IF(Q44=1,COUNTIF($Q$5:Q44,1),"")</f>
        <v>35</v>
      </c>
    </row>
    <row r="45" spans="1:18">
      <c r="A45" s="1" t="s">
        <v>1569</v>
      </c>
      <c r="B45" s="1" t="s">
        <v>1565</v>
      </c>
      <c r="C45" s="1">
        <v>7</v>
      </c>
      <c r="D45" s="1" t="s">
        <v>1570</v>
      </c>
      <c r="E45" s="1" t="s">
        <v>165</v>
      </c>
      <c r="F45" s="1">
        <f>F46+F66</f>
        <v>3.9728665542981129E-2</v>
      </c>
      <c r="G45" s="1" t="s">
        <v>164</v>
      </c>
      <c r="H45" s="1">
        <f t="shared" si="4"/>
        <v>2.7618556390487389E-4</v>
      </c>
      <c r="I45" s="1" t="s">
        <v>1571</v>
      </c>
      <c r="J45" s="1">
        <f>1</f>
        <v>1</v>
      </c>
      <c r="K45" s="1">
        <f>K44*J45</f>
        <v>2.2204845642776994E-5</v>
      </c>
      <c r="L45" s="1" t="str">
        <f>IF(K45&gt;0,"増加→総重量増",IF(K45&lt;0,"増加→総重量減","中立"))</f>
        <v>増加→総重量増</v>
      </c>
      <c r="M45" s="1" t="s">
        <v>1474</v>
      </c>
      <c r="N45" s="1"/>
      <c r="O45" s="1">
        <f t="shared" si="1"/>
        <v>0</v>
      </c>
      <c r="P45" s="1"/>
      <c r="Q45" s="1">
        <f t="shared" si="5"/>
        <v>1</v>
      </c>
      <c r="R45" s="1">
        <f>IF(Q45=1,COUNTIF($Q$5:Q45,1),"")</f>
        <v>36</v>
      </c>
    </row>
    <row r="46" spans="1:18">
      <c r="A46" s="1" t="s">
        <v>1572</v>
      </c>
      <c r="B46" s="1" t="s">
        <v>1569</v>
      </c>
      <c r="C46" s="1">
        <v>8</v>
      </c>
      <c r="D46" s="1" t="s">
        <v>1573</v>
      </c>
      <c r="E46" s="1" t="s">
        <v>160</v>
      </c>
      <c r="F46" s="1">
        <f>F47*F48*F58*1000000</f>
        <v>3.8228665542981127E-2</v>
      </c>
      <c r="G46" s="1" t="s">
        <v>164</v>
      </c>
      <c r="H46" s="1">
        <f t="shared" si="4"/>
        <v>2.6575787044486786E-4</v>
      </c>
      <c r="I46" s="1" t="s">
        <v>1574</v>
      </c>
      <c r="J46" s="1">
        <f>F46/F45</f>
        <v>0.96224388663703786</v>
      </c>
      <c r="K46" s="1">
        <f>K45*J46</f>
        <v>2.1366476973481231E-5</v>
      </c>
      <c r="L46" s="1" t="str">
        <f>IF(K46&gt;0,"増加→総重量増",IF(K46&lt;0,"増加→総重量減","中立"))</f>
        <v>増加→総重量増</v>
      </c>
      <c r="M46" s="1" t="s">
        <v>1474</v>
      </c>
      <c r="N46" s="1"/>
      <c r="O46" s="1">
        <f t="shared" si="1"/>
        <v>0</v>
      </c>
      <c r="P46" s="1"/>
      <c r="Q46" s="1">
        <f t="shared" si="5"/>
        <v>1</v>
      </c>
      <c r="R46" s="1">
        <f>IF(Q46=1,COUNTIF($Q$5:Q46,1),"")</f>
        <v>37</v>
      </c>
    </row>
    <row r="47" spans="1:18">
      <c r="A47" s="1" t="s">
        <v>1575</v>
      </c>
      <c r="B47" s="1" t="s">
        <v>1572</v>
      </c>
      <c r="C47" s="1">
        <v>9</v>
      </c>
      <c r="D47" s="1" t="s">
        <v>1576</v>
      </c>
      <c r="E47" s="1" t="s">
        <v>159</v>
      </c>
      <c r="F47" s="1">
        <f>'01_入力仕様'!D23</f>
        <v>1</v>
      </c>
      <c r="G47" s="1" t="s">
        <v>86</v>
      </c>
      <c r="H47" s="1">
        <f t="shared" si="4"/>
        <v>2.6575787044486786E-4</v>
      </c>
      <c r="I47" s="1" t="s">
        <v>1482</v>
      </c>
      <c r="J47" s="1">
        <f>1</f>
        <v>1</v>
      </c>
      <c r="K47" s="1">
        <f>K46*J47</f>
        <v>2.1366476973481231E-5</v>
      </c>
      <c r="L47" s="1" t="str">
        <f>IF(K47&gt;0,"増加→総重量増",IF(K47&lt;0,"増加→総重量減","中立"))</f>
        <v>増加→総重量増</v>
      </c>
      <c r="M47" s="1" t="s">
        <v>1474</v>
      </c>
      <c r="N47" s="1"/>
      <c r="O47" s="1">
        <f t="shared" si="1"/>
        <v>1</v>
      </c>
      <c r="P47" s="1"/>
      <c r="Q47" s="1">
        <f t="shared" si="5"/>
        <v>1</v>
      </c>
      <c r="R47" s="1">
        <f>IF(Q47=1,COUNTIF($Q$5:Q47,1),"")</f>
        <v>38</v>
      </c>
    </row>
    <row r="48" spans="1:18">
      <c r="A48" s="1" t="s">
        <v>1577</v>
      </c>
      <c r="B48" s="1" t="s">
        <v>1572</v>
      </c>
      <c r="C48" s="1">
        <v>9</v>
      </c>
      <c r="D48" s="1" t="s">
        <v>1578</v>
      </c>
      <c r="E48" s="1" t="s">
        <v>151</v>
      </c>
      <c r="F48" s="1">
        <f>1/(F49*F50*F51)</f>
        <v>6.7643445278319E-3</v>
      </c>
      <c r="G48" s="1" t="s">
        <v>539</v>
      </c>
      <c r="H48" s="1">
        <f t="shared" si="4"/>
        <v>2.6575787044486786E-4</v>
      </c>
      <c r="I48" s="1" t="s">
        <v>1579</v>
      </c>
      <c r="J48" s="1">
        <f>1</f>
        <v>1</v>
      </c>
      <c r="K48" s="1">
        <f>K46*J48</f>
        <v>2.1366476973481231E-5</v>
      </c>
      <c r="L48" s="1" t="str">
        <f>IF(K48&gt;0,"増加→総重量増",IF(K48&lt;0,"増加→総重量減","中立"))</f>
        <v>増加→総重量増</v>
      </c>
      <c r="M48" s="1" t="s">
        <v>1474</v>
      </c>
      <c r="N48" s="1"/>
      <c r="O48" s="1">
        <f t="shared" si="1"/>
        <v>0</v>
      </c>
      <c r="P48" s="1"/>
      <c r="Q48" s="1">
        <f t="shared" si="5"/>
        <v>1</v>
      </c>
      <c r="R48" s="1">
        <f>IF(Q48=1,COUNTIF($Q$5:Q48,1),"")</f>
        <v>39</v>
      </c>
    </row>
    <row r="49" spans="1:18">
      <c r="A49" s="1" t="s">
        <v>1580</v>
      </c>
      <c r="B49" s="1" t="s">
        <v>1577</v>
      </c>
      <c r="C49" s="1">
        <v>10</v>
      </c>
      <c r="D49" s="1" t="s">
        <v>153</v>
      </c>
      <c r="E49" s="1" t="s">
        <v>154</v>
      </c>
      <c r="F49" s="1">
        <f>'01_入力仕様'!D22</f>
        <v>1.602E-19</v>
      </c>
      <c r="G49" s="1" t="s">
        <v>155</v>
      </c>
      <c r="H49" s="1">
        <f t="shared" si="4"/>
        <v>0</v>
      </c>
      <c r="I49" s="1" t="s">
        <v>157</v>
      </c>
      <c r="J49" s="1">
        <f>0</f>
        <v>0</v>
      </c>
      <c r="K49" s="1">
        <f>0</f>
        <v>0</v>
      </c>
      <c r="L49" s="1" t="s">
        <v>1581</v>
      </c>
      <c r="M49" s="1" t="s">
        <v>1582</v>
      </c>
      <c r="N49" s="1" t="s">
        <v>1581</v>
      </c>
      <c r="O49" s="1">
        <f t="shared" si="1"/>
        <v>1</v>
      </c>
      <c r="P49" s="1"/>
      <c r="Q49" s="1">
        <f t="shared" si="5"/>
        <v>1</v>
      </c>
      <c r="R49" s="1">
        <f>IF(Q49=1,COUNTIF($Q$5:Q49,1),"")</f>
        <v>40</v>
      </c>
    </row>
    <row r="50" spans="1:18">
      <c r="A50" s="1" t="s">
        <v>1583</v>
      </c>
      <c r="B50" s="1" t="s">
        <v>1577</v>
      </c>
      <c r="C50" s="1">
        <v>10</v>
      </c>
      <c r="D50" s="1" t="s">
        <v>1584</v>
      </c>
      <c r="E50" s="1" t="s">
        <v>149</v>
      </c>
      <c r="F50" s="1">
        <f>'01_入力仕様'!D21</f>
        <v>0.08</v>
      </c>
      <c r="G50" s="1" t="s">
        <v>150</v>
      </c>
      <c r="H50" s="1">
        <f t="shared" si="4"/>
        <v>2.6575787044486786E-4</v>
      </c>
      <c r="I50" s="1" t="s">
        <v>1482</v>
      </c>
      <c r="J50" s="1">
        <f>-1</f>
        <v>-1</v>
      </c>
      <c r="K50" s="1">
        <f>K48*J50</f>
        <v>-2.1366476973481231E-5</v>
      </c>
      <c r="L50" s="1" t="str">
        <f t="shared" ref="L50:L68" si="6">IF(K50&gt;0,"増加→総重量増",IF(K50&lt;0,"増加→総重量減","中立"))</f>
        <v>増加→総重量減</v>
      </c>
      <c r="M50" s="1" t="s">
        <v>1474</v>
      </c>
      <c r="N50" s="1"/>
      <c r="O50" s="1">
        <f t="shared" si="1"/>
        <v>1</v>
      </c>
      <c r="P50" s="1"/>
      <c r="Q50" s="1">
        <f t="shared" si="5"/>
        <v>1</v>
      </c>
      <c r="R50" s="1">
        <f>IF(Q50=1,COUNTIF($Q$5:Q50,1),"")</f>
        <v>41</v>
      </c>
    </row>
    <row r="51" spans="1:18">
      <c r="A51" s="1" t="s">
        <v>1585</v>
      </c>
      <c r="B51" s="1" t="s">
        <v>1577</v>
      </c>
      <c r="C51" s="1">
        <v>10</v>
      </c>
      <c r="D51" s="1" t="s">
        <v>1586</v>
      </c>
      <c r="E51" s="1" t="s">
        <v>140</v>
      </c>
      <c r="F51" s="1">
        <f>F52*(F55/F53)^(-F54)</f>
        <v>1.1535111103059734E+22</v>
      </c>
      <c r="G51" s="1" t="s">
        <v>139</v>
      </c>
      <c r="H51" s="1">
        <f t="shared" si="4"/>
        <v>2.6575787044486786E-4</v>
      </c>
      <c r="I51" s="1" t="s">
        <v>1587</v>
      </c>
      <c r="J51" s="1">
        <f>-1</f>
        <v>-1</v>
      </c>
      <c r="K51" s="1">
        <f>K48*J51</f>
        <v>-2.1366476973481231E-5</v>
      </c>
      <c r="L51" s="1" t="str">
        <f t="shared" si="6"/>
        <v>増加→総重量減</v>
      </c>
      <c r="M51" s="1" t="s">
        <v>1474</v>
      </c>
      <c r="N51" s="1"/>
      <c r="O51" s="1">
        <f t="shared" si="1"/>
        <v>0</v>
      </c>
      <c r="P51" s="1"/>
      <c r="Q51" s="1">
        <f t="shared" si="5"/>
        <v>1</v>
      </c>
      <c r="R51" s="1">
        <f>IF(Q51=1,COUNTIF($Q$5:Q51,1),"")</f>
        <v>42</v>
      </c>
    </row>
    <row r="52" spans="1:18">
      <c r="A52" s="1" t="s">
        <v>1588</v>
      </c>
      <c r="B52" s="1" t="s">
        <v>1585</v>
      </c>
      <c r="C52" s="1">
        <v>11</v>
      </c>
      <c r="D52" s="1" t="s">
        <v>1589</v>
      </c>
      <c r="E52" s="1" t="s">
        <v>138</v>
      </c>
      <c r="F52" s="1">
        <f>'01_入力仕様'!D18</f>
        <v>8E+21</v>
      </c>
      <c r="G52" s="1" t="s">
        <v>139</v>
      </c>
      <c r="H52" s="1">
        <f t="shared" si="4"/>
        <v>2.6575787044486786E-4</v>
      </c>
      <c r="I52" s="1" t="s">
        <v>1482</v>
      </c>
      <c r="J52" s="1">
        <f>1</f>
        <v>1</v>
      </c>
      <c r="K52" s="1">
        <f>K51*J52</f>
        <v>-2.1366476973481231E-5</v>
      </c>
      <c r="L52" s="1" t="str">
        <f t="shared" si="6"/>
        <v>増加→総重量減</v>
      </c>
      <c r="M52" s="1" t="s">
        <v>1474</v>
      </c>
      <c r="N52" s="1"/>
      <c r="O52" s="1">
        <f t="shared" si="1"/>
        <v>1</v>
      </c>
      <c r="P52" s="1"/>
      <c r="Q52" s="1">
        <f t="shared" si="5"/>
        <v>1</v>
      </c>
      <c r="R52" s="1">
        <f>IF(Q52=1,COUNTIF($Q$5:Q52,1),"")</f>
        <v>43</v>
      </c>
    </row>
    <row r="53" spans="1:18">
      <c r="A53" s="1" t="s">
        <v>1590</v>
      </c>
      <c r="B53" s="1" t="s">
        <v>1585</v>
      </c>
      <c r="C53" s="1">
        <v>11</v>
      </c>
      <c r="D53" s="1" t="s">
        <v>142</v>
      </c>
      <c r="E53" s="1" t="s">
        <v>143</v>
      </c>
      <c r="F53" s="1">
        <f>'01_入力仕様'!D19</f>
        <v>1200</v>
      </c>
      <c r="G53" s="1" t="s">
        <v>73</v>
      </c>
      <c r="H53" s="1">
        <f t="shared" si="4"/>
        <v>3.1890944453384141E-4</v>
      </c>
      <c r="I53" s="1" t="s">
        <v>1482</v>
      </c>
      <c r="J53" s="1">
        <f>'01_入力仕様'!D20</f>
        <v>1.2</v>
      </c>
      <c r="K53" s="1">
        <f>K51*J53</f>
        <v>-2.5639772368177478E-5</v>
      </c>
      <c r="L53" s="1" t="str">
        <f t="shared" si="6"/>
        <v>増加→総重量減</v>
      </c>
      <c r="M53" s="1" t="s">
        <v>1474</v>
      </c>
      <c r="N53" s="1"/>
      <c r="O53" s="1">
        <f t="shared" si="1"/>
        <v>1</v>
      </c>
      <c r="P53" s="1"/>
      <c r="Q53" s="1">
        <f t="shared" si="5"/>
        <v>1</v>
      </c>
      <c r="R53" s="1">
        <f>IF(Q53=1,COUNTIF($Q$5:Q53,1),"")</f>
        <v>44</v>
      </c>
    </row>
    <row r="54" spans="1:18">
      <c r="A54" s="1" t="s">
        <v>1591</v>
      </c>
      <c r="B54" s="1" t="s">
        <v>1585</v>
      </c>
      <c r="C54" s="1">
        <v>11</v>
      </c>
      <c r="D54" s="1" t="s">
        <v>1592</v>
      </c>
      <c r="E54" s="1" t="s">
        <v>146</v>
      </c>
      <c r="F54" s="1">
        <f>'01_入力仕様'!D20</f>
        <v>1.2</v>
      </c>
      <c r="G54" s="1" t="s">
        <v>86</v>
      </c>
      <c r="H54" s="1">
        <f t="shared" si="4"/>
        <v>9.7255150862962588E-5</v>
      </c>
      <c r="I54" s="1" t="s">
        <v>1482</v>
      </c>
      <c r="J54" s="1">
        <f>-'01_入力仕様'!D20*LN(F55/'01_入力仕様'!D19)</f>
        <v>0.36595398172088539</v>
      </c>
      <c r="K54" s="1">
        <f>K51*J54</f>
        <v>-7.8191473237930685E-6</v>
      </c>
      <c r="L54" s="1" t="str">
        <f t="shared" si="6"/>
        <v>増加→総重量減</v>
      </c>
      <c r="M54" s="1" t="s">
        <v>1474</v>
      </c>
      <c r="N54" s="1"/>
      <c r="O54" s="1">
        <f t="shared" si="1"/>
        <v>1</v>
      </c>
      <c r="P54" s="1"/>
      <c r="Q54" s="1">
        <f t="shared" si="5"/>
        <v>1</v>
      </c>
      <c r="R54" s="1">
        <f>IF(Q54=1,COUNTIF($Q$5:Q54,1),"")</f>
        <v>45</v>
      </c>
    </row>
    <row r="55" spans="1:18" ht="57">
      <c r="A55" s="1" t="s">
        <v>1593</v>
      </c>
      <c r="B55" s="1" t="s">
        <v>1585</v>
      </c>
      <c r="C55" s="1">
        <v>11</v>
      </c>
      <c r="D55" s="1" t="s">
        <v>1594</v>
      </c>
      <c r="E55" s="1" t="s">
        <v>121</v>
      </c>
      <c r="F55" s="1">
        <f>IF(AND('01_入力仕様'!D296=0,OR('07_システム要求'!D25="3L-NPC",'07_システム要求'!D25="3L-ANPC")),0.5*F57+F347,F56*F57+F347)</f>
        <v>884.58197106955993</v>
      </c>
      <c r="G55" s="1" t="s">
        <v>73</v>
      </c>
      <c r="H55" s="1">
        <f t="shared" si="4"/>
        <v>3.1890944453384141E-4</v>
      </c>
      <c r="I55" s="1" t="s">
        <v>1595</v>
      </c>
      <c r="J55" s="1">
        <f>-'01_入力仕様'!D20</f>
        <v>-1.2</v>
      </c>
      <c r="K55" s="1">
        <f>K51*J55</f>
        <v>2.5639772368177478E-5</v>
      </c>
      <c r="L55" s="1" t="str">
        <f t="shared" si="6"/>
        <v>増加→総重量増</v>
      </c>
      <c r="M55" s="1" t="s">
        <v>1474</v>
      </c>
      <c r="N55" s="1" t="s">
        <v>1596</v>
      </c>
      <c r="O55" s="1">
        <f t="shared" si="1"/>
        <v>0</v>
      </c>
      <c r="P55" s="1"/>
      <c r="Q55" s="1">
        <f t="shared" si="5"/>
        <v>1</v>
      </c>
      <c r="R55" s="1">
        <f>IF(Q55=1,COUNTIF($Q$5:Q55,1),"")</f>
        <v>46</v>
      </c>
    </row>
    <row r="56" spans="1:18">
      <c r="A56" s="1" t="s">
        <v>1597</v>
      </c>
      <c r="B56" s="1" t="s">
        <v>1593</v>
      </c>
      <c r="C56" s="1">
        <v>12</v>
      </c>
      <c r="D56" s="1" t="s">
        <v>1598</v>
      </c>
      <c r="E56" s="1" t="s">
        <v>120</v>
      </c>
      <c r="F56" s="1">
        <f>'01_入力仕様'!D14</f>
        <v>1</v>
      </c>
      <c r="G56" s="1" t="s">
        <v>86</v>
      </c>
      <c r="H56" s="1">
        <f>ABS(K56)*F5</f>
        <v>2.8841595688254307E-4</v>
      </c>
      <c r="I56" s="1" t="s">
        <v>1482</v>
      </c>
      <c r="J56" s="1">
        <f>IF(AND('01_入力仕様'!D296=0,OR('07_システム要求'!D25="3L-NPC",'07_システム要求'!D25="3L-ANPC")),0,'01_入力仕様'!D14*'01_入力仕様'!D6/F55)</f>
        <v>0.90438198625358512</v>
      </c>
      <c r="K56" s="1">
        <f>K55*J56</f>
        <v>2.3188148261422137E-5</v>
      </c>
      <c r="L56" s="1" t="str">
        <f t="shared" si="6"/>
        <v>増加→総重量増</v>
      </c>
      <c r="M56" s="1" t="s">
        <v>1474</v>
      </c>
      <c r="N56" s="1"/>
      <c r="O56" s="1">
        <f t="shared" si="1"/>
        <v>1</v>
      </c>
      <c r="P56" s="1"/>
      <c r="Q56" s="1">
        <f t="shared" si="5"/>
        <v>1</v>
      </c>
      <c r="R56" s="1">
        <f>IF(Q56=1,COUNTIF($Q$5:Q56,1),"")</f>
        <v>47</v>
      </c>
    </row>
    <row r="57" spans="1:18">
      <c r="A57" s="1" t="s">
        <v>1599</v>
      </c>
      <c r="B57" s="1" t="s">
        <v>1593</v>
      </c>
      <c r="C57" s="1">
        <v>12</v>
      </c>
      <c r="D57" s="1" t="s">
        <v>71</v>
      </c>
      <c r="E57" s="1" t="s">
        <v>72</v>
      </c>
      <c r="F57" s="1">
        <f>'01_入力仕様'!D6</f>
        <v>800</v>
      </c>
      <c r="G57" s="1" t="s">
        <v>73</v>
      </c>
      <c r="H57" s="1">
        <f>ABS(K57)*F5</f>
        <v>2.8841595688254307E-4</v>
      </c>
      <c r="I57" s="1" t="s">
        <v>1482</v>
      </c>
      <c r="J57" s="1">
        <f>IF(AND('01_入力仕様'!D296=0,OR('07_システム要求'!D25="3L-NPC",'07_システム要求'!D25="3L-ANPC")),0.5*'01_入力仕様'!D6/F55,'01_入力仕様'!D14*'01_入力仕様'!D6/F55)</f>
        <v>0.90438198625358512</v>
      </c>
      <c r="K57" s="1">
        <f>K55*J57</f>
        <v>2.3188148261422137E-5</v>
      </c>
      <c r="L57" s="1" t="str">
        <f t="shared" si="6"/>
        <v>増加→総重量増</v>
      </c>
      <c r="M57" s="1" t="s">
        <v>1474</v>
      </c>
      <c r="N57" s="1" t="s">
        <v>1600</v>
      </c>
      <c r="O57" s="1">
        <f t="shared" si="1"/>
        <v>1</v>
      </c>
      <c r="P57" s="1"/>
      <c r="Q57" s="1">
        <f t="shared" si="5"/>
        <v>1</v>
      </c>
      <c r="R57" s="1">
        <f>IF(Q57=1,COUNTIF($Q$5:Q57,1),"")</f>
        <v>48</v>
      </c>
    </row>
    <row r="58" spans="1:18">
      <c r="A58" s="1" t="s">
        <v>1601</v>
      </c>
      <c r="B58" s="1" t="s">
        <v>1572</v>
      </c>
      <c r="C58" s="1">
        <v>9</v>
      </c>
      <c r="D58" s="1" t="s">
        <v>1602</v>
      </c>
      <c r="E58" s="1" t="s">
        <v>135</v>
      </c>
      <c r="F58" s="1">
        <f>F59*F60/F63</f>
        <v>5.6514959262777436E-6</v>
      </c>
      <c r="G58" s="1" t="s">
        <v>262</v>
      </c>
      <c r="H58" s="1">
        <f>ABS(K58)*$F$5</f>
        <v>2.6575787044486786E-4</v>
      </c>
      <c r="I58" s="1" t="s">
        <v>1603</v>
      </c>
      <c r="J58" s="1">
        <f>1</f>
        <v>1</v>
      </c>
      <c r="K58" s="1">
        <f>K46*J58</f>
        <v>2.1366476973481231E-5</v>
      </c>
      <c r="L58" s="1" t="str">
        <f t="shared" si="6"/>
        <v>増加→総重量増</v>
      </c>
      <c r="M58" s="1" t="s">
        <v>1474</v>
      </c>
      <c r="N58" s="1"/>
      <c r="O58" s="1">
        <f t="shared" si="1"/>
        <v>0</v>
      </c>
      <c r="P58" s="1"/>
      <c r="Q58" s="1">
        <f t="shared" si="5"/>
        <v>1</v>
      </c>
      <c r="R58" s="1">
        <f>IF(Q58=1,COUNTIF($Q$5:Q58,1),"")</f>
        <v>49</v>
      </c>
    </row>
    <row r="59" spans="1:18">
      <c r="A59" s="1" t="s">
        <v>1604</v>
      </c>
      <c r="B59" s="1" t="s">
        <v>1601</v>
      </c>
      <c r="C59" s="1">
        <v>10</v>
      </c>
      <c r="D59" s="1" t="s">
        <v>1605</v>
      </c>
      <c r="E59" s="1" t="s">
        <v>134</v>
      </c>
      <c r="F59" s="1">
        <f>'01_入力仕様'!D17</f>
        <v>1.1499999999999999</v>
      </c>
      <c r="G59" s="1" t="s">
        <v>86</v>
      </c>
      <c r="H59" s="1">
        <f>ABS(K59)*$F$5</f>
        <v>2.6575787044486786E-4</v>
      </c>
      <c r="I59" s="1" t="s">
        <v>1482</v>
      </c>
      <c r="J59" s="1">
        <f>1</f>
        <v>1</v>
      </c>
      <c r="K59" s="1">
        <f>K58*J59</f>
        <v>2.1366476973481231E-5</v>
      </c>
      <c r="L59" s="1" t="str">
        <f t="shared" si="6"/>
        <v>増加→総重量増</v>
      </c>
      <c r="M59" s="1" t="s">
        <v>1474</v>
      </c>
      <c r="N59" s="1"/>
      <c r="O59" s="1">
        <f t="shared" si="1"/>
        <v>1</v>
      </c>
      <c r="P59" s="1"/>
      <c r="Q59" s="1">
        <f t="shared" si="5"/>
        <v>1</v>
      </c>
      <c r="R59" s="1">
        <f>IF(Q59=1,COUNTIF($Q$5:Q59,1),"")</f>
        <v>50</v>
      </c>
    </row>
    <row r="60" spans="1:18" ht="42.75">
      <c r="A60" s="1" t="s">
        <v>1606</v>
      </c>
      <c r="B60" s="1" t="s">
        <v>1601</v>
      </c>
      <c r="C60" s="1">
        <v>10</v>
      </c>
      <c r="D60" s="1" t="s">
        <v>1594</v>
      </c>
      <c r="E60" s="1" t="s">
        <v>121</v>
      </c>
      <c r="F60" s="1">
        <f>IF(AND('01_入力仕様'!D296=0,OR('07_システム要求'!D25="3L-NPC",'07_システム要求'!D25="3L-ANPC")),0.5*F62+F348,F61*F62+F348)</f>
        <v>884.58197106955993</v>
      </c>
      <c r="G60" s="1" t="s">
        <v>73</v>
      </c>
      <c r="H60" s="1">
        <f>ABS(K60)*$F$5</f>
        <v>2.6575787044486786E-4</v>
      </c>
      <c r="I60" s="1" t="s">
        <v>1595</v>
      </c>
      <c r="J60" s="1">
        <f>1</f>
        <v>1</v>
      </c>
      <c r="K60" s="1">
        <f>K58*J60</f>
        <v>2.1366476973481231E-5</v>
      </c>
      <c r="L60" s="1" t="str">
        <f t="shared" si="6"/>
        <v>増加→総重量増</v>
      </c>
      <c r="M60" s="1" t="s">
        <v>1474</v>
      </c>
      <c r="N60" s="1" t="s">
        <v>1607</v>
      </c>
      <c r="O60" s="1">
        <f t="shared" si="1"/>
        <v>0</v>
      </c>
      <c r="P60" s="1"/>
      <c r="Q60" s="1">
        <f t="shared" si="5"/>
        <v>0</v>
      </c>
      <c r="R60" s="1" t="str">
        <f>IF(Q60=1,COUNTIF($Q$5:Q60,1),"")</f>
        <v/>
      </c>
    </row>
    <row r="61" spans="1:18">
      <c r="A61" s="1" t="s">
        <v>1608</v>
      </c>
      <c r="B61" s="1" t="s">
        <v>1606</v>
      </c>
      <c r="C61" s="1">
        <v>11</v>
      </c>
      <c r="D61" s="1" t="s">
        <v>1598</v>
      </c>
      <c r="E61" s="1" t="s">
        <v>120</v>
      </c>
      <c r="F61" s="1">
        <f>'01_入力仕様'!D14</f>
        <v>1</v>
      </c>
      <c r="G61" s="1" t="s">
        <v>86</v>
      </c>
      <c r="H61" s="1">
        <f>ABS(K61)*F5</f>
        <v>2.4034663073545253E-4</v>
      </c>
      <c r="I61" s="1" t="s">
        <v>1482</v>
      </c>
      <c r="J61" s="1">
        <f>IF(AND('01_入力仕様'!D296=0,OR('07_システム要求'!D25="3L-NPC",'07_システム要求'!D25="3L-ANPC")),0,'01_入力仕様'!D14*'01_入力仕様'!D6/F60)</f>
        <v>0.90438198625358512</v>
      </c>
      <c r="K61" s="1">
        <f>K60*J61</f>
        <v>1.9323456884518446E-5</v>
      </c>
      <c r="L61" s="1" t="str">
        <f t="shared" si="6"/>
        <v>増加→総重量増</v>
      </c>
      <c r="M61" s="1" t="s">
        <v>1474</v>
      </c>
      <c r="N61" s="1"/>
      <c r="O61" s="1">
        <f t="shared" si="1"/>
        <v>1</v>
      </c>
      <c r="P61" s="1"/>
      <c r="Q61" s="1">
        <f t="shared" si="5"/>
        <v>0</v>
      </c>
      <c r="R61" s="1" t="str">
        <f>IF(Q61=1,COUNTIF($Q$5:Q61,1),"")</f>
        <v/>
      </c>
    </row>
    <row r="62" spans="1:18">
      <c r="A62" s="1" t="s">
        <v>1609</v>
      </c>
      <c r="B62" s="1" t="s">
        <v>1606</v>
      </c>
      <c r="C62" s="1">
        <v>11</v>
      </c>
      <c r="D62" s="1" t="s">
        <v>71</v>
      </c>
      <c r="E62" s="1" t="s">
        <v>72</v>
      </c>
      <c r="F62" s="1">
        <f>'01_入力仕様'!D6</f>
        <v>800</v>
      </c>
      <c r="G62" s="1" t="s">
        <v>73</v>
      </c>
      <c r="H62" s="1">
        <f>ABS(K62)*F5</f>
        <v>2.4034663073545253E-4</v>
      </c>
      <c r="I62" s="1" t="s">
        <v>1482</v>
      </c>
      <c r="J62" s="1">
        <f>IF(AND('01_入力仕様'!D296=0,OR('07_システム要求'!D25="3L-NPC",'07_システム要求'!D25="3L-ANPC")),0.5*'01_入力仕様'!D6/F60,'01_入力仕様'!D14*'01_入力仕様'!D6/F60)</f>
        <v>0.90438198625358512</v>
      </c>
      <c r="K62" s="1">
        <f>K60*J62</f>
        <v>1.9323456884518446E-5</v>
      </c>
      <c r="L62" s="1" t="str">
        <f t="shared" si="6"/>
        <v>増加→総重量増</v>
      </c>
      <c r="M62" s="1" t="s">
        <v>1474</v>
      </c>
      <c r="N62" s="1" t="s">
        <v>1610</v>
      </c>
      <c r="O62" s="1">
        <f t="shared" si="1"/>
        <v>1</v>
      </c>
      <c r="P62" s="1"/>
      <c r="Q62" s="1">
        <f t="shared" si="5"/>
        <v>0</v>
      </c>
      <c r="R62" s="1" t="str">
        <f>IF(Q62=1,COUNTIF($Q$5:Q62,1),"")</f>
        <v/>
      </c>
    </row>
    <row r="63" spans="1:18">
      <c r="A63" s="1" t="s">
        <v>1611</v>
      </c>
      <c r="B63" s="1" t="s">
        <v>1601</v>
      </c>
      <c r="C63" s="1">
        <v>10</v>
      </c>
      <c r="D63" s="1" t="s">
        <v>1612</v>
      </c>
      <c r="E63" s="1" t="s">
        <v>126</v>
      </c>
      <c r="F63" s="1">
        <f>F64*F65</f>
        <v>180000000</v>
      </c>
      <c r="G63" s="1" t="s">
        <v>130</v>
      </c>
      <c r="H63" s="1">
        <f t="shared" ref="H63:H68" si="7">ABS(K63)*$F$5</f>
        <v>2.6575787044486786E-4</v>
      </c>
      <c r="I63" s="1" t="s">
        <v>1613</v>
      </c>
      <c r="J63" s="1">
        <f>-1</f>
        <v>-1</v>
      </c>
      <c r="K63" s="1">
        <f>K58*J63</f>
        <v>-2.1366476973481231E-5</v>
      </c>
      <c r="L63" s="1" t="str">
        <f t="shared" si="6"/>
        <v>増加→総重量減</v>
      </c>
      <c r="M63" s="1" t="s">
        <v>1474</v>
      </c>
      <c r="N63" s="1"/>
      <c r="O63" s="1">
        <f t="shared" si="1"/>
        <v>0</v>
      </c>
      <c r="P63" s="1"/>
      <c r="Q63" s="1">
        <f t="shared" si="5"/>
        <v>1</v>
      </c>
      <c r="R63" s="1">
        <f>IF(Q63=1,COUNTIF($Q$5:Q63,1),"")</f>
        <v>51</v>
      </c>
    </row>
    <row r="64" spans="1:18">
      <c r="A64" s="1" t="s">
        <v>1614</v>
      </c>
      <c r="B64" s="1" t="s">
        <v>1611</v>
      </c>
      <c r="C64" s="1">
        <v>11</v>
      </c>
      <c r="D64" s="1" t="s">
        <v>505</v>
      </c>
      <c r="E64" s="1" t="s">
        <v>125</v>
      </c>
      <c r="F64" s="1">
        <f>'01_入力仕様'!D15</f>
        <v>0.72</v>
      </c>
      <c r="G64" s="1" t="s">
        <v>86</v>
      </c>
      <c r="H64" s="1">
        <f t="shared" si="7"/>
        <v>2.6575787044486786E-4</v>
      </c>
      <c r="I64" s="1" t="s">
        <v>1482</v>
      </c>
      <c r="J64" s="1">
        <f>1</f>
        <v>1</v>
      </c>
      <c r="K64" s="1">
        <f>K63*J64</f>
        <v>-2.1366476973481231E-5</v>
      </c>
      <c r="L64" s="1" t="str">
        <f t="shared" si="6"/>
        <v>増加→総重量減</v>
      </c>
      <c r="M64" s="1" t="s">
        <v>1474</v>
      </c>
      <c r="N64" s="1"/>
      <c r="O64" s="1">
        <f t="shared" si="1"/>
        <v>1</v>
      </c>
      <c r="P64" s="1"/>
      <c r="Q64" s="1">
        <f t="shared" si="5"/>
        <v>1</v>
      </c>
      <c r="R64" s="1">
        <f>IF(Q64=1,COUNTIF($Q$5:Q64,1),"")</f>
        <v>52</v>
      </c>
    </row>
    <row r="65" spans="1:18">
      <c r="A65" s="1" t="s">
        <v>1615</v>
      </c>
      <c r="B65" s="1" t="s">
        <v>1611</v>
      </c>
      <c r="C65" s="1">
        <v>11</v>
      </c>
      <c r="D65" s="1" t="s">
        <v>1616</v>
      </c>
      <c r="E65" s="1" t="s">
        <v>129</v>
      </c>
      <c r="F65" s="1">
        <f>'01_入力仕様'!D16</f>
        <v>250000000</v>
      </c>
      <c r="G65" s="1" t="s">
        <v>130</v>
      </c>
      <c r="H65" s="1">
        <f t="shared" si="7"/>
        <v>2.6575787044486786E-4</v>
      </c>
      <c r="I65" s="1" t="s">
        <v>1482</v>
      </c>
      <c r="J65" s="1">
        <f>1</f>
        <v>1</v>
      </c>
      <c r="K65" s="1">
        <f>K63*J65</f>
        <v>-2.1366476973481231E-5</v>
      </c>
      <c r="L65" s="1" t="str">
        <f t="shared" si="6"/>
        <v>増加→総重量減</v>
      </c>
      <c r="M65" s="1" t="s">
        <v>1474</v>
      </c>
      <c r="N65" s="1"/>
      <c r="O65" s="1">
        <f t="shared" si="1"/>
        <v>1</v>
      </c>
      <c r="P65" s="1"/>
      <c r="Q65" s="1">
        <f t="shared" si="5"/>
        <v>1</v>
      </c>
      <c r="R65" s="1">
        <f>IF(Q65=1,COUNTIF($Q$5:Q65,1),"")</f>
        <v>53</v>
      </c>
    </row>
    <row r="66" spans="1:18">
      <c r="A66" s="1" t="s">
        <v>1617</v>
      </c>
      <c r="B66" s="1" t="s">
        <v>1569</v>
      </c>
      <c r="C66" s="1">
        <v>8</v>
      </c>
      <c r="D66" s="1" t="s">
        <v>1618</v>
      </c>
      <c r="E66" s="1" t="s">
        <v>163</v>
      </c>
      <c r="F66" s="1">
        <f>'01_入力仕様'!D24</f>
        <v>1.5E-3</v>
      </c>
      <c r="G66" s="1" t="s">
        <v>164</v>
      </c>
      <c r="H66" s="1">
        <f t="shared" si="7"/>
        <v>1.0427693460006019E-5</v>
      </c>
      <c r="I66" s="1" t="s">
        <v>1482</v>
      </c>
      <c r="J66" s="1">
        <f>'01_入力仕様'!D24/F45</f>
        <v>3.7756113362962057E-2</v>
      </c>
      <c r="K66" s="1">
        <f>K45*J66</f>
        <v>8.3836866929576225E-7</v>
      </c>
      <c r="L66" s="1" t="str">
        <f t="shared" si="6"/>
        <v>増加→総重量増</v>
      </c>
      <c r="M66" s="1" t="s">
        <v>1474</v>
      </c>
      <c r="N66" s="1"/>
      <c r="O66" s="1">
        <f t="shared" si="1"/>
        <v>1</v>
      </c>
      <c r="P66" s="1"/>
      <c r="Q66" s="1">
        <f t="shared" si="5"/>
        <v>1</v>
      </c>
      <c r="R66" s="1">
        <f>IF(Q66=1,COUNTIF($Q$5:Q66,1),"")</f>
        <v>54</v>
      </c>
    </row>
    <row r="67" spans="1:18">
      <c r="A67" s="1" t="s">
        <v>1619</v>
      </c>
      <c r="B67" s="1" t="s">
        <v>1565</v>
      </c>
      <c r="C67" s="1">
        <v>7</v>
      </c>
      <c r="D67" s="1" t="s">
        <v>166</v>
      </c>
      <c r="E67" s="1" t="s">
        <v>167</v>
      </c>
      <c r="F67" s="1">
        <f>'01_入力仕様'!D25</f>
        <v>100</v>
      </c>
      <c r="G67" s="1" t="s">
        <v>168</v>
      </c>
      <c r="H67" s="1">
        <f t="shared" si="7"/>
        <v>2.7618556390487389E-4</v>
      </c>
      <c r="I67" s="1" t="s">
        <v>1482</v>
      </c>
      <c r="J67" s="1">
        <f>-1</f>
        <v>-1</v>
      </c>
      <c r="K67" s="1">
        <f>K44*J67</f>
        <v>-2.2204845642776994E-5</v>
      </c>
      <c r="L67" s="1" t="str">
        <f t="shared" si="6"/>
        <v>増加→総重量減</v>
      </c>
      <c r="M67" s="1" t="s">
        <v>1474</v>
      </c>
      <c r="N67" s="1" t="s">
        <v>1620</v>
      </c>
      <c r="O67" s="1">
        <f t="shared" si="1"/>
        <v>1</v>
      </c>
      <c r="P67" s="1"/>
      <c r="Q67" s="1">
        <f t="shared" si="5"/>
        <v>0</v>
      </c>
      <c r="R67" s="1" t="str">
        <f>IF(Q67=1,COUNTIF($Q$5:Q67,1),"")</f>
        <v/>
      </c>
    </row>
    <row r="68" spans="1:18" ht="42.75">
      <c r="A68" s="1" t="s">
        <v>1621</v>
      </c>
      <c r="B68" s="1" t="s">
        <v>1558</v>
      </c>
      <c r="C68" s="1">
        <v>5</v>
      </c>
      <c r="D68" s="1" t="s">
        <v>1622</v>
      </c>
      <c r="E68" s="1" t="s">
        <v>1202</v>
      </c>
      <c r="F68" s="1">
        <f>F69*IF('01_入力仕様'!D334=1,F653,F70)*F81*F183*F300*F358*F557</f>
        <v>17.701339187310886</v>
      </c>
      <c r="G68" s="1" t="s">
        <v>984</v>
      </c>
      <c r="H68" s="1">
        <f t="shared" si="7"/>
        <v>4.6121749387180254E-4</v>
      </c>
      <c r="I68" s="1" t="s">
        <v>1623</v>
      </c>
      <c r="J68" s="1">
        <f>IF(F38=0,0,F68/F38)</f>
        <v>0.44452557036727242</v>
      </c>
      <c r="K68" s="1">
        <f>K38*J68</f>
        <v>3.7081095457614869E-5</v>
      </c>
      <c r="L68" s="1" t="str">
        <f t="shared" si="6"/>
        <v>増加→総重量増</v>
      </c>
      <c r="M68" s="1" t="s">
        <v>1474</v>
      </c>
      <c r="N68" s="1"/>
      <c r="O68" s="1">
        <f t="shared" si="1"/>
        <v>0</v>
      </c>
      <c r="P68" s="1"/>
      <c r="Q68" s="1">
        <f t="shared" si="5"/>
        <v>1</v>
      </c>
      <c r="R68" s="1">
        <f>IF(Q68=1,COUNTIF($Q$5:Q68,1),"")</f>
        <v>55</v>
      </c>
    </row>
    <row r="69" spans="1:18" ht="28.5">
      <c r="A69" s="1" t="s">
        <v>1624</v>
      </c>
      <c r="B69" s="1" t="s">
        <v>1621</v>
      </c>
      <c r="C69" s="1">
        <v>6</v>
      </c>
      <c r="D69" s="1" t="s">
        <v>1625</v>
      </c>
      <c r="E69" s="1" t="s">
        <v>578</v>
      </c>
      <c r="F69" s="1">
        <f>IF('01_入力仕様'!D334=1,'01_入力仕様'!D349,'01_入力仕様'!D131)</f>
        <v>6</v>
      </c>
      <c r="G69" s="1" t="s">
        <v>86</v>
      </c>
      <c r="H69" s="1">
        <f>ABS(K69)*F5</f>
        <v>4.6121749387180254E-4</v>
      </c>
      <c r="I69" s="1" t="s">
        <v>1626</v>
      </c>
      <c r="J69" s="1">
        <v>1</v>
      </c>
      <c r="K69" s="1">
        <f>K68*J69</f>
        <v>3.7081095457614869E-5</v>
      </c>
      <c r="L69" s="1" t="s">
        <v>1627</v>
      </c>
      <c r="M69" s="1" t="s">
        <v>1474</v>
      </c>
      <c r="N69" s="1" t="s">
        <v>116</v>
      </c>
      <c r="O69" s="1">
        <f t="shared" ref="O69:O132" si="8">IF($A69="","",--(COUNTIF($B$5:$B$679,$A69)=0))</f>
        <v>1</v>
      </c>
      <c r="P69" s="1"/>
      <c r="Q69" s="1">
        <f t="shared" si="5"/>
        <v>1</v>
      </c>
      <c r="R69" s="1">
        <f>IF(Q69=1,COUNTIF($Q$5:Q69,1),"")</f>
        <v>56</v>
      </c>
    </row>
    <row r="70" spans="1:18">
      <c r="A70" s="1" t="s">
        <v>1628</v>
      </c>
      <c r="B70" s="1" t="s">
        <v>1621</v>
      </c>
      <c r="C70" s="1">
        <v>6</v>
      </c>
      <c r="D70" s="1" t="s">
        <v>1629</v>
      </c>
      <c r="E70" s="1" t="s">
        <v>192</v>
      </c>
      <c r="F70" s="1">
        <f>F71*0.5*F72*F80^2</f>
        <v>1.8438894986782172E-4</v>
      </c>
      <c r="G70" s="1" t="s">
        <v>1396</v>
      </c>
      <c r="H70" s="1">
        <f t="shared" ref="H70:H77" si="9">ABS(K70)*$F$5</f>
        <v>4.6121749387180254E-4</v>
      </c>
      <c r="I70" s="1" t="s">
        <v>1630</v>
      </c>
      <c r="J70" s="1">
        <f>1</f>
        <v>1</v>
      </c>
      <c r="K70" s="1">
        <f>K68*J70</f>
        <v>3.7081095457614869E-5</v>
      </c>
      <c r="L70" s="1" t="str">
        <f t="shared" ref="L70:L101" si="10">IF(K70&gt;0,"増加→総重量増",IF(K70&lt;0,"増加→総重量減","中立"))</f>
        <v>増加→総重量増</v>
      </c>
      <c r="M70" s="1" t="s">
        <v>1474</v>
      </c>
      <c r="N70" s="1"/>
      <c r="O70" s="1">
        <f t="shared" si="8"/>
        <v>0</v>
      </c>
      <c r="P70" s="1"/>
      <c r="Q70" s="1">
        <f t="shared" si="5"/>
        <v>1</v>
      </c>
      <c r="R70" s="1">
        <f>IF(Q70=1,COUNTIF($Q$5:Q70,1),"")</f>
        <v>57</v>
      </c>
    </row>
    <row r="71" spans="1:18">
      <c r="A71" s="1" t="s">
        <v>1631</v>
      </c>
      <c r="B71" s="1" t="s">
        <v>1628</v>
      </c>
      <c r="C71" s="1">
        <v>7</v>
      </c>
      <c r="D71" s="1" t="s">
        <v>1632</v>
      </c>
      <c r="E71" s="1" t="s">
        <v>191</v>
      </c>
      <c r="F71" s="1">
        <f>'01_入力仕様'!D31</f>
        <v>1</v>
      </c>
      <c r="G71" s="1" t="s">
        <v>86</v>
      </c>
      <c r="H71" s="1">
        <f t="shared" si="9"/>
        <v>4.6121749387180254E-4</v>
      </c>
      <c r="I71" s="1" t="s">
        <v>1482</v>
      </c>
      <c r="J71" s="1">
        <f>1</f>
        <v>1</v>
      </c>
      <c r="K71" s="1">
        <f>K70*J71</f>
        <v>3.7081095457614869E-5</v>
      </c>
      <c r="L71" s="1" t="str">
        <f t="shared" si="10"/>
        <v>増加→総重量増</v>
      </c>
      <c r="M71" s="1" t="s">
        <v>1474</v>
      </c>
      <c r="N71" s="1"/>
      <c r="O71" s="1">
        <f t="shared" si="8"/>
        <v>1</v>
      </c>
      <c r="P71" s="1"/>
      <c r="Q71" s="1">
        <f t="shared" si="5"/>
        <v>1</v>
      </c>
      <c r="R71" s="1">
        <f>IF(Q71=1,COUNTIF($Q$5:Q71,1),"")</f>
        <v>58</v>
      </c>
    </row>
    <row r="72" spans="1:18" ht="28.5">
      <c r="A72" s="1" t="s">
        <v>1633</v>
      </c>
      <c r="B72" s="1" t="s">
        <v>1628</v>
      </c>
      <c r="C72" s="1">
        <v>7</v>
      </c>
      <c r="D72" s="1" t="s">
        <v>1634</v>
      </c>
      <c r="E72" s="1" t="s">
        <v>1635</v>
      </c>
      <c r="F72" s="1">
        <f>F73*F74*(F77/F76)^(-F75)*0.000000001</f>
        <v>5.7621546833694292E-10</v>
      </c>
      <c r="G72" s="1" t="s">
        <v>762</v>
      </c>
      <c r="H72" s="1">
        <f t="shared" si="9"/>
        <v>4.6121749387180254E-4</v>
      </c>
      <c r="I72" s="1" t="s">
        <v>1636</v>
      </c>
      <c r="J72" s="1">
        <f>1</f>
        <v>1</v>
      </c>
      <c r="K72" s="1">
        <f>K70*J72</f>
        <v>3.7081095457614869E-5</v>
      </c>
      <c r="L72" s="1" t="str">
        <f t="shared" si="10"/>
        <v>増加→総重量増</v>
      </c>
      <c r="M72" s="1" t="s">
        <v>1474</v>
      </c>
      <c r="N72" s="1"/>
      <c r="O72" s="1">
        <f t="shared" si="8"/>
        <v>0</v>
      </c>
      <c r="P72" s="1"/>
      <c r="Q72" s="1">
        <f t="shared" si="5"/>
        <v>1</v>
      </c>
      <c r="R72" s="1">
        <f>IF(Q72=1,COUNTIF($Q$5:Q72,1),"")</f>
        <v>59</v>
      </c>
    </row>
    <row r="73" spans="1:18">
      <c r="A73" s="1" t="s">
        <v>1637</v>
      </c>
      <c r="B73" s="1" t="s">
        <v>1633</v>
      </c>
      <c r="C73" s="1">
        <v>8</v>
      </c>
      <c r="D73" s="1" t="s">
        <v>1638</v>
      </c>
      <c r="E73" s="1" t="s">
        <v>181</v>
      </c>
      <c r="F73" s="1">
        <f>'01_入力仕様'!D28</f>
        <v>5.1788079470198676E-3</v>
      </c>
      <c r="G73" s="1" t="s">
        <v>182</v>
      </c>
      <c r="H73" s="1">
        <f t="shared" si="9"/>
        <v>4.6121749387180254E-4</v>
      </c>
      <c r="I73" s="1" t="s">
        <v>1482</v>
      </c>
      <c r="J73" s="1">
        <f>1</f>
        <v>1</v>
      </c>
      <c r="K73" s="1">
        <f>K72*J73</f>
        <v>3.7081095457614869E-5</v>
      </c>
      <c r="L73" s="1" t="str">
        <f t="shared" si="10"/>
        <v>増加→総重量増</v>
      </c>
      <c r="M73" s="1" t="s">
        <v>1474</v>
      </c>
      <c r="N73" s="1"/>
      <c r="O73" s="1">
        <f t="shared" si="8"/>
        <v>1</v>
      </c>
      <c r="P73" s="1"/>
      <c r="Q73" s="1">
        <f t="shared" si="5"/>
        <v>1</v>
      </c>
      <c r="R73" s="1">
        <f>IF(Q73=1,COUNTIF($Q$5:Q73,1),"")</f>
        <v>60</v>
      </c>
    </row>
    <row r="74" spans="1:18">
      <c r="A74" s="1" t="s">
        <v>1639</v>
      </c>
      <c r="B74" s="1" t="s">
        <v>1633</v>
      </c>
      <c r="C74" s="1">
        <v>8</v>
      </c>
      <c r="D74" s="1" t="s">
        <v>166</v>
      </c>
      <c r="E74" s="1" t="s">
        <v>167</v>
      </c>
      <c r="F74" s="1">
        <f>'01_入力仕様'!D25</f>
        <v>100</v>
      </c>
      <c r="G74" s="1" t="s">
        <v>168</v>
      </c>
      <c r="H74" s="1">
        <f t="shared" si="9"/>
        <v>4.6121749387180254E-4</v>
      </c>
      <c r="I74" s="1" t="s">
        <v>1482</v>
      </c>
      <c r="J74" s="1">
        <f>1</f>
        <v>1</v>
      </c>
      <c r="K74" s="1">
        <f>K72*J74</f>
        <v>3.7081095457614869E-5</v>
      </c>
      <c r="L74" s="1" t="str">
        <f t="shared" si="10"/>
        <v>増加→総重量増</v>
      </c>
      <c r="M74" s="1" t="s">
        <v>1474</v>
      </c>
      <c r="N74" s="1" t="s">
        <v>1640</v>
      </c>
      <c r="O74" s="1">
        <f t="shared" si="8"/>
        <v>1</v>
      </c>
      <c r="P74" s="1"/>
      <c r="Q74" s="1">
        <f t="shared" si="5"/>
        <v>0</v>
      </c>
      <c r="R74" s="1" t="str">
        <f>IF(Q74=1,COUNTIF($Q$5:Q74,1),"")</f>
        <v/>
      </c>
    </row>
    <row r="75" spans="1:18">
      <c r="A75" s="1" t="s">
        <v>1641</v>
      </c>
      <c r="B75" s="1" t="s">
        <v>1633</v>
      </c>
      <c r="C75" s="1">
        <v>8</v>
      </c>
      <c r="D75" s="1" t="s">
        <v>1592</v>
      </c>
      <c r="E75" s="1" t="s">
        <v>185</v>
      </c>
      <c r="F75" s="1">
        <f>'01_入力仕様'!D29</f>
        <v>0.35</v>
      </c>
      <c r="G75" s="1" t="s">
        <v>86</v>
      </c>
      <c r="H75" s="1">
        <f t="shared" si="9"/>
        <v>4.9228777010499965E-5</v>
      </c>
      <c r="I75" s="1" t="s">
        <v>1482</v>
      </c>
      <c r="J75" s="1">
        <f>-'01_入力仕様'!D29*LN(F77/'01_入力仕様'!D30)</f>
        <v>0.1067365780019249</v>
      </c>
      <c r="K75" s="1">
        <f>K72*J75</f>
        <v>3.9579092377085322E-6</v>
      </c>
      <c r="L75" s="1" t="str">
        <f t="shared" si="10"/>
        <v>増加→総重量増</v>
      </c>
      <c r="M75" s="1" t="s">
        <v>1474</v>
      </c>
      <c r="N75" s="1"/>
      <c r="O75" s="1">
        <f t="shared" si="8"/>
        <v>1</v>
      </c>
      <c r="P75" s="1"/>
      <c r="Q75" s="1">
        <f t="shared" si="5"/>
        <v>1</v>
      </c>
      <c r="R75" s="1">
        <f>IF(Q75=1,COUNTIF($Q$5:Q75,1),"")</f>
        <v>61</v>
      </c>
    </row>
    <row r="76" spans="1:18">
      <c r="A76" s="1" t="s">
        <v>1642</v>
      </c>
      <c r="B76" s="1" t="s">
        <v>1633</v>
      </c>
      <c r="C76" s="1">
        <v>8</v>
      </c>
      <c r="D76" s="1" t="s">
        <v>187</v>
      </c>
      <c r="E76" s="1" t="s">
        <v>188</v>
      </c>
      <c r="F76" s="1">
        <f>'01_入力仕様'!D30</f>
        <v>1200</v>
      </c>
      <c r="G76" s="1" t="s">
        <v>73</v>
      </c>
      <c r="H76" s="1">
        <f t="shared" si="9"/>
        <v>1.6142612285513088E-4</v>
      </c>
      <c r="I76" s="1" t="s">
        <v>1482</v>
      </c>
      <c r="J76" s="1">
        <f>'01_入力仕様'!D29</f>
        <v>0.35</v>
      </c>
      <c r="K76" s="1">
        <f>K72*J76</f>
        <v>1.2978383410165203E-5</v>
      </c>
      <c r="L76" s="1" t="str">
        <f t="shared" si="10"/>
        <v>増加→総重量増</v>
      </c>
      <c r="M76" s="1" t="s">
        <v>1474</v>
      </c>
      <c r="N76" s="1"/>
      <c r="O76" s="1">
        <f t="shared" si="8"/>
        <v>1</v>
      </c>
      <c r="P76" s="1"/>
      <c r="Q76" s="1">
        <f t="shared" ref="Q76:Q111" si="11">IF(E76="","",--(MATCH(E76,$E$5:$E$560,0)=ROW()-4))</f>
        <v>1</v>
      </c>
      <c r="R76" s="1">
        <f>IF(Q76=1,COUNTIF($Q$5:Q76,1),"")</f>
        <v>62</v>
      </c>
    </row>
    <row r="77" spans="1:18" ht="42.75">
      <c r="A77" s="1" t="s">
        <v>1643</v>
      </c>
      <c r="B77" s="1" t="s">
        <v>1633</v>
      </c>
      <c r="C77" s="1">
        <v>8</v>
      </c>
      <c r="D77" s="1" t="s">
        <v>1594</v>
      </c>
      <c r="E77" s="1" t="s">
        <v>121</v>
      </c>
      <c r="F77" s="1">
        <f>IF(AND('01_入力仕様'!D296=0,OR('07_システム要求'!D25="3L-NPC",'07_システム要求'!D25="3L-ANPC")),0.5*F79+F349,F78*F79+F349)</f>
        <v>884.58197106955993</v>
      </c>
      <c r="G77" s="1" t="s">
        <v>73</v>
      </c>
      <c r="H77" s="1">
        <f t="shared" si="9"/>
        <v>1.6142612285513088E-4</v>
      </c>
      <c r="I77" s="1" t="s">
        <v>1595</v>
      </c>
      <c r="J77" s="1">
        <f>-'01_入力仕様'!D29</f>
        <v>-0.35</v>
      </c>
      <c r="K77" s="1">
        <f>K72*J77</f>
        <v>-1.2978383410165203E-5</v>
      </c>
      <c r="L77" s="1" t="str">
        <f t="shared" si="10"/>
        <v>増加→総重量減</v>
      </c>
      <c r="M77" s="1" t="s">
        <v>1474</v>
      </c>
      <c r="N77" s="1" t="s">
        <v>1607</v>
      </c>
      <c r="O77" s="1">
        <f t="shared" si="8"/>
        <v>0</v>
      </c>
      <c r="P77" s="1"/>
      <c r="Q77" s="1">
        <f t="shared" si="11"/>
        <v>0</v>
      </c>
      <c r="R77" s="1" t="str">
        <f>IF(Q77=1,COUNTIF($Q$5:Q77,1),"")</f>
        <v/>
      </c>
    </row>
    <row r="78" spans="1:18">
      <c r="A78" s="1" t="s">
        <v>1644</v>
      </c>
      <c r="B78" s="1" t="s">
        <v>1643</v>
      </c>
      <c r="C78" s="1">
        <v>9</v>
      </c>
      <c r="D78" s="1" t="s">
        <v>1598</v>
      </c>
      <c r="E78" s="1" t="s">
        <v>120</v>
      </c>
      <c r="F78" s="1">
        <f>'01_入力仕様'!D14</f>
        <v>1</v>
      </c>
      <c r="G78" s="1" t="s">
        <v>86</v>
      </c>
      <c r="H78" s="1">
        <f>ABS(K78)*F5</f>
        <v>1.4599087762093849E-4</v>
      </c>
      <c r="I78" s="1" t="s">
        <v>1482</v>
      </c>
      <c r="J78" s="1">
        <f>IF(AND('01_入力仕様'!D296=0,OR('07_システム要求'!D25="3L-NPC",'07_システム要求'!D25="3L-ANPC")),0,'01_入力仕様'!D14*'01_入力仕様'!D6/F77)</f>
        <v>0.90438198625358512</v>
      </c>
      <c r="K78" s="1">
        <f>K77*J78</f>
        <v>-1.1737416166845783E-5</v>
      </c>
      <c r="L78" s="1" t="str">
        <f t="shared" si="10"/>
        <v>増加→総重量減</v>
      </c>
      <c r="M78" s="1" t="s">
        <v>1474</v>
      </c>
      <c r="N78" s="1"/>
      <c r="O78" s="1">
        <f t="shared" si="8"/>
        <v>1</v>
      </c>
      <c r="P78" s="1"/>
      <c r="Q78" s="1">
        <f t="shared" si="11"/>
        <v>0</v>
      </c>
      <c r="R78" s="1" t="str">
        <f>IF(Q78=1,COUNTIF($Q$5:Q78,1),"")</f>
        <v/>
      </c>
    </row>
    <row r="79" spans="1:18">
      <c r="A79" s="1" t="s">
        <v>1645</v>
      </c>
      <c r="B79" s="1" t="s">
        <v>1643</v>
      </c>
      <c r="C79" s="1">
        <v>9</v>
      </c>
      <c r="D79" s="1" t="s">
        <v>71</v>
      </c>
      <c r="E79" s="1" t="s">
        <v>72</v>
      </c>
      <c r="F79" s="1">
        <f>'01_入力仕様'!D6</f>
        <v>800</v>
      </c>
      <c r="G79" s="1" t="s">
        <v>73</v>
      </c>
      <c r="H79" s="1">
        <f>ABS(K79)*F5</f>
        <v>1.4599087762093849E-4</v>
      </c>
      <c r="I79" s="1" t="s">
        <v>1482</v>
      </c>
      <c r="J79" s="1">
        <f>IF(AND('01_入力仕様'!D296=0,OR('07_システム要求'!D25="3L-NPC",'07_システム要求'!D25="3L-ANPC")),0.5*'01_入力仕様'!D6/F77,'01_入力仕様'!D14*'01_入力仕様'!D6/F77)</f>
        <v>0.90438198625358512</v>
      </c>
      <c r="K79" s="1">
        <f>K77*J79</f>
        <v>-1.1737416166845783E-5</v>
      </c>
      <c r="L79" s="1" t="str">
        <f t="shared" si="10"/>
        <v>増加→総重量減</v>
      </c>
      <c r="M79" s="1" t="s">
        <v>1474</v>
      </c>
      <c r="N79" s="1" t="s">
        <v>1646</v>
      </c>
      <c r="O79" s="1">
        <f t="shared" si="8"/>
        <v>1</v>
      </c>
      <c r="P79" s="1"/>
      <c r="Q79" s="1">
        <f t="shared" si="11"/>
        <v>0</v>
      </c>
      <c r="R79" s="1" t="str">
        <f>IF(Q79=1,COUNTIF($Q$5:Q79,1),"")</f>
        <v/>
      </c>
    </row>
    <row r="80" spans="1:18">
      <c r="A80" s="1" t="s">
        <v>1647</v>
      </c>
      <c r="B80" s="1" t="s">
        <v>1628</v>
      </c>
      <c r="C80" s="1">
        <v>7</v>
      </c>
      <c r="D80" s="1" t="s">
        <v>71</v>
      </c>
      <c r="E80" s="1" t="s">
        <v>72</v>
      </c>
      <c r="F80" s="1">
        <f>'01_入力仕様'!D6</f>
        <v>800</v>
      </c>
      <c r="G80" s="1" t="s">
        <v>73</v>
      </c>
      <c r="H80" s="1">
        <f t="shared" ref="H80:H111" si="12">ABS(K80)*$F$5</f>
        <v>9.2243498774360509E-4</v>
      </c>
      <c r="I80" s="1" t="s">
        <v>1482</v>
      </c>
      <c r="J80" s="1">
        <f>2</f>
        <v>2</v>
      </c>
      <c r="K80" s="1">
        <f>K70*J80</f>
        <v>7.4162190915229737E-5</v>
      </c>
      <c r="L80" s="1" t="str">
        <f t="shared" si="10"/>
        <v>増加→総重量増</v>
      </c>
      <c r="M80" s="1" t="s">
        <v>1474</v>
      </c>
      <c r="N80" s="1" t="s">
        <v>1648</v>
      </c>
      <c r="O80" s="1">
        <f t="shared" si="8"/>
        <v>1</v>
      </c>
      <c r="P80" s="1"/>
      <c r="Q80" s="1">
        <f t="shared" si="11"/>
        <v>0</v>
      </c>
      <c r="R80" s="1" t="str">
        <f>IF(Q80=1,COUNTIF($Q$5:Q80,1),"")</f>
        <v/>
      </c>
    </row>
    <row r="81" spans="1:18">
      <c r="A81" s="1" t="s">
        <v>1649</v>
      </c>
      <c r="B81" s="1" t="s">
        <v>1621</v>
      </c>
      <c r="C81" s="1">
        <v>6</v>
      </c>
      <c r="D81" s="1" t="s">
        <v>94</v>
      </c>
      <c r="E81" s="1" t="s">
        <v>95</v>
      </c>
      <c r="F81" s="1">
        <f>F550</f>
        <v>16000</v>
      </c>
      <c r="G81" s="1" t="s">
        <v>96</v>
      </c>
      <c r="H81" s="1">
        <f t="shared" si="12"/>
        <v>4.6121749387180254E-4</v>
      </c>
      <c r="I81" s="1" t="s">
        <v>1482</v>
      </c>
      <c r="J81" s="1">
        <f>1</f>
        <v>1</v>
      </c>
      <c r="K81" s="1">
        <f>K68*J81</f>
        <v>3.7081095457614869E-5</v>
      </c>
      <c r="L81" s="1" t="str">
        <f t="shared" si="10"/>
        <v>増加→総重量増</v>
      </c>
      <c r="M81" s="1" t="s">
        <v>1474</v>
      </c>
      <c r="N81" s="1" t="s">
        <v>1650</v>
      </c>
      <c r="O81" s="1">
        <f t="shared" si="8"/>
        <v>0</v>
      </c>
      <c r="P81" s="1"/>
      <c r="Q81" s="1">
        <f t="shared" si="11"/>
        <v>1</v>
      </c>
      <c r="R81" s="1">
        <f>IF(Q81=1,COUNTIF($Q$5:Q81,1),"")</f>
        <v>63</v>
      </c>
    </row>
    <row r="82" spans="1:18">
      <c r="A82" s="1" t="s">
        <v>1651</v>
      </c>
      <c r="B82" s="1" t="s">
        <v>1550</v>
      </c>
      <c r="C82" s="1">
        <v>3</v>
      </c>
      <c r="D82" s="1" t="s">
        <v>1652</v>
      </c>
      <c r="E82" s="1" t="s">
        <v>258</v>
      </c>
      <c r="F82" s="1">
        <f>F83*F91/F92</f>
        <v>32509.771953850261</v>
      </c>
      <c r="G82" s="1" t="s">
        <v>1653</v>
      </c>
      <c r="H82" s="1">
        <f t="shared" si="12"/>
        <v>1.6887823087049829E-2</v>
      </c>
      <c r="I82" s="1" t="s">
        <v>1654</v>
      </c>
      <c r="J82" s="1">
        <f>-1</f>
        <v>-1</v>
      </c>
      <c r="K82" s="1">
        <f>K35*J82</f>
        <v>-1.3577520113238967E-3</v>
      </c>
      <c r="L82" s="1" t="str">
        <f t="shared" si="10"/>
        <v>増加→総重量減</v>
      </c>
      <c r="M82" s="1" t="s">
        <v>1474</v>
      </c>
      <c r="N82" s="1"/>
      <c r="O82" s="1">
        <f t="shared" si="8"/>
        <v>0</v>
      </c>
      <c r="P82" s="1"/>
      <c r="Q82" s="1">
        <f t="shared" si="11"/>
        <v>1</v>
      </c>
      <c r="R82" s="1">
        <f>IF(Q82=1,COUNTIF($Q$5:Q82,1),"")</f>
        <v>64</v>
      </c>
    </row>
    <row r="83" spans="1:18">
      <c r="A83" s="1" t="s">
        <v>1655</v>
      </c>
      <c r="B83" s="1" t="s">
        <v>1651</v>
      </c>
      <c r="C83" s="1">
        <v>4</v>
      </c>
      <c r="D83" s="1" t="s">
        <v>1656</v>
      </c>
      <c r="E83" s="1" t="s">
        <v>236</v>
      </c>
      <c r="F83" s="1">
        <f>F84*F85*F86*F87*F88*F450</f>
        <v>8289.9918482318171</v>
      </c>
      <c r="G83" s="1" t="s">
        <v>235</v>
      </c>
      <c r="H83" s="1">
        <f t="shared" si="12"/>
        <v>1.6887823087049829E-2</v>
      </c>
      <c r="I83" s="1" t="s">
        <v>1657</v>
      </c>
      <c r="J83" s="1">
        <f>1</f>
        <v>1</v>
      </c>
      <c r="K83" s="1">
        <f>K82*J83</f>
        <v>-1.3577520113238967E-3</v>
      </c>
      <c r="L83" s="1" t="str">
        <f t="shared" si="10"/>
        <v>増加→総重量減</v>
      </c>
      <c r="M83" s="1" t="s">
        <v>1474</v>
      </c>
      <c r="N83" s="1"/>
      <c r="O83" s="1">
        <f t="shared" si="8"/>
        <v>0</v>
      </c>
      <c r="P83" s="1"/>
      <c r="Q83" s="1">
        <f t="shared" si="11"/>
        <v>1</v>
      </c>
      <c r="R83" s="1">
        <f>IF(Q83=1,COUNTIF($Q$5:Q83,1),"")</f>
        <v>65</v>
      </c>
    </row>
    <row r="84" spans="1:18">
      <c r="A84" s="1" t="s">
        <v>1658</v>
      </c>
      <c r="B84" s="1" t="s">
        <v>1655</v>
      </c>
      <c r="C84" s="1">
        <v>5</v>
      </c>
      <c r="D84" s="1" t="s">
        <v>233</v>
      </c>
      <c r="E84" s="1" t="s">
        <v>234</v>
      </c>
      <c r="F84" s="1">
        <f>'01_入力仕様'!D42</f>
        <v>10000</v>
      </c>
      <c r="G84" s="1" t="s">
        <v>235</v>
      </c>
      <c r="H84" s="1">
        <f t="shared" si="12"/>
        <v>1.6887823087049829E-2</v>
      </c>
      <c r="I84" s="1" t="s">
        <v>1482</v>
      </c>
      <c r="J84" s="1">
        <f>1</f>
        <v>1</v>
      </c>
      <c r="K84" s="1">
        <f>K83*J84</f>
        <v>-1.3577520113238967E-3</v>
      </c>
      <c r="L84" s="1" t="str">
        <f t="shared" si="10"/>
        <v>増加→総重量減</v>
      </c>
      <c r="M84" s="1" t="s">
        <v>1474</v>
      </c>
      <c r="N84" s="1"/>
      <c r="O84" s="1">
        <f t="shared" si="8"/>
        <v>1</v>
      </c>
      <c r="P84" s="1"/>
      <c r="Q84" s="1">
        <f t="shared" si="11"/>
        <v>1</v>
      </c>
      <c r="R84" s="1">
        <f>IF(Q84=1,COUNTIF($Q$5:Q84,1),"")</f>
        <v>66</v>
      </c>
    </row>
    <row r="85" spans="1:18">
      <c r="A85" s="1" t="s">
        <v>1659</v>
      </c>
      <c r="B85" s="1" t="s">
        <v>1655</v>
      </c>
      <c r="C85" s="1">
        <v>5</v>
      </c>
      <c r="D85" s="1" t="s">
        <v>239</v>
      </c>
      <c r="E85" s="1" t="s">
        <v>240</v>
      </c>
      <c r="F85" s="1">
        <f>'01_入力仕様'!D43</f>
        <v>0.95</v>
      </c>
      <c r="G85" s="1" t="s">
        <v>86</v>
      </c>
      <c r="H85" s="1">
        <f t="shared" si="12"/>
        <v>1.6887823087049829E-2</v>
      </c>
      <c r="I85" s="1" t="s">
        <v>1482</v>
      </c>
      <c r="J85" s="1">
        <f>1</f>
        <v>1</v>
      </c>
      <c r="K85" s="1">
        <f>K83*J85</f>
        <v>-1.3577520113238967E-3</v>
      </c>
      <c r="L85" s="1" t="str">
        <f t="shared" si="10"/>
        <v>増加→総重量減</v>
      </c>
      <c r="M85" s="1" t="s">
        <v>1474</v>
      </c>
      <c r="N85" s="1"/>
      <c r="O85" s="1">
        <f t="shared" si="8"/>
        <v>1</v>
      </c>
      <c r="P85" s="1"/>
      <c r="Q85" s="1">
        <f t="shared" si="11"/>
        <v>1</v>
      </c>
      <c r="R85" s="1">
        <f>IF(Q85=1,COUNTIF($Q$5:Q85,1),"")</f>
        <v>67</v>
      </c>
    </row>
    <row r="86" spans="1:18">
      <c r="A86" s="1" t="s">
        <v>1660</v>
      </c>
      <c r="B86" s="1" t="s">
        <v>1655</v>
      </c>
      <c r="C86" s="1">
        <v>5</v>
      </c>
      <c r="D86" s="1" t="s">
        <v>242</v>
      </c>
      <c r="E86" s="1" t="s">
        <v>243</v>
      </c>
      <c r="F86" s="1">
        <f>'01_入力仕様'!D44</f>
        <v>0.95</v>
      </c>
      <c r="G86" s="1" t="s">
        <v>86</v>
      </c>
      <c r="H86" s="1">
        <f t="shared" si="12"/>
        <v>1.6887823087049829E-2</v>
      </c>
      <c r="I86" s="1" t="s">
        <v>1482</v>
      </c>
      <c r="J86" s="1">
        <f>1</f>
        <v>1</v>
      </c>
      <c r="K86" s="1">
        <f>K83*J86</f>
        <v>-1.3577520113238967E-3</v>
      </c>
      <c r="L86" s="1" t="str">
        <f t="shared" si="10"/>
        <v>増加→総重量減</v>
      </c>
      <c r="M86" s="1" t="s">
        <v>1474</v>
      </c>
      <c r="N86" s="1"/>
      <c r="O86" s="1">
        <f t="shared" si="8"/>
        <v>1</v>
      </c>
      <c r="P86" s="1"/>
      <c r="Q86" s="1">
        <f t="shared" si="11"/>
        <v>1</v>
      </c>
      <c r="R86" s="1">
        <f>IF(Q86=1,COUNTIF($Q$5:Q86,1),"")</f>
        <v>68</v>
      </c>
    </row>
    <row r="87" spans="1:18">
      <c r="A87" s="1" t="s">
        <v>1661</v>
      </c>
      <c r="B87" s="1" t="s">
        <v>1655</v>
      </c>
      <c r="C87" s="1">
        <v>5</v>
      </c>
      <c r="D87" s="1" t="s">
        <v>245</v>
      </c>
      <c r="E87" s="1" t="s">
        <v>246</v>
      </c>
      <c r="F87" s="1">
        <f>'01_入力仕様'!D45</f>
        <v>0.75</v>
      </c>
      <c r="G87" s="1" t="s">
        <v>86</v>
      </c>
      <c r="H87" s="1">
        <f t="shared" si="12"/>
        <v>1.6887823087049829E-2</v>
      </c>
      <c r="I87" s="1" t="s">
        <v>1482</v>
      </c>
      <c r="J87" s="1">
        <f>1</f>
        <v>1</v>
      </c>
      <c r="K87" s="1">
        <f>K83*J87</f>
        <v>-1.3577520113238967E-3</v>
      </c>
      <c r="L87" s="1" t="str">
        <f t="shared" si="10"/>
        <v>増加→総重量減</v>
      </c>
      <c r="M87" s="1" t="s">
        <v>1474</v>
      </c>
      <c r="N87" s="1"/>
      <c r="O87" s="1">
        <f t="shared" si="8"/>
        <v>1</v>
      </c>
      <c r="P87" s="1"/>
      <c r="Q87" s="1">
        <f t="shared" si="11"/>
        <v>1</v>
      </c>
      <c r="R87" s="1">
        <f>IF(Q87=1,COUNTIF($Q$5:Q87,1),"")</f>
        <v>69</v>
      </c>
    </row>
    <row r="88" spans="1:18">
      <c r="A88" s="1" t="s">
        <v>1662</v>
      </c>
      <c r="B88" s="1" t="s">
        <v>1655</v>
      </c>
      <c r="C88" s="1">
        <v>5</v>
      </c>
      <c r="D88" s="1" t="s">
        <v>1663</v>
      </c>
      <c r="E88" s="1" t="s">
        <v>1664</v>
      </c>
      <c r="F88" s="1">
        <f>(F89/F90)^0.5</f>
        <v>1.2247448713915889</v>
      </c>
      <c r="G88" s="1" t="s">
        <v>86</v>
      </c>
      <c r="H88" s="1">
        <f t="shared" si="12"/>
        <v>1.6887823087049829E-2</v>
      </c>
      <c r="I88" s="1" t="s">
        <v>1665</v>
      </c>
      <c r="J88" s="1">
        <f>1</f>
        <v>1</v>
      </c>
      <c r="K88" s="1">
        <f>K83*J88</f>
        <v>-1.3577520113238967E-3</v>
      </c>
      <c r="L88" s="1" t="str">
        <f t="shared" si="10"/>
        <v>増加→総重量減</v>
      </c>
      <c r="M88" s="1" t="s">
        <v>1474</v>
      </c>
      <c r="N88" s="1"/>
      <c r="O88" s="1">
        <f t="shared" si="8"/>
        <v>0</v>
      </c>
      <c r="P88" s="1"/>
      <c r="Q88" s="1">
        <f t="shared" si="11"/>
        <v>1</v>
      </c>
      <c r="R88" s="1">
        <f>IF(Q88=1,COUNTIF($Q$5:Q88,1),"")</f>
        <v>70</v>
      </c>
    </row>
    <row r="89" spans="1:18">
      <c r="A89" s="1" t="s">
        <v>1666</v>
      </c>
      <c r="B89" s="1" t="s">
        <v>1662</v>
      </c>
      <c r="C89" s="1">
        <v>6</v>
      </c>
      <c r="D89" s="1" t="s">
        <v>248</v>
      </c>
      <c r="E89" s="1" t="s">
        <v>249</v>
      </c>
      <c r="F89" s="1">
        <f>'01_入力仕様'!D46</f>
        <v>1.5</v>
      </c>
      <c r="G89" s="1" t="s">
        <v>250</v>
      </c>
      <c r="H89" s="1">
        <f t="shared" si="12"/>
        <v>8.4439115435249144E-3</v>
      </c>
      <c r="I89" s="1" t="s">
        <v>1482</v>
      </c>
      <c r="J89" s="1">
        <f>0.5</f>
        <v>0.5</v>
      </c>
      <c r="K89" s="1">
        <f>K88*J89</f>
        <v>-6.7887600566194836E-4</v>
      </c>
      <c r="L89" s="1" t="str">
        <f t="shared" si="10"/>
        <v>増加→総重量減</v>
      </c>
      <c r="M89" s="1" t="s">
        <v>1474</v>
      </c>
      <c r="N89" s="1"/>
      <c r="O89" s="1">
        <f t="shared" si="8"/>
        <v>1</v>
      </c>
      <c r="P89" s="1"/>
      <c r="Q89" s="1">
        <f t="shared" si="11"/>
        <v>1</v>
      </c>
      <c r="R89" s="1">
        <f>IF(Q89=1,COUNTIF($Q$5:Q89,1),"")</f>
        <v>71</v>
      </c>
    </row>
    <row r="90" spans="1:18">
      <c r="A90" s="1" t="s">
        <v>1667</v>
      </c>
      <c r="B90" s="1" t="s">
        <v>1662</v>
      </c>
      <c r="C90" s="1">
        <v>6</v>
      </c>
      <c r="D90" s="1" t="s">
        <v>252</v>
      </c>
      <c r="E90" s="1" t="s">
        <v>253</v>
      </c>
      <c r="F90" s="1">
        <f>'01_入力仕様'!D47</f>
        <v>1</v>
      </c>
      <c r="G90" s="1" t="s">
        <v>250</v>
      </c>
      <c r="H90" s="1">
        <f t="shared" si="12"/>
        <v>8.4439115435249144E-3</v>
      </c>
      <c r="I90" s="1" t="s">
        <v>1482</v>
      </c>
      <c r="J90" s="1">
        <f>-0.5</f>
        <v>-0.5</v>
      </c>
      <c r="K90" s="1">
        <f>K88*J90</f>
        <v>6.7887600566194836E-4</v>
      </c>
      <c r="L90" s="1" t="str">
        <f t="shared" si="10"/>
        <v>増加→総重量増</v>
      </c>
      <c r="M90" s="1" t="s">
        <v>1474</v>
      </c>
      <c r="N90" s="1"/>
      <c r="O90" s="1">
        <f t="shared" si="8"/>
        <v>1</v>
      </c>
      <c r="P90" s="1"/>
      <c r="Q90" s="1">
        <f t="shared" si="11"/>
        <v>1</v>
      </c>
      <c r="R90" s="1">
        <f>IF(Q90=1,COUNTIF($Q$5:Q90,1),"")</f>
        <v>72</v>
      </c>
    </row>
    <row r="91" spans="1:18">
      <c r="A91" s="1" t="s">
        <v>1668</v>
      </c>
      <c r="B91" s="1" t="s">
        <v>1651</v>
      </c>
      <c r="C91" s="1">
        <v>4</v>
      </c>
      <c r="D91" s="1" t="s">
        <v>1669</v>
      </c>
      <c r="E91" s="1" t="s">
        <v>256</v>
      </c>
      <c r="F91" s="1">
        <f>'01_入力仕様'!D48</f>
        <v>20</v>
      </c>
      <c r="G91" s="1" t="s">
        <v>257</v>
      </c>
      <c r="H91" s="1">
        <f t="shared" si="12"/>
        <v>1.6887823087049829E-2</v>
      </c>
      <c r="I91" s="1" t="s">
        <v>1482</v>
      </c>
      <c r="J91" s="1">
        <f>1</f>
        <v>1</v>
      </c>
      <c r="K91" s="1">
        <f>K82*J91</f>
        <v>-1.3577520113238967E-3</v>
      </c>
      <c r="L91" s="1" t="str">
        <f t="shared" si="10"/>
        <v>増加→総重量減</v>
      </c>
      <c r="M91" s="1" t="s">
        <v>1474</v>
      </c>
      <c r="N91" s="1"/>
      <c r="O91" s="1">
        <f t="shared" si="8"/>
        <v>1</v>
      </c>
      <c r="P91" s="1"/>
      <c r="Q91" s="1">
        <f t="shared" si="11"/>
        <v>1</v>
      </c>
      <c r="R91" s="1">
        <f>IF(Q91=1,COUNTIF($Q$5:Q91,1),"")</f>
        <v>73</v>
      </c>
    </row>
    <row r="92" spans="1:18">
      <c r="A92" s="1" t="s">
        <v>1670</v>
      </c>
      <c r="B92" s="1" t="s">
        <v>1651</v>
      </c>
      <c r="C92" s="1">
        <v>4</v>
      </c>
      <c r="D92" s="1" t="s">
        <v>1671</v>
      </c>
      <c r="E92" s="1" t="s">
        <v>263</v>
      </c>
      <c r="F92" s="1">
        <f>F93*F94</f>
        <v>5.1000000000000005</v>
      </c>
      <c r="G92" s="1" t="s">
        <v>1672</v>
      </c>
      <c r="H92" s="1">
        <f t="shared" si="12"/>
        <v>1.6887823087049829E-2</v>
      </c>
      <c r="I92" s="1" t="s">
        <v>1673</v>
      </c>
      <c r="J92" s="1">
        <f>-1</f>
        <v>-1</v>
      </c>
      <c r="K92" s="1">
        <f>K82*J92</f>
        <v>1.3577520113238967E-3</v>
      </c>
      <c r="L92" s="1" t="str">
        <f t="shared" si="10"/>
        <v>増加→総重量増</v>
      </c>
      <c r="M92" s="1" t="s">
        <v>1474</v>
      </c>
      <c r="N92" s="1"/>
      <c r="O92" s="1">
        <f t="shared" si="8"/>
        <v>0</v>
      </c>
      <c r="P92" s="1"/>
      <c r="Q92" s="1">
        <f t="shared" si="11"/>
        <v>1</v>
      </c>
      <c r="R92" s="1">
        <f>IF(Q92=1,COUNTIF($Q$5:Q92,1),"")</f>
        <v>74</v>
      </c>
    </row>
    <row r="93" spans="1:18">
      <c r="A93" s="1" t="s">
        <v>1674</v>
      </c>
      <c r="B93" s="1" t="s">
        <v>1670</v>
      </c>
      <c r="C93" s="1">
        <v>5</v>
      </c>
      <c r="D93" s="1" t="s">
        <v>1675</v>
      </c>
      <c r="E93" s="1" t="s">
        <v>266</v>
      </c>
      <c r="F93" s="1">
        <f>'01_入力仕様'!D50</f>
        <v>850</v>
      </c>
      <c r="G93" s="1" t="s">
        <v>178</v>
      </c>
      <c r="H93" s="1">
        <f t="shared" si="12"/>
        <v>1.6887823087049829E-2</v>
      </c>
      <c r="I93" s="1" t="s">
        <v>1482</v>
      </c>
      <c r="J93" s="1">
        <f>1</f>
        <v>1</v>
      </c>
      <c r="K93" s="1">
        <f>K92*J93</f>
        <v>1.3577520113238967E-3</v>
      </c>
      <c r="L93" s="1" t="str">
        <f t="shared" si="10"/>
        <v>増加→総重量増</v>
      </c>
      <c r="M93" s="1" t="s">
        <v>1474</v>
      </c>
      <c r="N93" s="1"/>
      <c r="O93" s="1">
        <f t="shared" si="8"/>
        <v>1</v>
      </c>
      <c r="P93" s="1"/>
      <c r="Q93" s="1">
        <f t="shared" si="11"/>
        <v>1</v>
      </c>
      <c r="R93" s="1">
        <f>IF(Q93=1,COUNTIF($Q$5:Q93,1),"")</f>
        <v>75</v>
      </c>
    </row>
    <row r="94" spans="1:18">
      <c r="A94" s="1" t="s">
        <v>1676</v>
      </c>
      <c r="B94" s="1" t="s">
        <v>1670</v>
      </c>
      <c r="C94" s="1">
        <v>5</v>
      </c>
      <c r="D94" s="1" t="s">
        <v>1677</v>
      </c>
      <c r="E94" s="1" t="s">
        <v>261</v>
      </c>
      <c r="F94" s="1">
        <f>'01_入力仕様'!D49</f>
        <v>6.0000000000000001E-3</v>
      </c>
      <c r="G94" s="1" t="s">
        <v>262</v>
      </c>
      <c r="H94" s="1">
        <f t="shared" si="12"/>
        <v>1.6887823087049829E-2</v>
      </c>
      <c r="I94" s="1" t="s">
        <v>1482</v>
      </c>
      <c r="J94" s="1">
        <f>1</f>
        <v>1</v>
      </c>
      <c r="K94" s="1">
        <f>K92*J94</f>
        <v>1.3577520113238967E-3</v>
      </c>
      <c r="L94" s="1" t="str">
        <f t="shared" si="10"/>
        <v>増加→総重量増</v>
      </c>
      <c r="M94" s="1" t="s">
        <v>1474</v>
      </c>
      <c r="N94" s="1"/>
      <c r="O94" s="1">
        <f t="shared" si="8"/>
        <v>1</v>
      </c>
      <c r="P94" s="1"/>
      <c r="Q94" s="1">
        <f t="shared" si="11"/>
        <v>1</v>
      </c>
      <c r="R94" s="1">
        <f>IF(Q94=1,COUNTIF($Q$5:Q94,1),"")</f>
        <v>76</v>
      </c>
    </row>
    <row r="95" spans="1:18">
      <c r="A95" s="1" t="s">
        <v>1678</v>
      </c>
      <c r="B95" s="1" t="s">
        <v>1547</v>
      </c>
      <c r="C95" s="1">
        <v>2</v>
      </c>
      <c r="D95" s="1" t="s">
        <v>272</v>
      </c>
      <c r="E95" s="1" t="s">
        <v>273</v>
      </c>
      <c r="F95" s="1">
        <f>'01_入力仕様'!D52</f>
        <v>0.35</v>
      </c>
      <c r="G95" s="1" t="s">
        <v>229</v>
      </c>
      <c r="H95" s="1">
        <f t="shared" si="12"/>
        <v>0.35000000000000003</v>
      </c>
      <c r="I95" s="1" t="s">
        <v>1482</v>
      </c>
      <c r="J95" s="1">
        <f>F95/F34</f>
        <v>0.61740610001823049</v>
      </c>
      <c r="K95" s="1">
        <f>K34*J95</f>
        <v>2.8139399703196438E-2</v>
      </c>
      <c r="L95" s="1" t="str">
        <f t="shared" si="10"/>
        <v>増加→総重量増</v>
      </c>
      <c r="M95" s="1" t="s">
        <v>1474</v>
      </c>
      <c r="N95" s="1"/>
      <c r="O95" s="1">
        <f t="shared" si="8"/>
        <v>1</v>
      </c>
      <c r="P95" s="1"/>
      <c r="Q95" s="1">
        <f t="shared" si="11"/>
        <v>1</v>
      </c>
      <c r="R95" s="1">
        <f>IF(Q95=1,COUNTIF($Q$5:Q95,1),"")</f>
        <v>77</v>
      </c>
    </row>
    <row r="96" spans="1:18" ht="42.75">
      <c r="A96" s="1" t="s">
        <v>1679</v>
      </c>
      <c r="B96" s="1" t="s">
        <v>1470</v>
      </c>
      <c r="C96" s="1">
        <v>1</v>
      </c>
      <c r="D96" s="1" t="s">
        <v>1680</v>
      </c>
      <c r="E96" s="1" t="s">
        <v>294</v>
      </c>
      <c r="F96" s="1">
        <f>F97+F375+F110+F440</f>
        <v>4.1642392503538472</v>
      </c>
      <c r="G96" s="1" t="s">
        <v>229</v>
      </c>
      <c r="H96" s="1">
        <f t="shared" si="12"/>
        <v>4.1642392503538472</v>
      </c>
      <c r="I96" s="1" t="s">
        <v>1681</v>
      </c>
      <c r="J96" s="1">
        <f>F96/F5</f>
        <v>0.33479769350127425</v>
      </c>
      <c r="K96" s="1">
        <f>K5*J96</f>
        <v>0.33479769350127425</v>
      </c>
      <c r="L96" s="1" t="str">
        <f t="shared" si="10"/>
        <v>増加→総重量増</v>
      </c>
      <c r="M96" s="1" t="s">
        <v>1474</v>
      </c>
      <c r="N96" s="1" t="s">
        <v>1682</v>
      </c>
      <c r="O96" s="1">
        <f t="shared" si="8"/>
        <v>0</v>
      </c>
      <c r="P96" s="1"/>
      <c r="Q96" s="1">
        <f t="shared" si="11"/>
        <v>1</v>
      </c>
      <c r="R96" s="1">
        <f>IF(Q96=1,COUNTIF($Q$5:Q96,1),"")</f>
        <v>78</v>
      </c>
    </row>
    <row r="97" spans="1:18">
      <c r="A97" s="1" t="s">
        <v>1683</v>
      </c>
      <c r="B97" s="1" t="s">
        <v>1679</v>
      </c>
      <c r="C97" s="1">
        <v>2</v>
      </c>
      <c r="D97" s="1" t="s">
        <v>1684</v>
      </c>
      <c r="E97" s="1" t="s">
        <v>1685</v>
      </c>
      <c r="F97" s="1">
        <f>F98*F102</f>
        <v>4.0642392503538476</v>
      </c>
      <c r="G97" s="1" t="s">
        <v>229</v>
      </c>
      <c r="H97" s="1">
        <f t="shared" si="12"/>
        <v>4.0642392503538476</v>
      </c>
      <c r="I97" s="1" t="s">
        <v>1686</v>
      </c>
      <c r="J97" s="1">
        <f>IF(F96=0,0,F97/F96)</f>
        <v>0.97598600993170548</v>
      </c>
      <c r="K97" s="1">
        <f>K96*J97</f>
        <v>0.32675786501464676</v>
      </c>
      <c r="L97" s="1" t="str">
        <f t="shared" si="10"/>
        <v>増加→総重量増</v>
      </c>
      <c r="M97" s="1" t="s">
        <v>1474</v>
      </c>
      <c r="N97" s="1"/>
      <c r="O97" s="1">
        <f t="shared" si="8"/>
        <v>0</v>
      </c>
      <c r="P97" s="1"/>
      <c r="Q97" s="1">
        <f t="shared" si="11"/>
        <v>1</v>
      </c>
      <c r="R97" s="1">
        <f>IF(Q97=1,COUNTIF($Q$5:Q97,1),"")</f>
        <v>79</v>
      </c>
    </row>
    <row r="98" spans="1:18">
      <c r="A98" s="1" t="s">
        <v>1687</v>
      </c>
      <c r="B98" s="1" t="s">
        <v>1683</v>
      </c>
      <c r="C98" s="1">
        <v>3</v>
      </c>
      <c r="D98" s="1" t="s">
        <v>1688</v>
      </c>
      <c r="E98" s="1" t="s">
        <v>102</v>
      </c>
      <c r="F98" s="1">
        <f>(2*('01_入力仕様'!D5*1000/'01_入力仕様'!D9)*F99/(F100^2*(1-(1-F101)^2)))*1000</f>
        <v>1.6521279407877341</v>
      </c>
      <c r="G98" s="1" t="s">
        <v>1689</v>
      </c>
      <c r="H98" s="1">
        <f t="shared" si="12"/>
        <v>4.0642392503538476</v>
      </c>
      <c r="I98" s="1" t="s">
        <v>1690</v>
      </c>
      <c r="J98" s="1">
        <f>1</f>
        <v>1</v>
      </c>
      <c r="K98" s="1">
        <f>K97*J98</f>
        <v>0.32675786501464676</v>
      </c>
      <c r="L98" s="1" t="str">
        <f t="shared" si="10"/>
        <v>増加→総重量増</v>
      </c>
      <c r="M98" s="1" t="s">
        <v>1474</v>
      </c>
      <c r="N98" s="1" t="s">
        <v>1691</v>
      </c>
      <c r="O98" s="1">
        <f t="shared" si="8"/>
        <v>0</v>
      </c>
      <c r="P98" s="1"/>
      <c r="Q98" s="1">
        <f t="shared" si="11"/>
        <v>1</v>
      </c>
      <c r="R98" s="1">
        <f>IF(Q98=1,COUNTIF($Q$5:Q98,1),"")</f>
        <v>80</v>
      </c>
    </row>
    <row r="99" spans="1:18">
      <c r="A99" s="1" t="s">
        <v>1692</v>
      </c>
      <c r="B99" s="1" t="s">
        <v>1687</v>
      </c>
      <c r="C99" s="1">
        <v>4</v>
      </c>
      <c r="D99" s="1" t="s">
        <v>1693</v>
      </c>
      <c r="E99" s="1" t="s">
        <v>108</v>
      </c>
      <c r="F99" s="1">
        <f>'01_入力仕様'!D12</f>
        <v>5.0000000000000001E-4</v>
      </c>
      <c r="G99" s="1" t="s">
        <v>109</v>
      </c>
      <c r="H99" s="1">
        <f t="shared" si="12"/>
        <v>4.0642392503538476</v>
      </c>
      <c r="I99" s="1" t="s">
        <v>1482</v>
      </c>
      <c r="J99" s="1">
        <f>1</f>
        <v>1</v>
      </c>
      <c r="K99" s="1">
        <f>K98*J99</f>
        <v>0.32675786501464676</v>
      </c>
      <c r="L99" s="1" t="str">
        <f t="shared" si="10"/>
        <v>増加→総重量増</v>
      </c>
      <c r="M99" s="1" t="s">
        <v>1474</v>
      </c>
      <c r="N99" s="1"/>
      <c r="O99" s="1">
        <f t="shared" si="8"/>
        <v>1</v>
      </c>
      <c r="P99" s="1"/>
      <c r="Q99" s="1">
        <f t="shared" si="11"/>
        <v>1</v>
      </c>
      <c r="R99" s="1">
        <f>IF(Q99=1,COUNTIF($Q$5:Q99,1),"")</f>
        <v>81</v>
      </c>
    </row>
    <row r="100" spans="1:18">
      <c r="A100" s="1" t="s">
        <v>1694</v>
      </c>
      <c r="B100" s="1" t="s">
        <v>1687</v>
      </c>
      <c r="C100" s="1">
        <v>4</v>
      </c>
      <c r="D100" s="1" t="s">
        <v>71</v>
      </c>
      <c r="E100" s="1" t="s">
        <v>72</v>
      </c>
      <c r="F100" s="1">
        <f>'01_入力仕様'!D6</f>
        <v>800</v>
      </c>
      <c r="G100" s="1" t="s">
        <v>73</v>
      </c>
      <c r="H100" s="1">
        <f t="shared" si="12"/>
        <v>8.1284785007076952</v>
      </c>
      <c r="I100" s="1" t="s">
        <v>1482</v>
      </c>
      <c r="J100" s="1">
        <f>-2</f>
        <v>-2</v>
      </c>
      <c r="K100" s="1">
        <f>K98*J100</f>
        <v>-0.65351573002929353</v>
      </c>
      <c r="L100" s="1" t="str">
        <f t="shared" si="10"/>
        <v>増加→総重量減</v>
      </c>
      <c r="M100" s="1" t="s">
        <v>1474</v>
      </c>
      <c r="N100" s="1" t="s">
        <v>1695</v>
      </c>
      <c r="O100" s="1">
        <f t="shared" si="8"/>
        <v>1</v>
      </c>
      <c r="P100" s="1"/>
      <c r="Q100" s="1">
        <f t="shared" si="11"/>
        <v>0</v>
      </c>
      <c r="R100" s="1" t="str">
        <f>IF(Q100=1,COUNTIF($Q$5:Q100,1),"")</f>
        <v/>
      </c>
    </row>
    <row r="101" spans="1:18">
      <c r="A101" s="1" t="s">
        <v>1696</v>
      </c>
      <c r="B101" s="1" t="s">
        <v>1687</v>
      </c>
      <c r="C101" s="1">
        <v>4</v>
      </c>
      <c r="D101" s="1" t="s">
        <v>1697</v>
      </c>
      <c r="E101" s="1" t="s">
        <v>101</v>
      </c>
      <c r="F101" s="1">
        <f>'01_入力仕様'!D11</f>
        <v>0.05</v>
      </c>
      <c r="G101" s="1" t="s">
        <v>86</v>
      </c>
      <c r="H101" s="1">
        <f t="shared" si="12"/>
        <v>3.9600279875242617</v>
      </c>
      <c r="I101" s="1" t="s">
        <v>1482</v>
      </c>
      <c r="J101" s="1">
        <f>-2*(1-'01_入力仕様'!D11)/(2-'01_入力仕様'!D11)</f>
        <v>-0.97435897435897434</v>
      </c>
      <c r="K101" s="1">
        <f>K98*J101</f>
        <v>-0.31837945821939939</v>
      </c>
      <c r="L101" s="1" t="str">
        <f t="shared" si="10"/>
        <v>増加→総重量減</v>
      </c>
      <c r="M101" s="1" t="s">
        <v>1474</v>
      </c>
      <c r="N101" s="1"/>
      <c r="O101" s="1">
        <f t="shared" si="8"/>
        <v>1</v>
      </c>
      <c r="P101" s="1"/>
      <c r="Q101" s="1">
        <f t="shared" si="11"/>
        <v>1</v>
      </c>
      <c r="R101" s="1">
        <f>IF(Q101=1,COUNTIF($Q$5:Q101,1),"")</f>
        <v>82</v>
      </c>
    </row>
    <row r="102" spans="1:18">
      <c r="A102" s="1" t="s">
        <v>1698</v>
      </c>
      <c r="B102" s="1" t="s">
        <v>1683</v>
      </c>
      <c r="C102" s="1">
        <v>3</v>
      </c>
      <c r="D102" s="1" t="s">
        <v>1699</v>
      </c>
      <c r="E102" s="1" t="s">
        <v>1700</v>
      </c>
      <c r="F102" s="1">
        <f>0.0005*F103^2/F106</f>
        <v>2.4600027334541776</v>
      </c>
      <c r="G102" s="1" t="s">
        <v>1701</v>
      </c>
      <c r="H102" s="1">
        <f t="shared" si="12"/>
        <v>4.0642392503538476</v>
      </c>
      <c r="I102" s="1" t="s">
        <v>1702</v>
      </c>
      <c r="J102" s="1">
        <f>1</f>
        <v>1</v>
      </c>
      <c r="K102" s="1">
        <f>K97*J102</f>
        <v>0.32675786501464676</v>
      </c>
      <c r="L102" s="1" t="str">
        <f t="shared" ref="L102:L133" si="13">IF(K102&gt;0,"増加→総重量増",IF(K102&lt;0,"増加→総重量減","中立"))</f>
        <v>増加→総重量増</v>
      </c>
      <c r="M102" s="1" t="s">
        <v>1474</v>
      </c>
      <c r="N102" s="1"/>
      <c r="O102" s="1">
        <f t="shared" si="8"/>
        <v>0</v>
      </c>
      <c r="P102" s="1"/>
      <c r="Q102" s="1">
        <f t="shared" si="11"/>
        <v>1</v>
      </c>
      <c r="R102" s="1">
        <f>IF(Q102=1,COUNTIF($Q$5:Q102,1),"")</f>
        <v>83</v>
      </c>
    </row>
    <row r="103" spans="1:18">
      <c r="A103" s="1" t="s">
        <v>1703</v>
      </c>
      <c r="B103" s="1" t="s">
        <v>1698</v>
      </c>
      <c r="C103" s="1">
        <v>4</v>
      </c>
      <c r="D103" s="1" t="s">
        <v>1704</v>
      </c>
      <c r="E103" s="1" t="s">
        <v>279</v>
      </c>
      <c r="F103" s="1">
        <f>F104*F105</f>
        <v>1000</v>
      </c>
      <c r="G103" s="1" t="s">
        <v>73</v>
      </c>
      <c r="H103" s="1">
        <f t="shared" si="12"/>
        <v>8.1284785007076952</v>
      </c>
      <c r="I103" s="1" t="s">
        <v>1705</v>
      </c>
      <c r="J103" s="1">
        <f>2</f>
        <v>2</v>
      </c>
      <c r="K103" s="1">
        <f>K102*J103</f>
        <v>0.65351573002929353</v>
      </c>
      <c r="L103" s="1" t="str">
        <f t="shared" si="13"/>
        <v>増加→総重量増</v>
      </c>
      <c r="M103" s="1" t="s">
        <v>1474</v>
      </c>
      <c r="N103" s="1"/>
      <c r="O103" s="1">
        <f t="shared" si="8"/>
        <v>0</v>
      </c>
      <c r="P103" s="1"/>
      <c r="Q103" s="1">
        <f t="shared" si="11"/>
        <v>1</v>
      </c>
      <c r="R103" s="1">
        <f>IF(Q103=1,COUNTIF($Q$5:Q103,1),"")</f>
        <v>84</v>
      </c>
    </row>
    <row r="104" spans="1:18">
      <c r="A104" s="1" t="s">
        <v>1706</v>
      </c>
      <c r="B104" s="1" t="s">
        <v>1703</v>
      </c>
      <c r="C104" s="1">
        <v>5</v>
      </c>
      <c r="D104" s="1" t="s">
        <v>1707</v>
      </c>
      <c r="E104" s="1" t="s">
        <v>278</v>
      </c>
      <c r="F104" s="1">
        <f>'01_入力仕様'!D53</f>
        <v>1.25</v>
      </c>
      <c r="G104" s="1" t="s">
        <v>86</v>
      </c>
      <c r="H104" s="1">
        <f t="shared" si="12"/>
        <v>8.1284785007076952</v>
      </c>
      <c r="I104" s="1" t="s">
        <v>1482</v>
      </c>
      <c r="J104" s="1">
        <f>1</f>
        <v>1</v>
      </c>
      <c r="K104" s="1">
        <f>K103*J104</f>
        <v>0.65351573002929353</v>
      </c>
      <c r="L104" s="1" t="str">
        <f t="shared" si="13"/>
        <v>増加→総重量増</v>
      </c>
      <c r="M104" s="1" t="s">
        <v>1474</v>
      </c>
      <c r="N104" s="1"/>
      <c r="O104" s="1">
        <f t="shared" si="8"/>
        <v>1</v>
      </c>
      <c r="P104" s="1"/>
      <c r="Q104" s="1">
        <f t="shared" si="11"/>
        <v>1</v>
      </c>
      <c r="R104" s="1">
        <f>IF(Q104=1,COUNTIF($Q$5:Q104,1),"")</f>
        <v>85</v>
      </c>
    </row>
    <row r="105" spans="1:18">
      <c r="A105" s="1" t="s">
        <v>1708</v>
      </c>
      <c r="B105" s="1" t="s">
        <v>1703</v>
      </c>
      <c r="C105" s="1">
        <v>5</v>
      </c>
      <c r="D105" s="1" t="s">
        <v>71</v>
      </c>
      <c r="E105" s="1" t="s">
        <v>72</v>
      </c>
      <c r="F105" s="1">
        <f>'01_入力仕様'!D6</f>
        <v>800</v>
      </c>
      <c r="G105" s="1" t="s">
        <v>73</v>
      </c>
      <c r="H105" s="1">
        <f t="shared" si="12"/>
        <v>8.1284785007076952</v>
      </c>
      <c r="I105" s="1" t="s">
        <v>1482</v>
      </c>
      <c r="J105" s="1">
        <f>1</f>
        <v>1</v>
      </c>
      <c r="K105" s="1">
        <f>K103*J105</f>
        <v>0.65351573002929353</v>
      </c>
      <c r="L105" s="1" t="str">
        <f t="shared" si="13"/>
        <v>増加→総重量増</v>
      </c>
      <c r="M105" s="1" t="s">
        <v>1474</v>
      </c>
      <c r="N105" s="1" t="s">
        <v>1709</v>
      </c>
      <c r="O105" s="1">
        <f t="shared" si="8"/>
        <v>1</v>
      </c>
      <c r="P105" s="1"/>
      <c r="Q105" s="1">
        <f t="shared" si="11"/>
        <v>0</v>
      </c>
      <c r="R105" s="1" t="str">
        <f>IF(Q105=1,COUNTIF($Q$5:Q105,1),"")</f>
        <v/>
      </c>
    </row>
    <row r="106" spans="1:18" ht="28.5">
      <c r="A106" s="1" t="s">
        <v>1710</v>
      </c>
      <c r="B106" s="1" t="s">
        <v>1698</v>
      </c>
      <c r="C106" s="1">
        <v>4</v>
      </c>
      <c r="D106" s="1" t="s">
        <v>1711</v>
      </c>
      <c r="E106" s="1" t="s">
        <v>284</v>
      </c>
      <c r="F106" s="1">
        <f>((F107*F108)+F236)/2*F109</f>
        <v>203.25180667499998</v>
      </c>
      <c r="G106" s="1" t="s">
        <v>283</v>
      </c>
      <c r="H106" s="1">
        <f t="shared" si="12"/>
        <v>4.0642392503538476</v>
      </c>
      <c r="I106" s="1" t="s">
        <v>1712</v>
      </c>
      <c r="J106" s="1">
        <f>-1</f>
        <v>-1</v>
      </c>
      <c r="K106" s="1">
        <f>K102*J106</f>
        <v>-0.32675786501464676</v>
      </c>
      <c r="L106" s="1" t="str">
        <f t="shared" si="13"/>
        <v>増加→総重量減</v>
      </c>
      <c r="M106" s="1" t="s">
        <v>1474</v>
      </c>
      <c r="N106" s="1"/>
      <c r="O106" s="1">
        <f t="shared" si="8"/>
        <v>0</v>
      </c>
      <c r="P106" s="1"/>
      <c r="Q106" s="1">
        <f t="shared" si="11"/>
        <v>1</v>
      </c>
      <c r="R106" s="1">
        <f>IF(Q106=1,COUNTIF($Q$5:Q106,1),"")</f>
        <v>86</v>
      </c>
    </row>
    <row r="107" spans="1:18">
      <c r="A107" s="1" t="s">
        <v>1713</v>
      </c>
      <c r="B107" s="1" t="s">
        <v>1710</v>
      </c>
      <c r="C107" s="1">
        <v>5</v>
      </c>
      <c r="D107" s="1" t="s">
        <v>281</v>
      </c>
      <c r="E107" s="1" t="s">
        <v>282</v>
      </c>
      <c r="F107" s="1">
        <f>'01_入力仕様'!D54</f>
        <v>200</v>
      </c>
      <c r="G107" s="1" t="s">
        <v>283</v>
      </c>
      <c r="H107" s="1">
        <f t="shared" si="12"/>
        <v>1.4397177118006401</v>
      </c>
      <c r="I107" s="1" t="s">
        <v>1482</v>
      </c>
      <c r="J107" s="1">
        <f>('01_入力仕様'!D54*'01_入力仕様'!D55)/(('01_入力仕様'!D54*'01_入力仕様'!D55)+F236)</f>
        <v>0.35424039361740156</v>
      </c>
      <c r="K107" s="1">
        <f>K106*J107</f>
        <v>-0.11575083472037023</v>
      </c>
      <c r="L107" s="1" t="str">
        <f t="shared" si="13"/>
        <v>増加→総重量減</v>
      </c>
      <c r="M107" s="1" t="s">
        <v>1474</v>
      </c>
      <c r="N107" s="1"/>
      <c r="O107" s="1">
        <f t="shared" si="8"/>
        <v>1</v>
      </c>
      <c r="P107" s="1"/>
      <c r="Q107" s="1">
        <f t="shared" si="11"/>
        <v>1</v>
      </c>
      <c r="R107" s="1">
        <f>IF(Q107=1,COUNTIF($Q$5:Q107,1),"")</f>
        <v>87</v>
      </c>
    </row>
    <row r="108" spans="1:18">
      <c r="A108" s="1" t="s">
        <v>1714</v>
      </c>
      <c r="B108" s="1" t="s">
        <v>1710</v>
      </c>
      <c r="C108" s="1">
        <v>5</v>
      </c>
      <c r="D108" s="1" t="s">
        <v>1715</v>
      </c>
      <c r="E108" s="1" t="s">
        <v>287</v>
      </c>
      <c r="F108" s="1">
        <f>'01_入力仕様'!D55</f>
        <v>1</v>
      </c>
      <c r="G108" s="1" t="s">
        <v>86</v>
      </c>
      <c r="H108" s="1">
        <f t="shared" si="12"/>
        <v>1.4397177118006401</v>
      </c>
      <c r="I108" s="1" t="s">
        <v>1482</v>
      </c>
      <c r="J108" s="1">
        <f>('01_入力仕様'!D54*'01_入力仕様'!D55)/(('01_入力仕様'!D54*'01_入力仕様'!D55)+F236)</f>
        <v>0.35424039361740156</v>
      </c>
      <c r="K108" s="1">
        <f>K106*J108</f>
        <v>-0.11575083472037023</v>
      </c>
      <c r="L108" s="1" t="str">
        <f t="shared" si="13"/>
        <v>増加→総重量減</v>
      </c>
      <c r="M108" s="1" t="s">
        <v>1474</v>
      </c>
      <c r="N108" s="1"/>
      <c r="O108" s="1">
        <f t="shared" si="8"/>
        <v>1</v>
      </c>
      <c r="P108" s="1"/>
      <c r="Q108" s="1">
        <f t="shared" si="11"/>
        <v>1</v>
      </c>
      <c r="R108" s="1">
        <f>IF(Q108=1,COUNTIF($Q$5:Q108,1),"")</f>
        <v>88</v>
      </c>
    </row>
    <row r="109" spans="1:18">
      <c r="A109" s="1" t="s">
        <v>1716</v>
      </c>
      <c r="B109" s="1" t="s">
        <v>1710</v>
      </c>
      <c r="C109" s="1">
        <v>5</v>
      </c>
      <c r="D109" s="1" t="s">
        <v>1717</v>
      </c>
      <c r="E109" s="1" t="s">
        <v>290</v>
      </c>
      <c r="F109" s="1">
        <f>'01_入力仕様'!D56</f>
        <v>0.72</v>
      </c>
      <c r="G109" s="1" t="s">
        <v>86</v>
      </c>
      <c r="H109" s="1">
        <f t="shared" si="12"/>
        <v>4.0642392503538476</v>
      </c>
      <c r="I109" s="1" t="s">
        <v>1482</v>
      </c>
      <c r="J109" s="1">
        <f>1</f>
        <v>1</v>
      </c>
      <c r="K109" s="1">
        <f>K106*J109</f>
        <v>-0.32675786501464676</v>
      </c>
      <c r="L109" s="1" t="str">
        <f t="shared" si="13"/>
        <v>増加→総重量減</v>
      </c>
      <c r="M109" s="1" t="s">
        <v>1474</v>
      </c>
      <c r="N109" s="1"/>
      <c r="O109" s="1">
        <f t="shared" si="8"/>
        <v>1</v>
      </c>
      <c r="P109" s="1"/>
      <c r="Q109" s="1">
        <f t="shared" si="11"/>
        <v>1</v>
      </c>
      <c r="R109" s="1">
        <f>IF(Q109=1,COUNTIF($Q$5:Q109,1),"")</f>
        <v>89</v>
      </c>
    </row>
    <row r="110" spans="1:18">
      <c r="A110" s="1" t="s">
        <v>1718</v>
      </c>
      <c r="B110" s="1" t="s">
        <v>1679</v>
      </c>
      <c r="C110" s="1">
        <v>2</v>
      </c>
      <c r="D110" s="1" t="s">
        <v>292</v>
      </c>
      <c r="E110" s="1" t="s">
        <v>293</v>
      </c>
      <c r="F110" s="1">
        <f>'01_入力仕様'!D57</f>
        <v>0.1</v>
      </c>
      <c r="G110" s="1" t="s">
        <v>229</v>
      </c>
      <c r="H110" s="1">
        <f t="shared" si="12"/>
        <v>0.1</v>
      </c>
      <c r="I110" s="1" t="s">
        <v>1482</v>
      </c>
      <c r="J110" s="1">
        <f>IF(F96=0,0,F110/F96)</f>
        <v>2.401399006829464E-2</v>
      </c>
      <c r="K110" s="1">
        <f>K96*J110</f>
        <v>8.0398284866275531E-3</v>
      </c>
      <c r="L110" s="1" t="str">
        <f t="shared" si="13"/>
        <v>増加→総重量増</v>
      </c>
      <c r="M110" s="1" t="s">
        <v>1474</v>
      </c>
      <c r="N110" s="1"/>
      <c r="O110" s="1">
        <f t="shared" si="8"/>
        <v>1</v>
      </c>
      <c r="P110" s="1"/>
      <c r="Q110" s="1">
        <f t="shared" si="11"/>
        <v>1</v>
      </c>
      <c r="R110" s="1">
        <f>IF(Q110=1,COUNTIF($Q$5:Q110,1),"")</f>
        <v>90</v>
      </c>
    </row>
    <row r="111" spans="1:18">
      <c r="A111" s="1" t="s">
        <v>1719</v>
      </c>
      <c r="B111" s="1" t="s">
        <v>1470</v>
      </c>
      <c r="C111" s="1">
        <v>1</v>
      </c>
      <c r="D111" s="1" t="s">
        <v>1720</v>
      </c>
      <c r="E111" s="1" t="s">
        <v>329</v>
      </c>
      <c r="F111" s="1">
        <f>F112*F128+F343+F463+F475</f>
        <v>0.98248453608247421</v>
      </c>
      <c r="G111" s="1" t="s">
        <v>229</v>
      </c>
      <c r="H111" s="1">
        <f t="shared" si="12"/>
        <v>0.98248453608247421</v>
      </c>
      <c r="I111" s="1" t="s">
        <v>1721</v>
      </c>
      <c r="J111" s="1">
        <f>F111/F5</f>
        <v>7.8990071608669318E-2</v>
      </c>
      <c r="K111" s="1">
        <f>K5*J111</f>
        <v>7.8990071608669318E-2</v>
      </c>
      <c r="L111" s="1" t="str">
        <f t="shared" si="13"/>
        <v>増加→総重量増</v>
      </c>
      <c r="M111" s="1" t="s">
        <v>1474</v>
      </c>
      <c r="N111" s="1"/>
      <c r="O111" s="1">
        <f t="shared" si="8"/>
        <v>0</v>
      </c>
      <c r="P111" s="1"/>
      <c r="Q111" s="1">
        <f t="shared" si="11"/>
        <v>1</v>
      </c>
      <c r="R111" s="1">
        <f>IF(Q111=1,COUNTIF($Q$5:Q111,1),"")</f>
        <v>91</v>
      </c>
    </row>
    <row r="112" spans="1:18">
      <c r="A112" s="1" t="s">
        <v>1722</v>
      </c>
      <c r="B112" s="1" t="s">
        <v>1719</v>
      </c>
      <c r="C112" s="1">
        <v>2</v>
      </c>
      <c r="D112" s="1" t="s">
        <v>1723</v>
      </c>
      <c r="E112" s="1" t="s">
        <v>318</v>
      </c>
      <c r="F112" s="1">
        <f>F113*F114*(F115*0.000001)*F127</f>
        <v>0.69278350515463916</v>
      </c>
      <c r="G112" s="1" t="s">
        <v>229</v>
      </c>
      <c r="H112" s="1">
        <f t="shared" ref="H112:H139" si="14">ABS(K112)*$F$5</f>
        <v>0.81748453608247407</v>
      </c>
      <c r="I112" s="1" t="s">
        <v>1724</v>
      </c>
      <c r="J112" s="1">
        <f>IFERROR(F112*F128/F111,0)</f>
        <v>0.83205842541001662</v>
      </c>
      <c r="K112" s="1">
        <f>K111*J112</f>
        <v>6.5724354605733851E-2</v>
      </c>
      <c r="L112" s="1" t="str">
        <f t="shared" si="13"/>
        <v>増加→総重量増</v>
      </c>
      <c r="M112" s="1" t="s">
        <v>1474</v>
      </c>
      <c r="N112" s="1"/>
      <c r="O112" s="1">
        <f t="shared" si="8"/>
        <v>0</v>
      </c>
      <c r="P112" s="1"/>
      <c r="Q112" s="1">
        <f>1</f>
        <v>1</v>
      </c>
      <c r="R112" s="1">
        <f>IF(Q112=1,COUNTIF($Q$5:Q112,1),"")</f>
        <v>92</v>
      </c>
    </row>
    <row r="113" spans="1:18">
      <c r="A113" s="1" t="s">
        <v>1725</v>
      </c>
      <c r="B113" s="1" t="s">
        <v>1722</v>
      </c>
      <c r="C113" s="1">
        <v>3</v>
      </c>
      <c r="D113" s="1" t="s">
        <v>320</v>
      </c>
      <c r="E113" s="1" t="s">
        <v>321</v>
      </c>
      <c r="F113" s="1">
        <f>'01_入力仕様'!D64</f>
        <v>2</v>
      </c>
      <c r="G113" s="1" t="s">
        <v>86</v>
      </c>
      <c r="H113" s="1">
        <f t="shared" si="14"/>
        <v>0.81748453608247407</v>
      </c>
      <c r="I113" s="1" t="s">
        <v>1482</v>
      </c>
      <c r="J113" s="1">
        <f>1</f>
        <v>1</v>
      </c>
      <c r="K113" s="1">
        <f>K112*J113</f>
        <v>6.5724354605733851E-2</v>
      </c>
      <c r="L113" s="1" t="str">
        <f t="shared" si="13"/>
        <v>増加→総重量増</v>
      </c>
      <c r="M113" s="1" t="s">
        <v>1474</v>
      </c>
      <c r="N113" s="1"/>
      <c r="O113" s="1">
        <f t="shared" si="8"/>
        <v>1</v>
      </c>
      <c r="P113" s="1"/>
      <c r="Q113" s="1">
        <f t="shared" ref="Q113:Q144" si="15">IF(E113="","",--(MATCH(E113,$E$5:$E$560,0)=ROW()-4))</f>
        <v>1</v>
      </c>
      <c r="R113" s="1">
        <f>IF(Q113=1,COUNTIF($Q$5:Q113,1),"")</f>
        <v>93</v>
      </c>
    </row>
    <row r="114" spans="1:18">
      <c r="A114" s="1" t="s">
        <v>1726</v>
      </c>
      <c r="B114" s="1" t="s">
        <v>1722</v>
      </c>
      <c r="C114" s="1">
        <v>3</v>
      </c>
      <c r="D114" s="1" t="s">
        <v>316</v>
      </c>
      <c r="E114" s="1" t="s">
        <v>317</v>
      </c>
      <c r="F114" s="1">
        <f>'01_入力仕様'!D63</f>
        <v>1.2</v>
      </c>
      <c r="G114" s="1" t="s">
        <v>262</v>
      </c>
      <c r="H114" s="1">
        <f t="shared" si="14"/>
        <v>0.81748453608247407</v>
      </c>
      <c r="I114" s="1" t="s">
        <v>1482</v>
      </c>
      <c r="J114" s="1">
        <f>1</f>
        <v>1</v>
      </c>
      <c r="K114" s="1">
        <f>K112*J114</f>
        <v>6.5724354605733851E-2</v>
      </c>
      <c r="L114" s="1" t="str">
        <f t="shared" si="13"/>
        <v>増加→総重量増</v>
      </c>
      <c r="M114" s="1" t="s">
        <v>1474</v>
      </c>
      <c r="N114" s="1"/>
      <c r="O114" s="1">
        <f t="shared" si="8"/>
        <v>1</v>
      </c>
      <c r="P114" s="1"/>
      <c r="Q114" s="1">
        <f t="shared" si="15"/>
        <v>1</v>
      </c>
      <c r="R114" s="1">
        <f>IF(Q114=1,COUNTIF($Q$5:Q114,1),"")</f>
        <v>94</v>
      </c>
    </row>
    <row r="115" spans="1:18">
      <c r="A115" s="1" t="s">
        <v>1727</v>
      </c>
      <c r="B115" s="1" t="s">
        <v>1722</v>
      </c>
      <c r="C115" s="1">
        <v>3</v>
      </c>
      <c r="D115" s="1" t="s">
        <v>1728</v>
      </c>
      <c r="E115" s="1" t="s">
        <v>1729</v>
      </c>
      <c r="F115" s="1">
        <f>F116/F119</f>
        <v>32.216494845360828</v>
      </c>
      <c r="G115" s="1" t="s">
        <v>168</v>
      </c>
      <c r="H115" s="1">
        <f t="shared" si="14"/>
        <v>0.81748453608247407</v>
      </c>
      <c r="I115" s="1" t="s">
        <v>1730</v>
      </c>
      <c r="J115" s="1">
        <f>1</f>
        <v>1</v>
      </c>
      <c r="K115" s="1">
        <f>K112*J115</f>
        <v>6.5724354605733851E-2</v>
      </c>
      <c r="L115" s="1" t="str">
        <f t="shared" si="13"/>
        <v>増加→総重量増</v>
      </c>
      <c r="M115" s="1" t="s">
        <v>1474</v>
      </c>
      <c r="N115" s="1"/>
      <c r="O115" s="1">
        <f t="shared" si="8"/>
        <v>0</v>
      </c>
      <c r="P115" s="1"/>
      <c r="Q115" s="1">
        <f t="shared" si="15"/>
        <v>1</v>
      </c>
      <c r="R115" s="1">
        <f>IF(Q115=1,COUNTIF($Q$5:Q115,1),"")</f>
        <v>95</v>
      </c>
    </row>
    <row r="116" spans="1:18">
      <c r="A116" s="1" t="s">
        <v>1731</v>
      </c>
      <c r="B116" s="1" t="s">
        <v>1727</v>
      </c>
      <c r="C116" s="1">
        <v>4</v>
      </c>
      <c r="D116" s="1" t="s">
        <v>1732</v>
      </c>
      <c r="E116" s="1" t="s">
        <v>1733</v>
      </c>
      <c r="F116" s="1">
        <f>'01_入力仕様'!D5*1000/(F117*F118)</f>
        <v>128.86597938144331</v>
      </c>
      <c r="G116" s="1" t="s">
        <v>808</v>
      </c>
      <c r="H116" s="1">
        <f t="shared" si="14"/>
        <v>0.81748453608247407</v>
      </c>
      <c r="I116" s="1" t="s">
        <v>1734</v>
      </c>
      <c r="J116" s="1">
        <f>1</f>
        <v>1</v>
      </c>
      <c r="K116" s="1">
        <f>K115*J116</f>
        <v>6.5724354605733851E-2</v>
      </c>
      <c r="L116" s="1" t="str">
        <f t="shared" si="13"/>
        <v>増加→総重量増</v>
      </c>
      <c r="M116" s="1" t="s">
        <v>1474</v>
      </c>
      <c r="N116" s="1" t="s">
        <v>1691</v>
      </c>
      <c r="O116" s="1">
        <f t="shared" si="8"/>
        <v>0</v>
      </c>
      <c r="P116" s="1"/>
      <c r="Q116" s="1">
        <f t="shared" si="15"/>
        <v>1</v>
      </c>
      <c r="R116" s="1">
        <f>IF(Q116=1,COUNTIF($Q$5:Q116,1),"")</f>
        <v>96</v>
      </c>
    </row>
    <row r="117" spans="1:18">
      <c r="A117" s="1" t="s">
        <v>1735</v>
      </c>
      <c r="B117" s="1" t="s">
        <v>1731</v>
      </c>
      <c r="C117" s="1">
        <v>5</v>
      </c>
      <c r="D117" s="1" t="s">
        <v>71</v>
      </c>
      <c r="E117" s="1" t="s">
        <v>72</v>
      </c>
      <c r="F117" s="1">
        <f>'01_入力仕様'!D6</f>
        <v>800</v>
      </c>
      <c r="G117" s="1" t="s">
        <v>73</v>
      </c>
      <c r="H117" s="1">
        <f t="shared" si="14"/>
        <v>0.81748453608247407</v>
      </c>
      <c r="I117" s="1" t="s">
        <v>1482</v>
      </c>
      <c r="J117" s="1">
        <f>-1</f>
        <v>-1</v>
      </c>
      <c r="K117" s="1">
        <f>K116*J117</f>
        <v>-6.5724354605733851E-2</v>
      </c>
      <c r="L117" s="1" t="str">
        <f t="shared" si="13"/>
        <v>増加→総重量減</v>
      </c>
      <c r="M117" s="1" t="s">
        <v>1474</v>
      </c>
      <c r="N117" s="1" t="s">
        <v>1736</v>
      </c>
      <c r="O117" s="1">
        <f t="shared" si="8"/>
        <v>1</v>
      </c>
      <c r="P117" s="1"/>
      <c r="Q117" s="1">
        <f t="shared" si="15"/>
        <v>0</v>
      </c>
      <c r="R117" s="1" t="str">
        <f>IF(Q117=1,COUNTIF($Q$5:Q117,1),"")</f>
        <v/>
      </c>
    </row>
    <row r="118" spans="1:18">
      <c r="A118" s="1" t="s">
        <v>1737</v>
      </c>
      <c r="B118" s="1" t="s">
        <v>1731</v>
      </c>
      <c r="C118" s="1">
        <v>5</v>
      </c>
      <c r="D118" s="1" t="s">
        <v>1504</v>
      </c>
      <c r="E118" s="1" t="s">
        <v>90</v>
      </c>
      <c r="F118" s="1">
        <f>'01_入力仕様'!D9</f>
        <v>0.97</v>
      </c>
      <c r="G118" s="1" t="s">
        <v>86</v>
      </c>
      <c r="H118" s="1">
        <f t="shared" si="14"/>
        <v>0.81748453608247407</v>
      </c>
      <c r="I118" s="1" t="s">
        <v>1482</v>
      </c>
      <c r="J118" s="1">
        <f>-1</f>
        <v>-1</v>
      </c>
      <c r="K118" s="1">
        <f>K116*J118</f>
        <v>-6.5724354605733851E-2</v>
      </c>
      <c r="L118" s="1" t="str">
        <f t="shared" si="13"/>
        <v>増加→総重量減</v>
      </c>
      <c r="M118" s="1" t="s">
        <v>1474</v>
      </c>
      <c r="N118" s="1"/>
      <c r="O118" s="1">
        <f t="shared" si="8"/>
        <v>1</v>
      </c>
      <c r="P118" s="1"/>
      <c r="Q118" s="1">
        <f t="shared" si="15"/>
        <v>0</v>
      </c>
      <c r="R118" s="1" t="str">
        <f>IF(Q118=1,COUNTIF($Q$5:Q118,1),"")</f>
        <v/>
      </c>
    </row>
    <row r="119" spans="1:18">
      <c r="A119" s="1" t="s">
        <v>1738</v>
      </c>
      <c r="B119" s="1" t="s">
        <v>1727</v>
      </c>
      <c r="C119" s="1">
        <v>4</v>
      </c>
      <c r="D119" s="1" t="s">
        <v>1739</v>
      </c>
      <c r="E119" s="1" t="s">
        <v>299</v>
      </c>
      <c r="F119" s="1">
        <f>MIN(F120,F244)*F121*F126</f>
        <v>4</v>
      </c>
      <c r="G119" s="1" t="s">
        <v>200</v>
      </c>
      <c r="H119" s="1">
        <f t="shared" si="14"/>
        <v>0.81748453608247407</v>
      </c>
      <c r="I119" s="1" t="s">
        <v>1740</v>
      </c>
      <c r="J119" s="1">
        <f>-1</f>
        <v>-1</v>
      </c>
      <c r="K119" s="1">
        <f>K115*J119</f>
        <v>-6.5724354605733851E-2</v>
      </c>
      <c r="L119" s="1" t="str">
        <f t="shared" si="13"/>
        <v>増加→総重量減</v>
      </c>
      <c r="M119" s="1" t="s">
        <v>1474</v>
      </c>
      <c r="N119" s="1"/>
      <c r="O119" s="1">
        <f t="shared" si="8"/>
        <v>0</v>
      </c>
      <c r="P119" s="1"/>
      <c r="Q119" s="1">
        <f t="shared" si="15"/>
        <v>1</v>
      </c>
      <c r="R119" s="1">
        <f>IF(Q119=1,COUNTIF($Q$5:Q119,1),"")</f>
        <v>97</v>
      </c>
    </row>
    <row r="120" spans="1:18">
      <c r="A120" s="1" t="s">
        <v>1741</v>
      </c>
      <c r="B120" s="1" t="s">
        <v>1738</v>
      </c>
      <c r="C120" s="1">
        <v>5</v>
      </c>
      <c r="D120" s="1" t="s">
        <v>1742</v>
      </c>
      <c r="E120" s="1" t="s">
        <v>298</v>
      </c>
      <c r="F120" s="1">
        <f>'01_入力仕様'!D58</f>
        <v>4</v>
      </c>
      <c r="G120" s="1" t="s">
        <v>200</v>
      </c>
      <c r="H120" s="1">
        <f t="shared" si="14"/>
        <v>0.81748453608247407</v>
      </c>
      <c r="I120" s="1" t="s">
        <v>1482</v>
      </c>
      <c r="J120" s="1">
        <f>IF('01_入力仕様'!D58&lt;=F244,1,0)</f>
        <v>1</v>
      </c>
      <c r="K120" s="1">
        <f>K119*J120</f>
        <v>-6.5724354605733851E-2</v>
      </c>
      <c r="L120" s="1" t="str">
        <f t="shared" si="13"/>
        <v>増加→総重量減</v>
      </c>
      <c r="M120" s="1" t="s">
        <v>1474</v>
      </c>
      <c r="N120" s="1"/>
      <c r="O120" s="1">
        <f t="shared" si="8"/>
        <v>1</v>
      </c>
      <c r="P120" s="1"/>
      <c r="Q120" s="1">
        <f t="shared" si="15"/>
        <v>1</v>
      </c>
      <c r="R120" s="1">
        <f>IF(Q120=1,COUNTIF($Q$5:Q120,1),"")</f>
        <v>98</v>
      </c>
    </row>
    <row r="121" spans="1:18">
      <c r="A121" s="1" t="s">
        <v>1743</v>
      </c>
      <c r="B121" s="1" t="s">
        <v>1738</v>
      </c>
      <c r="C121" s="1">
        <v>5</v>
      </c>
      <c r="D121" s="1" t="s">
        <v>1744</v>
      </c>
      <c r="E121" s="1" t="s">
        <v>1745</v>
      </c>
      <c r="F121" s="1">
        <f>SQRT(F122/F125)</f>
        <v>1</v>
      </c>
      <c r="G121" s="1" t="s">
        <v>86</v>
      </c>
      <c r="H121" s="1">
        <f t="shared" si="14"/>
        <v>0.81748453608247407</v>
      </c>
      <c r="I121" s="1" t="s">
        <v>1746</v>
      </c>
      <c r="J121" s="1">
        <f>1</f>
        <v>1</v>
      </c>
      <c r="K121" s="1">
        <f>K119*J121</f>
        <v>-6.5724354605733851E-2</v>
      </c>
      <c r="L121" s="1" t="str">
        <f t="shared" si="13"/>
        <v>増加→総重量減</v>
      </c>
      <c r="M121" s="1" t="s">
        <v>1474</v>
      </c>
      <c r="N121" s="1"/>
      <c r="O121" s="1">
        <f t="shared" si="8"/>
        <v>0</v>
      </c>
      <c r="P121" s="1"/>
      <c r="Q121" s="1">
        <f t="shared" si="15"/>
        <v>1</v>
      </c>
      <c r="R121" s="1">
        <f>IF(Q121=1,COUNTIF($Q$5:Q121,1),"")</f>
        <v>99</v>
      </c>
    </row>
    <row r="122" spans="1:18">
      <c r="A122" s="1" t="s">
        <v>1747</v>
      </c>
      <c r="B122" s="1" t="s">
        <v>1743</v>
      </c>
      <c r="C122" s="1">
        <v>6</v>
      </c>
      <c r="D122" s="1" t="s">
        <v>1748</v>
      </c>
      <c r="E122" s="1" t="s">
        <v>304</v>
      </c>
      <c r="F122" s="1">
        <f>F123-F124</f>
        <v>60</v>
      </c>
      <c r="G122" s="1" t="s">
        <v>257</v>
      </c>
      <c r="H122" s="1">
        <f t="shared" si="14"/>
        <v>0.40874226804123703</v>
      </c>
      <c r="I122" s="1" t="s">
        <v>1749</v>
      </c>
      <c r="J122" s="1">
        <f>0.5</f>
        <v>0.5</v>
      </c>
      <c r="K122" s="1">
        <f>K121*J122</f>
        <v>-3.2862177302866925E-2</v>
      </c>
      <c r="L122" s="1" t="str">
        <f t="shared" si="13"/>
        <v>増加→総重量減</v>
      </c>
      <c r="M122" s="1" t="s">
        <v>1474</v>
      </c>
      <c r="N122" s="1"/>
      <c r="O122" s="1">
        <f t="shared" si="8"/>
        <v>0</v>
      </c>
      <c r="P122" s="1"/>
      <c r="Q122" s="1">
        <f t="shared" si="15"/>
        <v>1</v>
      </c>
      <c r="R122" s="1">
        <f>IF(Q122=1,COUNTIF($Q$5:Q122,1),"")</f>
        <v>100</v>
      </c>
    </row>
    <row r="123" spans="1:18">
      <c r="A123" s="1" t="s">
        <v>1750</v>
      </c>
      <c r="B123" s="1" t="s">
        <v>1747</v>
      </c>
      <c r="C123" s="1">
        <v>7</v>
      </c>
      <c r="D123" s="1" t="s">
        <v>301</v>
      </c>
      <c r="E123" s="1" t="s">
        <v>302</v>
      </c>
      <c r="F123" s="1">
        <f>'01_入力仕様'!D59</f>
        <v>105</v>
      </c>
      <c r="G123" s="1" t="s">
        <v>303</v>
      </c>
      <c r="H123" s="1">
        <f t="shared" si="14"/>
        <v>0.71529896907216484</v>
      </c>
      <c r="I123" s="1" t="s">
        <v>1482</v>
      </c>
      <c r="J123" s="1">
        <f>'01_入力仕様'!D59/F122</f>
        <v>1.75</v>
      </c>
      <c r="K123" s="1">
        <f>K122*J123</f>
        <v>-5.7508810280017121E-2</v>
      </c>
      <c r="L123" s="1" t="str">
        <f t="shared" si="13"/>
        <v>増加→総重量減</v>
      </c>
      <c r="M123" s="1" t="s">
        <v>1474</v>
      </c>
      <c r="N123" s="1"/>
      <c r="O123" s="1">
        <f t="shared" si="8"/>
        <v>1</v>
      </c>
      <c r="P123" s="1"/>
      <c r="Q123" s="1">
        <f t="shared" si="15"/>
        <v>1</v>
      </c>
      <c r="R123" s="1">
        <f>IF(Q123=1,COUNTIF($Q$5:Q123,1),"")</f>
        <v>101</v>
      </c>
    </row>
    <row r="124" spans="1:18">
      <c r="A124" s="1" t="s">
        <v>1751</v>
      </c>
      <c r="B124" s="1" t="s">
        <v>1747</v>
      </c>
      <c r="C124" s="1">
        <v>7</v>
      </c>
      <c r="D124" s="1" t="s">
        <v>306</v>
      </c>
      <c r="E124" s="1" t="s">
        <v>307</v>
      </c>
      <c r="F124" s="1">
        <f>'01_入力仕様'!D60</f>
        <v>45</v>
      </c>
      <c r="G124" s="1" t="s">
        <v>303</v>
      </c>
      <c r="H124" s="1">
        <f t="shared" si="14"/>
        <v>0.3065567010309278</v>
      </c>
      <c r="I124" s="1" t="s">
        <v>1482</v>
      </c>
      <c r="J124" s="1">
        <f>-'01_入力仕様'!D60/F122</f>
        <v>-0.75</v>
      </c>
      <c r="K124" s="1">
        <f>K122*J124</f>
        <v>2.4646632977150196E-2</v>
      </c>
      <c r="L124" s="1" t="str">
        <f t="shared" si="13"/>
        <v>増加→総重量増</v>
      </c>
      <c r="M124" s="1" t="s">
        <v>1474</v>
      </c>
      <c r="N124" s="1"/>
      <c r="O124" s="1">
        <f t="shared" si="8"/>
        <v>1</v>
      </c>
      <c r="P124" s="1"/>
      <c r="Q124" s="1">
        <f t="shared" si="15"/>
        <v>1</v>
      </c>
      <c r="R124" s="1">
        <f>IF(Q124=1,COUNTIF($Q$5:Q124,1),"")</f>
        <v>102</v>
      </c>
    </row>
    <row r="125" spans="1:18">
      <c r="A125" s="1" t="s">
        <v>1752</v>
      </c>
      <c r="B125" s="1" t="s">
        <v>1743</v>
      </c>
      <c r="C125" s="1">
        <v>6</v>
      </c>
      <c r="D125" s="1" t="s">
        <v>310</v>
      </c>
      <c r="E125" s="1" t="s">
        <v>311</v>
      </c>
      <c r="F125" s="1">
        <f>'01_入力仕様'!D61</f>
        <v>60</v>
      </c>
      <c r="G125" s="1" t="s">
        <v>257</v>
      </c>
      <c r="H125" s="1">
        <f t="shared" si="14"/>
        <v>0.40874226804123703</v>
      </c>
      <c r="I125" s="1" t="s">
        <v>1482</v>
      </c>
      <c r="J125" s="1">
        <f>-0.5</f>
        <v>-0.5</v>
      </c>
      <c r="K125" s="1">
        <f>K121*J125</f>
        <v>3.2862177302866925E-2</v>
      </c>
      <c r="L125" s="1" t="str">
        <f t="shared" si="13"/>
        <v>増加→総重量増</v>
      </c>
      <c r="M125" s="1" t="s">
        <v>1474</v>
      </c>
      <c r="N125" s="1"/>
      <c r="O125" s="1">
        <f t="shared" si="8"/>
        <v>1</v>
      </c>
      <c r="P125" s="1"/>
      <c r="Q125" s="1">
        <f t="shared" si="15"/>
        <v>1</v>
      </c>
      <c r="R125" s="1">
        <f>IF(Q125=1,COUNTIF($Q$5:Q125,1),"")</f>
        <v>103</v>
      </c>
    </row>
    <row r="126" spans="1:18">
      <c r="A126" s="1" t="s">
        <v>1753</v>
      </c>
      <c r="B126" s="1" t="s">
        <v>1738</v>
      </c>
      <c r="C126" s="1">
        <v>5</v>
      </c>
      <c r="D126" s="1" t="s">
        <v>313</v>
      </c>
      <c r="E126" s="1" t="s">
        <v>314</v>
      </c>
      <c r="F126" s="1">
        <f>'01_入力仕様'!D62</f>
        <v>1</v>
      </c>
      <c r="G126" s="1" t="s">
        <v>86</v>
      </c>
      <c r="H126" s="1">
        <f t="shared" si="14"/>
        <v>0.81748453608247407</v>
      </c>
      <c r="I126" s="1" t="s">
        <v>1482</v>
      </c>
      <c r="J126" s="1">
        <f>1</f>
        <v>1</v>
      </c>
      <c r="K126" s="1">
        <f>K119*J126</f>
        <v>-6.5724354605733851E-2</v>
      </c>
      <c r="L126" s="1" t="str">
        <f t="shared" si="13"/>
        <v>増加→総重量減</v>
      </c>
      <c r="M126" s="1" t="s">
        <v>1474</v>
      </c>
      <c r="N126" s="1"/>
      <c r="O126" s="1">
        <f t="shared" si="8"/>
        <v>1</v>
      </c>
      <c r="P126" s="1"/>
      <c r="Q126" s="1">
        <f t="shared" si="15"/>
        <v>1</v>
      </c>
      <c r="R126" s="1">
        <f>IF(Q126=1,COUNTIF($Q$5:Q126,1),"")</f>
        <v>104</v>
      </c>
    </row>
    <row r="127" spans="1:18">
      <c r="A127" s="1" t="s">
        <v>1754</v>
      </c>
      <c r="B127" s="1" t="s">
        <v>1722</v>
      </c>
      <c r="C127" s="1">
        <v>3</v>
      </c>
      <c r="D127" s="1" t="s">
        <v>324</v>
      </c>
      <c r="E127" s="1" t="s">
        <v>325</v>
      </c>
      <c r="F127" s="1">
        <f>'01_入力仕様'!D65*((1-F469)+F469*'01_入力仕様'!D225)</f>
        <v>8960</v>
      </c>
      <c r="G127" s="1" t="s">
        <v>178</v>
      </c>
      <c r="H127" s="1">
        <f t="shared" si="14"/>
        <v>0.81748453608247407</v>
      </c>
      <c r="I127" s="1" t="s">
        <v>1482</v>
      </c>
      <c r="J127" s="1">
        <f>1</f>
        <v>1</v>
      </c>
      <c r="K127" s="1">
        <f>K112*J127</f>
        <v>6.5724354605733851E-2</v>
      </c>
      <c r="L127" s="1" t="str">
        <f t="shared" si="13"/>
        <v>増加→総重量増</v>
      </c>
      <c r="M127" s="1" t="s">
        <v>1474</v>
      </c>
      <c r="N127" s="1"/>
      <c r="O127" s="1">
        <f t="shared" si="8"/>
        <v>0</v>
      </c>
      <c r="P127" s="1"/>
      <c r="Q127" s="1">
        <f t="shared" si="15"/>
        <v>1</v>
      </c>
      <c r="R127" s="1">
        <f>IF(Q127=1,COUNTIF($Q$5:Q127,1),"")</f>
        <v>105</v>
      </c>
    </row>
    <row r="128" spans="1:18">
      <c r="A128" s="1" t="s">
        <v>1755</v>
      </c>
      <c r="B128" s="1" t="s">
        <v>1719</v>
      </c>
      <c r="C128" s="1">
        <v>2</v>
      </c>
      <c r="D128" s="1" t="s">
        <v>327</v>
      </c>
      <c r="E128" s="1" t="s">
        <v>328</v>
      </c>
      <c r="F128" s="1">
        <f>'01_入力仕様'!D66</f>
        <v>1.18</v>
      </c>
      <c r="G128" s="1" t="s">
        <v>86</v>
      </c>
      <c r="H128" s="1">
        <f t="shared" si="14"/>
        <v>0.81748453608247407</v>
      </c>
      <c r="I128" s="1" t="s">
        <v>1482</v>
      </c>
      <c r="J128" s="1">
        <f>IFERROR(F112*F128/F111,0)</f>
        <v>0.83205842541001662</v>
      </c>
      <c r="K128" s="1">
        <f>K111*J128</f>
        <v>6.5724354605733851E-2</v>
      </c>
      <c r="L128" s="1" t="str">
        <f t="shared" si="13"/>
        <v>増加→総重量増</v>
      </c>
      <c r="M128" s="1" t="s">
        <v>1474</v>
      </c>
      <c r="N128" s="1"/>
      <c r="O128" s="1">
        <f t="shared" si="8"/>
        <v>1</v>
      </c>
      <c r="P128" s="1"/>
      <c r="Q128" s="1">
        <f t="shared" si="15"/>
        <v>1</v>
      </c>
      <c r="R128" s="1">
        <f>IF(Q128=1,COUNTIF($Q$5:Q128,1),"")</f>
        <v>106</v>
      </c>
    </row>
    <row r="129" spans="1:18" ht="28.5">
      <c r="A129" s="1" t="s">
        <v>1756</v>
      </c>
      <c r="B129" s="1" t="s">
        <v>1470</v>
      </c>
      <c r="C129" s="1">
        <v>1</v>
      </c>
      <c r="D129" s="1" t="s">
        <v>1757</v>
      </c>
      <c r="E129" s="1" t="s">
        <v>344</v>
      </c>
      <c r="F129" s="1">
        <f>F130*F134*F135*F136+F506+F509+F511</f>
        <v>2.3530976784000006</v>
      </c>
      <c r="G129" s="1" t="s">
        <v>229</v>
      </c>
      <c r="H129" s="1">
        <f t="shared" si="14"/>
        <v>2.3530976784000006</v>
      </c>
      <c r="I129" s="1" t="s">
        <v>1758</v>
      </c>
      <c r="J129" s="1">
        <f>F129/F5</f>
        <v>0.18918501746617486</v>
      </c>
      <c r="K129" s="1">
        <f>K5*J129</f>
        <v>0.18918501746617486</v>
      </c>
      <c r="L129" s="1" t="str">
        <f t="shared" si="13"/>
        <v>増加→総重量増</v>
      </c>
      <c r="M129" s="1" t="s">
        <v>1474</v>
      </c>
      <c r="N129" s="1" t="s">
        <v>1759</v>
      </c>
      <c r="O129" s="1">
        <f t="shared" si="8"/>
        <v>0</v>
      </c>
      <c r="P129" s="1"/>
      <c r="Q129" s="1">
        <f t="shared" si="15"/>
        <v>1</v>
      </c>
      <c r="R129" s="1">
        <f>IF(Q129=1,COUNTIF($Q$5:Q129,1),"")</f>
        <v>107</v>
      </c>
    </row>
    <row r="130" spans="1:18">
      <c r="A130" s="1" t="s">
        <v>1760</v>
      </c>
      <c r="B130" s="1" t="s">
        <v>1756</v>
      </c>
      <c r="C130" s="1">
        <v>2</v>
      </c>
      <c r="D130" s="1" t="s">
        <v>1761</v>
      </c>
      <c r="E130" s="1" t="s">
        <v>334</v>
      </c>
      <c r="F130" s="1">
        <f>2*(F131*F132+F131*F133+F132*F133)</f>
        <v>0.495</v>
      </c>
      <c r="G130" s="1" t="s">
        <v>564</v>
      </c>
      <c r="H130" s="1">
        <f t="shared" si="14"/>
        <v>2.1730976784000009</v>
      </c>
      <c r="I130" s="1" t="s">
        <v>1762</v>
      </c>
      <c r="J130" s="1">
        <f>IFERROR(F130*F134*F135*F136/F129,0)</f>
        <v>0.92350508793056485</v>
      </c>
      <c r="K130" s="1">
        <f>K129*J130</f>
        <v>0.17471332619024527</v>
      </c>
      <c r="L130" s="1" t="str">
        <f t="shared" si="13"/>
        <v>増加→総重量増</v>
      </c>
      <c r="M130" s="1" t="s">
        <v>1474</v>
      </c>
      <c r="N130" s="1"/>
      <c r="O130" s="1">
        <f t="shared" si="8"/>
        <v>0</v>
      </c>
      <c r="P130" s="1"/>
      <c r="Q130" s="1">
        <f t="shared" si="15"/>
        <v>1</v>
      </c>
      <c r="R130" s="1">
        <f>IF(Q130=1,COUNTIF($Q$5:Q130,1),"")</f>
        <v>108</v>
      </c>
    </row>
    <row r="131" spans="1:18">
      <c r="A131" s="1" t="s">
        <v>1763</v>
      </c>
      <c r="B131" s="1" t="s">
        <v>1760</v>
      </c>
      <c r="C131" s="1">
        <v>3</v>
      </c>
      <c r="D131" s="1" t="s">
        <v>1764</v>
      </c>
      <c r="E131" s="1" t="s">
        <v>333</v>
      </c>
      <c r="F131" s="1">
        <f>'01_入力仕様'!D67</f>
        <v>0.45</v>
      </c>
      <c r="G131" s="1" t="s">
        <v>262</v>
      </c>
      <c r="H131" s="1">
        <f t="shared" si="14"/>
        <v>1.7779890096000006</v>
      </c>
      <c r="I131" s="1" t="s">
        <v>1482</v>
      </c>
      <c r="J131" s="1">
        <f>'01_入力仕様'!D67*('01_入力仕様'!D68+'01_入力仕様'!D69)/('01_入力仕様'!D67*'01_入力仕様'!D68+'01_入力仕様'!D67*'01_入力仕様'!D69+'01_入力仕様'!D68*'01_入力仕様'!D69)</f>
        <v>0.81818181818181812</v>
      </c>
      <c r="K131" s="1">
        <f>K130*J131</f>
        <v>0.14294726688292794</v>
      </c>
      <c r="L131" s="1" t="str">
        <f t="shared" si="13"/>
        <v>増加→総重量増</v>
      </c>
      <c r="M131" s="1" t="s">
        <v>1474</v>
      </c>
      <c r="N131" s="1"/>
      <c r="O131" s="1">
        <f t="shared" si="8"/>
        <v>1</v>
      </c>
      <c r="P131" s="1"/>
      <c r="Q131" s="1">
        <f t="shared" si="15"/>
        <v>1</v>
      </c>
      <c r="R131" s="1">
        <f>IF(Q131=1,COUNTIF($Q$5:Q131,1),"")</f>
        <v>109</v>
      </c>
    </row>
    <row r="132" spans="1:18">
      <c r="A132" s="1" t="s">
        <v>1765</v>
      </c>
      <c r="B132" s="1" t="s">
        <v>1760</v>
      </c>
      <c r="C132" s="1">
        <v>3</v>
      </c>
      <c r="D132" s="1" t="s">
        <v>1766</v>
      </c>
      <c r="E132" s="1" t="s">
        <v>337</v>
      </c>
      <c r="F132" s="1">
        <f>'01_入力仕様'!D68</f>
        <v>0.3</v>
      </c>
      <c r="G132" s="1" t="s">
        <v>262</v>
      </c>
      <c r="H132" s="1">
        <f t="shared" si="14"/>
        <v>1.5804346752000007</v>
      </c>
      <c r="I132" s="1" t="s">
        <v>1482</v>
      </c>
      <c r="J132" s="1">
        <f>'01_入力仕様'!D68*('01_入力仕様'!D67+'01_入力仕様'!D69)/('01_入力仕様'!D67*'01_入力仕様'!D68+'01_入力仕様'!D67*'01_入力仕様'!D69+'01_入力仕様'!D68*'01_入力仕様'!D69)</f>
        <v>0.72727272727272729</v>
      </c>
      <c r="K132" s="1">
        <f>K130*J132</f>
        <v>0.12706423722926929</v>
      </c>
      <c r="L132" s="1" t="str">
        <f t="shared" si="13"/>
        <v>増加→総重量増</v>
      </c>
      <c r="M132" s="1" t="s">
        <v>1474</v>
      </c>
      <c r="N132" s="1"/>
      <c r="O132" s="1">
        <f t="shared" si="8"/>
        <v>1</v>
      </c>
      <c r="P132" s="1"/>
      <c r="Q132" s="1">
        <f t="shared" si="15"/>
        <v>1</v>
      </c>
      <c r="R132" s="1">
        <f>IF(Q132=1,COUNTIF($Q$5:Q132,1),"")</f>
        <v>110</v>
      </c>
    </row>
    <row r="133" spans="1:18">
      <c r="A133" s="1" t="s">
        <v>1767</v>
      </c>
      <c r="B133" s="1" t="s">
        <v>1760</v>
      </c>
      <c r="C133" s="1">
        <v>3</v>
      </c>
      <c r="D133" s="1" t="s">
        <v>1768</v>
      </c>
      <c r="E133" s="1" t="s">
        <v>340</v>
      </c>
      <c r="F133" s="1">
        <f>'01_入力仕様'!D69</f>
        <v>0.15</v>
      </c>
      <c r="G133" s="1" t="s">
        <v>262</v>
      </c>
      <c r="H133" s="1">
        <f t="shared" si="14"/>
        <v>0.98777167200000027</v>
      </c>
      <c r="I133" s="1" t="s">
        <v>1482</v>
      </c>
      <c r="J133" s="1">
        <f>'01_入力仕様'!D69*('01_入力仕様'!D67+'01_入力仕様'!D68)/('01_入力仕様'!D67*'01_入力仕様'!D68+'01_入力仕様'!D67*'01_入力仕様'!D69+'01_入力仕様'!D68*'01_入力仕様'!D69)</f>
        <v>0.45454545454545453</v>
      </c>
      <c r="K133" s="1">
        <f>K130*J133</f>
        <v>7.9415148268293295E-2</v>
      </c>
      <c r="L133" s="1" t="str">
        <f t="shared" si="13"/>
        <v>増加→総重量増</v>
      </c>
      <c r="M133" s="1" t="s">
        <v>1474</v>
      </c>
      <c r="N133" s="1"/>
      <c r="O133" s="1">
        <f t="shared" ref="O133:O196" si="16">IF($A133="","",--(COUNTIF($B$5:$B$679,$A133)=0))</f>
        <v>1</v>
      </c>
      <c r="P133" s="1"/>
      <c r="Q133" s="1">
        <f t="shared" si="15"/>
        <v>1</v>
      </c>
      <c r="R133" s="1">
        <f>IF(Q133=1,COUNTIF($Q$5:Q133,1),"")</f>
        <v>111</v>
      </c>
    </row>
    <row r="134" spans="1:18">
      <c r="A134" s="1" t="s">
        <v>1769</v>
      </c>
      <c r="B134" s="1" t="s">
        <v>1756</v>
      </c>
      <c r="C134" s="1">
        <v>2</v>
      </c>
      <c r="D134" s="1" t="s">
        <v>1770</v>
      </c>
      <c r="E134" s="1" t="s">
        <v>1771</v>
      </c>
      <c r="F134" s="1">
        <f>MAX(F257,F258)</f>
        <v>1.8E-3</v>
      </c>
      <c r="G134" s="1" t="s">
        <v>262</v>
      </c>
      <c r="H134" s="1">
        <f t="shared" si="14"/>
        <v>2.1730976784000009</v>
      </c>
      <c r="I134" s="1" t="s">
        <v>1772</v>
      </c>
      <c r="J134" s="1">
        <f>IFERROR(F130*F134*F135*F136/F129,0)</f>
        <v>0.92350508793056485</v>
      </c>
      <c r="K134" s="1">
        <f>K129*J134</f>
        <v>0.17471332619024527</v>
      </c>
      <c r="L134" s="1" t="str">
        <f t="shared" ref="L134:L165" si="17">IF(K134&gt;0,"増加→総重量増",IF(K134&lt;0,"増加→総重量減","中立"))</f>
        <v>増加→総重量増</v>
      </c>
      <c r="M134" s="1" t="s">
        <v>1474</v>
      </c>
      <c r="N134" s="1"/>
      <c r="O134" s="1">
        <f t="shared" si="16"/>
        <v>0</v>
      </c>
      <c r="P134" s="1"/>
      <c r="Q134" s="1">
        <f t="shared" si="15"/>
        <v>1</v>
      </c>
      <c r="R134" s="1">
        <f>IF(Q134=1,COUNTIF($Q$5:Q134,1),"")</f>
        <v>112</v>
      </c>
    </row>
    <row r="135" spans="1:18">
      <c r="A135" s="1" t="s">
        <v>1773</v>
      </c>
      <c r="B135" s="1" t="s">
        <v>1756</v>
      </c>
      <c r="C135" s="1">
        <v>2</v>
      </c>
      <c r="D135" s="1" t="s">
        <v>346</v>
      </c>
      <c r="E135" s="1" t="s">
        <v>347</v>
      </c>
      <c r="F135" s="1">
        <f>'01_入力仕様'!D71</f>
        <v>2700</v>
      </c>
      <c r="G135" s="1" t="s">
        <v>178</v>
      </c>
      <c r="H135" s="1">
        <f t="shared" si="14"/>
        <v>2.1730976784000009</v>
      </c>
      <c r="I135" s="1" t="s">
        <v>1482</v>
      </c>
      <c r="J135" s="1">
        <f>IFERROR(F130*F134*F135*F136/F129,0)</f>
        <v>0.92350508793056485</v>
      </c>
      <c r="K135" s="1">
        <f>K129*J135</f>
        <v>0.17471332619024527</v>
      </c>
      <c r="L135" s="1" t="str">
        <f t="shared" si="17"/>
        <v>増加→総重量増</v>
      </c>
      <c r="M135" s="1" t="s">
        <v>1474</v>
      </c>
      <c r="N135" s="1"/>
      <c r="O135" s="1">
        <f t="shared" si="16"/>
        <v>1</v>
      </c>
      <c r="P135" s="1"/>
      <c r="Q135" s="1">
        <f t="shared" si="15"/>
        <v>1</v>
      </c>
      <c r="R135" s="1">
        <f>IF(Q135=1,COUNTIF($Q$5:Q135,1),"")</f>
        <v>113</v>
      </c>
    </row>
    <row r="136" spans="1:18">
      <c r="A136" s="1" t="s">
        <v>1774</v>
      </c>
      <c r="B136" s="1" t="s">
        <v>1756</v>
      </c>
      <c r="C136" s="1">
        <v>2</v>
      </c>
      <c r="D136" s="1" t="s">
        <v>1775</v>
      </c>
      <c r="E136" s="1" t="s">
        <v>350</v>
      </c>
      <c r="F136" s="1">
        <f>(1-F137)*F138*F139</f>
        <v>0.90331200000000023</v>
      </c>
      <c r="G136" s="1" t="s">
        <v>86</v>
      </c>
      <c r="H136" s="1">
        <f t="shared" si="14"/>
        <v>2.1730976784000009</v>
      </c>
      <c r="I136" s="1" t="s">
        <v>1776</v>
      </c>
      <c r="J136" s="1">
        <f>IFERROR(F130*F134*F135*F136/F129,0)</f>
        <v>0.92350508793056485</v>
      </c>
      <c r="K136" s="1">
        <f>K129*J136</f>
        <v>0.17471332619024527</v>
      </c>
      <c r="L136" s="1" t="str">
        <f t="shared" si="17"/>
        <v>増加→総重量増</v>
      </c>
      <c r="M136" s="1" t="s">
        <v>1474</v>
      </c>
      <c r="N136" s="1"/>
      <c r="O136" s="1">
        <f t="shared" si="16"/>
        <v>0</v>
      </c>
      <c r="P136" s="1"/>
      <c r="Q136" s="1">
        <f t="shared" si="15"/>
        <v>1</v>
      </c>
      <c r="R136" s="1">
        <f>IF(Q136=1,COUNTIF($Q$5:Q136,1),"")</f>
        <v>114</v>
      </c>
    </row>
    <row r="137" spans="1:18">
      <c r="A137" s="1" t="s">
        <v>1777</v>
      </c>
      <c r="B137" s="1" t="s">
        <v>1774</v>
      </c>
      <c r="C137" s="1">
        <v>3</v>
      </c>
      <c r="D137" s="1" t="s">
        <v>348</v>
      </c>
      <c r="E137" s="1" t="s">
        <v>349</v>
      </c>
      <c r="F137" s="1">
        <f>'01_入力仕様'!D72</f>
        <v>0.18</v>
      </c>
      <c r="G137" s="1" t="s">
        <v>86</v>
      </c>
      <c r="H137" s="1">
        <f t="shared" si="14"/>
        <v>0.4770214416000001</v>
      </c>
      <c r="I137" s="1" t="s">
        <v>1482</v>
      </c>
      <c r="J137" s="1">
        <f>-'01_入力仕様'!D72/(1-'01_入力仕様'!D72)</f>
        <v>-0.21951219512195119</v>
      </c>
      <c r="K137" s="1">
        <f>K136*J137</f>
        <v>-3.8351705749078223E-2</v>
      </c>
      <c r="L137" s="1" t="str">
        <f t="shared" si="17"/>
        <v>増加→総重量減</v>
      </c>
      <c r="M137" s="1" t="s">
        <v>1474</v>
      </c>
      <c r="N137" s="1"/>
      <c r="O137" s="1">
        <f t="shared" si="16"/>
        <v>1</v>
      </c>
      <c r="P137" s="1"/>
      <c r="Q137" s="1">
        <f t="shared" si="15"/>
        <v>1</v>
      </c>
      <c r="R137" s="1">
        <f>IF(Q137=1,COUNTIF($Q$5:Q137,1),"")</f>
        <v>115</v>
      </c>
    </row>
    <row r="138" spans="1:18">
      <c r="A138" s="1" t="s">
        <v>1778</v>
      </c>
      <c r="B138" s="1" t="s">
        <v>1774</v>
      </c>
      <c r="C138" s="1">
        <v>3</v>
      </c>
      <c r="D138" s="1" t="s">
        <v>1779</v>
      </c>
      <c r="E138" s="1" t="s">
        <v>353</v>
      </c>
      <c r="F138" s="1">
        <f>'01_入力仕様'!D73</f>
        <v>1.08</v>
      </c>
      <c r="G138" s="1" t="s">
        <v>86</v>
      </c>
      <c r="H138" s="1">
        <f t="shared" si="14"/>
        <v>2.1730976784000009</v>
      </c>
      <c r="I138" s="1" t="s">
        <v>1482</v>
      </c>
      <c r="J138" s="1">
        <f>1</f>
        <v>1</v>
      </c>
      <c r="K138" s="1">
        <f>K136*J138</f>
        <v>0.17471332619024527</v>
      </c>
      <c r="L138" s="1" t="str">
        <f t="shared" si="17"/>
        <v>増加→総重量増</v>
      </c>
      <c r="M138" s="1" t="s">
        <v>1474</v>
      </c>
      <c r="N138" s="1"/>
      <c r="O138" s="1">
        <f t="shared" si="16"/>
        <v>1</v>
      </c>
      <c r="P138" s="1"/>
      <c r="Q138" s="1">
        <f t="shared" si="15"/>
        <v>1</v>
      </c>
      <c r="R138" s="1">
        <f>IF(Q138=1,COUNTIF($Q$5:Q138,1),"")</f>
        <v>116</v>
      </c>
    </row>
    <row r="139" spans="1:18">
      <c r="A139" s="1" t="s">
        <v>1780</v>
      </c>
      <c r="B139" s="1" t="s">
        <v>1774</v>
      </c>
      <c r="C139" s="1">
        <v>3</v>
      </c>
      <c r="D139" s="1" t="s">
        <v>1781</v>
      </c>
      <c r="E139" s="1" t="s">
        <v>356</v>
      </c>
      <c r="F139" s="1">
        <f>'01_入力仕様'!D74</f>
        <v>1.02</v>
      </c>
      <c r="G139" s="1" t="s">
        <v>86</v>
      </c>
      <c r="H139" s="1">
        <f t="shared" si="14"/>
        <v>2.1730976784000009</v>
      </c>
      <c r="I139" s="1" t="s">
        <v>1482</v>
      </c>
      <c r="J139" s="1">
        <f>1</f>
        <v>1</v>
      </c>
      <c r="K139" s="1">
        <f>K136*J139</f>
        <v>0.17471332619024527</v>
      </c>
      <c r="L139" s="1" t="str">
        <f t="shared" si="17"/>
        <v>増加→総重量増</v>
      </c>
      <c r="M139" s="1" t="s">
        <v>1474</v>
      </c>
      <c r="N139" s="1"/>
      <c r="O139" s="1">
        <f t="shared" si="16"/>
        <v>1</v>
      </c>
      <c r="P139" s="1"/>
      <c r="Q139" s="1">
        <f t="shared" si="15"/>
        <v>1</v>
      </c>
      <c r="R139" s="1">
        <f>IF(Q139=1,COUNTIF($Q$5:Q139,1),"")</f>
        <v>117</v>
      </c>
    </row>
    <row r="140" spans="1:18" ht="42.75">
      <c r="A140" s="1" t="s">
        <v>1782</v>
      </c>
      <c r="B140" s="1" t="s">
        <v>1470</v>
      </c>
      <c r="C140" s="1">
        <v>1</v>
      </c>
      <c r="D140" s="1" t="s">
        <v>1783</v>
      </c>
      <c r="E140" s="1" t="s">
        <v>1010</v>
      </c>
      <c r="F140" s="1">
        <f>F365+F368+F312+F485</f>
        <v>0.35835381043987435</v>
      </c>
      <c r="G140" s="1" t="s">
        <v>229</v>
      </c>
      <c r="H140" s="1">
        <f>F140</f>
        <v>0.35835381043987435</v>
      </c>
      <c r="I140" s="1" t="s">
        <v>1784</v>
      </c>
      <c r="J140" s="1">
        <f>IFERROR(F140/F5,0)</f>
        <v>2.881103173466032E-2</v>
      </c>
      <c r="K140" s="1">
        <f>J140</f>
        <v>2.881103173466032E-2</v>
      </c>
      <c r="L140" s="1" t="str">
        <f t="shared" si="17"/>
        <v>増加→総重量増</v>
      </c>
      <c r="M140" s="1" t="s">
        <v>1474</v>
      </c>
      <c r="N140" s="1" t="s">
        <v>1785</v>
      </c>
      <c r="O140" s="1">
        <f t="shared" si="16"/>
        <v>0</v>
      </c>
      <c r="P140" s="1"/>
      <c r="Q140" s="1">
        <f t="shared" si="15"/>
        <v>1</v>
      </c>
      <c r="R140" s="1">
        <f>IF(Q140=1,COUNTIF($Q$5:Q140,1),"")</f>
        <v>118</v>
      </c>
    </row>
    <row r="141" spans="1:18">
      <c r="A141" s="1" t="s">
        <v>1786</v>
      </c>
      <c r="B141" s="1" t="s">
        <v>1787</v>
      </c>
      <c r="C141" s="1">
        <v>3</v>
      </c>
      <c r="D141" s="1" t="s">
        <v>1788</v>
      </c>
      <c r="E141" s="1" t="s">
        <v>373</v>
      </c>
      <c r="F141" s="1">
        <f>F142*F143*(F154/1000)^2</f>
        <v>0.23370900680861367</v>
      </c>
      <c r="G141" s="1" t="s">
        <v>229</v>
      </c>
      <c r="H141" s="1">
        <f t="shared" ref="H141:H172" si="18">ABS(K141)*$F$5</f>
        <v>0.2337090068086137</v>
      </c>
      <c r="I141" s="1" t="s">
        <v>1789</v>
      </c>
      <c r="J141" s="1">
        <f>IFERROR(F141/F365,0)</f>
        <v>0.65217391304347816</v>
      </c>
      <c r="K141" s="1">
        <f>IFERROR(F141/F5,0)</f>
        <v>1.8789803305213251E-2</v>
      </c>
      <c r="L141" s="1" t="str">
        <f t="shared" si="17"/>
        <v>増加→総重量増</v>
      </c>
      <c r="M141" s="1" t="s">
        <v>1474</v>
      </c>
      <c r="N141" s="1"/>
      <c r="O141" s="1">
        <f t="shared" si="16"/>
        <v>0</v>
      </c>
      <c r="P141" s="1"/>
      <c r="Q141" s="1">
        <f t="shared" si="15"/>
        <v>1</v>
      </c>
      <c r="R141" s="1">
        <f>IF(Q141=1,COUNTIF($Q$5:Q141,1),"")</f>
        <v>119</v>
      </c>
    </row>
    <row r="142" spans="1:18">
      <c r="A142" s="1" t="s">
        <v>1790</v>
      </c>
      <c r="B142" s="1" t="s">
        <v>1786</v>
      </c>
      <c r="C142" s="1">
        <v>4</v>
      </c>
      <c r="D142" s="1" t="s">
        <v>1791</v>
      </c>
      <c r="E142" s="1" t="s">
        <v>371</v>
      </c>
      <c r="F142" s="1">
        <f>F268</f>
        <v>25000</v>
      </c>
      <c r="G142" s="1" t="s">
        <v>372</v>
      </c>
      <c r="H142" s="1">
        <f t="shared" si="18"/>
        <v>0.2337090068086137</v>
      </c>
      <c r="I142" s="1" t="s">
        <v>1792</v>
      </c>
      <c r="J142" s="1">
        <f>1</f>
        <v>1</v>
      </c>
      <c r="K142" s="1">
        <f>K141*J142</f>
        <v>1.8789803305213251E-2</v>
      </c>
      <c r="L142" s="1" t="str">
        <f t="shared" si="17"/>
        <v>増加→総重量増</v>
      </c>
      <c r="M142" s="1" t="s">
        <v>1474</v>
      </c>
      <c r="N142" s="1"/>
      <c r="O142" s="1">
        <f t="shared" si="16"/>
        <v>0</v>
      </c>
      <c r="P142" s="1"/>
      <c r="Q142" s="1">
        <f t="shared" si="15"/>
        <v>1</v>
      </c>
      <c r="R142" s="1">
        <f>IF(Q142=1,COUNTIF($Q$5:Q142,1),"")</f>
        <v>120</v>
      </c>
    </row>
    <row r="143" spans="1:18" ht="28.5">
      <c r="A143" s="1" t="s">
        <v>1793</v>
      </c>
      <c r="B143" s="1" t="s">
        <v>1786</v>
      </c>
      <c r="C143" s="1">
        <v>4</v>
      </c>
      <c r="D143" s="1" t="s">
        <v>1794</v>
      </c>
      <c r="E143" s="1" t="s">
        <v>361</v>
      </c>
      <c r="F143" s="1">
        <f>F144*F366/(2*PI()*F145*F148)</f>
        <v>3.8103718284838599E-4</v>
      </c>
      <c r="G143" s="1" t="s">
        <v>741</v>
      </c>
      <c r="H143" s="1">
        <f t="shared" si="18"/>
        <v>0.2337090068086137</v>
      </c>
      <c r="I143" s="1" t="s">
        <v>1795</v>
      </c>
      <c r="J143" s="1">
        <f>1</f>
        <v>1</v>
      </c>
      <c r="K143" s="1">
        <f>K141*J143</f>
        <v>1.8789803305213251E-2</v>
      </c>
      <c r="L143" s="1" t="str">
        <f t="shared" si="17"/>
        <v>増加→総重量増</v>
      </c>
      <c r="M143" s="1" t="s">
        <v>1474</v>
      </c>
      <c r="N143" s="1"/>
      <c r="O143" s="1">
        <f t="shared" si="16"/>
        <v>0</v>
      </c>
      <c r="P143" s="1"/>
      <c r="Q143" s="1">
        <f t="shared" si="15"/>
        <v>1</v>
      </c>
      <c r="R143" s="1">
        <f>IF(Q143=1,COUNTIF($Q$5:Q143,1),"")</f>
        <v>121</v>
      </c>
    </row>
    <row r="144" spans="1:18">
      <c r="A144" s="1" t="s">
        <v>1796</v>
      </c>
      <c r="B144" s="1" t="s">
        <v>1793</v>
      </c>
      <c r="C144" s="1">
        <v>5</v>
      </c>
      <c r="D144" s="1" t="s">
        <v>1797</v>
      </c>
      <c r="E144" s="1" t="s">
        <v>360</v>
      </c>
      <c r="F144" s="1">
        <f>'01_入力仕様'!D75</f>
        <v>60</v>
      </c>
      <c r="G144" s="1" t="s">
        <v>73</v>
      </c>
      <c r="H144" s="1">
        <f t="shared" si="18"/>
        <v>0.2337090068086137</v>
      </c>
      <c r="I144" s="1" t="s">
        <v>1482</v>
      </c>
      <c r="J144" s="1">
        <f>1</f>
        <v>1</v>
      </c>
      <c r="K144" s="1">
        <f>K143*J144</f>
        <v>1.8789803305213251E-2</v>
      </c>
      <c r="L144" s="1" t="str">
        <f t="shared" si="17"/>
        <v>増加→総重量増</v>
      </c>
      <c r="M144" s="1" t="s">
        <v>1474</v>
      </c>
      <c r="N144" s="1"/>
      <c r="O144" s="1">
        <f t="shared" si="16"/>
        <v>1</v>
      </c>
      <c r="P144" s="1"/>
      <c r="Q144" s="1">
        <f t="shared" si="15"/>
        <v>1</v>
      </c>
      <c r="R144" s="1">
        <f>IF(Q144=1,COUNTIF($Q$5:Q144,1),"")</f>
        <v>122</v>
      </c>
    </row>
    <row r="145" spans="1:18">
      <c r="A145" s="1" t="s">
        <v>1798</v>
      </c>
      <c r="B145" s="1" t="s">
        <v>1793</v>
      </c>
      <c r="C145" s="1">
        <v>5</v>
      </c>
      <c r="D145" s="1" t="s">
        <v>1799</v>
      </c>
      <c r="E145" s="1" t="s">
        <v>369</v>
      </c>
      <c r="F145" s="1">
        <f>F146*F147</f>
        <v>1600</v>
      </c>
      <c r="G145" s="1" t="s">
        <v>96</v>
      </c>
      <c r="H145" s="1">
        <f t="shared" si="18"/>
        <v>0.2337090068086137</v>
      </c>
      <c r="I145" s="1" t="s">
        <v>1800</v>
      </c>
      <c r="J145" s="1">
        <f>-1</f>
        <v>-1</v>
      </c>
      <c r="K145" s="1">
        <f>K143*J145</f>
        <v>-1.8789803305213251E-2</v>
      </c>
      <c r="L145" s="1" t="str">
        <f t="shared" si="17"/>
        <v>増加→総重量減</v>
      </c>
      <c r="M145" s="1" t="s">
        <v>1474</v>
      </c>
      <c r="N145" s="1"/>
      <c r="O145" s="1">
        <f t="shared" si="16"/>
        <v>0</v>
      </c>
      <c r="P145" s="1"/>
      <c r="Q145" s="1">
        <f t="shared" ref="Q145:Q176" si="19">IF(E145="","",--(MATCH(E145,$E$5:$E$560,0)=ROW()-4))</f>
        <v>1</v>
      </c>
      <c r="R145" s="1">
        <f>IF(Q145=1,COUNTIF($Q$5:Q145,1),"")</f>
        <v>123</v>
      </c>
    </row>
    <row r="146" spans="1:18">
      <c r="A146" s="1" t="s">
        <v>1801</v>
      </c>
      <c r="B146" s="1" t="s">
        <v>1798</v>
      </c>
      <c r="C146" s="1">
        <v>6</v>
      </c>
      <c r="D146" s="1" t="s">
        <v>1802</v>
      </c>
      <c r="E146" s="1" t="s">
        <v>368</v>
      </c>
      <c r="F146" s="1">
        <f>'01_入力仕様'!D77</f>
        <v>0.1</v>
      </c>
      <c r="G146" s="1" t="s">
        <v>86</v>
      </c>
      <c r="H146" s="1">
        <f t="shared" si="18"/>
        <v>0.2337090068086137</v>
      </c>
      <c r="I146" s="1" t="s">
        <v>1482</v>
      </c>
      <c r="J146" s="1">
        <f>1</f>
        <v>1</v>
      </c>
      <c r="K146" s="1">
        <f>K145*J146</f>
        <v>-1.8789803305213251E-2</v>
      </c>
      <c r="L146" s="1" t="str">
        <f t="shared" si="17"/>
        <v>増加→総重量減</v>
      </c>
      <c r="M146" s="1" t="s">
        <v>1474</v>
      </c>
      <c r="N146" s="1"/>
      <c r="O146" s="1">
        <f t="shared" si="16"/>
        <v>1</v>
      </c>
      <c r="P146" s="1"/>
      <c r="Q146" s="1">
        <f t="shared" si="19"/>
        <v>1</v>
      </c>
      <c r="R146" s="1">
        <f>IF(Q146=1,COUNTIF($Q$5:Q146,1),"")</f>
        <v>124</v>
      </c>
    </row>
    <row r="147" spans="1:18">
      <c r="A147" s="1" t="s">
        <v>1803</v>
      </c>
      <c r="B147" s="1" t="s">
        <v>1798</v>
      </c>
      <c r="C147" s="1">
        <v>6</v>
      </c>
      <c r="D147" s="1" t="s">
        <v>94</v>
      </c>
      <c r="E147" s="1" t="s">
        <v>95</v>
      </c>
      <c r="F147" s="1">
        <f>'01_入力仕様'!D10</f>
        <v>16000</v>
      </c>
      <c r="G147" s="1" t="s">
        <v>96</v>
      </c>
      <c r="H147" s="1">
        <f t="shared" si="18"/>
        <v>0.2337090068086137</v>
      </c>
      <c r="I147" s="1" t="s">
        <v>1482</v>
      </c>
      <c r="J147" s="1">
        <f>1</f>
        <v>1</v>
      </c>
      <c r="K147" s="1">
        <f>K145*J147</f>
        <v>-1.8789803305213251E-2</v>
      </c>
      <c r="L147" s="1" t="str">
        <f t="shared" si="17"/>
        <v>増加→総重量減</v>
      </c>
      <c r="M147" s="1" t="s">
        <v>1474</v>
      </c>
      <c r="N147" s="1" t="s">
        <v>1804</v>
      </c>
      <c r="O147" s="1">
        <f t="shared" si="16"/>
        <v>1</v>
      </c>
      <c r="P147" s="1"/>
      <c r="Q147" s="1">
        <f t="shared" si="19"/>
        <v>0</v>
      </c>
      <c r="R147" s="1" t="str">
        <f>IF(Q147=1,COUNTIF($Q$5:Q147,1),"")</f>
        <v/>
      </c>
    </row>
    <row r="148" spans="1:18">
      <c r="A148" s="1" t="s">
        <v>1805</v>
      </c>
      <c r="B148" s="1" t="s">
        <v>1793</v>
      </c>
      <c r="C148" s="1">
        <v>5</v>
      </c>
      <c r="D148" s="1" t="s">
        <v>1806</v>
      </c>
      <c r="E148" s="1" t="s">
        <v>365</v>
      </c>
      <c r="F148" s="1">
        <f>F149*F150</f>
        <v>15.663327975844433</v>
      </c>
      <c r="G148" s="1" t="s">
        <v>808</v>
      </c>
      <c r="H148" s="1">
        <f t="shared" si="18"/>
        <v>0.2337090068086137</v>
      </c>
      <c r="I148" s="1" t="s">
        <v>1807</v>
      </c>
      <c r="J148" s="1">
        <f>-1</f>
        <v>-1</v>
      </c>
      <c r="K148" s="1">
        <f>K143*J148</f>
        <v>-1.8789803305213251E-2</v>
      </c>
      <c r="L148" s="1" t="str">
        <f t="shared" si="17"/>
        <v>増加→総重量減</v>
      </c>
      <c r="M148" s="1" t="s">
        <v>1474</v>
      </c>
      <c r="N148" s="1"/>
      <c r="O148" s="1">
        <f t="shared" si="16"/>
        <v>0</v>
      </c>
      <c r="P148" s="1"/>
      <c r="Q148" s="1">
        <f t="shared" si="19"/>
        <v>1</v>
      </c>
      <c r="R148" s="1">
        <f>IF(Q148=1,COUNTIF($Q$5:Q148,1),"")</f>
        <v>125</v>
      </c>
    </row>
    <row r="149" spans="1:18">
      <c r="A149" s="1" t="s">
        <v>1808</v>
      </c>
      <c r="B149" s="1" t="s">
        <v>1805</v>
      </c>
      <c r="C149" s="1">
        <v>6</v>
      </c>
      <c r="D149" s="1" t="s">
        <v>1809</v>
      </c>
      <c r="E149" s="1" t="s">
        <v>364</v>
      </c>
      <c r="F149" s="1">
        <f>'01_入力仕様'!D76</f>
        <v>0.1</v>
      </c>
      <c r="G149" s="1" t="s">
        <v>86</v>
      </c>
      <c r="H149" s="1">
        <f t="shared" si="18"/>
        <v>0.2337090068086137</v>
      </c>
      <c r="I149" s="1" t="s">
        <v>1482</v>
      </c>
      <c r="J149" s="1">
        <f>1</f>
        <v>1</v>
      </c>
      <c r="K149" s="1">
        <f>K148*J149</f>
        <v>-1.8789803305213251E-2</v>
      </c>
      <c r="L149" s="1" t="str">
        <f t="shared" si="17"/>
        <v>増加→総重量減</v>
      </c>
      <c r="M149" s="1" t="s">
        <v>1474</v>
      </c>
      <c r="N149" s="1"/>
      <c r="O149" s="1">
        <f t="shared" si="16"/>
        <v>1</v>
      </c>
      <c r="P149" s="1"/>
      <c r="Q149" s="1">
        <f t="shared" si="19"/>
        <v>1</v>
      </c>
      <c r="R149" s="1">
        <f>IF(Q149=1,COUNTIF($Q$5:Q149,1),"")</f>
        <v>126</v>
      </c>
    </row>
    <row r="150" spans="1:18">
      <c r="A150" s="1" t="s">
        <v>1810</v>
      </c>
      <c r="B150" s="1" t="s">
        <v>1805</v>
      </c>
      <c r="C150" s="1">
        <v>6</v>
      </c>
      <c r="D150" s="1" t="s">
        <v>80</v>
      </c>
      <c r="E150" s="1" t="s">
        <v>1497</v>
      </c>
      <c r="F150" s="1">
        <f>'01_入力仕様'!D5*1000/(SQRT(3)*F151*F152*F153)</f>
        <v>156.63327975844433</v>
      </c>
      <c r="G150" s="1" t="s">
        <v>808</v>
      </c>
      <c r="H150" s="1">
        <f t="shared" si="18"/>
        <v>0.2337090068086137</v>
      </c>
      <c r="I150" s="1" t="s">
        <v>1811</v>
      </c>
      <c r="J150" s="1">
        <f>1</f>
        <v>1</v>
      </c>
      <c r="K150" s="1">
        <f>K148*J150</f>
        <v>-1.8789803305213251E-2</v>
      </c>
      <c r="L150" s="1" t="str">
        <f t="shared" si="17"/>
        <v>増加→総重量減</v>
      </c>
      <c r="M150" s="1" t="s">
        <v>1474</v>
      </c>
      <c r="N150" s="1" t="s">
        <v>1691</v>
      </c>
      <c r="O150" s="1">
        <f t="shared" si="16"/>
        <v>0</v>
      </c>
      <c r="P150" s="1"/>
      <c r="Q150" s="1">
        <f t="shared" si="19"/>
        <v>0</v>
      </c>
      <c r="R150" s="1" t="str">
        <f>IF(Q150=1,COUNTIF($Q$5:Q150,1),"")</f>
        <v/>
      </c>
    </row>
    <row r="151" spans="1:18">
      <c r="A151" s="1" t="s">
        <v>1812</v>
      </c>
      <c r="B151" s="1" t="s">
        <v>1810</v>
      </c>
      <c r="C151" s="1">
        <v>7</v>
      </c>
      <c r="D151" s="1" t="s">
        <v>1813</v>
      </c>
      <c r="E151" s="1" t="s">
        <v>79</v>
      </c>
      <c r="F151" s="1">
        <f>'01_入力仕様'!D7</f>
        <v>400</v>
      </c>
      <c r="G151" s="1" t="s">
        <v>73</v>
      </c>
      <c r="H151" s="1">
        <f t="shared" si="18"/>
        <v>0.2337090068086137</v>
      </c>
      <c r="I151" s="1" t="s">
        <v>1482</v>
      </c>
      <c r="J151" s="1">
        <f>-1</f>
        <v>-1</v>
      </c>
      <c r="K151" s="1">
        <f>K150*J151</f>
        <v>1.8789803305213251E-2</v>
      </c>
      <c r="L151" s="1" t="str">
        <f t="shared" si="17"/>
        <v>増加→総重量増</v>
      </c>
      <c r="M151" s="1" t="s">
        <v>1474</v>
      </c>
      <c r="N151" s="1"/>
      <c r="O151" s="1">
        <f t="shared" si="16"/>
        <v>1</v>
      </c>
      <c r="P151" s="1"/>
      <c r="Q151" s="1">
        <f t="shared" si="19"/>
        <v>0</v>
      </c>
      <c r="R151" s="1" t="str">
        <f>IF(Q151=1,COUNTIF($Q$5:Q151,1),"")</f>
        <v/>
      </c>
    </row>
    <row r="152" spans="1:18">
      <c r="A152" s="1" t="s">
        <v>1814</v>
      </c>
      <c r="B152" s="1" t="s">
        <v>1810</v>
      </c>
      <c r="C152" s="1">
        <v>7</v>
      </c>
      <c r="D152" s="1" t="s">
        <v>84</v>
      </c>
      <c r="E152" s="1" t="s">
        <v>85</v>
      </c>
      <c r="F152" s="1">
        <f>'01_入力仕様'!D8</f>
        <v>0.95</v>
      </c>
      <c r="G152" s="1" t="s">
        <v>86</v>
      </c>
      <c r="H152" s="1">
        <f t="shared" si="18"/>
        <v>0.2337090068086137</v>
      </c>
      <c r="I152" s="1" t="s">
        <v>1482</v>
      </c>
      <c r="J152" s="1">
        <f>-1</f>
        <v>-1</v>
      </c>
      <c r="K152" s="1">
        <f>K150*J152</f>
        <v>1.8789803305213251E-2</v>
      </c>
      <c r="L152" s="1" t="str">
        <f t="shared" si="17"/>
        <v>増加→総重量増</v>
      </c>
      <c r="M152" s="1" t="s">
        <v>1474</v>
      </c>
      <c r="N152" s="1"/>
      <c r="O152" s="1">
        <f t="shared" si="16"/>
        <v>1</v>
      </c>
      <c r="P152" s="1"/>
      <c r="Q152" s="1">
        <f t="shared" si="19"/>
        <v>0</v>
      </c>
      <c r="R152" s="1" t="str">
        <f>IF(Q152=1,COUNTIF($Q$5:Q152,1),"")</f>
        <v/>
      </c>
    </row>
    <row r="153" spans="1:18">
      <c r="A153" s="1" t="s">
        <v>1815</v>
      </c>
      <c r="B153" s="1" t="s">
        <v>1810</v>
      </c>
      <c r="C153" s="1">
        <v>7</v>
      </c>
      <c r="D153" s="1" t="s">
        <v>1504</v>
      </c>
      <c r="E153" s="1" t="s">
        <v>90</v>
      </c>
      <c r="F153" s="1">
        <f>'01_入力仕様'!D9</f>
        <v>0.97</v>
      </c>
      <c r="G153" s="1" t="s">
        <v>86</v>
      </c>
      <c r="H153" s="1">
        <f t="shared" si="18"/>
        <v>0.2337090068086137</v>
      </c>
      <c r="I153" s="1" t="s">
        <v>1482</v>
      </c>
      <c r="J153" s="1">
        <f>-1</f>
        <v>-1</v>
      </c>
      <c r="K153" s="1">
        <f>K150*J153</f>
        <v>1.8789803305213251E-2</v>
      </c>
      <c r="L153" s="1" t="str">
        <f t="shared" si="17"/>
        <v>増加→総重量増</v>
      </c>
      <c r="M153" s="1" t="s">
        <v>1474</v>
      </c>
      <c r="N153" s="1"/>
      <c r="O153" s="1">
        <f t="shared" si="16"/>
        <v>1</v>
      </c>
      <c r="P153" s="1"/>
      <c r="Q153" s="1">
        <f t="shared" si="19"/>
        <v>0</v>
      </c>
      <c r="R153" s="1" t="str">
        <f>IF(Q153=1,COUNTIF($Q$5:Q153,1),"")</f>
        <v/>
      </c>
    </row>
    <row r="154" spans="1:18">
      <c r="A154" s="1" t="s">
        <v>1816</v>
      </c>
      <c r="B154" s="1" t="s">
        <v>1786</v>
      </c>
      <c r="C154" s="1">
        <v>4</v>
      </c>
      <c r="D154" s="1" t="s">
        <v>80</v>
      </c>
      <c r="E154" s="1" t="s">
        <v>1497</v>
      </c>
      <c r="F154" s="1">
        <f>'01_入力仕様'!D5*1000/(SQRT(3)*F155*F156*F157)</f>
        <v>156.63327975844433</v>
      </c>
      <c r="G154" s="1" t="s">
        <v>808</v>
      </c>
      <c r="H154" s="1">
        <f t="shared" si="18"/>
        <v>0.4674180136172274</v>
      </c>
      <c r="I154" s="1" t="s">
        <v>1811</v>
      </c>
      <c r="J154" s="1">
        <f>2</f>
        <v>2</v>
      </c>
      <c r="K154" s="1">
        <f>K141*J154</f>
        <v>3.7579606610426503E-2</v>
      </c>
      <c r="L154" s="1" t="str">
        <f t="shared" si="17"/>
        <v>増加→総重量増</v>
      </c>
      <c r="M154" s="1" t="s">
        <v>1474</v>
      </c>
      <c r="N154" s="1" t="s">
        <v>1691</v>
      </c>
      <c r="O154" s="1">
        <f t="shared" si="16"/>
        <v>0</v>
      </c>
      <c r="P154" s="1"/>
      <c r="Q154" s="1">
        <f t="shared" si="19"/>
        <v>0</v>
      </c>
      <c r="R154" s="1" t="str">
        <f>IF(Q154=1,COUNTIF($Q$5:Q154,1),"")</f>
        <v/>
      </c>
    </row>
    <row r="155" spans="1:18">
      <c r="A155" s="1" t="s">
        <v>1817</v>
      </c>
      <c r="B155" s="1" t="s">
        <v>1816</v>
      </c>
      <c r="C155" s="1">
        <v>5</v>
      </c>
      <c r="D155" s="1" t="s">
        <v>1813</v>
      </c>
      <c r="E155" s="1" t="s">
        <v>79</v>
      </c>
      <c r="F155" s="1">
        <f>'01_入力仕様'!D7</f>
        <v>400</v>
      </c>
      <c r="G155" s="1" t="s">
        <v>73</v>
      </c>
      <c r="H155" s="1">
        <f t="shared" si="18"/>
        <v>0.4674180136172274</v>
      </c>
      <c r="I155" s="1" t="s">
        <v>1482</v>
      </c>
      <c r="J155" s="1">
        <f>-1</f>
        <v>-1</v>
      </c>
      <c r="K155" s="1">
        <f>K154*J155</f>
        <v>-3.7579606610426503E-2</v>
      </c>
      <c r="L155" s="1" t="str">
        <f t="shared" si="17"/>
        <v>増加→総重量減</v>
      </c>
      <c r="M155" s="1" t="s">
        <v>1474</v>
      </c>
      <c r="N155" s="1"/>
      <c r="O155" s="1">
        <f t="shared" si="16"/>
        <v>1</v>
      </c>
      <c r="P155" s="1"/>
      <c r="Q155" s="1">
        <f t="shared" si="19"/>
        <v>0</v>
      </c>
      <c r="R155" s="1" t="str">
        <f>IF(Q155=1,COUNTIF($Q$5:Q155,1),"")</f>
        <v/>
      </c>
    </row>
    <row r="156" spans="1:18">
      <c r="A156" s="1" t="s">
        <v>1818</v>
      </c>
      <c r="B156" s="1" t="s">
        <v>1816</v>
      </c>
      <c r="C156" s="1">
        <v>5</v>
      </c>
      <c r="D156" s="1" t="s">
        <v>84</v>
      </c>
      <c r="E156" s="1" t="s">
        <v>85</v>
      </c>
      <c r="F156" s="1">
        <f>'01_入力仕様'!D8</f>
        <v>0.95</v>
      </c>
      <c r="G156" s="1" t="s">
        <v>86</v>
      </c>
      <c r="H156" s="1">
        <f t="shared" si="18"/>
        <v>0.4674180136172274</v>
      </c>
      <c r="I156" s="1" t="s">
        <v>1482</v>
      </c>
      <c r="J156" s="1">
        <f>-1</f>
        <v>-1</v>
      </c>
      <c r="K156" s="1">
        <f>K154*J156</f>
        <v>-3.7579606610426503E-2</v>
      </c>
      <c r="L156" s="1" t="str">
        <f t="shared" si="17"/>
        <v>増加→総重量減</v>
      </c>
      <c r="M156" s="1" t="s">
        <v>1474</v>
      </c>
      <c r="N156" s="1"/>
      <c r="O156" s="1">
        <f t="shared" si="16"/>
        <v>1</v>
      </c>
      <c r="P156" s="1"/>
      <c r="Q156" s="1">
        <f t="shared" si="19"/>
        <v>0</v>
      </c>
      <c r="R156" s="1" t="str">
        <f>IF(Q156=1,COUNTIF($Q$5:Q156,1),"")</f>
        <v/>
      </c>
    </row>
    <row r="157" spans="1:18">
      <c r="A157" s="1" t="s">
        <v>1819</v>
      </c>
      <c r="B157" s="1" t="s">
        <v>1816</v>
      </c>
      <c r="C157" s="1">
        <v>5</v>
      </c>
      <c r="D157" s="1" t="s">
        <v>1504</v>
      </c>
      <c r="E157" s="1" t="s">
        <v>90</v>
      </c>
      <c r="F157" s="1">
        <f>'01_入力仕様'!D9</f>
        <v>0.97</v>
      </c>
      <c r="G157" s="1" t="s">
        <v>86</v>
      </c>
      <c r="H157" s="1">
        <f t="shared" si="18"/>
        <v>0.4674180136172274</v>
      </c>
      <c r="I157" s="1" t="s">
        <v>1482</v>
      </c>
      <c r="J157" s="1">
        <f>-1</f>
        <v>-1</v>
      </c>
      <c r="K157" s="1">
        <f>K154*J157</f>
        <v>-3.7579606610426503E-2</v>
      </c>
      <c r="L157" s="1" t="str">
        <f t="shared" si="17"/>
        <v>増加→総重量減</v>
      </c>
      <c r="M157" s="1" t="s">
        <v>1474</v>
      </c>
      <c r="N157" s="1"/>
      <c r="O157" s="1">
        <f t="shared" si="16"/>
        <v>1</v>
      </c>
      <c r="P157" s="1"/>
      <c r="Q157" s="1">
        <f t="shared" si="19"/>
        <v>0</v>
      </c>
      <c r="R157" s="1" t="str">
        <f>IF(Q157=1,COUNTIF($Q$5:Q157,1),"")</f>
        <v/>
      </c>
    </row>
    <row r="158" spans="1:18">
      <c r="A158" s="1" t="s">
        <v>1820</v>
      </c>
      <c r="B158" s="1" t="s">
        <v>1787</v>
      </c>
      <c r="C158" s="1">
        <v>3</v>
      </c>
      <c r="D158" s="1" t="s">
        <v>1821</v>
      </c>
      <c r="E158" s="1" t="s">
        <v>386</v>
      </c>
      <c r="F158" s="1">
        <f>F159*F160*(F173/1000)^2</f>
        <v>0.12464480363126068</v>
      </c>
      <c r="G158" s="1" t="s">
        <v>229</v>
      </c>
      <c r="H158" s="1">
        <f t="shared" si="18"/>
        <v>0.12464480363126069</v>
      </c>
      <c r="I158" s="1" t="s">
        <v>1822</v>
      </c>
      <c r="J158" s="1">
        <f>IFERROR(F158/F365,0)</f>
        <v>0.34782608695652184</v>
      </c>
      <c r="K158" s="1">
        <f>IFERROR(F158/F5,0)</f>
        <v>1.0021228429447072E-2</v>
      </c>
      <c r="L158" s="1" t="str">
        <f t="shared" si="17"/>
        <v>増加→総重量増</v>
      </c>
      <c r="M158" s="1" t="s">
        <v>1474</v>
      </c>
      <c r="N158" s="1"/>
      <c r="O158" s="1">
        <f t="shared" si="16"/>
        <v>0</v>
      </c>
      <c r="P158" s="1"/>
      <c r="Q158" s="1">
        <f t="shared" si="19"/>
        <v>1</v>
      </c>
      <c r="R158" s="1">
        <f>IF(Q158=1,COUNTIF($Q$5:Q158,1),"")</f>
        <v>127</v>
      </c>
    </row>
    <row r="159" spans="1:18">
      <c r="A159" s="1" t="s">
        <v>1823</v>
      </c>
      <c r="B159" s="1" t="s">
        <v>1820</v>
      </c>
      <c r="C159" s="1">
        <v>4</v>
      </c>
      <c r="D159" s="1" t="s">
        <v>1824</v>
      </c>
      <c r="E159" s="1" t="s">
        <v>384</v>
      </c>
      <c r="F159" s="1">
        <f>'01_入力仕様'!D81</f>
        <v>2500</v>
      </c>
      <c r="G159" s="1" t="s">
        <v>385</v>
      </c>
      <c r="H159" s="1">
        <f t="shared" si="18"/>
        <v>0.12464480363126069</v>
      </c>
      <c r="I159" s="1" t="s">
        <v>1482</v>
      </c>
      <c r="J159" s="1">
        <f>1</f>
        <v>1</v>
      </c>
      <c r="K159" s="1">
        <f>K158*J159</f>
        <v>1.0021228429447072E-2</v>
      </c>
      <c r="L159" s="1" t="str">
        <f t="shared" si="17"/>
        <v>増加→総重量増</v>
      </c>
      <c r="M159" s="1" t="s">
        <v>1474</v>
      </c>
      <c r="N159" s="1"/>
      <c r="O159" s="1">
        <f t="shared" si="16"/>
        <v>1</v>
      </c>
      <c r="P159" s="1"/>
      <c r="Q159" s="1">
        <f t="shared" si="19"/>
        <v>1</v>
      </c>
      <c r="R159" s="1">
        <f>IF(Q159=1,COUNTIF($Q$5:Q159,1),"")</f>
        <v>128</v>
      </c>
    </row>
    <row r="160" spans="1:18">
      <c r="A160" s="1" t="s">
        <v>1825</v>
      </c>
      <c r="B160" s="1" t="s">
        <v>1820</v>
      </c>
      <c r="C160" s="1">
        <v>4</v>
      </c>
      <c r="D160" s="1" t="s">
        <v>1826</v>
      </c>
      <c r="E160" s="1" t="s">
        <v>1827</v>
      </c>
      <c r="F160" s="1">
        <f>F161/(2*PI()*F167*F170)</f>
        <v>7.7903002269537913E-5</v>
      </c>
      <c r="G160" s="1" t="s">
        <v>762</v>
      </c>
      <c r="H160" s="1">
        <f t="shared" si="18"/>
        <v>0.12464480363126069</v>
      </c>
      <c r="I160" s="1" t="s">
        <v>1828</v>
      </c>
      <c r="J160" s="1">
        <f>1</f>
        <v>1</v>
      </c>
      <c r="K160" s="1">
        <f>K158*J160</f>
        <v>1.0021228429447072E-2</v>
      </c>
      <c r="L160" s="1" t="str">
        <f t="shared" si="17"/>
        <v>増加→総重量増</v>
      </c>
      <c r="M160" s="1" t="s">
        <v>1474</v>
      </c>
      <c r="N160" s="1"/>
      <c r="O160" s="1">
        <f t="shared" si="16"/>
        <v>0</v>
      </c>
      <c r="P160" s="1"/>
      <c r="Q160" s="1">
        <f t="shared" si="19"/>
        <v>1</v>
      </c>
      <c r="R160" s="1">
        <f>IF(Q160=1,COUNTIF($Q$5:Q160,1),"")</f>
        <v>129</v>
      </c>
    </row>
    <row r="161" spans="1:18">
      <c r="A161" s="1" t="s">
        <v>1829</v>
      </c>
      <c r="B161" s="1" t="s">
        <v>1825</v>
      </c>
      <c r="C161" s="1">
        <v>5</v>
      </c>
      <c r="D161" s="1" t="s">
        <v>1830</v>
      </c>
      <c r="E161" s="1" t="s">
        <v>377</v>
      </c>
      <c r="F161" s="1">
        <f>F162*F163*F667</f>
        <v>12.530662380675547</v>
      </c>
      <c r="G161" s="1" t="s">
        <v>808</v>
      </c>
      <c r="H161" s="1">
        <f t="shared" si="18"/>
        <v>0.12464480363126069</v>
      </c>
      <c r="I161" s="1" t="s">
        <v>1831</v>
      </c>
      <c r="J161" s="1">
        <f>1</f>
        <v>1</v>
      </c>
      <c r="K161" s="1">
        <f>K160*J161</f>
        <v>1.0021228429447072E-2</v>
      </c>
      <c r="L161" s="1" t="str">
        <f t="shared" si="17"/>
        <v>増加→総重量増</v>
      </c>
      <c r="M161" s="1" t="s">
        <v>1474</v>
      </c>
      <c r="N161" s="1"/>
      <c r="O161" s="1">
        <f t="shared" si="16"/>
        <v>0</v>
      </c>
      <c r="P161" s="1"/>
      <c r="Q161" s="1">
        <f t="shared" si="19"/>
        <v>1</v>
      </c>
      <c r="R161" s="1">
        <f>IF(Q161=1,COUNTIF($Q$5:Q161,1),"")</f>
        <v>130</v>
      </c>
    </row>
    <row r="162" spans="1:18">
      <c r="A162" s="1" t="s">
        <v>1832</v>
      </c>
      <c r="B162" s="1" t="s">
        <v>1829</v>
      </c>
      <c r="C162" s="1">
        <v>6</v>
      </c>
      <c r="D162" s="1" t="s">
        <v>375</v>
      </c>
      <c r="E162" s="1" t="s">
        <v>376</v>
      </c>
      <c r="F162" s="1">
        <f>'01_入力仕様'!D79</f>
        <v>0.08</v>
      </c>
      <c r="G162" s="1" t="s">
        <v>86</v>
      </c>
      <c r="H162" s="1">
        <f t="shared" si="18"/>
        <v>0.12464480363126069</v>
      </c>
      <c r="I162" s="1" t="s">
        <v>1482</v>
      </c>
      <c r="J162" s="1">
        <f>1</f>
        <v>1</v>
      </c>
      <c r="K162" s="1">
        <f>K161*J162</f>
        <v>1.0021228429447072E-2</v>
      </c>
      <c r="L162" s="1" t="str">
        <f t="shared" si="17"/>
        <v>増加→総重量増</v>
      </c>
      <c r="M162" s="1" t="s">
        <v>1474</v>
      </c>
      <c r="N162" s="1"/>
      <c r="O162" s="1">
        <f t="shared" si="16"/>
        <v>1</v>
      </c>
      <c r="P162" s="1"/>
      <c r="Q162" s="1">
        <f t="shared" si="19"/>
        <v>1</v>
      </c>
      <c r="R162" s="1">
        <f>IF(Q162=1,COUNTIF($Q$5:Q162,1),"")</f>
        <v>131</v>
      </c>
    </row>
    <row r="163" spans="1:18">
      <c r="A163" s="1" t="s">
        <v>1833</v>
      </c>
      <c r="B163" s="1" t="s">
        <v>1829</v>
      </c>
      <c r="C163" s="1">
        <v>6</v>
      </c>
      <c r="D163" s="1" t="s">
        <v>80</v>
      </c>
      <c r="E163" s="1" t="s">
        <v>1497</v>
      </c>
      <c r="F163" s="1">
        <f>'01_入力仕様'!D5*1000/(SQRT(3)*F164*F165*F166)</f>
        <v>156.63327975844433</v>
      </c>
      <c r="G163" s="1" t="s">
        <v>808</v>
      </c>
      <c r="H163" s="1">
        <f t="shared" si="18"/>
        <v>0.12464480363126069</v>
      </c>
      <c r="I163" s="1" t="s">
        <v>1811</v>
      </c>
      <c r="J163" s="1">
        <f>1</f>
        <v>1</v>
      </c>
      <c r="K163" s="1">
        <f>K161*J163</f>
        <v>1.0021228429447072E-2</v>
      </c>
      <c r="L163" s="1" t="str">
        <f t="shared" si="17"/>
        <v>増加→総重量増</v>
      </c>
      <c r="M163" s="1" t="s">
        <v>1474</v>
      </c>
      <c r="N163" s="1" t="s">
        <v>1691</v>
      </c>
      <c r="O163" s="1">
        <f t="shared" si="16"/>
        <v>0</v>
      </c>
      <c r="P163" s="1"/>
      <c r="Q163" s="1">
        <f t="shared" si="19"/>
        <v>0</v>
      </c>
      <c r="R163" s="1" t="str">
        <f>IF(Q163=1,COUNTIF($Q$5:Q163,1),"")</f>
        <v/>
      </c>
    </row>
    <row r="164" spans="1:18">
      <c r="A164" s="1" t="s">
        <v>1834</v>
      </c>
      <c r="B164" s="1" t="s">
        <v>1833</v>
      </c>
      <c r="C164" s="1">
        <v>7</v>
      </c>
      <c r="D164" s="1" t="s">
        <v>1813</v>
      </c>
      <c r="E164" s="1" t="s">
        <v>79</v>
      </c>
      <c r="F164" s="1">
        <f>'01_入力仕様'!D7</f>
        <v>400</v>
      </c>
      <c r="G164" s="1" t="s">
        <v>73</v>
      </c>
      <c r="H164" s="1">
        <f t="shared" si="18"/>
        <v>0.12464480363126069</v>
      </c>
      <c r="I164" s="1" t="s">
        <v>1482</v>
      </c>
      <c r="J164" s="1">
        <f>-1</f>
        <v>-1</v>
      </c>
      <c r="K164" s="1">
        <f>K163*J164</f>
        <v>-1.0021228429447072E-2</v>
      </c>
      <c r="L164" s="1" t="str">
        <f t="shared" si="17"/>
        <v>増加→総重量減</v>
      </c>
      <c r="M164" s="1" t="s">
        <v>1474</v>
      </c>
      <c r="N164" s="1"/>
      <c r="O164" s="1">
        <f t="shared" si="16"/>
        <v>1</v>
      </c>
      <c r="P164" s="1"/>
      <c r="Q164" s="1">
        <f t="shared" si="19"/>
        <v>0</v>
      </c>
      <c r="R164" s="1" t="str">
        <f>IF(Q164=1,COUNTIF($Q$5:Q164,1),"")</f>
        <v/>
      </c>
    </row>
    <row r="165" spans="1:18">
      <c r="A165" s="1" t="s">
        <v>1835</v>
      </c>
      <c r="B165" s="1" t="s">
        <v>1833</v>
      </c>
      <c r="C165" s="1">
        <v>7</v>
      </c>
      <c r="D165" s="1" t="s">
        <v>84</v>
      </c>
      <c r="E165" s="1" t="s">
        <v>85</v>
      </c>
      <c r="F165" s="1">
        <f>'01_入力仕様'!D8</f>
        <v>0.95</v>
      </c>
      <c r="G165" s="1" t="s">
        <v>86</v>
      </c>
      <c r="H165" s="1">
        <f t="shared" si="18"/>
        <v>0.12464480363126069</v>
      </c>
      <c r="I165" s="1" t="s">
        <v>1482</v>
      </c>
      <c r="J165" s="1">
        <f>-1</f>
        <v>-1</v>
      </c>
      <c r="K165" s="1">
        <f>K163*J165</f>
        <v>-1.0021228429447072E-2</v>
      </c>
      <c r="L165" s="1" t="str">
        <f t="shared" si="17"/>
        <v>増加→総重量減</v>
      </c>
      <c r="M165" s="1" t="s">
        <v>1474</v>
      </c>
      <c r="N165" s="1"/>
      <c r="O165" s="1">
        <f t="shared" si="16"/>
        <v>1</v>
      </c>
      <c r="P165" s="1"/>
      <c r="Q165" s="1">
        <f t="shared" si="19"/>
        <v>0</v>
      </c>
      <c r="R165" s="1" t="str">
        <f>IF(Q165=1,COUNTIF($Q$5:Q165,1),"")</f>
        <v/>
      </c>
    </row>
    <row r="166" spans="1:18">
      <c r="A166" s="1" t="s">
        <v>1836</v>
      </c>
      <c r="B166" s="1" t="s">
        <v>1833</v>
      </c>
      <c r="C166" s="1">
        <v>7</v>
      </c>
      <c r="D166" s="1" t="s">
        <v>1504</v>
      </c>
      <c r="E166" s="1" t="s">
        <v>90</v>
      </c>
      <c r="F166" s="1">
        <f>'01_入力仕様'!D9</f>
        <v>0.97</v>
      </c>
      <c r="G166" s="1" t="s">
        <v>86</v>
      </c>
      <c r="H166" s="1">
        <f t="shared" si="18"/>
        <v>0.12464480363126069</v>
      </c>
      <c r="I166" s="1" t="s">
        <v>1482</v>
      </c>
      <c r="J166" s="1">
        <f>-1</f>
        <v>-1</v>
      </c>
      <c r="K166" s="1">
        <f>K163*J166</f>
        <v>-1.0021228429447072E-2</v>
      </c>
      <c r="L166" s="1" t="str">
        <f t="shared" ref="L166:L197" si="20">IF(K166&gt;0,"増加→総重量増",IF(K166&lt;0,"増加→総重量減","中立"))</f>
        <v>増加→総重量減</v>
      </c>
      <c r="M166" s="1" t="s">
        <v>1474</v>
      </c>
      <c r="N166" s="1"/>
      <c r="O166" s="1">
        <f t="shared" si="16"/>
        <v>1</v>
      </c>
      <c r="P166" s="1"/>
      <c r="Q166" s="1">
        <f t="shared" si="19"/>
        <v>0</v>
      </c>
      <c r="R166" s="1" t="str">
        <f>IF(Q166=1,COUNTIF($Q$5:Q166,1),"")</f>
        <v/>
      </c>
    </row>
    <row r="167" spans="1:18">
      <c r="A167" s="1" t="s">
        <v>1837</v>
      </c>
      <c r="B167" s="1" t="s">
        <v>1825</v>
      </c>
      <c r="C167" s="1">
        <v>5</v>
      </c>
      <c r="D167" s="1" t="s">
        <v>1799</v>
      </c>
      <c r="E167" s="1" t="s">
        <v>369</v>
      </c>
      <c r="F167" s="1">
        <f>F168*F169</f>
        <v>1600</v>
      </c>
      <c r="G167" s="1" t="s">
        <v>96</v>
      </c>
      <c r="H167" s="1">
        <f t="shared" si="18"/>
        <v>0.12464480363126069</v>
      </c>
      <c r="I167" s="1" t="s">
        <v>1800</v>
      </c>
      <c r="J167" s="1">
        <f>-1</f>
        <v>-1</v>
      </c>
      <c r="K167" s="1">
        <f>K160*J167</f>
        <v>-1.0021228429447072E-2</v>
      </c>
      <c r="L167" s="1" t="str">
        <f t="shared" si="20"/>
        <v>増加→総重量減</v>
      </c>
      <c r="M167" s="1" t="s">
        <v>1474</v>
      </c>
      <c r="N167" s="1"/>
      <c r="O167" s="1">
        <f t="shared" si="16"/>
        <v>0</v>
      </c>
      <c r="P167" s="1"/>
      <c r="Q167" s="1">
        <f t="shared" si="19"/>
        <v>0</v>
      </c>
      <c r="R167" s="1" t="str">
        <f>IF(Q167=1,COUNTIF($Q$5:Q167,1),"")</f>
        <v/>
      </c>
    </row>
    <row r="168" spans="1:18">
      <c r="A168" s="1" t="s">
        <v>1838</v>
      </c>
      <c r="B168" s="1" t="s">
        <v>1837</v>
      </c>
      <c r="C168" s="1">
        <v>6</v>
      </c>
      <c r="D168" s="1" t="s">
        <v>1802</v>
      </c>
      <c r="E168" s="1" t="s">
        <v>368</v>
      </c>
      <c r="F168" s="1">
        <f>'01_入力仕様'!D77</f>
        <v>0.1</v>
      </c>
      <c r="G168" s="1" t="s">
        <v>86</v>
      </c>
      <c r="H168" s="1">
        <f t="shared" si="18"/>
        <v>0.12464480363126069</v>
      </c>
      <c r="I168" s="1" t="s">
        <v>1482</v>
      </c>
      <c r="J168" s="1">
        <f>1</f>
        <v>1</v>
      </c>
      <c r="K168" s="1">
        <f>K167*J168</f>
        <v>-1.0021228429447072E-2</v>
      </c>
      <c r="L168" s="1" t="str">
        <f t="shared" si="20"/>
        <v>増加→総重量減</v>
      </c>
      <c r="M168" s="1" t="s">
        <v>1474</v>
      </c>
      <c r="N168" s="1"/>
      <c r="O168" s="1">
        <f t="shared" si="16"/>
        <v>1</v>
      </c>
      <c r="P168" s="1"/>
      <c r="Q168" s="1">
        <f t="shared" si="19"/>
        <v>0</v>
      </c>
      <c r="R168" s="1" t="str">
        <f>IF(Q168=1,COUNTIF($Q$5:Q168,1),"")</f>
        <v/>
      </c>
    </row>
    <row r="169" spans="1:18">
      <c r="A169" s="1" t="s">
        <v>1839</v>
      </c>
      <c r="B169" s="1" t="s">
        <v>1837</v>
      </c>
      <c r="C169" s="1">
        <v>6</v>
      </c>
      <c r="D169" s="1" t="s">
        <v>94</v>
      </c>
      <c r="E169" s="1" t="s">
        <v>95</v>
      </c>
      <c r="F169" s="1">
        <f>'01_入力仕様'!D10</f>
        <v>16000</v>
      </c>
      <c r="G169" s="1" t="s">
        <v>96</v>
      </c>
      <c r="H169" s="1">
        <f t="shared" si="18"/>
        <v>0.12464480363126069</v>
      </c>
      <c r="I169" s="1" t="s">
        <v>1482</v>
      </c>
      <c r="J169" s="1">
        <f>1</f>
        <v>1</v>
      </c>
      <c r="K169" s="1">
        <f>K167*J169</f>
        <v>-1.0021228429447072E-2</v>
      </c>
      <c r="L169" s="1" t="str">
        <f t="shared" si="20"/>
        <v>増加→総重量減</v>
      </c>
      <c r="M169" s="1" t="s">
        <v>1474</v>
      </c>
      <c r="N169" s="1" t="s">
        <v>1840</v>
      </c>
      <c r="O169" s="1">
        <f t="shared" si="16"/>
        <v>1</v>
      </c>
      <c r="P169" s="1"/>
      <c r="Q169" s="1">
        <f t="shared" si="19"/>
        <v>0</v>
      </c>
      <c r="R169" s="1" t="str">
        <f>IF(Q169=1,COUNTIF($Q$5:Q169,1),"")</f>
        <v/>
      </c>
    </row>
    <row r="170" spans="1:18">
      <c r="A170" s="1" t="s">
        <v>1841</v>
      </c>
      <c r="B170" s="1" t="s">
        <v>1825</v>
      </c>
      <c r="C170" s="1">
        <v>5</v>
      </c>
      <c r="D170" s="1" t="s">
        <v>1842</v>
      </c>
      <c r="E170" s="1" t="s">
        <v>381</v>
      </c>
      <c r="F170" s="1">
        <f>F171*F172</f>
        <v>16</v>
      </c>
      <c r="G170" s="1" t="s">
        <v>73</v>
      </c>
      <c r="H170" s="1">
        <f t="shared" si="18"/>
        <v>0.12464480363126069</v>
      </c>
      <c r="I170" s="1" t="s">
        <v>1843</v>
      </c>
      <c r="J170" s="1">
        <f>-1</f>
        <v>-1</v>
      </c>
      <c r="K170" s="1">
        <f>K160*J170</f>
        <v>-1.0021228429447072E-2</v>
      </c>
      <c r="L170" s="1" t="str">
        <f t="shared" si="20"/>
        <v>増加→総重量減</v>
      </c>
      <c r="M170" s="1" t="s">
        <v>1474</v>
      </c>
      <c r="N170" s="1"/>
      <c r="O170" s="1">
        <f t="shared" si="16"/>
        <v>0</v>
      </c>
      <c r="P170" s="1"/>
      <c r="Q170" s="1">
        <f t="shared" si="19"/>
        <v>1</v>
      </c>
      <c r="R170" s="1">
        <f>IF(Q170=1,COUNTIF($Q$5:Q170,1),"")</f>
        <v>132</v>
      </c>
    </row>
    <row r="171" spans="1:18">
      <c r="A171" s="1" t="s">
        <v>1844</v>
      </c>
      <c r="B171" s="1" t="s">
        <v>1841</v>
      </c>
      <c r="C171" s="1">
        <v>6</v>
      </c>
      <c r="D171" s="1" t="s">
        <v>379</v>
      </c>
      <c r="E171" s="1" t="s">
        <v>380</v>
      </c>
      <c r="F171" s="1">
        <f>'01_入力仕様'!D80</f>
        <v>0.02</v>
      </c>
      <c r="G171" s="1" t="s">
        <v>86</v>
      </c>
      <c r="H171" s="1">
        <f t="shared" si="18"/>
        <v>0.12464480363126069</v>
      </c>
      <c r="I171" s="1" t="s">
        <v>1482</v>
      </c>
      <c r="J171" s="1">
        <f>1</f>
        <v>1</v>
      </c>
      <c r="K171" s="1">
        <f>K170*J171</f>
        <v>-1.0021228429447072E-2</v>
      </c>
      <c r="L171" s="1" t="str">
        <f t="shared" si="20"/>
        <v>増加→総重量減</v>
      </c>
      <c r="M171" s="1" t="s">
        <v>1474</v>
      </c>
      <c r="N171" s="1"/>
      <c r="O171" s="1">
        <f t="shared" si="16"/>
        <v>1</v>
      </c>
      <c r="P171" s="1"/>
      <c r="Q171" s="1">
        <f t="shared" si="19"/>
        <v>1</v>
      </c>
      <c r="R171" s="1">
        <f>IF(Q171=1,COUNTIF($Q$5:Q171,1),"")</f>
        <v>133</v>
      </c>
    </row>
    <row r="172" spans="1:18">
      <c r="A172" s="1" t="s">
        <v>1845</v>
      </c>
      <c r="B172" s="1" t="s">
        <v>1841</v>
      </c>
      <c r="C172" s="1">
        <v>6</v>
      </c>
      <c r="D172" s="1" t="s">
        <v>71</v>
      </c>
      <c r="E172" s="1" t="s">
        <v>72</v>
      </c>
      <c r="F172" s="1">
        <f>'01_入力仕様'!D6</f>
        <v>800</v>
      </c>
      <c r="G172" s="1" t="s">
        <v>73</v>
      </c>
      <c r="H172" s="1">
        <f t="shared" si="18"/>
        <v>0.12464480363126069</v>
      </c>
      <c r="I172" s="1" t="s">
        <v>1482</v>
      </c>
      <c r="J172" s="1">
        <f>1</f>
        <v>1</v>
      </c>
      <c r="K172" s="1">
        <f>K170*J172</f>
        <v>-1.0021228429447072E-2</v>
      </c>
      <c r="L172" s="1" t="str">
        <f t="shared" si="20"/>
        <v>増加→総重量減</v>
      </c>
      <c r="M172" s="1" t="s">
        <v>1474</v>
      </c>
      <c r="N172" s="1"/>
      <c r="O172" s="1">
        <f t="shared" si="16"/>
        <v>1</v>
      </c>
      <c r="P172" s="1"/>
      <c r="Q172" s="1">
        <f t="shared" si="19"/>
        <v>0</v>
      </c>
      <c r="R172" s="1" t="str">
        <f>IF(Q172=1,COUNTIF($Q$5:Q172,1),"")</f>
        <v/>
      </c>
    </row>
    <row r="173" spans="1:18">
      <c r="A173" s="1" t="s">
        <v>1846</v>
      </c>
      <c r="B173" s="1" t="s">
        <v>1820</v>
      </c>
      <c r="C173" s="1">
        <v>4</v>
      </c>
      <c r="D173" s="1" t="s">
        <v>71</v>
      </c>
      <c r="E173" s="1" t="s">
        <v>72</v>
      </c>
      <c r="F173" s="1">
        <f>'01_入力仕様'!D6</f>
        <v>800</v>
      </c>
      <c r="G173" s="1" t="s">
        <v>73</v>
      </c>
      <c r="H173" s="1">
        <f t="shared" ref="H173:H204" si="21">ABS(K173)*$F$5</f>
        <v>0.24928960726252139</v>
      </c>
      <c r="I173" s="1" t="s">
        <v>1482</v>
      </c>
      <c r="J173" s="1">
        <f>2</f>
        <v>2</v>
      </c>
      <c r="K173" s="1">
        <f>K158*J173</f>
        <v>2.0042456858894143E-2</v>
      </c>
      <c r="L173" s="1" t="str">
        <f t="shared" si="20"/>
        <v>増加→総重量増</v>
      </c>
      <c r="M173" s="1" t="s">
        <v>1474</v>
      </c>
      <c r="N173" s="1" t="s">
        <v>1847</v>
      </c>
      <c r="O173" s="1">
        <f t="shared" si="16"/>
        <v>1</v>
      </c>
      <c r="P173" s="1"/>
      <c r="Q173" s="1">
        <f t="shared" si="19"/>
        <v>0</v>
      </c>
      <c r="R173" s="1" t="str">
        <f>IF(Q173=1,COUNTIF($Q$5:Q173,1),"")</f>
        <v/>
      </c>
    </row>
    <row r="174" spans="1:18">
      <c r="A174" s="1" t="s">
        <v>1848</v>
      </c>
      <c r="B174" s="1" t="s">
        <v>1470</v>
      </c>
      <c r="C174" s="1">
        <v>1</v>
      </c>
      <c r="D174" s="1" t="s">
        <v>387</v>
      </c>
      <c r="E174" s="1" t="s">
        <v>388</v>
      </c>
      <c r="F174" s="1">
        <f>F270+F275+F278+F337+F372+F494+F496+F502+F518+F559</f>
        <v>0.55935808780487806</v>
      </c>
      <c r="G174" s="1" t="s">
        <v>229</v>
      </c>
      <c r="H174" s="1">
        <f t="shared" si="21"/>
        <v>0.55935808780487806</v>
      </c>
      <c r="I174" s="1" t="s">
        <v>1849</v>
      </c>
      <c r="J174" s="1">
        <f>F174/F5</f>
        <v>4.4971430885591746E-2</v>
      </c>
      <c r="K174" s="1">
        <f>K5*J174</f>
        <v>4.4971430885591746E-2</v>
      </c>
      <c r="L174" s="1" t="str">
        <f t="shared" si="20"/>
        <v>増加→総重量増</v>
      </c>
      <c r="M174" s="1" t="s">
        <v>1474</v>
      </c>
      <c r="N174" s="1"/>
      <c r="O174" s="1">
        <f t="shared" si="16"/>
        <v>0</v>
      </c>
      <c r="P174" s="1"/>
      <c r="Q174" s="1">
        <f t="shared" si="19"/>
        <v>1</v>
      </c>
      <c r="R174" s="1">
        <f>IF(Q174=1,COUNTIF($Q$5:Q174,1),"")</f>
        <v>134</v>
      </c>
    </row>
    <row r="175" spans="1:18" ht="28.5">
      <c r="A175" s="1" t="s">
        <v>1850</v>
      </c>
      <c r="B175" s="1" t="s">
        <v>1470</v>
      </c>
      <c r="C175" s="1">
        <v>1</v>
      </c>
      <c r="D175" s="1" t="s">
        <v>392</v>
      </c>
      <c r="E175" s="1" t="s">
        <v>393</v>
      </c>
      <c r="F175" s="1">
        <f>F279+F282+F285+F288+F490+F492</f>
        <v>0.31500000000000006</v>
      </c>
      <c r="G175" s="1" t="s">
        <v>229</v>
      </c>
      <c r="H175" s="1">
        <f t="shared" si="21"/>
        <v>0.31500000000000006</v>
      </c>
      <c r="I175" s="1" t="s">
        <v>1851</v>
      </c>
      <c r="J175" s="1">
        <f>F175/F5</f>
        <v>2.5325459732876796E-2</v>
      </c>
      <c r="K175" s="1">
        <f>K5*J175</f>
        <v>2.5325459732876796E-2</v>
      </c>
      <c r="L175" s="1" t="str">
        <f t="shared" si="20"/>
        <v>増加→総重量増</v>
      </c>
      <c r="M175" s="1" t="s">
        <v>1474</v>
      </c>
      <c r="N175" s="1"/>
      <c r="O175" s="1">
        <f t="shared" si="16"/>
        <v>0</v>
      </c>
      <c r="P175" s="1"/>
      <c r="Q175" s="1">
        <f t="shared" si="19"/>
        <v>1</v>
      </c>
      <c r="R175" s="1">
        <f>IF(Q175=1,COUNTIF($Q$5:Q175,1),"")</f>
        <v>135</v>
      </c>
    </row>
    <row r="176" spans="1:18" ht="28.5">
      <c r="A176" s="1" t="s">
        <v>1852</v>
      </c>
      <c r="B176" s="1" t="s">
        <v>1470</v>
      </c>
      <c r="C176" s="1">
        <v>1</v>
      </c>
      <c r="D176" s="1" t="s">
        <v>395</v>
      </c>
      <c r="E176" s="1" t="s">
        <v>396</v>
      </c>
      <c r="F176" s="1">
        <f>F289+F292+F295+F296</f>
        <v>0.42000000000000004</v>
      </c>
      <c r="G176" s="1" t="s">
        <v>229</v>
      </c>
      <c r="H176" s="1">
        <f t="shared" si="21"/>
        <v>0.42000000000000004</v>
      </c>
      <c r="I176" s="1" t="s">
        <v>1853</v>
      </c>
      <c r="J176" s="1">
        <f>F176/F5</f>
        <v>3.3767279643835725E-2</v>
      </c>
      <c r="K176" s="1">
        <f>K5*J176</f>
        <v>3.3767279643835725E-2</v>
      </c>
      <c r="L176" s="1" t="str">
        <f t="shared" si="20"/>
        <v>増加→総重量増</v>
      </c>
      <c r="M176" s="1" t="s">
        <v>1474</v>
      </c>
      <c r="N176" s="1"/>
      <c r="O176" s="1">
        <f t="shared" si="16"/>
        <v>0</v>
      </c>
      <c r="P176" s="1"/>
      <c r="Q176" s="1">
        <f t="shared" si="19"/>
        <v>1</v>
      </c>
      <c r="R176" s="1">
        <f>IF(Q176=1,COUNTIF($Q$5:Q176,1),"")</f>
        <v>136</v>
      </c>
    </row>
    <row r="177" spans="1:18" ht="28.5">
      <c r="A177" s="1" t="s">
        <v>1854</v>
      </c>
      <c r="B177" s="1" t="s">
        <v>1470</v>
      </c>
      <c r="C177" s="1">
        <v>1</v>
      </c>
      <c r="D177" s="1" t="s">
        <v>1855</v>
      </c>
      <c r="E177" s="1" t="s">
        <v>399</v>
      </c>
      <c r="F177" s="1">
        <f>F297+F298+F299+F520+F522+F524</f>
        <v>1.0717194835645865</v>
      </c>
      <c r="G177" s="1" t="s">
        <v>229</v>
      </c>
      <c r="H177" s="1">
        <f t="shared" si="21"/>
        <v>1.0717194835645865</v>
      </c>
      <c r="I177" s="1" t="s">
        <v>1856</v>
      </c>
      <c r="J177" s="1">
        <f>F177/F5</f>
        <v>8.6164408336363324E-2</v>
      </c>
      <c r="K177" s="1">
        <f>K5*J177</f>
        <v>8.6164408336363324E-2</v>
      </c>
      <c r="L177" s="1" t="str">
        <f t="shared" si="20"/>
        <v>増加→総重量増</v>
      </c>
      <c r="M177" s="1" t="s">
        <v>1474</v>
      </c>
      <c r="N177" s="1" t="s">
        <v>1857</v>
      </c>
      <c r="O177" s="1">
        <f t="shared" si="16"/>
        <v>0</v>
      </c>
      <c r="P177" s="1"/>
      <c r="Q177" s="1">
        <f t="shared" ref="Q177:Q189" si="22">IF(E177="","",--(MATCH(E177,$E$5:$E$560,0)=ROW()-4))</f>
        <v>1</v>
      </c>
      <c r="R177" s="1">
        <f>IF(Q177=1,COUNTIF($Q$5:Q177,1),"")</f>
        <v>137</v>
      </c>
    </row>
    <row r="178" spans="1:18" ht="28.5">
      <c r="A178" s="1" t="s">
        <v>1858</v>
      </c>
      <c r="B178" s="1" t="s">
        <v>1476</v>
      </c>
      <c r="C178" s="1">
        <v>2</v>
      </c>
      <c r="D178" s="1" t="s">
        <v>1859</v>
      </c>
      <c r="E178" s="1" t="s">
        <v>410</v>
      </c>
      <c r="F178" s="1">
        <f>F179*F180*F181</f>
        <v>0.63000000000000012</v>
      </c>
      <c r="G178" s="1" t="s">
        <v>229</v>
      </c>
      <c r="H178" s="1">
        <f t="shared" si="21"/>
        <v>0.63000000000000012</v>
      </c>
      <c r="I178" s="1" t="s">
        <v>1860</v>
      </c>
      <c r="J178" s="1">
        <f>F178/F6</f>
        <v>0.38252861607011329</v>
      </c>
      <c r="K178" s="1">
        <f>K6*J178</f>
        <v>5.0650919465753598E-2</v>
      </c>
      <c r="L178" s="1" t="str">
        <f t="shared" si="20"/>
        <v>増加→総重量増</v>
      </c>
      <c r="M178" s="1" t="s">
        <v>1474</v>
      </c>
      <c r="N178" s="1" t="s">
        <v>1861</v>
      </c>
      <c r="O178" s="1">
        <f t="shared" si="16"/>
        <v>0</v>
      </c>
      <c r="P178" s="1"/>
      <c r="Q178" s="1">
        <f t="shared" si="22"/>
        <v>1</v>
      </c>
      <c r="R178" s="1">
        <f>IF(Q178=1,COUNTIF($Q$5:Q178,1),"")</f>
        <v>138</v>
      </c>
    </row>
    <row r="179" spans="1:18">
      <c r="A179" s="1" t="s">
        <v>1862</v>
      </c>
      <c r="B179" s="1" t="s">
        <v>1858</v>
      </c>
      <c r="C179" s="1">
        <v>3</v>
      </c>
      <c r="D179" s="1" t="s">
        <v>112</v>
      </c>
      <c r="E179" s="1" t="s">
        <v>113</v>
      </c>
      <c r="F179" s="1">
        <f>'01_入力仕様'!D13</f>
        <v>6</v>
      </c>
      <c r="G179" s="1" t="s">
        <v>114</v>
      </c>
      <c r="H179" s="1">
        <f t="shared" si="21"/>
        <v>0.63000000000000012</v>
      </c>
      <c r="I179" s="1" t="s">
        <v>1482</v>
      </c>
      <c r="J179" s="1">
        <f>1</f>
        <v>1</v>
      </c>
      <c r="K179" s="1">
        <f>K178*J179</f>
        <v>5.0650919465753598E-2</v>
      </c>
      <c r="L179" s="1" t="str">
        <f t="shared" si="20"/>
        <v>増加→総重量増</v>
      </c>
      <c r="M179" s="1" t="s">
        <v>1474</v>
      </c>
      <c r="N179" s="1"/>
      <c r="O179" s="1">
        <f t="shared" si="16"/>
        <v>1</v>
      </c>
      <c r="P179" s="1"/>
      <c r="Q179" s="1">
        <f t="shared" si="22"/>
        <v>0</v>
      </c>
      <c r="R179" s="1" t="str">
        <f>IF(Q179=1,COUNTIF($Q$5:Q179,1),"")</f>
        <v/>
      </c>
    </row>
    <row r="180" spans="1:18">
      <c r="A180" s="1" t="s">
        <v>1863</v>
      </c>
      <c r="B180" s="1" t="s">
        <v>1858</v>
      </c>
      <c r="C180" s="1">
        <v>3</v>
      </c>
      <c r="D180" s="1" t="s">
        <v>401</v>
      </c>
      <c r="E180" s="1" t="s">
        <v>402</v>
      </c>
      <c r="F180" s="1">
        <f>'01_入力仕様'!D86</f>
        <v>3</v>
      </c>
      <c r="G180" s="1" t="s">
        <v>86</v>
      </c>
      <c r="H180" s="1">
        <f t="shared" si="21"/>
        <v>0.63000000000000012</v>
      </c>
      <c r="I180" s="1" t="s">
        <v>1482</v>
      </c>
      <c r="J180" s="1">
        <f>1</f>
        <v>1</v>
      </c>
      <c r="K180" s="1">
        <f>K178*J180</f>
        <v>5.0650919465753598E-2</v>
      </c>
      <c r="L180" s="1" t="str">
        <f t="shared" si="20"/>
        <v>増加→総重量増</v>
      </c>
      <c r="M180" s="1" t="s">
        <v>1474</v>
      </c>
      <c r="N180" s="1" t="s">
        <v>1864</v>
      </c>
      <c r="O180" s="1">
        <f t="shared" si="16"/>
        <v>1</v>
      </c>
      <c r="P180" s="1"/>
      <c r="Q180" s="1">
        <f t="shared" si="22"/>
        <v>1</v>
      </c>
      <c r="R180" s="1">
        <f>IF(Q180=1,COUNTIF($Q$5:Q180,1),"")</f>
        <v>139</v>
      </c>
    </row>
    <row r="181" spans="1:18">
      <c r="A181" s="1" t="s">
        <v>1865</v>
      </c>
      <c r="B181" s="1" t="s">
        <v>1858</v>
      </c>
      <c r="C181" s="1">
        <v>3</v>
      </c>
      <c r="D181" s="1" t="s">
        <v>1866</v>
      </c>
      <c r="E181" s="1" t="s">
        <v>408</v>
      </c>
      <c r="F181" s="1">
        <f>'01_入力仕様'!D87</f>
        <v>3.5000000000000003E-2</v>
      </c>
      <c r="G181" s="1" t="s">
        <v>409</v>
      </c>
      <c r="H181" s="1">
        <f t="shared" si="21"/>
        <v>0.63000000000000012</v>
      </c>
      <c r="I181" s="1" t="s">
        <v>1482</v>
      </c>
      <c r="J181" s="1">
        <f>1</f>
        <v>1</v>
      </c>
      <c r="K181" s="1">
        <f>K178*J181</f>
        <v>5.0650919465753598E-2</v>
      </c>
      <c r="L181" s="1" t="str">
        <f t="shared" si="20"/>
        <v>増加→総重量増</v>
      </c>
      <c r="M181" s="1" t="s">
        <v>1474</v>
      </c>
      <c r="N181" s="1"/>
      <c r="O181" s="1">
        <f t="shared" si="16"/>
        <v>1</v>
      </c>
      <c r="P181" s="1"/>
      <c r="Q181" s="1">
        <f t="shared" si="22"/>
        <v>1</v>
      </c>
      <c r="R181" s="1">
        <f>IF(Q181=1,COUNTIF($Q$5:Q181,1),"")</f>
        <v>140</v>
      </c>
    </row>
    <row r="182" spans="1:18">
      <c r="A182" s="1" t="s">
        <v>1867</v>
      </c>
      <c r="B182" s="1" t="s">
        <v>1565</v>
      </c>
      <c r="C182" s="1">
        <v>7</v>
      </c>
      <c r="D182" s="1" t="s">
        <v>401</v>
      </c>
      <c r="E182" s="1" t="s">
        <v>402</v>
      </c>
      <c r="F182" s="1">
        <f>'01_入力仕様'!D86</f>
        <v>3</v>
      </c>
      <c r="G182" s="1" t="s">
        <v>86</v>
      </c>
      <c r="H182" s="1">
        <f t="shared" si="21"/>
        <v>2.7618556390487389E-4</v>
      </c>
      <c r="I182" s="1" t="s">
        <v>1482</v>
      </c>
      <c r="J182" s="1">
        <f>-1</f>
        <v>-1</v>
      </c>
      <c r="K182" s="1">
        <f>K44*J182</f>
        <v>-2.2204845642776994E-5</v>
      </c>
      <c r="L182" s="1" t="str">
        <f t="shared" si="20"/>
        <v>増加→総重量減</v>
      </c>
      <c r="M182" s="1" t="s">
        <v>1474</v>
      </c>
      <c r="N182" s="1" t="s">
        <v>1868</v>
      </c>
      <c r="O182" s="1">
        <f t="shared" si="16"/>
        <v>1</v>
      </c>
      <c r="P182" s="1"/>
      <c r="Q182" s="1">
        <f t="shared" si="22"/>
        <v>0</v>
      </c>
      <c r="R182" s="1" t="str">
        <f>IF(Q182=1,COUNTIF($Q$5:Q182,1),"")</f>
        <v/>
      </c>
    </row>
    <row r="183" spans="1:18">
      <c r="A183" s="1" t="s">
        <v>1869</v>
      </c>
      <c r="B183" s="1" t="s">
        <v>1621</v>
      </c>
      <c r="C183" s="1">
        <v>6</v>
      </c>
      <c r="D183" s="1" t="s">
        <v>1870</v>
      </c>
      <c r="E183" s="1" t="s">
        <v>425</v>
      </c>
      <c r="F183" s="1">
        <f>1-F184*(1-F185)</f>
        <v>1</v>
      </c>
      <c r="G183" s="1" t="s">
        <v>86</v>
      </c>
      <c r="H183" s="1">
        <f t="shared" si="21"/>
        <v>4.6121749387180254E-4</v>
      </c>
      <c r="I183" s="1" t="s">
        <v>1871</v>
      </c>
      <c r="J183" s="1">
        <f>1</f>
        <v>1</v>
      </c>
      <c r="K183" s="1">
        <f>K68*J183</f>
        <v>3.7081095457614869E-5</v>
      </c>
      <c r="L183" s="1" t="str">
        <f t="shared" si="20"/>
        <v>増加→総重量増</v>
      </c>
      <c r="M183" s="1" t="s">
        <v>1474</v>
      </c>
      <c r="N183" s="1" t="s">
        <v>1872</v>
      </c>
      <c r="O183" s="1">
        <f t="shared" si="16"/>
        <v>0</v>
      </c>
      <c r="P183" s="1"/>
      <c r="Q183" s="1">
        <f t="shared" si="22"/>
        <v>1</v>
      </c>
      <c r="R183" s="1">
        <f>IF(Q183=1,COUNTIF($Q$5:Q183,1),"")</f>
        <v>141</v>
      </c>
    </row>
    <row r="184" spans="1:18" ht="28.5">
      <c r="A184" s="1" t="s">
        <v>1873</v>
      </c>
      <c r="B184" s="1" t="s">
        <v>1869</v>
      </c>
      <c r="C184" s="1">
        <v>7</v>
      </c>
      <c r="D184" s="1" t="s">
        <v>413</v>
      </c>
      <c r="E184" s="1" t="s">
        <v>414</v>
      </c>
      <c r="F184" s="1">
        <f>'01_入力仕様'!D88</f>
        <v>0</v>
      </c>
      <c r="G184" s="1" t="s">
        <v>415</v>
      </c>
      <c r="H184" s="1">
        <f t="shared" si="21"/>
        <v>0</v>
      </c>
      <c r="I184" s="1" t="s">
        <v>1482</v>
      </c>
      <c r="J184" s="1">
        <f>0</f>
        <v>0</v>
      </c>
      <c r="K184" s="1">
        <f>K183*J184</f>
        <v>0</v>
      </c>
      <c r="L184" s="1" t="str">
        <f t="shared" si="20"/>
        <v>中立</v>
      </c>
      <c r="M184" s="1" t="s">
        <v>1474</v>
      </c>
      <c r="N184" s="1" t="s">
        <v>1874</v>
      </c>
      <c r="O184" s="1">
        <f t="shared" si="16"/>
        <v>1</v>
      </c>
      <c r="P184" s="1"/>
      <c r="Q184" s="1">
        <f t="shared" si="22"/>
        <v>1</v>
      </c>
      <c r="R184" s="1">
        <f>IF(Q184=1,COUNTIF($Q$5:Q184,1),"")</f>
        <v>142</v>
      </c>
    </row>
    <row r="185" spans="1:18">
      <c r="A185" s="1" t="s">
        <v>1875</v>
      </c>
      <c r="B185" s="1" t="s">
        <v>1869</v>
      </c>
      <c r="C185" s="1">
        <v>7</v>
      </c>
      <c r="D185" s="1" t="s">
        <v>1876</v>
      </c>
      <c r="E185" s="1" t="s">
        <v>424</v>
      </c>
      <c r="F185" s="1">
        <f>'01_入力仕様'!D89</f>
        <v>0.25</v>
      </c>
      <c r="G185" s="1" t="s">
        <v>86</v>
      </c>
      <c r="H185" s="1">
        <f t="shared" si="21"/>
        <v>0</v>
      </c>
      <c r="I185" s="1" t="s">
        <v>1482</v>
      </c>
      <c r="J185" s="1">
        <f>IF(F183=0,0,'01_入力仕様'!D88*'01_入力仕様'!D89/F183)</f>
        <v>0</v>
      </c>
      <c r="K185" s="1">
        <f>K183*J185</f>
        <v>0</v>
      </c>
      <c r="L185" s="1" t="str">
        <f t="shared" si="20"/>
        <v>中立</v>
      </c>
      <c r="M185" s="1" t="s">
        <v>1474</v>
      </c>
      <c r="N185" s="1" t="s">
        <v>1877</v>
      </c>
      <c r="O185" s="1">
        <f t="shared" si="16"/>
        <v>1</v>
      </c>
      <c r="P185" s="1"/>
      <c r="Q185" s="1">
        <f t="shared" si="22"/>
        <v>1</v>
      </c>
      <c r="R185" s="1">
        <f>IF(Q185=1,COUNTIF($Q$5:Q185,1),"")</f>
        <v>143</v>
      </c>
    </row>
    <row r="186" spans="1:18" ht="42.75">
      <c r="A186" s="1" t="s">
        <v>1878</v>
      </c>
      <c r="B186" s="1" t="s">
        <v>1470</v>
      </c>
      <c r="C186" s="1">
        <v>1</v>
      </c>
      <c r="D186" s="1" t="s">
        <v>1879</v>
      </c>
      <c r="E186" s="1" t="s">
        <v>451</v>
      </c>
      <c r="F186" s="1">
        <f>F187*(F188+F191+F217)</f>
        <v>0</v>
      </c>
      <c r="G186" s="1" t="s">
        <v>229</v>
      </c>
      <c r="H186" s="1">
        <f t="shared" si="21"/>
        <v>0</v>
      </c>
      <c r="I186" s="1" t="s">
        <v>1880</v>
      </c>
      <c r="J186" s="1">
        <f>IFERROR(F186/F5,0)</f>
        <v>0</v>
      </c>
      <c r="K186" s="1">
        <f>K5*J186</f>
        <v>0</v>
      </c>
      <c r="L186" s="1" t="str">
        <f t="shared" si="20"/>
        <v>中立</v>
      </c>
      <c r="M186" s="1" t="s">
        <v>1474</v>
      </c>
      <c r="N186" s="1" t="s">
        <v>1881</v>
      </c>
      <c r="O186" s="1">
        <f t="shared" si="16"/>
        <v>0</v>
      </c>
      <c r="P186" s="1"/>
      <c r="Q186" s="1">
        <f t="shared" si="22"/>
        <v>1</v>
      </c>
      <c r="R186" s="1">
        <f>IF(Q186=1,COUNTIF($Q$5:Q186,1),"")</f>
        <v>144</v>
      </c>
    </row>
    <row r="187" spans="1:18">
      <c r="A187" s="1" t="s">
        <v>1882</v>
      </c>
      <c r="B187" s="1" t="s">
        <v>1878</v>
      </c>
      <c r="C187" s="1">
        <v>2</v>
      </c>
      <c r="D187" s="1" t="s">
        <v>413</v>
      </c>
      <c r="E187" s="1" t="s">
        <v>414</v>
      </c>
      <c r="F187" s="1">
        <f>'01_入力仕様'!D88</f>
        <v>0</v>
      </c>
      <c r="G187" s="1" t="s">
        <v>415</v>
      </c>
      <c r="H187" s="1">
        <f t="shared" si="21"/>
        <v>0</v>
      </c>
      <c r="I187" s="1" t="s">
        <v>1482</v>
      </c>
      <c r="J187" s="1">
        <f>0</f>
        <v>0</v>
      </c>
      <c r="K187" s="1">
        <f>K186*J187</f>
        <v>0</v>
      </c>
      <c r="L187" s="1" t="str">
        <f t="shared" si="20"/>
        <v>中立</v>
      </c>
      <c r="M187" s="1" t="s">
        <v>1474</v>
      </c>
      <c r="N187" s="1" t="s">
        <v>1883</v>
      </c>
      <c r="O187" s="1">
        <f t="shared" si="16"/>
        <v>1</v>
      </c>
      <c r="P187" s="1"/>
      <c r="Q187" s="1">
        <f t="shared" si="22"/>
        <v>0</v>
      </c>
      <c r="R187" s="1" t="str">
        <f>IF(Q187=1,COUNTIF($Q$5:Q187,1),"")</f>
        <v/>
      </c>
    </row>
    <row r="188" spans="1:18">
      <c r="A188" s="1" t="s">
        <v>1884</v>
      </c>
      <c r="B188" s="1" t="s">
        <v>1878</v>
      </c>
      <c r="C188" s="1">
        <v>2</v>
      </c>
      <c r="D188" s="1" t="s">
        <v>1885</v>
      </c>
      <c r="E188" s="1" t="s">
        <v>429</v>
      </c>
      <c r="F188" s="1">
        <f>F189*F190</f>
        <v>0.09</v>
      </c>
      <c r="G188" s="1" t="s">
        <v>229</v>
      </c>
      <c r="H188" s="1">
        <f t="shared" si="21"/>
        <v>0</v>
      </c>
      <c r="I188" s="1" t="s">
        <v>1886</v>
      </c>
      <c r="J188" s="1">
        <f>IF((F188+F191+'01_入力仕様'!D96)=0,0,F188/(F188+F191+'01_入力仕様'!D96))</f>
        <v>0.51087042063855959</v>
      </c>
      <c r="K188" s="1">
        <f>K186*J188</f>
        <v>0</v>
      </c>
      <c r="L188" s="1" t="str">
        <f t="shared" si="20"/>
        <v>中立</v>
      </c>
      <c r="M188" s="1" t="s">
        <v>1474</v>
      </c>
      <c r="N188" s="1"/>
      <c r="O188" s="1">
        <f t="shared" si="16"/>
        <v>0</v>
      </c>
      <c r="P188" s="1"/>
      <c r="Q188" s="1">
        <f t="shared" si="22"/>
        <v>1</v>
      </c>
      <c r="R188" s="1">
        <f>IF(Q188=1,COUNTIF($Q$5:Q188,1),"")</f>
        <v>145</v>
      </c>
    </row>
    <row r="189" spans="1:18">
      <c r="A189" s="1" t="s">
        <v>1887</v>
      </c>
      <c r="B189" s="1" t="s">
        <v>1884</v>
      </c>
      <c r="C189" s="1">
        <v>3</v>
      </c>
      <c r="D189" s="1" t="s">
        <v>427</v>
      </c>
      <c r="E189" s="1" t="s">
        <v>428</v>
      </c>
      <c r="F189" s="1">
        <f>'01_入力仕様'!D90</f>
        <v>2</v>
      </c>
      <c r="G189" s="1" t="s">
        <v>114</v>
      </c>
      <c r="H189" s="1">
        <f t="shared" si="21"/>
        <v>0</v>
      </c>
      <c r="I189" s="1" t="s">
        <v>1482</v>
      </c>
      <c r="J189" s="1">
        <f>1</f>
        <v>1</v>
      </c>
      <c r="K189" s="1">
        <f>K188*J189</f>
        <v>0</v>
      </c>
      <c r="L189" s="1" t="str">
        <f t="shared" si="20"/>
        <v>中立</v>
      </c>
      <c r="M189" s="1" t="s">
        <v>1474</v>
      </c>
      <c r="N189" s="1"/>
      <c r="O189" s="1">
        <f t="shared" si="16"/>
        <v>1</v>
      </c>
      <c r="P189" s="1"/>
      <c r="Q189" s="1">
        <f t="shared" si="22"/>
        <v>1</v>
      </c>
      <c r="R189" s="1">
        <f>IF(Q189=1,COUNTIF($Q$5:Q189,1),"")</f>
        <v>146</v>
      </c>
    </row>
    <row r="190" spans="1:18">
      <c r="A190" s="1" t="s">
        <v>1888</v>
      </c>
      <c r="B190" s="1" t="s">
        <v>1884</v>
      </c>
      <c r="C190" s="1">
        <v>3</v>
      </c>
      <c r="D190" s="1" t="s">
        <v>431</v>
      </c>
      <c r="E190" s="1" t="s">
        <v>432</v>
      </c>
      <c r="F190" s="1">
        <f>'01_入力仕様'!D91</f>
        <v>4.4999999999999998E-2</v>
      </c>
      <c r="G190" s="1" t="s">
        <v>433</v>
      </c>
      <c r="H190" s="1">
        <f t="shared" si="21"/>
        <v>0</v>
      </c>
      <c r="I190" s="1" t="s">
        <v>1482</v>
      </c>
      <c r="J190" s="1">
        <f>1</f>
        <v>1</v>
      </c>
      <c r="K190" s="1">
        <f>K188*J190</f>
        <v>0</v>
      </c>
      <c r="L190" s="1" t="str">
        <f t="shared" si="20"/>
        <v>中立</v>
      </c>
      <c r="M190" s="1" t="s">
        <v>1474</v>
      </c>
      <c r="N190" s="1"/>
      <c r="O190" s="1">
        <f t="shared" si="16"/>
        <v>1</v>
      </c>
      <c r="P190" s="1"/>
      <c r="Q190" s="1">
        <f>1</f>
        <v>1</v>
      </c>
      <c r="R190" s="1">
        <f>IF(Q190=1,COUNTIF($Q$5:Q190,1),"")</f>
        <v>147</v>
      </c>
    </row>
    <row r="191" spans="1:18">
      <c r="A191" s="1" t="s">
        <v>1889</v>
      </c>
      <c r="B191" s="1" t="s">
        <v>1878</v>
      </c>
      <c r="C191" s="1">
        <v>2</v>
      </c>
      <c r="D191" s="1" t="s">
        <v>1890</v>
      </c>
      <c r="E191" s="1" t="s">
        <v>1891</v>
      </c>
      <c r="F191" s="1">
        <f>F192+F206</f>
        <v>6.1699177797474017E-3</v>
      </c>
      <c r="G191" s="1" t="s">
        <v>229</v>
      </c>
      <c r="H191" s="1">
        <f t="shared" si="21"/>
        <v>0</v>
      </c>
      <c r="I191" s="1" t="s">
        <v>1892</v>
      </c>
      <c r="J191" s="1">
        <f>IF((F188+F191+'01_入力仕様'!D96)=0,0,F191/(F188+F191+'01_入力仕様'!D96))</f>
        <v>3.5022538793832027E-2</v>
      </c>
      <c r="K191" s="1">
        <f>K186*J191</f>
        <v>0</v>
      </c>
      <c r="L191" s="1" t="str">
        <f t="shared" si="20"/>
        <v>中立</v>
      </c>
      <c r="M191" s="1" t="s">
        <v>1474</v>
      </c>
      <c r="N191" s="1"/>
      <c r="O191" s="1">
        <f t="shared" si="16"/>
        <v>0</v>
      </c>
      <c r="P191" s="1"/>
      <c r="Q191" s="1">
        <f t="shared" ref="Q191:Q222" si="23">IF(E191="","",--(MATCH(E191,$E$5:$E$560,0)=ROW()-4))</f>
        <v>1</v>
      </c>
      <c r="R191" s="1">
        <f>IF(Q191=1,COUNTIF($Q$5:Q191,1),"")</f>
        <v>148</v>
      </c>
    </row>
    <row r="192" spans="1:18">
      <c r="A192" s="1" t="s">
        <v>1893</v>
      </c>
      <c r="B192" s="1" t="s">
        <v>1889</v>
      </c>
      <c r="C192" s="1">
        <v>3</v>
      </c>
      <c r="D192" s="1" t="s">
        <v>1894</v>
      </c>
      <c r="E192" s="1" t="s">
        <v>445</v>
      </c>
      <c r="F192" s="1">
        <f>F193*F194*(F202/1000)^2</f>
        <v>5.6090161634067288E-3</v>
      </c>
      <c r="G192" s="1" t="s">
        <v>229</v>
      </c>
      <c r="H192" s="1">
        <f t="shared" si="21"/>
        <v>0</v>
      </c>
      <c r="I192" s="1" t="s">
        <v>1895</v>
      </c>
      <c r="J192" s="1">
        <f>IF(F191=0,0,F192/F191)</f>
        <v>0.90909090909090906</v>
      </c>
      <c r="K192" s="1">
        <f>K191*J192</f>
        <v>0</v>
      </c>
      <c r="L192" s="1" t="str">
        <f t="shared" si="20"/>
        <v>中立</v>
      </c>
      <c r="M192" s="1" t="s">
        <v>1474</v>
      </c>
      <c r="N192" s="1"/>
      <c r="O192" s="1">
        <f t="shared" si="16"/>
        <v>0</v>
      </c>
      <c r="P192" s="1"/>
      <c r="Q192" s="1">
        <f t="shared" si="23"/>
        <v>1</v>
      </c>
      <c r="R192" s="1">
        <f>IF(Q192=1,COUNTIF($Q$5:Q192,1),"")</f>
        <v>149</v>
      </c>
    </row>
    <row r="193" spans="1:18">
      <c r="A193" s="1" t="s">
        <v>1896</v>
      </c>
      <c r="B193" s="1" t="s">
        <v>1893</v>
      </c>
      <c r="C193" s="1">
        <v>4</v>
      </c>
      <c r="D193" s="1" t="s">
        <v>1791</v>
      </c>
      <c r="E193" s="1" t="s">
        <v>444</v>
      </c>
      <c r="F193" s="1">
        <f>'01_入力仕様'!D94</f>
        <v>25000</v>
      </c>
      <c r="G193" s="1" t="s">
        <v>372</v>
      </c>
      <c r="H193" s="1">
        <f t="shared" si="21"/>
        <v>0</v>
      </c>
      <c r="I193" s="1" t="s">
        <v>1482</v>
      </c>
      <c r="J193" s="1">
        <f>1</f>
        <v>1</v>
      </c>
      <c r="K193" s="1">
        <f>K192*J193</f>
        <v>0</v>
      </c>
      <c r="L193" s="1" t="str">
        <f t="shared" si="20"/>
        <v>中立</v>
      </c>
      <c r="M193" s="1" t="s">
        <v>1474</v>
      </c>
      <c r="N193" s="1"/>
      <c r="O193" s="1">
        <f t="shared" si="16"/>
        <v>1</v>
      </c>
      <c r="P193" s="1"/>
      <c r="Q193" s="1">
        <f t="shared" si="23"/>
        <v>1</v>
      </c>
      <c r="R193" s="1">
        <f>IF(Q193=1,COUNTIF($Q$5:Q193,1),"")</f>
        <v>150</v>
      </c>
    </row>
    <row r="194" spans="1:18">
      <c r="A194" s="1" t="s">
        <v>1897</v>
      </c>
      <c r="B194" s="1" t="s">
        <v>1893</v>
      </c>
      <c r="C194" s="1">
        <v>4</v>
      </c>
      <c r="D194" s="1" t="s">
        <v>1898</v>
      </c>
      <c r="E194" s="1" t="s">
        <v>437</v>
      </c>
      <c r="F194" s="1">
        <f>F195*F196/(2*PI()*F197*F198)</f>
        <v>9.1448923883612649E-6</v>
      </c>
      <c r="G194" s="1" t="s">
        <v>741</v>
      </c>
      <c r="H194" s="1">
        <f t="shared" si="21"/>
        <v>0</v>
      </c>
      <c r="I194" s="1" t="s">
        <v>1899</v>
      </c>
      <c r="J194" s="1">
        <f>1</f>
        <v>1</v>
      </c>
      <c r="K194" s="1">
        <f>K192*J194</f>
        <v>0</v>
      </c>
      <c r="L194" s="1" t="str">
        <f t="shared" si="20"/>
        <v>中立</v>
      </c>
      <c r="M194" s="1" t="s">
        <v>1474</v>
      </c>
      <c r="N194" s="1"/>
      <c r="O194" s="1">
        <f t="shared" si="16"/>
        <v>0</v>
      </c>
      <c r="P194" s="1"/>
      <c r="Q194" s="1">
        <f t="shared" si="23"/>
        <v>1</v>
      </c>
      <c r="R194" s="1">
        <f>IF(Q194=1,COUNTIF($Q$5:Q194,1),"")</f>
        <v>151</v>
      </c>
    </row>
    <row r="195" spans="1:18">
      <c r="A195" s="1" t="s">
        <v>1900</v>
      </c>
      <c r="B195" s="1" t="s">
        <v>1897</v>
      </c>
      <c r="C195" s="1">
        <v>5</v>
      </c>
      <c r="D195" s="1" t="s">
        <v>435</v>
      </c>
      <c r="E195" s="1" t="s">
        <v>436</v>
      </c>
      <c r="F195" s="1">
        <f>'01_入力仕様'!D92</f>
        <v>0.18</v>
      </c>
      <c r="G195" s="1" t="s">
        <v>86</v>
      </c>
      <c r="H195" s="1">
        <f t="shared" si="21"/>
        <v>0</v>
      </c>
      <c r="I195" s="1" t="s">
        <v>1482</v>
      </c>
      <c r="J195" s="1">
        <f>1</f>
        <v>1</v>
      </c>
      <c r="K195" s="1">
        <f>K194*J195</f>
        <v>0</v>
      </c>
      <c r="L195" s="1" t="str">
        <f t="shared" si="20"/>
        <v>中立</v>
      </c>
      <c r="M195" s="1" t="s">
        <v>1474</v>
      </c>
      <c r="N195" s="1"/>
      <c r="O195" s="1">
        <f t="shared" si="16"/>
        <v>1</v>
      </c>
      <c r="P195" s="1"/>
      <c r="Q195" s="1">
        <f t="shared" si="23"/>
        <v>1</v>
      </c>
      <c r="R195" s="1">
        <f>IF(Q195=1,COUNTIF($Q$5:Q195,1),"")</f>
        <v>152</v>
      </c>
    </row>
    <row r="196" spans="1:18">
      <c r="A196" s="1" t="s">
        <v>1901</v>
      </c>
      <c r="B196" s="1" t="s">
        <v>1897</v>
      </c>
      <c r="C196" s="1">
        <v>5</v>
      </c>
      <c r="D196" s="1" t="s">
        <v>71</v>
      </c>
      <c r="E196" s="1" t="s">
        <v>72</v>
      </c>
      <c r="F196" s="1">
        <f>'01_入力仕様'!D6</f>
        <v>800</v>
      </c>
      <c r="G196" s="1" t="s">
        <v>73</v>
      </c>
      <c r="H196" s="1">
        <f t="shared" si="21"/>
        <v>0</v>
      </c>
      <c r="I196" s="1" t="s">
        <v>1482</v>
      </c>
      <c r="J196" s="1">
        <f>1</f>
        <v>1</v>
      </c>
      <c r="K196" s="1">
        <f>K194*J196</f>
        <v>0</v>
      </c>
      <c r="L196" s="1" t="str">
        <f t="shared" si="20"/>
        <v>中立</v>
      </c>
      <c r="M196" s="1" t="s">
        <v>1474</v>
      </c>
      <c r="N196" s="1"/>
      <c r="O196" s="1">
        <f t="shared" si="16"/>
        <v>1</v>
      </c>
      <c r="P196" s="1"/>
      <c r="Q196" s="1">
        <f t="shared" si="23"/>
        <v>0</v>
      </c>
      <c r="R196" s="1" t="str">
        <f>IF(Q196=1,COUNTIF($Q$5:Q196,1),"")</f>
        <v/>
      </c>
    </row>
    <row r="197" spans="1:18">
      <c r="A197" s="1" t="s">
        <v>1902</v>
      </c>
      <c r="B197" s="1" t="s">
        <v>1897</v>
      </c>
      <c r="C197" s="1">
        <v>5</v>
      </c>
      <c r="D197" s="1" t="s">
        <v>94</v>
      </c>
      <c r="E197" s="1" t="s">
        <v>95</v>
      </c>
      <c r="F197" s="1">
        <f>'01_入力仕様'!D10</f>
        <v>16000</v>
      </c>
      <c r="G197" s="1" t="s">
        <v>96</v>
      </c>
      <c r="H197" s="1">
        <f t="shared" si="21"/>
        <v>0</v>
      </c>
      <c r="I197" s="1" t="s">
        <v>1482</v>
      </c>
      <c r="J197" s="1">
        <f>-1</f>
        <v>-1</v>
      </c>
      <c r="K197" s="1">
        <f>K194*J197</f>
        <v>0</v>
      </c>
      <c r="L197" s="1" t="str">
        <f t="shared" si="20"/>
        <v>中立</v>
      </c>
      <c r="M197" s="1" t="s">
        <v>1474</v>
      </c>
      <c r="N197" s="1"/>
      <c r="O197" s="1">
        <f t="shared" ref="O197:O260" si="24">IF($A197="","",--(COUNTIF($B$5:$B$679,$A197)=0))</f>
        <v>1</v>
      </c>
      <c r="P197" s="1"/>
      <c r="Q197" s="1">
        <f t="shared" si="23"/>
        <v>0</v>
      </c>
      <c r="R197" s="1" t="str">
        <f>IF(Q197=1,COUNTIF($Q$5:Q197,1),"")</f>
        <v/>
      </c>
    </row>
    <row r="198" spans="1:18">
      <c r="A198" s="1" t="s">
        <v>1903</v>
      </c>
      <c r="B198" s="1" t="s">
        <v>1897</v>
      </c>
      <c r="C198" s="1">
        <v>5</v>
      </c>
      <c r="D198" s="1" t="s">
        <v>80</v>
      </c>
      <c r="E198" s="1" t="s">
        <v>1497</v>
      </c>
      <c r="F198" s="1">
        <f>'01_入力仕様'!D5*1000/(SQRT(3)*F199*F200*F201)</f>
        <v>156.63327975844433</v>
      </c>
      <c r="G198" s="1" t="s">
        <v>808</v>
      </c>
      <c r="H198" s="1">
        <f t="shared" si="21"/>
        <v>0</v>
      </c>
      <c r="I198" s="1" t="s">
        <v>1811</v>
      </c>
      <c r="J198" s="1">
        <f>-1</f>
        <v>-1</v>
      </c>
      <c r="K198" s="1">
        <f>K194*J198</f>
        <v>0</v>
      </c>
      <c r="L198" s="1" t="str">
        <f t="shared" ref="L198:L229" si="25">IF(K198&gt;0,"増加→総重量増",IF(K198&lt;0,"増加→総重量減","中立"))</f>
        <v>中立</v>
      </c>
      <c r="M198" s="1" t="s">
        <v>1474</v>
      </c>
      <c r="N198" s="1" t="s">
        <v>1691</v>
      </c>
      <c r="O198" s="1">
        <f t="shared" si="24"/>
        <v>0</v>
      </c>
      <c r="P198" s="1"/>
      <c r="Q198" s="1">
        <f t="shared" si="23"/>
        <v>0</v>
      </c>
      <c r="R198" s="1" t="str">
        <f>IF(Q198=1,COUNTIF($Q$5:Q198,1),"")</f>
        <v/>
      </c>
    </row>
    <row r="199" spans="1:18">
      <c r="A199" s="1" t="s">
        <v>1904</v>
      </c>
      <c r="B199" s="1" t="s">
        <v>1903</v>
      </c>
      <c r="C199" s="1">
        <v>6</v>
      </c>
      <c r="D199" s="1" t="s">
        <v>1813</v>
      </c>
      <c r="E199" s="1" t="s">
        <v>79</v>
      </c>
      <c r="F199" s="1">
        <f>'01_入力仕様'!D7</f>
        <v>400</v>
      </c>
      <c r="G199" s="1" t="s">
        <v>73</v>
      </c>
      <c r="H199" s="1">
        <f t="shared" si="21"/>
        <v>0</v>
      </c>
      <c r="I199" s="1" t="s">
        <v>1482</v>
      </c>
      <c r="J199" s="1">
        <f>-1</f>
        <v>-1</v>
      </c>
      <c r="K199" s="1">
        <f>K198*J199</f>
        <v>0</v>
      </c>
      <c r="L199" s="1" t="str">
        <f t="shared" si="25"/>
        <v>中立</v>
      </c>
      <c r="M199" s="1" t="s">
        <v>1474</v>
      </c>
      <c r="N199" s="1"/>
      <c r="O199" s="1">
        <f t="shared" si="24"/>
        <v>1</v>
      </c>
      <c r="P199" s="1"/>
      <c r="Q199" s="1">
        <f t="shared" si="23"/>
        <v>0</v>
      </c>
      <c r="R199" s="1" t="str">
        <f>IF(Q199=1,COUNTIF($Q$5:Q199,1),"")</f>
        <v/>
      </c>
    </row>
    <row r="200" spans="1:18">
      <c r="A200" s="1" t="s">
        <v>1905</v>
      </c>
      <c r="B200" s="1" t="s">
        <v>1903</v>
      </c>
      <c r="C200" s="1">
        <v>6</v>
      </c>
      <c r="D200" s="1" t="s">
        <v>84</v>
      </c>
      <c r="E200" s="1" t="s">
        <v>85</v>
      </c>
      <c r="F200" s="1">
        <f>'01_入力仕様'!D8</f>
        <v>0.95</v>
      </c>
      <c r="G200" s="1" t="s">
        <v>86</v>
      </c>
      <c r="H200" s="1">
        <f t="shared" si="21"/>
        <v>0</v>
      </c>
      <c r="I200" s="1" t="s">
        <v>1482</v>
      </c>
      <c r="J200" s="1">
        <f>-1</f>
        <v>-1</v>
      </c>
      <c r="K200" s="1">
        <f>K198*J200</f>
        <v>0</v>
      </c>
      <c r="L200" s="1" t="str">
        <f t="shared" si="25"/>
        <v>中立</v>
      </c>
      <c r="M200" s="1" t="s">
        <v>1474</v>
      </c>
      <c r="N200" s="1"/>
      <c r="O200" s="1">
        <f t="shared" si="24"/>
        <v>1</v>
      </c>
      <c r="P200" s="1"/>
      <c r="Q200" s="1">
        <f t="shared" si="23"/>
        <v>0</v>
      </c>
      <c r="R200" s="1" t="str">
        <f>IF(Q200=1,COUNTIF($Q$5:Q200,1),"")</f>
        <v/>
      </c>
    </row>
    <row r="201" spans="1:18">
      <c r="A201" s="1" t="s">
        <v>1906</v>
      </c>
      <c r="B201" s="1" t="s">
        <v>1903</v>
      </c>
      <c r="C201" s="1">
        <v>6</v>
      </c>
      <c r="D201" s="1" t="s">
        <v>1504</v>
      </c>
      <c r="E201" s="1" t="s">
        <v>90</v>
      </c>
      <c r="F201" s="1">
        <f>'01_入力仕様'!D9</f>
        <v>0.97</v>
      </c>
      <c r="G201" s="1" t="s">
        <v>86</v>
      </c>
      <c r="H201" s="1">
        <f t="shared" si="21"/>
        <v>0</v>
      </c>
      <c r="I201" s="1" t="s">
        <v>1482</v>
      </c>
      <c r="J201" s="1">
        <f>-1</f>
        <v>-1</v>
      </c>
      <c r="K201" s="1">
        <f>K198*J201</f>
        <v>0</v>
      </c>
      <c r="L201" s="1" t="str">
        <f t="shared" si="25"/>
        <v>中立</v>
      </c>
      <c r="M201" s="1" t="s">
        <v>1474</v>
      </c>
      <c r="N201" s="1"/>
      <c r="O201" s="1">
        <f t="shared" si="24"/>
        <v>1</v>
      </c>
      <c r="P201" s="1"/>
      <c r="Q201" s="1">
        <f t="shared" si="23"/>
        <v>0</v>
      </c>
      <c r="R201" s="1" t="str">
        <f>IF(Q201=1,COUNTIF($Q$5:Q201,1),"")</f>
        <v/>
      </c>
    </row>
    <row r="202" spans="1:18">
      <c r="A202" s="1" t="s">
        <v>1907</v>
      </c>
      <c r="B202" s="1" t="s">
        <v>1893</v>
      </c>
      <c r="C202" s="1">
        <v>4</v>
      </c>
      <c r="D202" s="1" t="s">
        <v>80</v>
      </c>
      <c r="E202" s="1" t="s">
        <v>1497</v>
      </c>
      <c r="F202" s="1">
        <f>'01_入力仕様'!D5*1000/(SQRT(3)*F203*F204*F205)</f>
        <v>156.63327975844433</v>
      </c>
      <c r="G202" s="1" t="s">
        <v>808</v>
      </c>
      <c r="H202" s="1">
        <f t="shared" si="21"/>
        <v>0</v>
      </c>
      <c r="I202" s="1" t="s">
        <v>1811</v>
      </c>
      <c r="J202" s="1">
        <f>2</f>
        <v>2</v>
      </c>
      <c r="K202" s="1">
        <f>K192*J202</f>
        <v>0</v>
      </c>
      <c r="L202" s="1" t="str">
        <f t="shared" si="25"/>
        <v>中立</v>
      </c>
      <c r="M202" s="1" t="s">
        <v>1474</v>
      </c>
      <c r="N202" s="1" t="s">
        <v>1691</v>
      </c>
      <c r="O202" s="1">
        <f t="shared" si="24"/>
        <v>0</v>
      </c>
      <c r="P202" s="1"/>
      <c r="Q202" s="1">
        <f t="shared" si="23"/>
        <v>0</v>
      </c>
      <c r="R202" s="1" t="str">
        <f>IF(Q202=1,COUNTIF($Q$5:Q202,1),"")</f>
        <v/>
      </c>
    </row>
    <row r="203" spans="1:18">
      <c r="A203" s="1" t="s">
        <v>1908</v>
      </c>
      <c r="B203" s="1" t="s">
        <v>1907</v>
      </c>
      <c r="C203" s="1">
        <v>5</v>
      </c>
      <c r="D203" s="1" t="s">
        <v>1813</v>
      </c>
      <c r="E203" s="1" t="s">
        <v>79</v>
      </c>
      <c r="F203" s="1">
        <f>'01_入力仕様'!D7</f>
        <v>400</v>
      </c>
      <c r="G203" s="1" t="s">
        <v>73</v>
      </c>
      <c r="H203" s="1">
        <f t="shared" si="21"/>
        <v>0</v>
      </c>
      <c r="I203" s="1" t="s">
        <v>1482</v>
      </c>
      <c r="J203" s="1">
        <f>-1</f>
        <v>-1</v>
      </c>
      <c r="K203" s="1">
        <f>K202*J203</f>
        <v>0</v>
      </c>
      <c r="L203" s="1" t="str">
        <f t="shared" si="25"/>
        <v>中立</v>
      </c>
      <c r="M203" s="1" t="s">
        <v>1474</v>
      </c>
      <c r="N203" s="1"/>
      <c r="O203" s="1">
        <f t="shared" si="24"/>
        <v>1</v>
      </c>
      <c r="P203" s="1"/>
      <c r="Q203" s="1">
        <f t="shared" si="23"/>
        <v>0</v>
      </c>
      <c r="R203" s="1" t="str">
        <f>IF(Q203=1,COUNTIF($Q$5:Q203,1),"")</f>
        <v/>
      </c>
    </row>
    <row r="204" spans="1:18">
      <c r="A204" s="1" t="s">
        <v>1909</v>
      </c>
      <c r="B204" s="1" t="s">
        <v>1907</v>
      </c>
      <c r="C204" s="1">
        <v>5</v>
      </c>
      <c r="D204" s="1" t="s">
        <v>84</v>
      </c>
      <c r="E204" s="1" t="s">
        <v>85</v>
      </c>
      <c r="F204" s="1">
        <f>'01_入力仕様'!D8</f>
        <v>0.95</v>
      </c>
      <c r="G204" s="1" t="s">
        <v>86</v>
      </c>
      <c r="H204" s="1">
        <f t="shared" si="21"/>
        <v>0</v>
      </c>
      <c r="I204" s="1" t="s">
        <v>1482</v>
      </c>
      <c r="J204" s="1">
        <f>-1</f>
        <v>-1</v>
      </c>
      <c r="K204" s="1">
        <f>K202*J204</f>
        <v>0</v>
      </c>
      <c r="L204" s="1" t="str">
        <f t="shared" si="25"/>
        <v>中立</v>
      </c>
      <c r="M204" s="1" t="s">
        <v>1474</v>
      </c>
      <c r="N204" s="1"/>
      <c r="O204" s="1">
        <f t="shared" si="24"/>
        <v>1</v>
      </c>
      <c r="P204" s="1"/>
      <c r="Q204" s="1">
        <f t="shared" si="23"/>
        <v>0</v>
      </c>
      <c r="R204" s="1" t="str">
        <f>IF(Q204=1,COUNTIF($Q$5:Q204,1),"")</f>
        <v/>
      </c>
    </row>
    <row r="205" spans="1:18">
      <c r="A205" s="1" t="s">
        <v>1910</v>
      </c>
      <c r="B205" s="1" t="s">
        <v>1907</v>
      </c>
      <c r="C205" s="1">
        <v>5</v>
      </c>
      <c r="D205" s="1" t="s">
        <v>1504</v>
      </c>
      <c r="E205" s="1" t="s">
        <v>90</v>
      </c>
      <c r="F205" s="1">
        <f>'01_入力仕様'!D9</f>
        <v>0.97</v>
      </c>
      <c r="G205" s="1" t="s">
        <v>86</v>
      </c>
      <c r="H205" s="1">
        <f t="shared" ref="H205:H236" si="26">ABS(K205)*$F$5</f>
        <v>0</v>
      </c>
      <c r="I205" s="1" t="s">
        <v>1482</v>
      </c>
      <c r="J205" s="1">
        <f>-1</f>
        <v>-1</v>
      </c>
      <c r="K205" s="1">
        <f>K202*J205</f>
        <v>0</v>
      </c>
      <c r="L205" s="1" t="str">
        <f t="shared" si="25"/>
        <v>中立</v>
      </c>
      <c r="M205" s="1" t="s">
        <v>1474</v>
      </c>
      <c r="N205" s="1"/>
      <c r="O205" s="1">
        <f t="shared" si="24"/>
        <v>1</v>
      </c>
      <c r="P205" s="1"/>
      <c r="Q205" s="1">
        <f t="shared" si="23"/>
        <v>0</v>
      </c>
      <c r="R205" s="1" t="str">
        <f>IF(Q205=1,COUNTIF($Q$5:Q205,1),"")</f>
        <v/>
      </c>
    </row>
    <row r="206" spans="1:18">
      <c r="A206" s="1" t="s">
        <v>1911</v>
      </c>
      <c r="B206" s="1" t="s">
        <v>1889</v>
      </c>
      <c r="C206" s="1">
        <v>3</v>
      </c>
      <c r="D206" s="1" t="s">
        <v>1912</v>
      </c>
      <c r="E206" s="1" t="s">
        <v>448</v>
      </c>
      <c r="F206" s="1">
        <f>F207*F208*(F216/1000)^2</f>
        <v>5.6090161634067299E-4</v>
      </c>
      <c r="G206" s="1" t="s">
        <v>229</v>
      </c>
      <c r="H206" s="1">
        <f t="shared" si="26"/>
        <v>0</v>
      </c>
      <c r="I206" s="1" t="s">
        <v>1913</v>
      </c>
      <c r="J206" s="1">
        <f>IF(F191=0,0,F206/F191)</f>
        <v>9.0909090909090925E-2</v>
      </c>
      <c r="K206" s="1">
        <f>K191*J206</f>
        <v>0</v>
      </c>
      <c r="L206" s="1" t="str">
        <f t="shared" si="25"/>
        <v>中立</v>
      </c>
      <c r="M206" s="1" t="s">
        <v>1474</v>
      </c>
      <c r="N206" s="1"/>
      <c r="O206" s="1">
        <f t="shared" si="24"/>
        <v>0</v>
      </c>
      <c r="P206" s="1"/>
      <c r="Q206" s="1">
        <f t="shared" si="23"/>
        <v>1</v>
      </c>
      <c r="R206" s="1">
        <f>IF(Q206=1,COUNTIF($Q$5:Q206,1),"")</f>
        <v>153</v>
      </c>
    </row>
    <row r="207" spans="1:18">
      <c r="A207" s="1" t="s">
        <v>1914</v>
      </c>
      <c r="B207" s="1" t="s">
        <v>1911</v>
      </c>
      <c r="C207" s="1">
        <v>4</v>
      </c>
      <c r="D207" s="1" t="s">
        <v>1824</v>
      </c>
      <c r="E207" s="1" t="s">
        <v>447</v>
      </c>
      <c r="F207" s="1">
        <f>'01_入力仕様'!D95</f>
        <v>2500</v>
      </c>
      <c r="G207" s="1" t="s">
        <v>385</v>
      </c>
      <c r="H207" s="1">
        <f t="shared" si="26"/>
        <v>0</v>
      </c>
      <c r="I207" s="1" t="s">
        <v>1482</v>
      </c>
      <c r="J207" s="1">
        <f>1</f>
        <v>1</v>
      </c>
      <c r="K207" s="1">
        <f>K206*J207</f>
        <v>0</v>
      </c>
      <c r="L207" s="1" t="str">
        <f t="shared" si="25"/>
        <v>中立</v>
      </c>
      <c r="M207" s="1" t="s">
        <v>1474</v>
      </c>
      <c r="N207" s="1"/>
      <c r="O207" s="1">
        <f t="shared" si="24"/>
        <v>1</v>
      </c>
      <c r="P207" s="1"/>
      <c r="Q207" s="1">
        <f t="shared" si="23"/>
        <v>1</v>
      </c>
      <c r="R207" s="1">
        <f>IF(Q207=1,COUNTIF($Q$5:Q207,1),"")</f>
        <v>154</v>
      </c>
    </row>
    <row r="208" spans="1:18">
      <c r="A208" s="1" t="s">
        <v>1915</v>
      </c>
      <c r="B208" s="1" t="s">
        <v>1911</v>
      </c>
      <c r="C208" s="1">
        <v>4</v>
      </c>
      <c r="D208" s="1" t="s">
        <v>1916</v>
      </c>
      <c r="E208" s="1" t="s">
        <v>441</v>
      </c>
      <c r="F208" s="1">
        <f>F209*F210/(2*PI()*F214*F215)</f>
        <v>3.5056351021292059E-7</v>
      </c>
      <c r="G208" s="1" t="s">
        <v>762</v>
      </c>
      <c r="H208" s="1">
        <f t="shared" si="26"/>
        <v>0</v>
      </c>
      <c r="I208" s="1" t="s">
        <v>1917</v>
      </c>
      <c r="J208" s="1">
        <f>1</f>
        <v>1</v>
      </c>
      <c r="K208" s="1">
        <f>K206*J208</f>
        <v>0</v>
      </c>
      <c r="L208" s="1" t="str">
        <f t="shared" si="25"/>
        <v>中立</v>
      </c>
      <c r="M208" s="1" t="s">
        <v>1474</v>
      </c>
      <c r="N208" s="1"/>
      <c r="O208" s="1">
        <f t="shared" si="24"/>
        <v>0</v>
      </c>
      <c r="P208" s="1"/>
      <c r="Q208" s="1">
        <f t="shared" si="23"/>
        <v>1</v>
      </c>
      <c r="R208" s="1">
        <f>IF(Q208=1,COUNTIF($Q$5:Q208,1),"")</f>
        <v>155</v>
      </c>
    </row>
    <row r="209" spans="1:18">
      <c r="A209" s="1" t="s">
        <v>1918</v>
      </c>
      <c r="B209" s="1" t="s">
        <v>1915</v>
      </c>
      <c r="C209" s="1">
        <v>5</v>
      </c>
      <c r="D209" s="1" t="s">
        <v>439</v>
      </c>
      <c r="E209" s="1" t="s">
        <v>440</v>
      </c>
      <c r="F209" s="1">
        <f>'01_入力仕様'!D93</f>
        <v>0.18</v>
      </c>
      <c r="G209" s="1" t="s">
        <v>86</v>
      </c>
      <c r="H209" s="1">
        <f t="shared" si="26"/>
        <v>0</v>
      </c>
      <c r="I209" s="1" t="s">
        <v>1482</v>
      </c>
      <c r="J209" s="1">
        <f>1</f>
        <v>1</v>
      </c>
      <c r="K209" s="1">
        <f>K208*J209</f>
        <v>0</v>
      </c>
      <c r="L209" s="1" t="str">
        <f t="shared" si="25"/>
        <v>中立</v>
      </c>
      <c r="M209" s="1" t="s">
        <v>1474</v>
      </c>
      <c r="N209" s="1"/>
      <c r="O209" s="1">
        <f t="shared" si="24"/>
        <v>1</v>
      </c>
      <c r="P209" s="1"/>
      <c r="Q209" s="1">
        <f t="shared" si="23"/>
        <v>1</v>
      </c>
      <c r="R209" s="1">
        <f>IF(Q209=1,COUNTIF($Q$5:Q209,1),"")</f>
        <v>156</v>
      </c>
    </row>
    <row r="210" spans="1:18">
      <c r="A210" s="1" t="s">
        <v>1919</v>
      </c>
      <c r="B210" s="1" t="s">
        <v>1915</v>
      </c>
      <c r="C210" s="1">
        <v>5</v>
      </c>
      <c r="D210" s="1" t="s">
        <v>80</v>
      </c>
      <c r="E210" s="1" t="s">
        <v>1497</v>
      </c>
      <c r="F210" s="1">
        <f>'01_入力仕様'!D5*1000/(SQRT(3)*F211*F212*F213)</f>
        <v>156.63327975844433</v>
      </c>
      <c r="G210" s="1" t="s">
        <v>808</v>
      </c>
      <c r="H210" s="1">
        <f t="shared" si="26"/>
        <v>0</v>
      </c>
      <c r="I210" s="1" t="s">
        <v>1811</v>
      </c>
      <c r="J210" s="1">
        <f>1</f>
        <v>1</v>
      </c>
      <c r="K210" s="1">
        <f>K208*J210</f>
        <v>0</v>
      </c>
      <c r="L210" s="1" t="str">
        <f t="shared" si="25"/>
        <v>中立</v>
      </c>
      <c r="M210" s="1" t="s">
        <v>1474</v>
      </c>
      <c r="N210" s="1" t="s">
        <v>1691</v>
      </c>
      <c r="O210" s="1">
        <f t="shared" si="24"/>
        <v>0</v>
      </c>
      <c r="P210" s="1"/>
      <c r="Q210" s="1">
        <f t="shared" si="23"/>
        <v>0</v>
      </c>
      <c r="R210" s="1" t="str">
        <f>IF(Q210=1,COUNTIF($Q$5:Q210,1),"")</f>
        <v/>
      </c>
    </row>
    <row r="211" spans="1:18">
      <c r="A211" s="1" t="s">
        <v>1920</v>
      </c>
      <c r="B211" s="1" t="s">
        <v>1919</v>
      </c>
      <c r="C211" s="1">
        <v>6</v>
      </c>
      <c r="D211" s="1" t="s">
        <v>1813</v>
      </c>
      <c r="E211" s="1" t="s">
        <v>79</v>
      </c>
      <c r="F211" s="1">
        <f>'01_入力仕様'!D7</f>
        <v>400</v>
      </c>
      <c r="G211" s="1" t="s">
        <v>73</v>
      </c>
      <c r="H211" s="1">
        <f t="shared" si="26"/>
        <v>0</v>
      </c>
      <c r="I211" s="1" t="s">
        <v>1482</v>
      </c>
      <c r="J211" s="1">
        <f>-1</f>
        <v>-1</v>
      </c>
      <c r="K211" s="1">
        <f>K210*J211</f>
        <v>0</v>
      </c>
      <c r="L211" s="1" t="str">
        <f t="shared" si="25"/>
        <v>中立</v>
      </c>
      <c r="M211" s="1" t="s">
        <v>1474</v>
      </c>
      <c r="N211" s="1"/>
      <c r="O211" s="1">
        <f t="shared" si="24"/>
        <v>1</v>
      </c>
      <c r="P211" s="1"/>
      <c r="Q211" s="1">
        <f t="shared" si="23"/>
        <v>0</v>
      </c>
      <c r="R211" s="1" t="str">
        <f>IF(Q211=1,COUNTIF($Q$5:Q211,1),"")</f>
        <v/>
      </c>
    </row>
    <row r="212" spans="1:18">
      <c r="A212" s="1" t="s">
        <v>1921</v>
      </c>
      <c r="B212" s="1" t="s">
        <v>1919</v>
      </c>
      <c r="C212" s="1">
        <v>6</v>
      </c>
      <c r="D212" s="1" t="s">
        <v>84</v>
      </c>
      <c r="E212" s="1" t="s">
        <v>85</v>
      </c>
      <c r="F212" s="1">
        <f>'01_入力仕様'!D8</f>
        <v>0.95</v>
      </c>
      <c r="G212" s="1" t="s">
        <v>86</v>
      </c>
      <c r="H212" s="1">
        <f t="shared" si="26"/>
        <v>0</v>
      </c>
      <c r="I212" s="1" t="s">
        <v>1482</v>
      </c>
      <c r="J212" s="1">
        <f>-1</f>
        <v>-1</v>
      </c>
      <c r="K212" s="1">
        <f>K210*J212</f>
        <v>0</v>
      </c>
      <c r="L212" s="1" t="str">
        <f t="shared" si="25"/>
        <v>中立</v>
      </c>
      <c r="M212" s="1" t="s">
        <v>1474</v>
      </c>
      <c r="N212" s="1"/>
      <c r="O212" s="1">
        <f t="shared" si="24"/>
        <v>1</v>
      </c>
      <c r="P212" s="1"/>
      <c r="Q212" s="1">
        <f t="shared" si="23"/>
        <v>0</v>
      </c>
      <c r="R212" s="1" t="str">
        <f>IF(Q212=1,COUNTIF($Q$5:Q212,1),"")</f>
        <v/>
      </c>
    </row>
    <row r="213" spans="1:18">
      <c r="A213" s="1" t="s">
        <v>1922</v>
      </c>
      <c r="B213" s="1" t="s">
        <v>1919</v>
      </c>
      <c r="C213" s="1">
        <v>6</v>
      </c>
      <c r="D213" s="1" t="s">
        <v>1504</v>
      </c>
      <c r="E213" s="1" t="s">
        <v>90</v>
      </c>
      <c r="F213" s="1">
        <f>'01_入力仕様'!D9</f>
        <v>0.97</v>
      </c>
      <c r="G213" s="1" t="s">
        <v>86</v>
      </c>
      <c r="H213" s="1">
        <f t="shared" si="26"/>
        <v>0</v>
      </c>
      <c r="I213" s="1" t="s">
        <v>1482</v>
      </c>
      <c r="J213" s="1">
        <f>-1</f>
        <v>-1</v>
      </c>
      <c r="K213" s="1">
        <f>K210*J213</f>
        <v>0</v>
      </c>
      <c r="L213" s="1" t="str">
        <f t="shared" si="25"/>
        <v>中立</v>
      </c>
      <c r="M213" s="1" t="s">
        <v>1474</v>
      </c>
      <c r="N213" s="1"/>
      <c r="O213" s="1">
        <f t="shared" si="24"/>
        <v>1</v>
      </c>
      <c r="P213" s="1"/>
      <c r="Q213" s="1">
        <f t="shared" si="23"/>
        <v>0</v>
      </c>
      <c r="R213" s="1" t="str">
        <f>IF(Q213=1,COUNTIF($Q$5:Q213,1),"")</f>
        <v/>
      </c>
    </row>
    <row r="214" spans="1:18">
      <c r="A214" s="1" t="s">
        <v>1923</v>
      </c>
      <c r="B214" s="1" t="s">
        <v>1915</v>
      </c>
      <c r="C214" s="1">
        <v>5</v>
      </c>
      <c r="D214" s="1" t="s">
        <v>94</v>
      </c>
      <c r="E214" s="1" t="s">
        <v>95</v>
      </c>
      <c r="F214" s="1">
        <f>'01_入力仕様'!D10</f>
        <v>16000</v>
      </c>
      <c r="G214" s="1" t="s">
        <v>96</v>
      </c>
      <c r="H214" s="1">
        <f t="shared" si="26"/>
        <v>0</v>
      </c>
      <c r="I214" s="1" t="s">
        <v>1482</v>
      </c>
      <c r="J214" s="1">
        <f>-1</f>
        <v>-1</v>
      </c>
      <c r="K214" s="1">
        <f>K208*J214</f>
        <v>0</v>
      </c>
      <c r="L214" s="1" t="str">
        <f t="shared" si="25"/>
        <v>中立</v>
      </c>
      <c r="M214" s="1" t="s">
        <v>1474</v>
      </c>
      <c r="N214" s="1"/>
      <c r="O214" s="1">
        <f t="shared" si="24"/>
        <v>1</v>
      </c>
      <c r="P214" s="1"/>
      <c r="Q214" s="1">
        <f t="shared" si="23"/>
        <v>0</v>
      </c>
      <c r="R214" s="1" t="str">
        <f>IF(Q214=1,COUNTIF($Q$5:Q214,1),"")</f>
        <v/>
      </c>
    </row>
    <row r="215" spans="1:18">
      <c r="A215" s="1" t="s">
        <v>1924</v>
      </c>
      <c r="B215" s="1" t="s">
        <v>1915</v>
      </c>
      <c r="C215" s="1">
        <v>5</v>
      </c>
      <c r="D215" s="1" t="s">
        <v>71</v>
      </c>
      <c r="E215" s="1" t="s">
        <v>72</v>
      </c>
      <c r="F215" s="1">
        <f>'01_入力仕様'!D6</f>
        <v>800</v>
      </c>
      <c r="G215" s="1" t="s">
        <v>73</v>
      </c>
      <c r="H215" s="1">
        <f t="shared" si="26"/>
        <v>0</v>
      </c>
      <c r="I215" s="1" t="s">
        <v>1482</v>
      </c>
      <c r="J215" s="1">
        <f>-1</f>
        <v>-1</v>
      </c>
      <c r="K215" s="1">
        <f>K208*J215</f>
        <v>0</v>
      </c>
      <c r="L215" s="1" t="str">
        <f t="shared" si="25"/>
        <v>中立</v>
      </c>
      <c r="M215" s="1" t="s">
        <v>1474</v>
      </c>
      <c r="N215" s="1"/>
      <c r="O215" s="1">
        <f t="shared" si="24"/>
        <v>1</v>
      </c>
      <c r="P215" s="1"/>
      <c r="Q215" s="1">
        <f t="shared" si="23"/>
        <v>0</v>
      </c>
      <c r="R215" s="1" t="str">
        <f>IF(Q215=1,COUNTIF($Q$5:Q215,1),"")</f>
        <v/>
      </c>
    </row>
    <row r="216" spans="1:18">
      <c r="A216" s="1" t="s">
        <v>1925</v>
      </c>
      <c r="B216" s="1" t="s">
        <v>1911</v>
      </c>
      <c r="C216" s="1">
        <v>4</v>
      </c>
      <c r="D216" s="1" t="s">
        <v>71</v>
      </c>
      <c r="E216" s="1" t="s">
        <v>72</v>
      </c>
      <c r="F216" s="1">
        <f>'01_入力仕様'!D6</f>
        <v>800</v>
      </c>
      <c r="G216" s="1" t="s">
        <v>73</v>
      </c>
      <c r="H216" s="1">
        <f t="shared" si="26"/>
        <v>0</v>
      </c>
      <c r="I216" s="1" t="s">
        <v>1482</v>
      </c>
      <c r="J216" s="1">
        <f>2</f>
        <v>2</v>
      </c>
      <c r="K216" s="1">
        <f>K206*J216</f>
        <v>0</v>
      </c>
      <c r="L216" s="1" t="str">
        <f t="shared" si="25"/>
        <v>中立</v>
      </c>
      <c r="M216" s="1" t="s">
        <v>1474</v>
      </c>
      <c r="N216" s="1"/>
      <c r="O216" s="1">
        <f t="shared" si="24"/>
        <v>1</v>
      </c>
      <c r="P216" s="1"/>
      <c r="Q216" s="1">
        <f t="shared" si="23"/>
        <v>0</v>
      </c>
      <c r="R216" s="1" t="str">
        <f>IF(Q216=1,COUNTIF($Q$5:Q216,1),"")</f>
        <v/>
      </c>
    </row>
    <row r="217" spans="1:18">
      <c r="A217" s="1" t="s">
        <v>1926</v>
      </c>
      <c r="B217" s="1" t="s">
        <v>1878</v>
      </c>
      <c r="C217" s="1">
        <v>2</v>
      </c>
      <c r="D217" s="1" t="s">
        <v>449</v>
      </c>
      <c r="E217" s="1" t="s">
        <v>450</v>
      </c>
      <c r="F217" s="1">
        <f>'01_入力仕様'!D96</f>
        <v>0.08</v>
      </c>
      <c r="G217" s="1" t="s">
        <v>229</v>
      </c>
      <c r="H217" s="1">
        <f t="shared" si="26"/>
        <v>0</v>
      </c>
      <c r="I217" s="1" t="s">
        <v>1482</v>
      </c>
      <c r="J217" s="1">
        <f>IF((F188+F191+'01_入力仕様'!D96)=0,0,'01_入力仕様'!D96/(F188+F191+'01_入力仕様'!D96))</f>
        <v>0.45410704056760853</v>
      </c>
      <c r="K217" s="1">
        <f>K186*J217</f>
        <v>0</v>
      </c>
      <c r="L217" s="1" t="str">
        <f t="shared" si="25"/>
        <v>中立</v>
      </c>
      <c r="M217" s="1" t="s">
        <v>1474</v>
      </c>
      <c r="N217" s="1"/>
      <c r="O217" s="1">
        <f t="shared" si="24"/>
        <v>1</v>
      </c>
      <c r="P217" s="1"/>
      <c r="Q217" s="1">
        <f t="shared" si="23"/>
        <v>1</v>
      </c>
      <c r="R217" s="1">
        <f>IF(Q217=1,COUNTIF($Q$5:Q217,1),"")</f>
        <v>157</v>
      </c>
    </row>
    <row r="218" spans="1:18">
      <c r="A218" s="1" t="s">
        <v>1927</v>
      </c>
      <c r="B218" s="1" t="s">
        <v>1529</v>
      </c>
      <c r="C218" s="1">
        <v>5</v>
      </c>
      <c r="D218" s="1" t="s">
        <v>454</v>
      </c>
      <c r="E218" s="1" t="s">
        <v>455</v>
      </c>
      <c r="F218" s="1">
        <f>'01_入力仕様'!D97</f>
        <v>7.0000000000000007E-2</v>
      </c>
      <c r="G218" s="1" t="s">
        <v>262</v>
      </c>
      <c r="H218" s="1">
        <f t="shared" si="26"/>
        <v>0.16176384000000008</v>
      </c>
      <c r="I218" s="1" t="s">
        <v>1482</v>
      </c>
      <c r="J218" s="1">
        <f>1</f>
        <v>1</v>
      </c>
      <c r="K218" s="1">
        <f>K26*J218</f>
        <v>1.3005535289382622E-2</v>
      </c>
      <c r="L218" s="1" t="str">
        <f t="shared" si="25"/>
        <v>増加→総重量増</v>
      </c>
      <c r="M218" s="1" t="s">
        <v>1474</v>
      </c>
      <c r="N218" s="1"/>
      <c r="O218" s="1">
        <f t="shared" si="24"/>
        <v>1</v>
      </c>
      <c r="P218" s="1"/>
      <c r="Q218" s="1">
        <f t="shared" si="23"/>
        <v>1</v>
      </c>
      <c r="R218" s="1">
        <f>IF(Q218=1,COUNTIF($Q$5:Q218,1),"")</f>
        <v>158</v>
      </c>
    </row>
    <row r="219" spans="1:18">
      <c r="A219" s="1" t="s">
        <v>1928</v>
      </c>
      <c r="B219" s="1" t="s">
        <v>1529</v>
      </c>
      <c r="C219" s="1">
        <v>5</v>
      </c>
      <c r="D219" s="1" t="s">
        <v>457</v>
      </c>
      <c r="E219" s="1" t="s">
        <v>458</v>
      </c>
      <c r="F219" s="1">
        <f>'01_入力仕様'!D98</f>
        <v>0.06</v>
      </c>
      <c r="G219" s="1" t="s">
        <v>262</v>
      </c>
      <c r="H219" s="1">
        <f t="shared" si="26"/>
        <v>0.16176384000000008</v>
      </c>
      <c r="I219" s="1" t="s">
        <v>1482</v>
      </c>
      <c r="J219" s="1">
        <f>1</f>
        <v>1</v>
      </c>
      <c r="K219" s="1">
        <f>K26*J219</f>
        <v>1.3005535289382622E-2</v>
      </c>
      <c r="L219" s="1" t="str">
        <f t="shared" si="25"/>
        <v>増加→総重量増</v>
      </c>
      <c r="M219" s="1" t="s">
        <v>1474</v>
      </c>
      <c r="N219" s="1"/>
      <c r="O219" s="1">
        <f t="shared" si="24"/>
        <v>1</v>
      </c>
      <c r="P219" s="1"/>
      <c r="Q219" s="1">
        <f t="shared" si="23"/>
        <v>1</v>
      </c>
      <c r="R219" s="1">
        <f>IF(Q219=1,COUNTIF($Q$5:Q219,1),"")</f>
        <v>159</v>
      </c>
    </row>
    <row r="220" spans="1:18">
      <c r="A220" s="1" t="s">
        <v>1929</v>
      </c>
      <c r="B220" s="1" t="s">
        <v>1531</v>
      </c>
      <c r="C220" s="1">
        <v>5</v>
      </c>
      <c r="D220" s="1" t="s">
        <v>460</v>
      </c>
      <c r="E220" s="1" t="s">
        <v>461</v>
      </c>
      <c r="F220" s="1">
        <f>'01_入力仕様'!D99</f>
        <v>0.3</v>
      </c>
      <c r="G220" s="1" t="s">
        <v>173</v>
      </c>
      <c r="H220" s="1">
        <f t="shared" si="26"/>
        <v>5.2749078260869588E-2</v>
      </c>
      <c r="I220" s="1" t="s">
        <v>1482</v>
      </c>
      <c r="J220" s="1">
        <f>'01_入力仕様'!D99/F27</f>
        <v>0.32608695652173914</v>
      </c>
      <c r="K220" s="1">
        <f>K27*J220</f>
        <v>4.2409354204508551E-3</v>
      </c>
      <c r="L220" s="1" t="str">
        <f t="shared" si="25"/>
        <v>増加→総重量増</v>
      </c>
      <c r="M220" s="1" t="s">
        <v>1474</v>
      </c>
      <c r="N220" s="1"/>
      <c r="O220" s="1">
        <f t="shared" si="24"/>
        <v>1</v>
      </c>
      <c r="P220" s="1"/>
      <c r="Q220" s="1">
        <f t="shared" si="23"/>
        <v>1</v>
      </c>
      <c r="R220" s="1">
        <f>IF(Q220=1,COUNTIF($Q$5:Q220,1),"")</f>
        <v>160</v>
      </c>
    </row>
    <row r="221" spans="1:18">
      <c r="A221" s="1" t="s">
        <v>1930</v>
      </c>
      <c r="B221" s="1" t="s">
        <v>1531</v>
      </c>
      <c r="C221" s="1">
        <v>5</v>
      </c>
      <c r="D221" s="1" t="s">
        <v>464</v>
      </c>
      <c r="E221" s="1" t="s">
        <v>465</v>
      </c>
      <c r="F221" s="1">
        <f>'01_入力仕様'!D100</f>
        <v>0.32</v>
      </c>
      <c r="G221" s="1" t="s">
        <v>173</v>
      </c>
      <c r="H221" s="1">
        <f t="shared" si="26"/>
        <v>5.6265683478260907E-2</v>
      </c>
      <c r="I221" s="1" t="s">
        <v>1482</v>
      </c>
      <c r="J221" s="1">
        <f>'01_入力仕様'!D100/F27</f>
        <v>0.34782608695652178</v>
      </c>
      <c r="K221" s="1">
        <f>K27*J221</f>
        <v>4.5236644484809132E-3</v>
      </c>
      <c r="L221" s="1" t="str">
        <f t="shared" si="25"/>
        <v>増加→総重量増</v>
      </c>
      <c r="M221" s="1" t="s">
        <v>1474</v>
      </c>
      <c r="N221" s="1"/>
      <c r="O221" s="1">
        <f t="shared" si="24"/>
        <v>1</v>
      </c>
      <c r="P221" s="1"/>
      <c r="Q221" s="1">
        <f t="shared" si="23"/>
        <v>1</v>
      </c>
      <c r="R221" s="1">
        <f>IF(Q221=1,COUNTIF($Q$5:Q221,1),"")</f>
        <v>161</v>
      </c>
    </row>
    <row r="222" spans="1:18">
      <c r="A222" s="1" t="s">
        <v>1931</v>
      </c>
      <c r="B222" s="1" t="s">
        <v>1531</v>
      </c>
      <c r="C222" s="1">
        <v>5</v>
      </c>
      <c r="D222" s="1" t="s">
        <v>467</v>
      </c>
      <c r="E222" s="1" t="s">
        <v>468</v>
      </c>
      <c r="F222" s="1">
        <f>'01_入力仕様'!D101</f>
        <v>0.3</v>
      </c>
      <c r="G222" s="1" t="s">
        <v>173</v>
      </c>
      <c r="H222" s="1">
        <f t="shared" si="26"/>
        <v>5.2749078260869588E-2</v>
      </c>
      <c r="I222" s="1" t="s">
        <v>1482</v>
      </c>
      <c r="J222" s="1">
        <f>'01_入力仕様'!D101/F27</f>
        <v>0.32608695652173914</v>
      </c>
      <c r="K222" s="1">
        <f>K27*J222</f>
        <v>4.2409354204508551E-3</v>
      </c>
      <c r="L222" s="1" t="str">
        <f t="shared" si="25"/>
        <v>増加→総重量増</v>
      </c>
      <c r="M222" s="1" t="s">
        <v>1474</v>
      </c>
      <c r="N222" s="1"/>
      <c r="O222" s="1">
        <f t="shared" si="24"/>
        <v>1</v>
      </c>
      <c r="P222" s="1"/>
      <c r="Q222" s="1">
        <f t="shared" si="23"/>
        <v>1</v>
      </c>
      <c r="R222" s="1">
        <f>IF(Q222=1,COUNTIF($Q$5:Q222,1),"")</f>
        <v>162</v>
      </c>
    </row>
    <row r="223" spans="1:18">
      <c r="A223" s="1" t="s">
        <v>1932</v>
      </c>
      <c r="B223" s="1" t="s">
        <v>1534</v>
      </c>
      <c r="C223" s="1">
        <v>5</v>
      </c>
      <c r="D223" s="1" t="s">
        <v>470</v>
      </c>
      <c r="E223" s="1" t="s">
        <v>471</v>
      </c>
      <c r="F223" s="1">
        <f>'01_入力仕様'!D102</f>
        <v>8960</v>
      </c>
      <c r="G223" s="1" t="s">
        <v>178</v>
      </c>
      <c r="H223" s="1">
        <f t="shared" si="26"/>
        <v>0.13547520000000007</v>
      </c>
      <c r="I223" s="1" t="s">
        <v>1482</v>
      </c>
      <c r="J223" s="1">
        <f>'01_入力仕様'!D102*('01_入力仕様'!D99+'01_入力仕様'!D101)/('01_入力仕様'!D102*('01_入力仕様'!D99+'01_入力仕様'!D101)+'01_入力仕様'!D103*'01_入力仕様'!D100)</f>
        <v>0.83748753738783654</v>
      </c>
      <c r="K223" s="1">
        <f>K28*J223</f>
        <v>1.0891973721915657E-2</v>
      </c>
      <c r="L223" s="1" t="str">
        <f t="shared" si="25"/>
        <v>増加→総重量増</v>
      </c>
      <c r="M223" s="1" t="s">
        <v>1474</v>
      </c>
      <c r="N223" s="1"/>
      <c r="O223" s="1">
        <f t="shared" si="24"/>
        <v>1</v>
      </c>
      <c r="P223" s="1"/>
      <c r="Q223" s="1">
        <f t="shared" ref="Q223:Q248" si="27">IF(E223="","",--(MATCH(E223,$E$5:$E$560,0)=ROW()-4))</f>
        <v>1</v>
      </c>
      <c r="R223" s="1">
        <f>IF(Q223=1,COUNTIF($Q$5:Q223,1),"")</f>
        <v>163</v>
      </c>
    </row>
    <row r="224" spans="1:18">
      <c r="A224" s="1" t="s">
        <v>1933</v>
      </c>
      <c r="B224" s="1" t="s">
        <v>1534</v>
      </c>
      <c r="C224" s="1">
        <v>5</v>
      </c>
      <c r="D224" s="1" t="s">
        <v>473</v>
      </c>
      <c r="E224" s="1" t="s">
        <v>474</v>
      </c>
      <c r="F224" s="1">
        <f>'01_入力仕様'!D103</f>
        <v>3260</v>
      </c>
      <c r="G224" s="1" t="s">
        <v>178</v>
      </c>
      <c r="H224" s="1">
        <f t="shared" si="26"/>
        <v>2.6288640000000012E-2</v>
      </c>
      <c r="I224" s="1" t="s">
        <v>1482</v>
      </c>
      <c r="J224" s="1">
        <f>'01_入力仕様'!D103*'01_入力仕様'!D100/('01_入力仕様'!D102*('01_入力仕様'!D99+'01_入力仕様'!D101)+'01_入力仕様'!D103*'01_入力仕様'!D100)</f>
        <v>0.16251246261216351</v>
      </c>
      <c r="K224" s="1">
        <f>K28*J224</f>
        <v>2.1135615674669666E-3</v>
      </c>
      <c r="L224" s="1" t="str">
        <f t="shared" si="25"/>
        <v>増加→総重量増</v>
      </c>
      <c r="M224" s="1" t="s">
        <v>1474</v>
      </c>
      <c r="N224" s="1"/>
      <c r="O224" s="1">
        <f t="shared" si="24"/>
        <v>1</v>
      </c>
      <c r="P224" s="1"/>
      <c r="Q224" s="1">
        <f t="shared" si="27"/>
        <v>1</v>
      </c>
      <c r="R224" s="1">
        <f>IF(Q224=1,COUNTIF($Q$5:Q224,1),"")</f>
        <v>164</v>
      </c>
    </row>
    <row r="225" spans="1:18">
      <c r="A225" s="1" t="s">
        <v>1934</v>
      </c>
      <c r="B225" s="1" t="s">
        <v>1534</v>
      </c>
      <c r="C225" s="1">
        <v>5</v>
      </c>
      <c r="D225" s="1" t="s">
        <v>1935</v>
      </c>
      <c r="E225" s="1" t="s">
        <v>212</v>
      </c>
      <c r="F225" s="1">
        <f>F226+F227+F228</f>
        <v>0.91999999999999993</v>
      </c>
      <c r="G225" s="1" t="s">
        <v>173</v>
      </c>
      <c r="H225" s="1">
        <f t="shared" si="26"/>
        <v>0.16176384000000008</v>
      </c>
      <c r="I225" s="1" t="s">
        <v>1533</v>
      </c>
      <c r="J225" s="1">
        <f>-1</f>
        <v>-1</v>
      </c>
      <c r="K225" s="1">
        <f>K28*J225</f>
        <v>-1.3005535289382622E-2</v>
      </c>
      <c r="L225" s="1" t="str">
        <f t="shared" si="25"/>
        <v>増加→総重量減</v>
      </c>
      <c r="M225" s="1" t="s">
        <v>1474</v>
      </c>
      <c r="N225" s="1"/>
      <c r="O225" s="1">
        <f t="shared" si="24"/>
        <v>0</v>
      </c>
      <c r="P225" s="1"/>
      <c r="Q225" s="1">
        <f t="shared" si="27"/>
        <v>0</v>
      </c>
      <c r="R225" s="1" t="str">
        <f>IF(Q225=1,COUNTIF($Q$5:Q225,1),"")</f>
        <v/>
      </c>
    </row>
    <row r="226" spans="1:18">
      <c r="A226" s="1" t="s">
        <v>1936</v>
      </c>
      <c r="B226" s="1" t="s">
        <v>1934</v>
      </c>
      <c r="C226" s="1">
        <v>6</v>
      </c>
      <c r="D226" s="1" t="s">
        <v>460</v>
      </c>
      <c r="E226" s="1" t="s">
        <v>461</v>
      </c>
      <c r="F226" s="1">
        <f>'01_入力仕様'!D99</f>
        <v>0.3</v>
      </c>
      <c r="G226" s="1" t="s">
        <v>173</v>
      </c>
      <c r="H226" s="1">
        <f t="shared" si="26"/>
        <v>5.2749078260869588E-2</v>
      </c>
      <c r="I226" s="1" t="s">
        <v>1482</v>
      </c>
      <c r="J226" s="1">
        <f>'01_入力仕様'!D99/F225</f>
        <v>0.32608695652173914</v>
      </c>
      <c r="K226" s="1">
        <f>K225*J226</f>
        <v>-4.2409354204508551E-3</v>
      </c>
      <c r="L226" s="1" t="str">
        <f t="shared" si="25"/>
        <v>増加→総重量減</v>
      </c>
      <c r="M226" s="1" t="s">
        <v>1474</v>
      </c>
      <c r="N226" s="1"/>
      <c r="O226" s="1">
        <f t="shared" si="24"/>
        <v>1</v>
      </c>
      <c r="P226" s="1"/>
      <c r="Q226" s="1">
        <f t="shared" si="27"/>
        <v>0</v>
      </c>
      <c r="R226" s="1" t="str">
        <f>IF(Q226=1,COUNTIF($Q$5:Q226,1),"")</f>
        <v/>
      </c>
    </row>
    <row r="227" spans="1:18" ht="28.5">
      <c r="A227" s="1" t="s">
        <v>1937</v>
      </c>
      <c r="B227" s="1" t="s">
        <v>1934</v>
      </c>
      <c r="C227" s="1">
        <v>6</v>
      </c>
      <c r="D227" s="1" t="s">
        <v>464</v>
      </c>
      <c r="E227" s="1" t="s">
        <v>465</v>
      </c>
      <c r="F227" s="1">
        <f>'01_入力仕様'!D100</f>
        <v>0.32</v>
      </c>
      <c r="G227" s="1" t="s">
        <v>173</v>
      </c>
      <c r="H227" s="1">
        <f t="shared" si="26"/>
        <v>5.6265683478260907E-2</v>
      </c>
      <c r="I227" s="1" t="s">
        <v>1482</v>
      </c>
      <c r="J227" s="1">
        <f>'01_入力仕様'!D100/F225</f>
        <v>0.34782608695652178</v>
      </c>
      <c r="K227" s="1">
        <f>K225*J227</f>
        <v>-4.5236644484809132E-3</v>
      </c>
      <c r="L227" s="1" t="str">
        <f t="shared" si="25"/>
        <v>増加→総重量減</v>
      </c>
      <c r="M227" s="1" t="s">
        <v>1474</v>
      </c>
      <c r="N227" s="1" t="s">
        <v>1938</v>
      </c>
      <c r="O227" s="1">
        <f t="shared" si="24"/>
        <v>1</v>
      </c>
      <c r="P227" s="1"/>
      <c r="Q227" s="1">
        <f t="shared" si="27"/>
        <v>0</v>
      </c>
      <c r="R227" s="1" t="str">
        <f>IF(Q227=1,COUNTIF($Q$5:Q227,1),"")</f>
        <v/>
      </c>
    </row>
    <row r="228" spans="1:18">
      <c r="A228" s="1" t="s">
        <v>1939</v>
      </c>
      <c r="B228" s="1" t="s">
        <v>1934</v>
      </c>
      <c r="C228" s="1">
        <v>6</v>
      </c>
      <c r="D228" s="1" t="s">
        <v>467</v>
      </c>
      <c r="E228" s="1" t="s">
        <v>468</v>
      </c>
      <c r="F228" s="1">
        <f>'01_入力仕様'!D101</f>
        <v>0.3</v>
      </c>
      <c r="G228" s="1" t="s">
        <v>173</v>
      </c>
      <c r="H228" s="1">
        <f t="shared" si="26"/>
        <v>5.2749078260869588E-2</v>
      </c>
      <c r="I228" s="1" t="s">
        <v>1482</v>
      </c>
      <c r="J228" s="1">
        <f>'01_入力仕様'!D101/F225</f>
        <v>0.32608695652173914</v>
      </c>
      <c r="K228" s="1">
        <f>K225*J228</f>
        <v>-4.2409354204508551E-3</v>
      </c>
      <c r="L228" s="1" t="str">
        <f t="shared" si="25"/>
        <v>増加→総重量減</v>
      </c>
      <c r="M228" s="1" t="s">
        <v>1474</v>
      </c>
      <c r="N228" s="1"/>
      <c r="O228" s="1">
        <f t="shared" si="24"/>
        <v>1</v>
      </c>
      <c r="P228" s="1"/>
      <c r="Q228" s="1">
        <f t="shared" si="27"/>
        <v>0</v>
      </c>
      <c r="R228" s="1" t="str">
        <f>IF(Q228=1,COUNTIF($Q$5:Q228,1),"")</f>
        <v/>
      </c>
    </row>
    <row r="229" spans="1:18">
      <c r="A229" s="1" t="s">
        <v>1940</v>
      </c>
      <c r="B229" s="1" t="s">
        <v>1540</v>
      </c>
      <c r="C229" s="1">
        <v>5</v>
      </c>
      <c r="D229" s="1" t="s">
        <v>477</v>
      </c>
      <c r="E229" s="1" t="s">
        <v>478</v>
      </c>
      <c r="F229" s="1">
        <f>'01_入力仕様'!D104</f>
        <v>0.08</v>
      </c>
      <c r="G229" s="1" t="s">
        <v>262</v>
      </c>
      <c r="H229" s="1">
        <f t="shared" si="26"/>
        <v>0.40435200000000027</v>
      </c>
      <c r="I229" s="1" t="s">
        <v>1482</v>
      </c>
      <c r="J229" s="1">
        <f>1</f>
        <v>1</v>
      </c>
      <c r="K229" s="1">
        <f>K30*J229</f>
        <v>3.2509207282248265E-2</v>
      </c>
      <c r="L229" s="1" t="str">
        <f t="shared" si="25"/>
        <v>増加→総重量増</v>
      </c>
      <c r="M229" s="1" t="s">
        <v>1474</v>
      </c>
      <c r="N229" s="1"/>
      <c r="O229" s="1">
        <f t="shared" si="24"/>
        <v>1</v>
      </c>
      <c r="P229" s="1"/>
      <c r="Q229" s="1">
        <f t="shared" si="27"/>
        <v>1</v>
      </c>
      <c r="R229" s="1">
        <f>IF(Q229=1,COUNTIF($Q$5:Q229,1),"")</f>
        <v>165</v>
      </c>
    </row>
    <row r="230" spans="1:18">
      <c r="A230" s="1" t="s">
        <v>1941</v>
      </c>
      <c r="B230" s="1" t="s">
        <v>1540</v>
      </c>
      <c r="C230" s="1">
        <v>5</v>
      </c>
      <c r="D230" s="1" t="s">
        <v>481</v>
      </c>
      <c r="E230" s="1" t="s">
        <v>482</v>
      </c>
      <c r="F230" s="1">
        <f>'01_入力仕様'!D105</f>
        <v>6.5000000000000002E-2</v>
      </c>
      <c r="G230" s="1" t="s">
        <v>262</v>
      </c>
      <c r="H230" s="1">
        <f t="shared" si="26"/>
        <v>0.40435200000000027</v>
      </c>
      <c r="I230" s="1" t="s">
        <v>1482</v>
      </c>
      <c r="J230" s="1">
        <f>1</f>
        <v>1</v>
      </c>
      <c r="K230" s="1">
        <f>K30*J230</f>
        <v>3.2509207282248265E-2</v>
      </c>
      <c r="L230" s="1" t="str">
        <f t="shared" ref="L230:L261" si="28">IF(K230&gt;0,"増加→総重量増",IF(K230&lt;0,"増加→総重量減","中立"))</f>
        <v>増加→総重量増</v>
      </c>
      <c r="M230" s="1" t="s">
        <v>1474</v>
      </c>
      <c r="N230" s="1"/>
      <c r="O230" s="1">
        <f t="shared" si="24"/>
        <v>1</v>
      </c>
      <c r="P230" s="1"/>
      <c r="Q230" s="1">
        <f t="shared" si="27"/>
        <v>1</v>
      </c>
      <c r="R230" s="1">
        <f>IF(Q230=1,COUNTIF($Q$5:Q230,1),"")</f>
        <v>166</v>
      </c>
    </row>
    <row r="231" spans="1:18" ht="28.5">
      <c r="A231" s="1" t="s">
        <v>1942</v>
      </c>
      <c r="B231" s="1" t="s">
        <v>1542</v>
      </c>
      <c r="C231" s="1">
        <v>5</v>
      </c>
      <c r="D231" s="1" t="s">
        <v>1943</v>
      </c>
      <c r="E231" s="1" t="s">
        <v>1944</v>
      </c>
      <c r="F231" s="1">
        <f>F232*F233*SQRT(F234/F235)*50</f>
        <v>4.8</v>
      </c>
      <c r="G231" s="1" t="s">
        <v>173</v>
      </c>
      <c r="H231" s="1">
        <f t="shared" si="26"/>
        <v>0.40435200000000027</v>
      </c>
      <c r="I231" s="1" t="s">
        <v>1945</v>
      </c>
      <c r="J231" s="1">
        <f>IF(F231&gt;F269,1,0)</f>
        <v>1</v>
      </c>
      <c r="K231" s="1">
        <f>K31*J231</f>
        <v>3.2509207282248265E-2</v>
      </c>
      <c r="L231" s="1" t="str">
        <f t="shared" si="28"/>
        <v>増加→総重量増</v>
      </c>
      <c r="M231" s="1" t="s">
        <v>1474</v>
      </c>
      <c r="N231" s="1" t="s">
        <v>1946</v>
      </c>
      <c r="O231" s="1">
        <f t="shared" si="24"/>
        <v>0</v>
      </c>
      <c r="P231" s="1"/>
      <c r="Q231" s="1">
        <f t="shared" si="27"/>
        <v>1</v>
      </c>
      <c r="R231" s="1">
        <f>IF(Q231=1,COUNTIF($Q$5:Q231,1),"")</f>
        <v>167</v>
      </c>
    </row>
    <row r="232" spans="1:18">
      <c r="A232" s="1" t="s">
        <v>1947</v>
      </c>
      <c r="B232" s="1" t="s">
        <v>1942</v>
      </c>
      <c r="C232" s="1">
        <v>6</v>
      </c>
      <c r="D232" s="1" t="s">
        <v>491</v>
      </c>
      <c r="E232" s="1" t="s">
        <v>492</v>
      </c>
      <c r="F232" s="1">
        <f>'01_入力仕様'!D108</f>
        <v>1.2</v>
      </c>
      <c r="G232" s="1" t="s">
        <v>86</v>
      </c>
      <c r="H232" s="1">
        <f t="shared" si="26"/>
        <v>0.40435200000000027</v>
      </c>
      <c r="I232" s="1" t="s">
        <v>1482</v>
      </c>
      <c r="J232" s="1">
        <f>1</f>
        <v>1</v>
      </c>
      <c r="K232" s="1">
        <f>K231*J232</f>
        <v>3.2509207282248265E-2</v>
      </c>
      <c r="L232" s="1" t="str">
        <f t="shared" si="28"/>
        <v>増加→総重量増</v>
      </c>
      <c r="M232" s="1" t="s">
        <v>1474</v>
      </c>
      <c r="N232" s="1"/>
      <c r="O232" s="1">
        <f t="shared" si="24"/>
        <v>1</v>
      </c>
      <c r="P232" s="1"/>
      <c r="Q232" s="1">
        <f t="shared" si="27"/>
        <v>1</v>
      </c>
      <c r="R232" s="1">
        <f>IF(Q232=1,COUNTIF($Q$5:Q232,1),"")</f>
        <v>168</v>
      </c>
    </row>
    <row r="233" spans="1:18">
      <c r="A233" s="1" t="s">
        <v>1948</v>
      </c>
      <c r="B233" s="1" t="s">
        <v>1942</v>
      </c>
      <c r="C233" s="1">
        <v>6</v>
      </c>
      <c r="D233" s="1" t="s">
        <v>477</v>
      </c>
      <c r="E233" s="1" t="s">
        <v>478</v>
      </c>
      <c r="F233" s="1">
        <f>'01_入力仕様'!D104</f>
        <v>0.08</v>
      </c>
      <c r="G233" s="1" t="s">
        <v>262</v>
      </c>
      <c r="H233" s="1">
        <f t="shared" si="26"/>
        <v>0.40435200000000027</v>
      </c>
      <c r="I233" s="1" t="s">
        <v>1482</v>
      </c>
      <c r="J233" s="1">
        <f>1</f>
        <v>1</v>
      </c>
      <c r="K233" s="1">
        <f>K231*J233</f>
        <v>3.2509207282248265E-2</v>
      </c>
      <c r="L233" s="1" t="str">
        <f t="shared" si="28"/>
        <v>増加→総重量増</v>
      </c>
      <c r="M233" s="1" t="s">
        <v>1474</v>
      </c>
      <c r="N233" s="1"/>
      <c r="O233" s="1">
        <f t="shared" si="24"/>
        <v>1</v>
      </c>
      <c r="P233" s="1"/>
      <c r="Q233" s="1">
        <f t="shared" si="27"/>
        <v>0</v>
      </c>
      <c r="R233" s="1" t="str">
        <f>IF(Q233=1,COUNTIF($Q$5:Q233,1),"")</f>
        <v/>
      </c>
    </row>
    <row r="234" spans="1:18">
      <c r="A234" s="1" t="s">
        <v>1949</v>
      </c>
      <c r="B234" s="1" t="s">
        <v>1942</v>
      </c>
      <c r="C234" s="1">
        <v>6</v>
      </c>
      <c r="D234" s="1" t="s">
        <v>484</v>
      </c>
      <c r="E234" s="1" t="s">
        <v>485</v>
      </c>
      <c r="F234" s="1">
        <f>'01_入力仕様'!D106</f>
        <v>1</v>
      </c>
      <c r="G234" s="1" t="s">
        <v>86</v>
      </c>
      <c r="H234" s="1">
        <f t="shared" si="26"/>
        <v>0.20217600000000013</v>
      </c>
      <c r="I234" s="1" t="s">
        <v>1482</v>
      </c>
      <c r="J234" s="1">
        <f>0.5</f>
        <v>0.5</v>
      </c>
      <c r="K234" s="1">
        <f>K231*J234</f>
        <v>1.6254603641124132E-2</v>
      </c>
      <c r="L234" s="1" t="str">
        <f t="shared" si="28"/>
        <v>増加→総重量増</v>
      </c>
      <c r="M234" s="1" t="s">
        <v>1474</v>
      </c>
      <c r="N234" s="1"/>
      <c r="O234" s="1">
        <f t="shared" si="24"/>
        <v>1</v>
      </c>
      <c r="P234" s="1"/>
      <c r="Q234" s="1">
        <f t="shared" si="27"/>
        <v>1</v>
      </c>
      <c r="R234" s="1">
        <f>IF(Q234=1,COUNTIF($Q$5:Q234,1),"")</f>
        <v>169</v>
      </c>
    </row>
    <row r="235" spans="1:18">
      <c r="A235" s="1" t="s">
        <v>1950</v>
      </c>
      <c r="B235" s="1" t="s">
        <v>1942</v>
      </c>
      <c r="C235" s="1">
        <v>6</v>
      </c>
      <c r="D235" s="1" t="s">
        <v>488</v>
      </c>
      <c r="E235" s="1" t="s">
        <v>489</v>
      </c>
      <c r="F235" s="1">
        <f>'01_入力仕様'!D107</f>
        <v>1</v>
      </c>
      <c r="G235" s="1" t="s">
        <v>86</v>
      </c>
      <c r="H235" s="1">
        <f t="shared" si="26"/>
        <v>0.20217600000000013</v>
      </c>
      <c r="I235" s="1" t="s">
        <v>1482</v>
      </c>
      <c r="J235" s="1">
        <f>-0.5</f>
        <v>-0.5</v>
      </c>
      <c r="K235" s="1">
        <f>K231*J235</f>
        <v>-1.6254603641124132E-2</v>
      </c>
      <c r="L235" s="1" t="str">
        <f t="shared" si="28"/>
        <v>増加→総重量減</v>
      </c>
      <c r="M235" s="1" t="s">
        <v>1474</v>
      </c>
      <c r="N235" s="1"/>
      <c r="O235" s="1">
        <f t="shared" si="24"/>
        <v>1</v>
      </c>
      <c r="P235" s="1"/>
      <c r="Q235" s="1">
        <f t="shared" si="27"/>
        <v>1</v>
      </c>
      <c r="R235" s="1">
        <f>IF(Q235=1,COUNTIF($Q$5:Q235,1),"")</f>
        <v>170</v>
      </c>
    </row>
    <row r="236" spans="1:18" ht="28.5">
      <c r="A236" s="1" t="s">
        <v>1951</v>
      </c>
      <c r="B236" s="1" t="s">
        <v>1710</v>
      </c>
      <c r="C236" s="1">
        <v>5</v>
      </c>
      <c r="D236" s="1" t="s">
        <v>1952</v>
      </c>
      <c r="E236" s="1" t="s">
        <v>498</v>
      </c>
      <c r="F236" s="1">
        <f>0.5*F237*F238*F239^2*F242/F243</f>
        <v>364.588351875</v>
      </c>
      <c r="G236" s="1" t="s">
        <v>283</v>
      </c>
      <c r="H236" s="1">
        <f t="shared" si="26"/>
        <v>2.6245215385532079</v>
      </c>
      <c r="I236" s="1" t="s">
        <v>1953</v>
      </c>
      <c r="J236" s="1">
        <f>F236/(('01_入力仕様'!D54*'01_入力仕様'!D55)+F236)</f>
        <v>0.64575960638259855</v>
      </c>
      <c r="K236" s="1">
        <f>K106*J236</f>
        <v>-0.21100703029427656</v>
      </c>
      <c r="L236" s="1" t="str">
        <f t="shared" si="28"/>
        <v>増加→総重量減</v>
      </c>
      <c r="M236" s="1" t="s">
        <v>1474</v>
      </c>
      <c r="N236" s="1"/>
      <c r="O236" s="1">
        <f t="shared" si="24"/>
        <v>0</v>
      </c>
      <c r="P236" s="1"/>
      <c r="Q236" s="1">
        <f t="shared" si="27"/>
        <v>1</v>
      </c>
      <c r="R236" s="1">
        <f>IF(Q236=1,COUNTIF($Q$5:Q236,1),"")</f>
        <v>171</v>
      </c>
    </row>
    <row r="237" spans="1:18">
      <c r="A237" s="1" t="s">
        <v>1954</v>
      </c>
      <c r="B237" s="1" t="s">
        <v>1951</v>
      </c>
      <c r="C237" s="1">
        <v>6</v>
      </c>
      <c r="D237" s="1" t="s">
        <v>495</v>
      </c>
      <c r="E237" s="1" t="s">
        <v>496</v>
      </c>
      <c r="F237" s="1">
        <f>'01_入力仕様'!D109</f>
        <v>8.8539999999999992E-12</v>
      </c>
      <c r="G237" s="1" t="s">
        <v>497</v>
      </c>
      <c r="H237" s="1">
        <f t="shared" ref="H237:H248" si="29">ABS(K237)*$F$5</f>
        <v>0</v>
      </c>
      <c r="I237" s="1" t="s">
        <v>157</v>
      </c>
      <c r="J237" s="1">
        <f>0</f>
        <v>0</v>
      </c>
      <c r="K237" s="1">
        <f>K236*J237</f>
        <v>0</v>
      </c>
      <c r="L237" s="1" t="str">
        <f t="shared" si="28"/>
        <v>中立</v>
      </c>
      <c r="M237" s="1" t="s">
        <v>1474</v>
      </c>
      <c r="N237" s="1" t="s">
        <v>1581</v>
      </c>
      <c r="O237" s="1">
        <f t="shared" si="24"/>
        <v>1</v>
      </c>
      <c r="P237" s="1"/>
      <c r="Q237" s="1">
        <f t="shared" si="27"/>
        <v>1</v>
      </c>
      <c r="R237" s="1">
        <f>IF(Q237=1,COUNTIF($Q$5:Q237,1),"")</f>
        <v>172</v>
      </c>
    </row>
    <row r="238" spans="1:18">
      <c r="A238" s="1" t="s">
        <v>1955</v>
      </c>
      <c r="B238" s="1" t="s">
        <v>1951</v>
      </c>
      <c r="C238" s="1">
        <v>6</v>
      </c>
      <c r="D238" s="1" t="s">
        <v>499</v>
      </c>
      <c r="E238" s="1" t="s">
        <v>500</v>
      </c>
      <c r="F238" s="1">
        <f>'01_入力仕様'!D110</f>
        <v>2.2000000000000002</v>
      </c>
      <c r="G238" s="1" t="s">
        <v>86</v>
      </c>
      <c r="H238" s="1">
        <f t="shared" si="29"/>
        <v>2.6245215385532079</v>
      </c>
      <c r="I238" s="1" t="s">
        <v>1482</v>
      </c>
      <c r="J238" s="1">
        <f>1</f>
        <v>1</v>
      </c>
      <c r="K238" s="1">
        <f>K236*J238</f>
        <v>-0.21100703029427656</v>
      </c>
      <c r="L238" s="1" t="str">
        <f t="shared" si="28"/>
        <v>増加→総重量減</v>
      </c>
      <c r="M238" s="1" t="s">
        <v>1474</v>
      </c>
      <c r="N238" s="1"/>
      <c r="O238" s="1">
        <f t="shared" si="24"/>
        <v>1</v>
      </c>
      <c r="P238" s="1"/>
      <c r="Q238" s="1">
        <f t="shared" si="27"/>
        <v>1</v>
      </c>
      <c r="R238" s="1">
        <f>IF(Q238=1,COUNTIF($Q$5:Q238,1),"")</f>
        <v>173</v>
      </c>
    </row>
    <row r="239" spans="1:18">
      <c r="A239" s="1" t="s">
        <v>1956</v>
      </c>
      <c r="B239" s="1" t="s">
        <v>1951</v>
      </c>
      <c r="C239" s="1">
        <v>6</v>
      </c>
      <c r="D239" s="1" t="s">
        <v>1957</v>
      </c>
      <c r="E239" s="1" t="s">
        <v>504</v>
      </c>
      <c r="F239" s="1">
        <f>F240*F241</f>
        <v>247500000</v>
      </c>
      <c r="G239" s="1" t="s">
        <v>130</v>
      </c>
      <c r="H239" s="1">
        <f t="shared" si="29"/>
        <v>5.2490430771064158</v>
      </c>
      <c r="I239" s="1" t="s">
        <v>1958</v>
      </c>
      <c r="J239" s="1">
        <f>2</f>
        <v>2</v>
      </c>
      <c r="K239" s="1">
        <f>K236*J239</f>
        <v>-0.42201406058855312</v>
      </c>
      <c r="L239" s="1" t="str">
        <f t="shared" si="28"/>
        <v>増加→総重量減</v>
      </c>
      <c r="M239" s="1" t="s">
        <v>1474</v>
      </c>
      <c r="N239" s="1"/>
      <c r="O239" s="1">
        <f t="shared" si="24"/>
        <v>0</v>
      </c>
      <c r="P239" s="1"/>
      <c r="Q239" s="1">
        <f t="shared" si="27"/>
        <v>1</v>
      </c>
      <c r="R239" s="1">
        <f>IF(Q239=1,COUNTIF($Q$5:Q239,1),"")</f>
        <v>174</v>
      </c>
    </row>
    <row r="240" spans="1:18">
      <c r="A240" s="1" t="s">
        <v>1959</v>
      </c>
      <c r="B240" s="1" t="s">
        <v>1956</v>
      </c>
      <c r="C240" s="1">
        <v>7</v>
      </c>
      <c r="D240" s="1" t="s">
        <v>505</v>
      </c>
      <c r="E240" s="1" t="s">
        <v>506</v>
      </c>
      <c r="F240" s="1">
        <f>'01_入力仕様'!D112</f>
        <v>0.45</v>
      </c>
      <c r="G240" s="1" t="s">
        <v>86</v>
      </c>
      <c r="H240" s="1">
        <f t="shared" si="29"/>
        <v>5.2490430771064158</v>
      </c>
      <c r="I240" s="1" t="s">
        <v>1482</v>
      </c>
      <c r="J240" s="1">
        <f>1</f>
        <v>1</v>
      </c>
      <c r="K240" s="1">
        <f>K239*J240</f>
        <v>-0.42201406058855312</v>
      </c>
      <c r="L240" s="1" t="str">
        <f t="shared" si="28"/>
        <v>増加→総重量減</v>
      </c>
      <c r="M240" s="1" t="s">
        <v>1474</v>
      </c>
      <c r="N240" s="1"/>
      <c r="O240" s="1">
        <f t="shared" si="24"/>
        <v>1</v>
      </c>
      <c r="P240" s="1"/>
      <c r="Q240" s="1">
        <f t="shared" si="27"/>
        <v>1</v>
      </c>
      <c r="R240" s="1">
        <f>IF(Q240=1,COUNTIF($Q$5:Q240,1),"")</f>
        <v>175</v>
      </c>
    </row>
    <row r="241" spans="1:18">
      <c r="A241" s="1" t="s">
        <v>1960</v>
      </c>
      <c r="B241" s="1" t="s">
        <v>1956</v>
      </c>
      <c r="C241" s="1">
        <v>7</v>
      </c>
      <c r="D241" s="1" t="s">
        <v>1961</v>
      </c>
      <c r="E241" s="1" t="s">
        <v>503</v>
      </c>
      <c r="F241" s="1">
        <f>'01_入力仕様'!D111</f>
        <v>550000000</v>
      </c>
      <c r="G241" s="1" t="s">
        <v>130</v>
      </c>
      <c r="H241" s="1">
        <f t="shared" si="29"/>
        <v>5.2490430771064158</v>
      </c>
      <c r="I241" s="1" t="s">
        <v>1482</v>
      </c>
      <c r="J241" s="1">
        <f>1</f>
        <v>1</v>
      </c>
      <c r="K241" s="1">
        <f>K239*J241</f>
        <v>-0.42201406058855312</v>
      </c>
      <c r="L241" s="1" t="str">
        <f t="shared" si="28"/>
        <v>増加→総重量減</v>
      </c>
      <c r="M241" s="1" t="s">
        <v>1474</v>
      </c>
      <c r="N241" s="1"/>
      <c r="O241" s="1">
        <f t="shared" si="24"/>
        <v>1</v>
      </c>
      <c r="P241" s="1"/>
      <c r="Q241" s="1">
        <f t="shared" si="27"/>
        <v>1</v>
      </c>
      <c r="R241" s="1">
        <f>IF(Q241=1,COUNTIF($Q$5:Q241,1),"")</f>
        <v>176</v>
      </c>
    </row>
    <row r="242" spans="1:18">
      <c r="A242" s="1" t="s">
        <v>1962</v>
      </c>
      <c r="B242" s="1" t="s">
        <v>1951</v>
      </c>
      <c r="C242" s="1">
        <v>6</v>
      </c>
      <c r="D242" s="1" t="s">
        <v>511</v>
      </c>
      <c r="E242" s="1" t="s">
        <v>512</v>
      </c>
      <c r="F242" s="1">
        <f>'01_入力仕様'!D114</f>
        <v>0.55000000000000004</v>
      </c>
      <c r="G242" s="1" t="s">
        <v>86</v>
      </c>
      <c r="H242" s="1">
        <f t="shared" si="29"/>
        <v>2.6245215385532079</v>
      </c>
      <c r="I242" s="1" t="s">
        <v>1482</v>
      </c>
      <c r="J242" s="1">
        <f>1</f>
        <v>1</v>
      </c>
      <c r="K242" s="1">
        <f>K236*J242</f>
        <v>-0.21100703029427656</v>
      </c>
      <c r="L242" s="1" t="str">
        <f t="shared" si="28"/>
        <v>増加→総重量減</v>
      </c>
      <c r="M242" s="1" t="s">
        <v>1474</v>
      </c>
      <c r="N242" s="1"/>
      <c r="O242" s="1">
        <f t="shared" si="24"/>
        <v>1</v>
      </c>
      <c r="P242" s="1"/>
      <c r="Q242" s="1">
        <f t="shared" si="27"/>
        <v>1</v>
      </c>
      <c r="R242" s="1">
        <f>IF(Q242=1,COUNTIF($Q$5:Q242,1),"")</f>
        <v>177</v>
      </c>
    </row>
    <row r="243" spans="1:18">
      <c r="A243" s="1" t="s">
        <v>1963</v>
      </c>
      <c r="B243" s="1" t="s">
        <v>1951</v>
      </c>
      <c r="C243" s="1">
        <v>6</v>
      </c>
      <c r="D243" s="1" t="s">
        <v>508</v>
      </c>
      <c r="E243" s="1" t="s">
        <v>509</v>
      </c>
      <c r="F243" s="1">
        <f>'01_入力仕様'!D113</f>
        <v>900</v>
      </c>
      <c r="G243" s="1" t="s">
        <v>178</v>
      </c>
      <c r="H243" s="1">
        <f t="shared" si="29"/>
        <v>2.6245215385532079</v>
      </c>
      <c r="I243" s="1" t="s">
        <v>1482</v>
      </c>
      <c r="J243" s="1">
        <f>-1</f>
        <v>-1</v>
      </c>
      <c r="K243" s="1">
        <f>K236*J243</f>
        <v>0.21100703029427656</v>
      </c>
      <c r="L243" s="1" t="str">
        <f t="shared" si="28"/>
        <v>増加→総重量増</v>
      </c>
      <c r="M243" s="1" t="s">
        <v>1474</v>
      </c>
      <c r="N243" s="1"/>
      <c r="O243" s="1">
        <f t="shared" si="24"/>
        <v>1</v>
      </c>
      <c r="P243" s="1"/>
      <c r="Q243" s="1">
        <f t="shared" si="27"/>
        <v>1</v>
      </c>
      <c r="R243" s="1">
        <f>IF(Q243=1,COUNTIF($Q$5:Q243,1),"")</f>
        <v>178</v>
      </c>
    </row>
    <row r="244" spans="1:18" ht="28.5">
      <c r="A244" s="1" t="s">
        <v>1964</v>
      </c>
      <c r="B244" s="1" t="s">
        <v>1738</v>
      </c>
      <c r="C244" s="1">
        <v>5</v>
      </c>
      <c r="D244" s="1" t="s">
        <v>1965</v>
      </c>
      <c r="E244" s="1" t="s">
        <v>535</v>
      </c>
      <c r="F244" s="1">
        <f>SQRT(F245*F246*F247/(F248*((1-F470)+F470*'01_入力仕様'!D226)))*0.000001</f>
        <v>9.9759711306719403</v>
      </c>
      <c r="G244" s="1" t="s">
        <v>200</v>
      </c>
      <c r="H244" s="1">
        <f t="shared" si="29"/>
        <v>0</v>
      </c>
      <c r="I244" s="1" t="s">
        <v>1966</v>
      </c>
      <c r="J244" s="1">
        <f>IF(F244&lt;'01_入力仕様'!D58,1,0)</f>
        <v>0</v>
      </c>
      <c r="K244" s="1">
        <f>K119*J244</f>
        <v>0</v>
      </c>
      <c r="L244" s="1" t="str">
        <f t="shared" si="28"/>
        <v>中立</v>
      </c>
      <c r="M244" s="1" t="s">
        <v>1474</v>
      </c>
      <c r="N244" s="1" t="s">
        <v>1967</v>
      </c>
      <c r="O244" s="1">
        <f t="shared" si="24"/>
        <v>0</v>
      </c>
      <c r="P244" s="1"/>
      <c r="Q244" s="1">
        <f t="shared" si="27"/>
        <v>1</v>
      </c>
      <c r="R244" s="1">
        <f>IF(Q244=1,COUNTIF($Q$5:Q244,1),"")</f>
        <v>179</v>
      </c>
    </row>
    <row r="245" spans="1:18">
      <c r="A245" s="1" t="s">
        <v>1968</v>
      </c>
      <c r="B245" s="1" t="s">
        <v>1964</v>
      </c>
      <c r="C245" s="1">
        <v>6</v>
      </c>
      <c r="D245" s="1" t="s">
        <v>1969</v>
      </c>
      <c r="E245" s="1" t="s">
        <v>534</v>
      </c>
      <c r="F245" s="1">
        <f>'01_入力仕様'!D120</f>
        <v>20</v>
      </c>
      <c r="G245" s="1" t="s">
        <v>235</v>
      </c>
      <c r="H245" s="1">
        <f t="shared" si="29"/>
        <v>0</v>
      </c>
      <c r="I245" s="1" t="s">
        <v>1482</v>
      </c>
      <c r="J245" s="1">
        <f>0.5</f>
        <v>0.5</v>
      </c>
      <c r="K245" s="1">
        <f>K244*J245</f>
        <v>0</v>
      </c>
      <c r="L245" s="1" t="str">
        <f t="shared" si="28"/>
        <v>中立</v>
      </c>
      <c r="M245" s="1" t="s">
        <v>1474</v>
      </c>
      <c r="N245" s="1"/>
      <c r="O245" s="1">
        <f t="shared" si="24"/>
        <v>1</v>
      </c>
      <c r="P245" s="1"/>
      <c r="Q245" s="1">
        <f t="shared" si="27"/>
        <v>1</v>
      </c>
      <c r="R245" s="1">
        <f>IF(Q245=1,COUNTIF($Q$5:Q245,1),"")</f>
        <v>180</v>
      </c>
    </row>
    <row r="246" spans="1:18">
      <c r="A246" s="1" t="s">
        <v>1970</v>
      </c>
      <c r="B246" s="1" t="s">
        <v>1964</v>
      </c>
      <c r="C246" s="1">
        <v>6</v>
      </c>
      <c r="D246" s="1" t="s">
        <v>541</v>
      </c>
      <c r="E246" s="1" t="s">
        <v>542</v>
      </c>
      <c r="F246" s="1">
        <f>'01_入力仕様'!D122</f>
        <v>1426.4533333333334</v>
      </c>
      <c r="G246" s="1" t="s">
        <v>543</v>
      </c>
      <c r="H246" s="1">
        <f t="shared" si="29"/>
        <v>0</v>
      </c>
      <c r="I246" s="1" t="s">
        <v>1482</v>
      </c>
      <c r="J246" s="1">
        <f>0.5</f>
        <v>0.5</v>
      </c>
      <c r="K246" s="1">
        <f>K244*J246</f>
        <v>0</v>
      </c>
      <c r="L246" s="1" t="str">
        <f t="shared" si="28"/>
        <v>中立</v>
      </c>
      <c r="M246" s="1" t="s">
        <v>1474</v>
      </c>
      <c r="N246" s="1"/>
      <c r="O246" s="1">
        <f t="shared" si="24"/>
        <v>1</v>
      </c>
      <c r="P246" s="1"/>
      <c r="Q246" s="1">
        <f t="shared" si="27"/>
        <v>1</v>
      </c>
      <c r="R246" s="1">
        <f>IF(Q246=1,COUNTIF($Q$5:Q246,1),"")</f>
        <v>181</v>
      </c>
    </row>
    <row r="247" spans="1:18">
      <c r="A247" s="1" t="s">
        <v>1971</v>
      </c>
      <c r="B247" s="1" t="s">
        <v>1964</v>
      </c>
      <c r="C247" s="1">
        <v>6</v>
      </c>
      <c r="D247" s="1" t="s">
        <v>310</v>
      </c>
      <c r="E247" s="1" t="s">
        <v>311</v>
      </c>
      <c r="F247" s="1">
        <f>'01_入力仕様'!D61</f>
        <v>60</v>
      </c>
      <c r="G247" s="1" t="s">
        <v>257</v>
      </c>
      <c r="H247" s="1">
        <f t="shared" si="29"/>
        <v>0</v>
      </c>
      <c r="I247" s="1" t="s">
        <v>1482</v>
      </c>
      <c r="J247" s="1">
        <f>0.5</f>
        <v>0.5</v>
      </c>
      <c r="K247" s="1">
        <f>K244*J247</f>
        <v>0</v>
      </c>
      <c r="L247" s="1" t="str">
        <f t="shared" si="28"/>
        <v>中立</v>
      </c>
      <c r="M247" s="1" t="s">
        <v>1474</v>
      </c>
      <c r="N247" s="1"/>
      <c r="O247" s="1">
        <f t="shared" si="24"/>
        <v>1</v>
      </c>
      <c r="P247" s="1"/>
      <c r="Q247" s="1">
        <f t="shared" si="27"/>
        <v>0</v>
      </c>
      <c r="R247" s="1" t="str">
        <f>IF(Q247=1,COUNTIF($Q$5:Q247,1),"")</f>
        <v/>
      </c>
    </row>
    <row r="248" spans="1:18">
      <c r="A248" s="1" t="s">
        <v>1972</v>
      </c>
      <c r="B248" s="1" t="s">
        <v>1964</v>
      </c>
      <c r="C248" s="1">
        <v>6</v>
      </c>
      <c r="D248" s="1" t="s">
        <v>1973</v>
      </c>
      <c r="E248" s="1" t="s">
        <v>538</v>
      </c>
      <c r="F248" s="1">
        <f>'01_入力仕様'!D121</f>
        <v>1.7199999999999999E-8</v>
      </c>
      <c r="G248" s="1" t="s">
        <v>539</v>
      </c>
      <c r="H248" s="1">
        <f t="shared" si="29"/>
        <v>0</v>
      </c>
      <c r="I248" s="1" t="s">
        <v>1482</v>
      </c>
      <c r="J248" s="1">
        <f>-0.5</f>
        <v>-0.5</v>
      </c>
      <c r="K248" s="1">
        <f>K244*J248</f>
        <v>0</v>
      </c>
      <c r="L248" s="1" t="str">
        <f t="shared" si="28"/>
        <v>中立</v>
      </c>
      <c r="M248" s="1" t="s">
        <v>1474</v>
      </c>
      <c r="N248" s="1"/>
      <c r="O248" s="1">
        <f t="shared" si="24"/>
        <v>1</v>
      </c>
      <c r="P248" s="1"/>
      <c r="Q248" s="1">
        <f t="shared" si="27"/>
        <v>1</v>
      </c>
      <c r="R248" s="1">
        <f>IF(Q248=1,COUNTIF($Q$5:Q248,1),"")</f>
        <v>182</v>
      </c>
    </row>
    <row r="249" spans="1:18">
      <c r="A249" s="1"/>
      <c r="B249" s="1"/>
      <c r="C249" s="1"/>
      <c r="D249" s="1"/>
      <c r="E249" s="1"/>
      <c r="F249" s="1"/>
      <c r="G249" s="1"/>
      <c r="H249" s="1"/>
      <c r="I249" s="1"/>
      <c r="J249" s="1"/>
      <c r="K249" s="1"/>
      <c r="L249" s="1"/>
      <c r="M249" s="1"/>
      <c r="N249" s="1"/>
      <c r="O249" s="1" t="str">
        <f t="shared" si="24"/>
        <v/>
      </c>
      <c r="P249" s="1"/>
      <c r="Q249" s="1"/>
      <c r="R249" s="1"/>
    </row>
    <row r="250" spans="1:18">
      <c r="A250" s="1"/>
      <c r="B250" s="1"/>
      <c r="C250" s="1"/>
      <c r="D250" s="1"/>
      <c r="E250" s="1"/>
      <c r="F250" s="1"/>
      <c r="G250" s="1"/>
      <c r="H250" s="1"/>
      <c r="I250" s="1"/>
      <c r="J250" s="1"/>
      <c r="K250" s="1"/>
      <c r="L250" s="1"/>
      <c r="M250" s="1"/>
      <c r="N250" s="1"/>
      <c r="O250" s="1" t="str">
        <f t="shared" si="24"/>
        <v/>
      </c>
      <c r="P250" s="1"/>
      <c r="Q250" s="1"/>
      <c r="R250" s="1"/>
    </row>
    <row r="251" spans="1:18">
      <c r="A251" s="1"/>
      <c r="B251" s="1"/>
      <c r="C251" s="1"/>
      <c r="D251" s="1"/>
      <c r="E251" s="1"/>
      <c r="F251" s="1"/>
      <c r="G251" s="1"/>
      <c r="H251" s="1"/>
      <c r="I251" s="1"/>
      <c r="J251" s="1"/>
      <c r="K251" s="1"/>
      <c r="L251" s="1"/>
      <c r="M251" s="1"/>
      <c r="N251" s="1"/>
      <c r="O251" s="1" t="str">
        <f t="shared" si="24"/>
        <v/>
      </c>
      <c r="P251" s="1"/>
      <c r="Q251" s="1"/>
      <c r="R251" s="1"/>
    </row>
    <row r="252" spans="1:18">
      <c r="A252" s="1"/>
      <c r="B252" s="1"/>
      <c r="C252" s="1"/>
      <c r="D252" s="1"/>
      <c r="E252" s="1"/>
      <c r="F252" s="1"/>
      <c r="G252" s="1"/>
      <c r="H252" s="1"/>
      <c r="I252" s="1"/>
      <c r="J252" s="1"/>
      <c r="K252" s="1"/>
      <c r="L252" s="1"/>
      <c r="M252" s="1"/>
      <c r="N252" s="1"/>
      <c r="O252" s="1" t="str">
        <f t="shared" si="24"/>
        <v/>
      </c>
      <c r="P252" s="1"/>
      <c r="Q252" s="1"/>
      <c r="R252" s="1"/>
    </row>
    <row r="253" spans="1:18">
      <c r="A253" s="1"/>
      <c r="B253" s="1"/>
      <c r="C253" s="1"/>
      <c r="D253" s="1"/>
      <c r="E253" s="1"/>
      <c r="F253" s="1"/>
      <c r="G253" s="1"/>
      <c r="H253" s="1"/>
      <c r="I253" s="1"/>
      <c r="J253" s="1"/>
      <c r="K253" s="1"/>
      <c r="L253" s="1"/>
      <c r="M253" s="1"/>
      <c r="N253" s="1"/>
      <c r="O253" s="1" t="str">
        <f t="shared" si="24"/>
        <v/>
      </c>
      <c r="P253" s="1"/>
      <c r="Q253" s="1"/>
      <c r="R253" s="1"/>
    </row>
    <row r="254" spans="1:18" ht="28.5">
      <c r="A254" s="1" t="s">
        <v>1974</v>
      </c>
      <c r="B254" s="1" t="s">
        <v>1534</v>
      </c>
      <c r="C254" s="1">
        <v>5</v>
      </c>
      <c r="D254" s="1" t="s">
        <v>460</v>
      </c>
      <c r="E254" s="1" t="s">
        <v>461</v>
      </c>
      <c r="F254" s="1">
        <f>'01_入力仕様'!D99</f>
        <v>0.3</v>
      </c>
      <c r="G254" s="1" t="s">
        <v>173</v>
      </c>
      <c r="H254" s="1">
        <f t="shared" ref="H254:H268" si="30">ABS(K254)*$F$5</f>
        <v>6.7737600000000037E-2</v>
      </c>
      <c r="I254" s="1" t="s">
        <v>1482</v>
      </c>
      <c r="J254" s="1">
        <f>'01_入力仕様'!D102*'01_入力仕様'!D99/('01_入力仕様'!D102*('01_入力仕様'!D99+'01_入力仕様'!D101)+'01_入力仕様'!D103*'01_入力仕様'!D100)</f>
        <v>0.41874376869391827</v>
      </c>
      <c r="K254" s="1">
        <f>K28*J254</f>
        <v>5.4459868609578284E-3</v>
      </c>
      <c r="L254" s="1" t="str">
        <f t="shared" ref="L254:L285" si="31">IF(K254&gt;0,"増加→総重量増",IF(K254&lt;0,"増加→総重量減","中立"))</f>
        <v>増加→総重量増</v>
      </c>
      <c r="M254" s="1" t="s">
        <v>1474</v>
      </c>
      <c r="N254" s="1" t="s">
        <v>1975</v>
      </c>
      <c r="O254" s="1">
        <f t="shared" si="24"/>
        <v>1</v>
      </c>
      <c r="P254" s="1"/>
      <c r="Q254" s="1">
        <f t="shared" ref="Q254:Q285" si="32">IF(E254="","",--(MATCH(E254,$E$5:$E$560,0)=ROW()-4))</f>
        <v>0</v>
      </c>
      <c r="R254" s="1" t="str">
        <f>IF(Q254=1,COUNTIF($Q$5:Q254,1),"")</f>
        <v/>
      </c>
    </row>
    <row r="255" spans="1:18">
      <c r="A255" s="1" t="s">
        <v>1976</v>
      </c>
      <c r="B255" s="1" t="s">
        <v>1534</v>
      </c>
      <c r="C255" s="1">
        <v>5</v>
      </c>
      <c r="D255" s="1" t="s">
        <v>464</v>
      </c>
      <c r="E255" s="1" t="s">
        <v>465</v>
      </c>
      <c r="F255" s="1">
        <f>'01_入力仕様'!D100</f>
        <v>0.32</v>
      </c>
      <c r="G255" s="1" t="s">
        <v>173</v>
      </c>
      <c r="H255" s="1">
        <f t="shared" si="30"/>
        <v>2.6288640000000012E-2</v>
      </c>
      <c r="I255" s="1" t="s">
        <v>1482</v>
      </c>
      <c r="J255" s="1">
        <f>'01_入力仕様'!D103*'01_入力仕様'!D100/('01_入力仕様'!D102*('01_入力仕様'!D99+'01_入力仕様'!D101)+'01_入力仕様'!D103*'01_入力仕様'!D100)</f>
        <v>0.16251246261216351</v>
      </c>
      <c r="K255" s="1">
        <f>K28*J255</f>
        <v>2.1135615674669666E-3</v>
      </c>
      <c r="L255" s="1" t="str">
        <f t="shared" si="31"/>
        <v>増加→総重量増</v>
      </c>
      <c r="M255" s="1" t="s">
        <v>1474</v>
      </c>
      <c r="N255" s="1"/>
      <c r="O255" s="1">
        <f t="shared" si="24"/>
        <v>1</v>
      </c>
      <c r="P255" s="1"/>
      <c r="Q255" s="1">
        <f t="shared" si="32"/>
        <v>0</v>
      </c>
      <c r="R255" s="1" t="str">
        <f>IF(Q255=1,COUNTIF($Q$5:Q255,1),"")</f>
        <v/>
      </c>
    </row>
    <row r="256" spans="1:18">
      <c r="A256" s="1" t="s">
        <v>1977</v>
      </c>
      <c r="B256" s="1" t="s">
        <v>1534</v>
      </c>
      <c r="C256" s="1">
        <v>5</v>
      </c>
      <c r="D256" s="1" t="s">
        <v>467</v>
      </c>
      <c r="E256" s="1" t="s">
        <v>468</v>
      </c>
      <c r="F256" s="1">
        <f>'01_入力仕様'!D101</f>
        <v>0.3</v>
      </c>
      <c r="G256" s="1" t="s">
        <v>173</v>
      </c>
      <c r="H256" s="1">
        <f t="shared" si="30"/>
        <v>6.7737600000000037E-2</v>
      </c>
      <c r="I256" s="1" t="s">
        <v>1482</v>
      </c>
      <c r="J256" s="1">
        <f>'01_入力仕様'!D102*'01_入力仕様'!D101/('01_入力仕様'!D102*('01_入力仕様'!D99+'01_入力仕様'!D101)+'01_入力仕様'!D103*'01_入力仕様'!D100)</f>
        <v>0.41874376869391827</v>
      </c>
      <c r="K256" s="1">
        <f>K28*J256</f>
        <v>5.4459868609578284E-3</v>
      </c>
      <c r="L256" s="1" t="str">
        <f t="shared" si="31"/>
        <v>増加→総重量増</v>
      </c>
      <c r="M256" s="1" t="s">
        <v>1474</v>
      </c>
      <c r="N256" s="1"/>
      <c r="O256" s="1">
        <f t="shared" si="24"/>
        <v>1</v>
      </c>
      <c r="P256" s="1"/>
      <c r="Q256" s="1">
        <f t="shared" si="32"/>
        <v>0</v>
      </c>
      <c r="R256" s="1" t="str">
        <f>IF(Q256=1,COUNTIF($Q$5:Q256,1),"")</f>
        <v/>
      </c>
    </row>
    <row r="257" spans="1:18">
      <c r="A257" s="1" t="s">
        <v>1978</v>
      </c>
      <c r="B257" s="1" t="s">
        <v>1769</v>
      </c>
      <c r="C257" s="1">
        <v>3</v>
      </c>
      <c r="D257" s="1" t="s">
        <v>1979</v>
      </c>
      <c r="E257" s="1" t="s">
        <v>343</v>
      </c>
      <c r="F257" s="1">
        <f>'01_入力仕様'!D70</f>
        <v>1.8E-3</v>
      </c>
      <c r="G257" s="1" t="s">
        <v>262</v>
      </c>
      <c r="H257" s="1">
        <f t="shared" si="30"/>
        <v>2.1730976784000009</v>
      </c>
      <c r="I257" s="1" t="s">
        <v>1482</v>
      </c>
      <c r="J257" s="1">
        <f>IF(F257&gt;=F258,1,0)</f>
        <v>1</v>
      </c>
      <c r="K257" s="1">
        <f>K134*J257</f>
        <v>0.17471332619024527</v>
      </c>
      <c r="L257" s="1" t="str">
        <f t="shared" si="31"/>
        <v>増加→総重量増</v>
      </c>
      <c r="M257" s="1" t="s">
        <v>1474</v>
      </c>
      <c r="N257" s="1" t="s">
        <v>1980</v>
      </c>
      <c r="O257" s="1">
        <f t="shared" si="24"/>
        <v>1</v>
      </c>
      <c r="P257" s="1"/>
      <c r="Q257" s="1">
        <f t="shared" si="32"/>
        <v>1</v>
      </c>
      <c r="R257" s="1">
        <f>IF(Q257=1,COUNTIF($Q$5:Q257,1),"")</f>
        <v>183</v>
      </c>
    </row>
    <row r="258" spans="1:18" ht="28.5">
      <c r="A258" s="1" t="s">
        <v>1981</v>
      </c>
      <c r="B258" s="1" t="s">
        <v>1769</v>
      </c>
      <c r="C258" s="1">
        <v>3</v>
      </c>
      <c r="D258" s="1" t="s">
        <v>1982</v>
      </c>
      <c r="E258" s="1" t="s">
        <v>517</v>
      </c>
      <c r="F258" s="1">
        <f>F259*F260*SQRT(F263/F264)*0.001</f>
        <v>6.7263229964544186E-4</v>
      </c>
      <c r="G258" s="1" t="s">
        <v>262</v>
      </c>
      <c r="H258" s="1">
        <f t="shared" si="30"/>
        <v>0</v>
      </c>
      <c r="I258" s="1" t="s">
        <v>1983</v>
      </c>
      <c r="J258" s="1">
        <f>IF(F258&gt;F257,1,0)</f>
        <v>0</v>
      </c>
      <c r="K258" s="1">
        <f>K134*J258</f>
        <v>0</v>
      </c>
      <c r="L258" s="1" t="str">
        <f t="shared" si="31"/>
        <v>中立</v>
      </c>
      <c r="M258" s="1" t="s">
        <v>1474</v>
      </c>
      <c r="N258" s="1" t="s">
        <v>1984</v>
      </c>
      <c r="O258" s="1">
        <f t="shared" si="24"/>
        <v>0</v>
      </c>
      <c r="P258" s="1"/>
      <c r="Q258" s="1">
        <f t="shared" si="32"/>
        <v>1</v>
      </c>
      <c r="R258" s="1">
        <f>IF(Q258=1,COUNTIF($Q$5:Q258,1),"")</f>
        <v>184</v>
      </c>
    </row>
    <row r="259" spans="1:18">
      <c r="A259" s="1" t="s">
        <v>1985</v>
      </c>
      <c r="B259" s="1" t="s">
        <v>1981</v>
      </c>
      <c r="C259" s="1">
        <v>4</v>
      </c>
      <c r="D259" s="1" t="s">
        <v>529</v>
      </c>
      <c r="E259" s="1" t="s">
        <v>530</v>
      </c>
      <c r="F259" s="1">
        <f>'01_入力仕様'!D119</f>
        <v>1.1499999999999999</v>
      </c>
      <c r="G259" s="1" t="s">
        <v>86</v>
      </c>
      <c r="H259" s="1">
        <f t="shared" si="30"/>
        <v>0</v>
      </c>
      <c r="I259" s="1" t="s">
        <v>1482</v>
      </c>
      <c r="J259" s="1">
        <f>1</f>
        <v>1</v>
      </c>
      <c r="K259" s="1">
        <f>K258*J259</f>
        <v>0</v>
      </c>
      <c r="L259" s="1" t="str">
        <f t="shared" si="31"/>
        <v>中立</v>
      </c>
      <c r="M259" s="1" t="s">
        <v>1474</v>
      </c>
      <c r="N259" s="1"/>
      <c r="O259" s="1">
        <f t="shared" si="24"/>
        <v>1</v>
      </c>
      <c r="P259" s="1"/>
      <c r="Q259" s="1">
        <f t="shared" si="32"/>
        <v>1</v>
      </c>
      <c r="R259" s="1">
        <f>IF(Q259=1,COUNTIF($Q$5:Q259,1),"")</f>
        <v>185</v>
      </c>
    </row>
    <row r="260" spans="1:18">
      <c r="A260" s="1" t="s">
        <v>1986</v>
      </c>
      <c r="B260" s="1" t="s">
        <v>1981</v>
      </c>
      <c r="C260" s="1">
        <v>4</v>
      </c>
      <c r="D260" s="1" t="s">
        <v>1987</v>
      </c>
      <c r="E260" s="1" t="s">
        <v>1988</v>
      </c>
      <c r="F260" s="1">
        <f>SQRT(F261^2+F262^2)</f>
        <v>0.54083269131959832</v>
      </c>
      <c r="G260" s="1" t="s">
        <v>262</v>
      </c>
      <c r="H260" s="1">
        <f t="shared" si="30"/>
        <v>0</v>
      </c>
      <c r="I260" s="1" t="s">
        <v>1989</v>
      </c>
      <c r="J260" s="1">
        <f>1</f>
        <v>1</v>
      </c>
      <c r="K260" s="1">
        <f>K258*J260</f>
        <v>0</v>
      </c>
      <c r="L260" s="1" t="str">
        <f t="shared" si="31"/>
        <v>中立</v>
      </c>
      <c r="M260" s="1" t="s">
        <v>1474</v>
      </c>
      <c r="N260" s="1"/>
      <c r="O260" s="1">
        <f t="shared" si="24"/>
        <v>0</v>
      </c>
      <c r="P260" s="1"/>
      <c r="Q260" s="1">
        <f t="shared" si="32"/>
        <v>1</v>
      </c>
      <c r="R260" s="1">
        <f>IF(Q260=1,COUNTIF($Q$5:Q260,1),"")</f>
        <v>186</v>
      </c>
    </row>
    <row r="261" spans="1:18">
      <c r="A261" s="1" t="s">
        <v>1990</v>
      </c>
      <c r="B261" s="1" t="s">
        <v>1986</v>
      </c>
      <c r="C261" s="1">
        <v>5</v>
      </c>
      <c r="D261" s="1" t="s">
        <v>332</v>
      </c>
      <c r="E261" s="1" t="s">
        <v>333</v>
      </c>
      <c r="F261" s="1">
        <f>'01_入力仕様'!D67</f>
        <v>0.45</v>
      </c>
      <c r="G261" s="1" t="s">
        <v>262</v>
      </c>
      <c r="H261" s="1">
        <f t="shared" si="30"/>
        <v>0</v>
      </c>
      <c r="I261" s="1" t="s">
        <v>1482</v>
      </c>
      <c r="J261" s="1">
        <f>'01_入力仕様'!D67^2/('01_入力仕様'!D67^2+'01_入力仕様'!D68^2)</f>
        <v>0.6923076923076924</v>
      </c>
      <c r="K261" s="1">
        <f>K260*J261</f>
        <v>0</v>
      </c>
      <c r="L261" s="1" t="str">
        <f t="shared" si="31"/>
        <v>中立</v>
      </c>
      <c r="M261" s="1" t="s">
        <v>1474</v>
      </c>
      <c r="N261" s="1"/>
      <c r="O261" s="1">
        <f t="shared" ref="O261:O324" si="33">IF($A261="","",--(COUNTIF($B$5:$B$679,$A261)=0))</f>
        <v>1</v>
      </c>
      <c r="P261" s="1"/>
      <c r="Q261" s="1">
        <f t="shared" si="32"/>
        <v>0</v>
      </c>
      <c r="R261" s="1" t="str">
        <f>IF(Q261=1,COUNTIF($Q$5:Q261,1),"")</f>
        <v/>
      </c>
    </row>
    <row r="262" spans="1:18">
      <c r="A262" s="1" t="s">
        <v>1991</v>
      </c>
      <c r="B262" s="1" t="s">
        <v>1986</v>
      </c>
      <c r="C262" s="1">
        <v>5</v>
      </c>
      <c r="D262" s="1" t="s">
        <v>336</v>
      </c>
      <c r="E262" s="1" t="s">
        <v>337</v>
      </c>
      <c r="F262" s="1">
        <f>'01_入力仕様'!D68</f>
        <v>0.3</v>
      </c>
      <c r="G262" s="1" t="s">
        <v>262</v>
      </c>
      <c r="H262" s="1">
        <f t="shared" si="30"/>
        <v>0</v>
      </c>
      <c r="I262" s="1" t="s">
        <v>1482</v>
      </c>
      <c r="J262" s="1">
        <f>'01_入力仕様'!D68^2/('01_入力仕様'!D67^2+'01_入力仕様'!D68^2)</f>
        <v>0.30769230769230771</v>
      </c>
      <c r="K262" s="1">
        <f>K260*J262</f>
        <v>0</v>
      </c>
      <c r="L262" s="1" t="str">
        <f t="shared" si="31"/>
        <v>中立</v>
      </c>
      <c r="M262" s="1" t="s">
        <v>1474</v>
      </c>
      <c r="N262" s="1"/>
      <c r="O262" s="1">
        <f t="shared" si="33"/>
        <v>1</v>
      </c>
      <c r="P262" s="1"/>
      <c r="Q262" s="1">
        <f t="shared" si="32"/>
        <v>0</v>
      </c>
      <c r="R262" s="1" t="str">
        <f>IF(Q262=1,COUNTIF($Q$5:Q262,1),"")</f>
        <v/>
      </c>
    </row>
    <row r="263" spans="1:18">
      <c r="A263" s="1" t="s">
        <v>1992</v>
      </c>
      <c r="B263" s="1" t="s">
        <v>1981</v>
      </c>
      <c r="C263" s="1">
        <v>4</v>
      </c>
      <c r="D263" s="1" t="s">
        <v>1993</v>
      </c>
      <c r="E263" s="1" t="s">
        <v>516</v>
      </c>
      <c r="F263" s="1">
        <f>'01_入力仕様'!D115</f>
        <v>1</v>
      </c>
      <c r="G263" s="1" t="s">
        <v>86</v>
      </c>
      <c r="H263" s="1">
        <f t="shared" si="30"/>
        <v>0</v>
      </c>
      <c r="I263" s="1" t="s">
        <v>1482</v>
      </c>
      <c r="J263" s="1">
        <f>0.5</f>
        <v>0.5</v>
      </c>
      <c r="K263" s="1">
        <f>K258*J263</f>
        <v>0</v>
      </c>
      <c r="L263" s="1" t="str">
        <f t="shared" si="31"/>
        <v>中立</v>
      </c>
      <c r="M263" s="1" t="s">
        <v>1474</v>
      </c>
      <c r="N263" s="1"/>
      <c r="O263" s="1">
        <f t="shared" si="33"/>
        <v>1</v>
      </c>
      <c r="P263" s="1"/>
      <c r="Q263" s="1">
        <f t="shared" si="32"/>
        <v>1</v>
      </c>
      <c r="R263" s="1">
        <f>IF(Q263=1,COUNTIF($Q$5:Q263,1),"")</f>
        <v>187</v>
      </c>
    </row>
    <row r="264" spans="1:18">
      <c r="A264" s="1" t="s">
        <v>1994</v>
      </c>
      <c r="B264" s="1" t="s">
        <v>1981</v>
      </c>
      <c r="C264" s="1">
        <v>4</v>
      </c>
      <c r="D264" s="1" t="s">
        <v>1995</v>
      </c>
      <c r="E264" s="1" t="s">
        <v>521</v>
      </c>
      <c r="F264" s="1">
        <f>F265*F266*F267</f>
        <v>0.85499999999999998</v>
      </c>
      <c r="G264" s="1" t="s">
        <v>86</v>
      </c>
      <c r="H264" s="1">
        <f t="shared" si="30"/>
        <v>0</v>
      </c>
      <c r="I264" s="1" t="s">
        <v>1996</v>
      </c>
      <c r="J264" s="1">
        <f>-0.5</f>
        <v>-0.5</v>
      </c>
      <c r="K264" s="1">
        <f>K258*J264</f>
        <v>0</v>
      </c>
      <c r="L264" s="1" t="str">
        <f t="shared" si="31"/>
        <v>中立</v>
      </c>
      <c r="M264" s="1" t="s">
        <v>1474</v>
      </c>
      <c r="N264" s="1"/>
      <c r="O264" s="1">
        <f t="shared" si="33"/>
        <v>0</v>
      </c>
      <c r="P264" s="1"/>
      <c r="Q264" s="1">
        <f t="shared" si="32"/>
        <v>1</v>
      </c>
      <c r="R264" s="1">
        <f>IF(Q264=1,COUNTIF($Q$5:Q264,1),"")</f>
        <v>188</v>
      </c>
    </row>
    <row r="265" spans="1:18">
      <c r="A265" s="1" t="s">
        <v>1997</v>
      </c>
      <c r="B265" s="1" t="s">
        <v>1994</v>
      </c>
      <c r="C265" s="1">
        <v>5</v>
      </c>
      <c r="D265" s="1" t="s">
        <v>519</v>
      </c>
      <c r="E265" s="1" t="s">
        <v>520</v>
      </c>
      <c r="F265" s="1">
        <f>'01_入力仕様'!D116</f>
        <v>1</v>
      </c>
      <c r="G265" s="1" t="s">
        <v>86</v>
      </c>
      <c r="H265" s="1">
        <f t="shared" si="30"/>
        <v>0</v>
      </c>
      <c r="I265" s="1" t="s">
        <v>1482</v>
      </c>
      <c r="J265" s="1">
        <f>1</f>
        <v>1</v>
      </c>
      <c r="K265" s="1">
        <f>K264*J265</f>
        <v>0</v>
      </c>
      <c r="L265" s="1" t="str">
        <f t="shared" si="31"/>
        <v>中立</v>
      </c>
      <c r="M265" s="1" t="s">
        <v>1474</v>
      </c>
      <c r="N265" s="1"/>
      <c r="O265" s="1">
        <f t="shared" si="33"/>
        <v>1</v>
      </c>
      <c r="P265" s="1"/>
      <c r="Q265" s="1">
        <f t="shared" si="32"/>
        <v>1</v>
      </c>
      <c r="R265" s="1">
        <f>IF(Q265=1,COUNTIF($Q$5:Q265,1),"")</f>
        <v>189</v>
      </c>
    </row>
    <row r="266" spans="1:18">
      <c r="A266" s="1" t="s">
        <v>1998</v>
      </c>
      <c r="B266" s="1" t="s">
        <v>1994</v>
      </c>
      <c r="C266" s="1">
        <v>5</v>
      </c>
      <c r="D266" s="1" t="s">
        <v>1999</v>
      </c>
      <c r="E266" s="1" t="s">
        <v>524</v>
      </c>
      <c r="F266" s="1">
        <f>'01_入力仕様'!D117</f>
        <v>0.9</v>
      </c>
      <c r="G266" s="1" t="s">
        <v>86</v>
      </c>
      <c r="H266" s="1">
        <f t="shared" si="30"/>
        <v>0</v>
      </c>
      <c r="I266" s="1" t="s">
        <v>1482</v>
      </c>
      <c r="J266" s="1">
        <f>1</f>
        <v>1</v>
      </c>
      <c r="K266" s="1">
        <f>K264*J266</f>
        <v>0</v>
      </c>
      <c r="L266" s="1" t="str">
        <f t="shared" si="31"/>
        <v>中立</v>
      </c>
      <c r="M266" s="1" t="s">
        <v>1474</v>
      </c>
      <c r="N266" s="1"/>
      <c r="O266" s="1">
        <f t="shared" si="33"/>
        <v>1</v>
      </c>
      <c r="P266" s="1"/>
      <c r="Q266" s="1">
        <f t="shared" si="32"/>
        <v>1</v>
      </c>
      <c r="R266" s="1">
        <f>IF(Q266=1,COUNTIF($Q$5:Q266,1),"")</f>
        <v>190</v>
      </c>
    </row>
    <row r="267" spans="1:18">
      <c r="A267" s="1" t="s">
        <v>2000</v>
      </c>
      <c r="B267" s="1" t="s">
        <v>1994</v>
      </c>
      <c r="C267" s="1">
        <v>5</v>
      </c>
      <c r="D267" s="1" t="s">
        <v>526</v>
      </c>
      <c r="E267" s="1" t="s">
        <v>527</v>
      </c>
      <c r="F267" s="1">
        <f>'01_入力仕様'!D118</f>
        <v>0.95</v>
      </c>
      <c r="G267" s="1" t="s">
        <v>86</v>
      </c>
      <c r="H267" s="1">
        <f t="shared" si="30"/>
        <v>0</v>
      </c>
      <c r="I267" s="1" t="s">
        <v>1482</v>
      </c>
      <c r="J267" s="1">
        <f>1</f>
        <v>1</v>
      </c>
      <c r="K267" s="1">
        <f>K264*J267</f>
        <v>0</v>
      </c>
      <c r="L267" s="1" t="str">
        <f t="shared" si="31"/>
        <v>中立</v>
      </c>
      <c r="M267" s="1" t="s">
        <v>1474</v>
      </c>
      <c r="N267" s="1"/>
      <c r="O267" s="1">
        <f t="shared" si="33"/>
        <v>1</v>
      </c>
      <c r="P267" s="1"/>
      <c r="Q267" s="1">
        <f t="shared" si="32"/>
        <v>1</v>
      </c>
      <c r="R267" s="1">
        <f>IF(Q267=1,COUNTIF($Q$5:Q267,1),"")</f>
        <v>191</v>
      </c>
    </row>
    <row r="268" spans="1:18" ht="42.75">
      <c r="A268" s="1" t="s">
        <v>2001</v>
      </c>
      <c r="B268" s="1" t="s">
        <v>1790</v>
      </c>
      <c r="C268" s="1">
        <v>5</v>
      </c>
      <c r="D268" s="1" t="s">
        <v>2002</v>
      </c>
      <c r="E268" s="1" t="s">
        <v>2003</v>
      </c>
      <c r="F268" s="1">
        <f>'01_入力仕様'!D78</f>
        <v>25000</v>
      </c>
      <c r="G268" s="1" t="s">
        <v>372</v>
      </c>
      <c r="H268" s="1">
        <f t="shared" si="30"/>
        <v>0.2337090068086137</v>
      </c>
      <c r="I268" s="1" t="s">
        <v>2004</v>
      </c>
      <c r="J268" s="1">
        <f>1</f>
        <v>1</v>
      </c>
      <c r="K268" s="1">
        <f>K142*J268</f>
        <v>1.8789803305213251E-2</v>
      </c>
      <c r="L268" s="1" t="str">
        <f t="shared" si="31"/>
        <v>増加→総重量増</v>
      </c>
      <c r="M268" s="1" t="s">
        <v>1474</v>
      </c>
      <c r="N268" s="1" t="s">
        <v>2005</v>
      </c>
      <c r="O268" s="1">
        <f t="shared" si="33"/>
        <v>1</v>
      </c>
      <c r="P268" s="1"/>
      <c r="Q268" s="1">
        <f t="shared" si="32"/>
        <v>1</v>
      </c>
      <c r="R268" s="1">
        <f>IF(Q268=1,COUNTIF($Q$5:Q268,1),"")</f>
        <v>192</v>
      </c>
    </row>
    <row r="269" spans="1:18" ht="42.75">
      <c r="A269" s="1" t="s">
        <v>2006</v>
      </c>
      <c r="B269" s="1" t="s">
        <v>1542</v>
      </c>
      <c r="C269" s="1">
        <v>5</v>
      </c>
      <c r="D269" s="1" t="s">
        <v>2007</v>
      </c>
      <c r="E269" s="1" t="s">
        <v>2008</v>
      </c>
      <c r="F269" s="1">
        <f>'01_入力仕様'!D39</f>
        <v>3</v>
      </c>
      <c r="G269" s="1" t="s">
        <v>173</v>
      </c>
      <c r="H269" s="1">
        <f>ABS(K269)*F5</f>
        <v>0</v>
      </c>
      <c r="I269" s="1" t="s">
        <v>2009</v>
      </c>
      <c r="J269" s="1">
        <f>IF(F269&gt;F231,1,0)</f>
        <v>0</v>
      </c>
      <c r="K269" s="1">
        <f>K31*J269</f>
        <v>0</v>
      </c>
      <c r="L269" s="1" t="str">
        <f t="shared" si="31"/>
        <v>中立</v>
      </c>
      <c r="M269" s="1" t="s">
        <v>1474</v>
      </c>
      <c r="N269" s="1" t="s">
        <v>2010</v>
      </c>
      <c r="O269" s="1">
        <f t="shared" si="33"/>
        <v>1</v>
      </c>
      <c r="P269" s="1"/>
      <c r="Q269" s="1">
        <f t="shared" si="32"/>
        <v>1</v>
      </c>
      <c r="R269" s="1">
        <f>IF(Q269=1,COUNTIF($Q$5:Q269,1),"")</f>
        <v>193</v>
      </c>
    </row>
    <row r="270" spans="1:18" ht="28.5">
      <c r="A270" s="1" t="s">
        <v>2011</v>
      </c>
      <c r="B270" s="1" t="s">
        <v>1848</v>
      </c>
      <c r="C270" s="1">
        <v>2</v>
      </c>
      <c r="D270" s="1" t="s">
        <v>2012</v>
      </c>
      <c r="E270" s="1" t="s">
        <v>565</v>
      </c>
      <c r="F270" s="1">
        <f>F271*F272*F273+F274</f>
        <v>0.19120000000000001</v>
      </c>
      <c r="G270" s="1" t="s">
        <v>229</v>
      </c>
      <c r="H270" s="1">
        <f t="shared" ref="H270:H311" si="34">ABS(K270)*$F$5</f>
        <v>0.19120000000000001</v>
      </c>
      <c r="I270" s="1" t="s">
        <v>2013</v>
      </c>
      <c r="J270" s="1">
        <f>F270/F174</f>
        <v>0.34182039049500018</v>
      </c>
      <c r="K270" s="1">
        <f>K174*J270</f>
        <v>1.5372152066431883E-2</v>
      </c>
      <c r="L270" s="1" t="str">
        <f t="shared" si="31"/>
        <v>増加→総重量増</v>
      </c>
      <c r="M270" s="1" t="s">
        <v>1474</v>
      </c>
      <c r="N270" s="1"/>
      <c r="O270" s="1">
        <f t="shared" si="33"/>
        <v>0</v>
      </c>
      <c r="P270" s="1"/>
      <c r="Q270" s="1">
        <f t="shared" si="32"/>
        <v>1</v>
      </c>
      <c r="R270" s="1">
        <f>IF(Q270=1,COUNTIF($Q$5:Q270,1),"")</f>
        <v>194</v>
      </c>
    </row>
    <row r="271" spans="1:18">
      <c r="A271" s="1" t="s">
        <v>2014</v>
      </c>
      <c r="B271" s="1" t="s">
        <v>2011</v>
      </c>
      <c r="C271" s="1">
        <v>3</v>
      </c>
      <c r="D271" s="1" t="s">
        <v>2015</v>
      </c>
      <c r="E271" s="1" t="s">
        <v>563</v>
      </c>
      <c r="F271" s="1">
        <f>'01_入力仕様'!D127</f>
        <v>0.03</v>
      </c>
      <c r="G271" s="1" t="s">
        <v>564</v>
      </c>
      <c r="H271" s="1">
        <f t="shared" si="34"/>
        <v>9.1200000000000003E-2</v>
      </c>
      <c r="I271" s="1" t="s">
        <v>1482</v>
      </c>
      <c r="J271" s="1">
        <f>('01_入力仕様'!D127*'01_入力仕様'!D128*'01_入力仕様'!D129)/F270</f>
        <v>0.47698744769874474</v>
      </c>
      <c r="K271" s="1">
        <f>K270*J271</f>
        <v>7.3323235798043286E-3</v>
      </c>
      <c r="L271" s="1" t="str">
        <f t="shared" si="31"/>
        <v>増加→総重量増</v>
      </c>
      <c r="M271" s="1" t="s">
        <v>1474</v>
      </c>
      <c r="N271" s="1"/>
      <c r="O271" s="1">
        <f t="shared" si="33"/>
        <v>1</v>
      </c>
      <c r="P271" s="1"/>
      <c r="Q271" s="1">
        <f t="shared" si="32"/>
        <v>1</v>
      </c>
      <c r="R271" s="1">
        <f>IF(Q271=1,COUNTIF($Q$5:Q271,1),"")</f>
        <v>195</v>
      </c>
    </row>
    <row r="272" spans="1:18">
      <c r="A272" s="1" t="s">
        <v>2016</v>
      </c>
      <c r="B272" s="1" t="s">
        <v>2011</v>
      </c>
      <c r="C272" s="1">
        <v>3</v>
      </c>
      <c r="D272" s="1" t="s">
        <v>2017</v>
      </c>
      <c r="E272" s="1" t="s">
        <v>568</v>
      </c>
      <c r="F272" s="1">
        <f>'01_入力仕様'!D128</f>
        <v>1.6000000000000001E-3</v>
      </c>
      <c r="G272" s="1" t="s">
        <v>262</v>
      </c>
      <c r="H272" s="1">
        <f t="shared" si="34"/>
        <v>9.1200000000000003E-2</v>
      </c>
      <c r="I272" s="1" t="s">
        <v>1482</v>
      </c>
      <c r="J272" s="1">
        <f>('01_入力仕様'!D127*'01_入力仕様'!D128*'01_入力仕様'!D129)/F270</f>
        <v>0.47698744769874474</v>
      </c>
      <c r="K272" s="1">
        <f>K270*J272</f>
        <v>7.3323235798043286E-3</v>
      </c>
      <c r="L272" s="1" t="str">
        <f t="shared" si="31"/>
        <v>増加→総重量増</v>
      </c>
      <c r="M272" s="1" t="s">
        <v>1474</v>
      </c>
      <c r="N272" s="1"/>
      <c r="O272" s="1">
        <f t="shared" si="33"/>
        <v>1</v>
      </c>
      <c r="P272" s="1"/>
      <c r="Q272" s="1">
        <f t="shared" si="32"/>
        <v>1</v>
      </c>
      <c r="R272" s="1">
        <f>IF(Q272=1,COUNTIF($Q$5:Q272,1),"")</f>
        <v>196</v>
      </c>
    </row>
    <row r="273" spans="1:18">
      <c r="A273" s="1" t="s">
        <v>2018</v>
      </c>
      <c r="B273" s="1" t="s">
        <v>2011</v>
      </c>
      <c r="C273" s="1">
        <v>3</v>
      </c>
      <c r="D273" s="1" t="s">
        <v>570</v>
      </c>
      <c r="E273" s="1" t="s">
        <v>571</v>
      </c>
      <c r="F273" s="1">
        <f>'01_入力仕様'!D129</f>
        <v>1900</v>
      </c>
      <c r="G273" s="1" t="s">
        <v>178</v>
      </c>
      <c r="H273" s="1">
        <f t="shared" si="34"/>
        <v>9.1200000000000003E-2</v>
      </c>
      <c r="I273" s="1" t="s">
        <v>1482</v>
      </c>
      <c r="J273" s="1">
        <f>('01_入力仕様'!D127*'01_入力仕様'!D128*'01_入力仕様'!D129)/F270</f>
        <v>0.47698744769874474</v>
      </c>
      <c r="K273" s="1">
        <f>K270*J273</f>
        <v>7.3323235798043286E-3</v>
      </c>
      <c r="L273" s="1" t="str">
        <f t="shared" si="31"/>
        <v>増加→総重量増</v>
      </c>
      <c r="M273" s="1" t="s">
        <v>1474</v>
      </c>
      <c r="N273" s="1"/>
      <c r="O273" s="1">
        <f t="shared" si="33"/>
        <v>1</v>
      </c>
      <c r="P273" s="1"/>
      <c r="Q273" s="1">
        <f t="shared" si="32"/>
        <v>1</v>
      </c>
      <c r="R273" s="1">
        <f>IF(Q273=1,COUNTIF($Q$5:Q273,1),"")</f>
        <v>197</v>
      </c>
    </row>
    <row r="274" spans="1:18">
      <c r="A274" s="1" t="s">
        <v>2019</v>
      </c>
      <c r="B274" s="1" t="s">
        <v>2011</v>
      </c>
      <c r="C274" s="1">
        <v>3</v>
      </c>
      <c r="D274" s="1" t="s">
        <v>2020</v>
      </c>
      <c r="E274" s="1" t="s">
        <v>574</v>
      </c>
      <c r="F274" s="1">
        <f>'01_入力仕様'!D130</f>
        <v>0.1</v>
      </c>
      <c r="G274" s="1" t="s">
        <v>229</v>
      </c>
      <c r="H274" s="1">
        <f t="shared" si="34"/>
        <v>0.1</v>
      </c>
      <c r="I274" s="1" t="s">
        <v>1482</v>
      </c>
      <c r="J274" s="1">
        <f>'01_入力仕様'!D130/F270</f>
        <v>0.52301255230125521</v>
      </c>
      <c r="K274" s="1">
        <f>K270*J274</f>
        <v>8.0398284866275531E-3</v>
      </c>
      <c r="L274" s="1" t="str">
        <f t="shared" si="31"/>
        <v>増加→総重量増</v>
      </c>
      <c r="M274" s="1" t="s">
        <v>1474</v>
      </c>
      <c r="N274" s="1"/>
      <c r="O274" s="1">
        <f t="shared" si="33"/>
        <v>1</v>
      </c>
      <c r="P274" s="1"/>
      <c r="Q274" s="1">
        <f t="shared" si="32"/>
        <v>1</v>
      </c>
      <c r="R274" s="1">
        <f>IF(Q274=1,COUNTIF($Q$5:Q274,1),"")</f>
        <v>198</v>
      </c>
    </row>
    <row r="275" spans="1:18" ht="28.5">
      <c r="A275" s="1" t="s">
        <v>2021</v>
      </c>
      <c r="B275" s="1" t="s">
        <v>1848</v>
      </c>
      <c r="C275" s="1">
        <v>2</v>
      </c>
      <c r="D275" s="1" t="s">
        <v>2022</v>
      </c>
      <c r="E275" s="1" t="s">
        <v>585</v>
      </c>
      <c r="F275" s="1">
        <f>F276*F277+'01_入力仕様'!D334*F658*F659</f>
        <v>0.10799999999999998</v>
      </c>
      <c r="G275" s="1" t="s">
        <v>229</v>
      </c>
      <c r="H275" s="1">
        <f t="shared" si="34"/>
        <v>0.10799999999999997</v>
      </c>
      <c r="I275" s="1" t="s">
        <v>2023</v>
      </c>
      <c r="J275" s="1">
        <f>F275/F174</f>
        <v>0.19307846325031386</v>
      </c>
      <c r="K275" s="1">
        <f>K174*J275</f>
        <v>8.6830147655577554E-3</v>
      </c>
      <c r="L275" s="1" t="str">
        <f t="shared" si="31"/>
        <v>増加→総重量増</v>
      </c>
      <c r="M275" s="1" t="s">
        <v>1474</v>
      </c>
      <c r="N275" s="1"/>
      <c r="O275" s="1">
        <f t="shared" si="33"/>
        <v>0</v>
      </c>
      <c r="P275" s="1"/>
      <c r="Q275" s="1">
        <f t="shared" si="32"/>
        <v>1</v>
      </c>
      <c r="R275" s="1">
        <f>IF(Q275=1,COUNTIF($Q$5:Q275,1),"")</f>
        <v>199</v>
      </c>
    </row>
    <row r="276" spans="1:18">
      <c r="A276" s="1" t="s">
        <v>2024</v>
      </c>
      <c r="B276" s="1" t="s">
        <v>2021</v>
      </c>
      <c r="C276" s="1">
        <v>3</v>
      </c>
      <c r="D276" s="1" t="s">
        <v>577</v>
      </c>
      <c r="E276" s="1" t="s">
        <v>578</v>
      </c>
      <c r="F276" s="1">
        <f>IF('01_入力仕様'!D334=1,F666*F661,'01_入力仕様'!D131)</f>
        <v>6</v>
      </c>
      <c r="G276" s="1" t="s">
        <v>114</v>
      </c>
      <c r="H276" s="1">
        <f t="shared" si="34"/>
        <v>0.10799999999999997</v>
      </c>
      <c r="I276" s="1" t="s">
        <v>1482</v>
      </c>
      <c r="J276" s="1">
        <f>1</f>
        <v>1</v>
      </c>
      <c r="K276" s="1">
        <f>K275*J276</f>
        <v>8.6830147655577554E-3</v>
      </c>
      <c r="L276" s="1" t="str">
        <f t="shared" si="31"/>
        <v>増加→総重量増</v>
      </c>
      <c r="M276" s="1" t="s">
        <v>1474</v>
      </c>
      <c r="N276" s="1"/>
      <c r="O276" s="1">
        <f t="shared" si="33"/>
        <v>0</v>
      </c>
      <c r="P276" s="1"/>
      <c r="Q276" s="1">
        <f t="shared" si="32"/>
        <v>0</v>
      </c>
      <c r="R276" s="1" t="str">
        <f>IF(Q276=1,COUNTIF($Q$5:Q276,1),"")</f>
        <v/>
      </c>
    </row>
    <row r="277" spans="1:18">
      <c r="A277" s="1" t="s">
        <v>2025</v>
      </c>
      <c r="B277" s="1" t="s">
        <v>2021</v>
      </c>
      <c r="C277" s="1">
        <v>3</v>
      </c>
      <c r="D277" s="1" t="s">
        <v>583</v>
      </c>
      <c r="E277" s="1" t="s">
        <v>584</v>
      </c>
      <c r="F277" s="1">
        <f>'01_入力仕様'!D132</f>
        <v>1.7999999999999999E-2</v>
      </c>
      <c r="G277" s="1" t="s">
        <v>433</v>
      </c>
      <c r="H277" s="1">
        <f t="shared" si="34"/>
        <v>0.10799999999999997</v>
      </c>
      <c r="I277" s="1" t="s">
        <v>1482</v>
      </c>
      <c r="J277" s="1">
        <f>1</f>
        <v>1</v>
      </c>
      <c r="K277" s="1">
        <f>K275*J277</f>
        <v>8.6830147655577554E-3</v>
      </c>
      <c r="L277" s="1" t="str">
        <f t="shared" si="31"/>
        <v>増加→総重量増</v>
      </c>
      <c r="M277" s="1" t="s">
        <v>1474</v>
      </c>
      <c r="N277" s="1"/>
      <c r="O277" s="1">
        <f t="shared" si="33"/>
        <v>1</v>
      </c>
      <c r="P277" s="1"/>
      <c r="Q277" s="1">
        <f t="shared" si="32"/>
        <v>1</v>
      </c>
      <c r="R277" s="1">
        <f>IF(Q277=1,COUNTIF($Q$5:Q277,1),"")</f>
        <v>200</v>
      </c>
    </row>
    <row r="278" spans="1:18">
      <c r="A278" s="1" t="s">
        <v>2026</v>
      </c>
      <c r="B278" s="1" t="s">
        <v>1848</v>
      </c>
      <c r="C278" s="1">
        <v>2</v>
      </c>
      <c r="D278" s="1" t="s">
        <v>587</v>
      </c>
      <c r="E278" s="1" t="s">
        <v>588</v>
      </c>
      <c r="F278" s="1">
        <f>'01_入力仕様'!D133</f>
        <v>0.12</v>
      </c>
      <c r="G278" s="1" t="s">
        <v>229</v>
      </c>
      <c r="H278" s="1">
        <f t="shared" si="34"/>
        <v>0.11999999999999998</v>
      </c>
      <c r="I278" s="1" t="s">
        <v>1482</v>
      </c>
      <c r="J278" s="1">
        <f>IFERROR(F278/F174,0)</f>
        <v>0.2145316258336821</v>
      </c>
      <c r="K278" s="1">
        <f>K174*J278</f>
        <v>9.6477941839530623E-3</v>
      </c>
      <c r="L278" s="1" t="str">
        <f t="shared" si="31"/>
        <v>増加→総重量増</v>
      </c>
      <c r="M278" s="1" t="s">
        <v>1474</v>
      </c>
      <c r="N278" s="1"/>
      <c r="O278" s="1">
        <f t="shared" si="33"/>
        <v>1</v>
      </c>
      <c r="P278" s="1"/>
      <c r="Q278" s="1">
        <f t="shared" si="32"/>
        <v>1</v>
      </c>
      <c r="R278" s="1">
        <f>IF(Q278=1,COUNTIF($Q$5:Q278,1),"")</f>
        <v>201</v>
      </c>
    </row>
    <row r="279" spans="1:18">
      <c r="A279" s="1" t="s">
        <v>2027</v>
      </c>
      <c r="B279" s="1" t="s">
        <v>1850</v>
      </c>
      <c r="C279" s="1">
        <v>2</v>
      </c>
      <c r="D279" s="1" t="s">
        <v>2028</v>
      </c>
      <c r="E279" s="1" t="s">
        <v>594</v>
      </c>
      <c r="F279" s="1">
        <f>F280*F281</f>
        <v>0.13500000000000001</v>
      </c>
      <c r="G279" s="1" t="s">
        <v>229</v>
      </c>
      <c r="H279" s="1">
        <f t="shared" si="34"/>
        <v>0.13500000000000001</v>
      </c>
      <c r="I279" s="1" t="s">
        <v>2029</v>
      </c>
      <c r="J279" s="1">
        <f>F279/F175</f>
        <v>0.42857142857142855</v>
      </c>
      <c r="K279" s="1">
        <f>K175*J279</f>
        <v>1.0853768456947197E-2</v>
      </c>
      <c r="L279" s="1" t="str">
        <f t="shared" si="31"/>
        <v>増加→総重量増</v>
      </c>
      <c r="M279" s="1" t="s">
        <v>1474</v>
      </c>
      <c r="N279" s="1"/>
      <c r="O279" s="1">
        <f t="shared" si="33"/>
        <v>0</v>
      </c>
      <c r="P279" s="1"/>
      <c r="Q279" s="1">
        <f t="shared" si="32"/>
        <v>1</v>
      </c>
      <c r="R279" s="1">
        <f>IF(Q279=1,COUNTIF($Q$5:Q279,1),"")</f>
        <v>202</v>
      </c>
    </row>
    <row r="280" spans="1:18">
      <c r="A280" s="1" t="s">
        <v>2030</v>
      </c>
      <c r="B280" s="1" t="s">
        <v>2027</v>
      </c>
      <c r="C280" s="1">
        <v>3</v>
      </c>
      <c r="D280" s="1" t="s">
        <v>592</v>
      </c>
      <c r="E280" s="1" t="s">
        <v>593</v>
      </c>
      <c r="F280" s="1">
        <f>'01_入力仕様'!D134</f>
        <v>3</v>
      </c>
      <c r="G280" s="1" t="s">
        <v>114</v>
      </c>
      <c r="H280" s="1">
        <f t="shared" si="34"/>
        <v>0.13500000000000001</v>
      </c>
      <c r="I280" s="1" t="s">
        <v>1482</v>
      </c>
      <c r="J280" s="1">
        <f>1</f>
        <v>1</v>
      </c>
      <c r="K280" s="1">
        <f>K279*J280</f>
        <v>1.0853768456947197E-2</v>
      </c>
      <c r="L280" s="1" t="str">
        <f t="shared" si="31"/>
        <v>増加→総重量増</v>
      </c>
      <c r="M280" s="1" t="s">
        <v>1474</v>
      </c>
      <c r="N280" s="1"/>
      <c r="O280" s="1">
        <f t="shared" si="33"/>
        <v>1</v>
      </c>
      <c r="P280" s="1"/>
      <c r="Q280" s="1">
        <f t="shared" si="32"/>
        <v>1</v>
      </c>
      <c r="R280" s="1">
        <f>IF(Q280=1,COUNTIF($Q$5:Q280,1),"")</f>
        <v>203</v>
      </c>
    </row>
    <row r="281" spans="1:18">
      <c r="A281" s="1" t="s">
        <v>2031</v>
      </c>
      <c r="B281" s="1" t="s">
        <v>2027</v>
      </c>
      <c r="C281" s="1">
        <v>3</v>
      </c>
      <c r="D281" s="1" t="s">
        <v>2032</v>
      </c>
      <c r="E281" s="1" t="s">
        <v>597</v>
      </c>
      <c r="F281" s="1">
        <f>'01_入力仕様'!D135</f>
        <v>4.4999999999999998E-2</v>
      </c>
      <c r="G281" s="1" t="s">
        <v>433</v>
      </c>
      <c r="H281" s="1">
        <f t="shared" si="34"/>
        <v>0.13500000000000001</v>
      </c>
      <c r="I281" s="1" t="s">
        <v>1482</v>
      </c>
      <c r="J281" s="1">
        <f>1</f>
        <v>1</v>
      </c>
      <c r="K281" s="1">
        <f>K279*J281</f>
        <v>1.0853768456947197E-2</v>
      </c>
      <c r="L281" s="1" t="str">
        <f t="shared" si="31"/>
        <v>増加→総重量増</v>
      </c>
      <c r="M281" s="1" t="s">
        <v>1474</v>
      </c>
      <c r="N281" s="1"/>
      <c r="O281" s="1">
        <f t="shared" si="33"/>
        <v>1</v>
      </c>
      <c r="P281" s="1"/>
      <c r="Q281" s="1">
        <f t="shared" si="32"/>
        <v>1</v>
      </c>
      <c r="R281" s="1">
        <f>IF(Q281=1,COUNTIF($Q$5:Q281,1),"")</f>
        <v>204</v>
      </c>
    </row>
    <row r="282" spans="1:18">
      <c r="A282" s="1" t="s">
        <v>2033</v>
      </c>
      <c r="B282" s="1" t="s">
        <v>1850</v>
      </c>
      <c r="C282" s="1">
        <v>2</v>
      </c>
      <c r="D282" s="1" t="s">
        <v>2034</v>
      </c>
      <c r="E282" s="1" t="s">
        <v>601</v>
      </c>
      <c r="F282" s="1">
        <f>F283*F284</f>
        <v>0.05</v>
      </c>
      <c r="G282" s="1" t="s">
        <v>229</v>
      </c>
      <c r="H282" s="1">
        <f t="shared" si="34"/>
        <v>0.05</v>
      </c>
      <c r="I282" s="1" t="s">
        <v>2035</v>
      </c>
      <c r="J282" s="1">
        <f>F282/F175</f>
        <v>0.15873015873015872</v>
      </c>
      <c r="K282" s="1">
        <f>K175*J282</f>
        <v>4.0199142433137765E-3</v>
      </c>
      <c r="L282" s="1" t="str">
        <f t="shared" si="31"/>
        <v>増加→総重量増</v>
      </c>
      <c r="M282" s="1" t="s">
        <v>1474</v>
      </c>
      <c r="N282" s="1"/>
      <c r="O282" s="1">
        <f t="shared" si="33"/>
        <v>0</v>
      </c>
      <c r="P282" s="1"/>
      <c r="Q282" s="1">
        <f t="shared" si="32"/>
        <v>1</v>
      </c>
      <c r="R282" s="1">
        <f>IF(Q282=1,COUNTIF($Q$5:Q282,1),"")</f>
        <v>205</v>
      </c>
    </row>
    <row r="283" spans="1:18">
      <c r="A283" s="1" t="s">
        <v>2036</v>
      </c>
      <c r="B283" s="1" t="s">
        <v>2033</v>
      </c>
      <c r="C283" s="1">
        <v>3</v>
      </c>
      <c r="D283" s="1" t="s">
        <v>599</v>
      </c>
      <c r="E283" s="1" t="s">
        <v>600</v>
      </c>
      <c r="F283" s="1">
        <f>'01_入力仕様'!D136</f>
        <v>2</v>
      </c>
      <c r="G283" s="1" t="s">
        <v>114</v>
      </c>
      <c r="H283" s="1">
        <f t="shared" si="34"/>
        <v>0.05</v>
      </c>
      <c r="I283" s="1" t="s">
        <v>1482</v>
      </c>
      <c r="J283" s="1">
        <f>1</f>
        <v>1</v>
      </c>
      <c r="K283" s="1">
        <f>K282*J283</f>
        <v>4.0199142433137765E-3</v>
      </c>
      <c r="L283" s="1" t="str">
        <f t="shared" si="31"/>
        <v>増加→総重量増</v>
      </c>
      <c r="M283" s="1" t="s">
        <v>1474</v>
      </c>
      <c r="N283" s="1"/>
      <c r="O283" s="1">
        <f t="shared" si="33"/>
        <v>1</v>
      </c>
      <c r="P283" s="1"/>
      <c r="Q283" s="1">
        <f t="shared" si="32"/>
        <v>1</v>
      </c>
      <c r="R283" s="1">
        <f>IF(Q283=1,COUNTIF($Q$5:Q283,1),"")</f>
        <v>206</v>
      </c>
    </row>
    <row r="284" spans="1:18">
      <c r="A284" s="1" t="s">
        <v>2037</v>
      </c>
      <c r="B284" s="1" t="s">
        <v>2033</v>
      </c>
      <c r="C284" s="1">
        <v>3</v>
      </c>
      <c r="D284" s="1" t="s">
        <v>2032</v>
      </c>
      <c r="E284" s="1" t="s">
        <v>604</v>
      </c>
      <c r="F284" s="1">
        <f>'01_入力仕様'!D137</f>
        <v>2.5000000000000001E-2</v>
      </c>
      <c r="G284" s="1" t="s">
        <v>433</v>
      </c>
      <c r="H284" s="1">
        <f t="shared" si="34"/>
        <v>0.05</v>
      </c>
      <c r="I284" s="1" t="s">
        <v>1482</v>
      </c>
      <c r="J284" s="1">
        <f>1</f>
        <v>1</v>
      </c>
      <c r="K284" s="1">
        <f>K282*J284</f>
        <v>4.0199142433137765E-3</v>
      </c>
      <c r="L284" s="1" t="str">
        <f t="shared" si="31"/>
        <v>増加→総重量増</v>
      </c>
      <c r="M284" s="1" t="s">
        <v>1474</v>
      </c>
      <c r="N284" s="1"/>
      <c r="O284" s="1">
        <f t="shared" si="33"/>
        <v>1</v>
      </c>
      <c r="P284" s="1"/>
      <c r="Q284" s="1">
        <f t="shared" si="32"/>
        <v>1</v>
      </c>
      <c r="R284" s="1">
        <f>IF(Q284=1,COUNTIF($Q$5:Q284,1),"")</f>
        <v>207</v>
      </c>
    </row>
    <row r="285" spans="1:18">
      <c r="A285" s="1" t="s">
        <v>2038</v>
      </c>
      <c r="B285" s="1" t="s">
        <v>1850</v>
      </c>
      <c r="C285" s="1">
        <v>2</v>
      </c>
      <c r="D285" s="1" t="s">
        <v>2039</v>
      </c>
      <c r="E285" s="1" t="s">
        <v>608</v>
      </c>
      <c r="F285" s="1">
        <f>F286*F287</f>
        <v>0.04</v>
      </c>
      <c r="G285" s="1" t="s">
        <v>229</v>
      </c>
      <c r="H285" s="1">
        <f t="shared" si="34"/>
        <v>0.04</v>
      </c>
      <c r="I285" s="1" t="s">
        <v>2040</v>
      </c>
      <c r="J285" s="1">
        <f>F285/F175</f>
        <v>0.12698412698412698</v>
      </c>
      <c r="K285" s="1">
        <f>K175*J285</f>
        <v>3.2159313946510215E-3</v>
      </c>
      <c r="L285" s="1" t="str">
        <f t="shared" si="31"/>
        <v>増加→総重量増</v>
      </c>
      <c r="M285" s="1" t="s">
        <v>1474</v>
      </c>
      <c r="N285" s="1"/>
      <c r="O285" s="1">
        <f t="shared" si="33"/>
        <v>0</v>
      </c>
      <c r="P285" s="1"/>
      <c r="Q285" s="1">
        <f t="shared" si="32"/>
        <v>1</v>
      </c>
      <c r="R285" s="1">
        <f>IF(Q285=1,COUNTIF($Q$5:Q285,1),"")</f>
        <v>208</v>
      </c>
    </row>
    <row r="286" spans="1:18">
      <c r="A286" s="1" t="s">
        <v>2041</v>
      </c>
      <c r="B286" s="1" t="s">
        <v>2038</v>
      </c>
      <c r="C286" s="1">
        <v>3</v>
      </c>
      <c r="D286" s="1" t="s">
        <v>606</v>
      </c>
      <c r="E286" s="1" t="s">
        <v>607</v>
      </c>
      <c r="F286" s="1">
        <f>'01_入力仕様'!D138</f>
        <v>4</v>
      </c>
      <c r="G286" s="1" t="s">
        <v>114</v>
      </c>
      <c r="H286" s="1">
        <f t="shared" si="34"/>
        <v>0.04</v>
      </c>
      <c r="I286" s="1" t="s">
        <v>1482</v>
      </c>
      <c r="J286" s="1">
        <f>1</f>
        <v>1</v>
      </c>
      <c r="K286" s="1">
        <f>K285*J286</f>
        <v>3.2159313946510215E-3</v>
      </c>
      <c r="L286" s="1" t="str">
        <f t="shared" ref="L286:L317" si="35">IF(K286&gt;0,"増加→総重量増",IF(K286&lt;0,"増加→総重量減","中立"))</f>
        <v>増加→総重量増</v>
      </c>
      <c r="M286" s="1" t="s">
        <v>1474</v>
      </c>
      <c r="N286" s="1"/>
      <c r="O286" s="1">
        <f t="shared" si="33"/>
        <v>1</v>
      </c>
      <c r="P286" s="1"/>
      <c r="Q286" s="1">
        <f t="shared" ref="Q286:Q315" si="36">IF(E286="","",--(MATCH(E286,$E$5:$E$560,0)=ROW()-4))</f>
        <v>1</v>
      </c>
      <c r="R286" s="1">
        <f>IF(Q286=1,COUNTIF($Q$5:Q286,1),"")</f>
        <v>209</v>
      </c>
    </row>
    <row r="287" spans="1:18">
      <c r="A287" s="1" t="s">
        <v>2042</v>
      </c>
      <c r="B287" s="1" t="s">
        <v>2038</v>
      </c>
      <c r="C287" s="1">
        <v>3</v>
      </c>
      <c r="D287" s="1" t="s">
        <v>2032</v>
      </c>
      <c r="E287" s="1" t="s">
        <v>611</v>
      </c>
      <c r="F287" s="1">
        <f>'01_入力仕様'!D139</f>
        <v>0.01</v>
      </c>
      <c r="G287" s="1" t="s">
        <v>433</v>
      </c>
      <c r="H287" s="1">
        <f t="shared" si="34"/>
        <v>0.04</v>
      </c>
      <c r="I287" s="1" t="s">
        <v>1482</v>
      </c>
      <c r="J287" s="1">
        <f>1</f>
        <v>1</v>
      </c>
      <c r="K287" s="1">
        <f>K285*J287</f>
        <v>3.2159313946510215E-3</v>
      </c>
      <c r="L287" s="1" t="str">
        <f t="shared" si="35"/>
        <v>増加→総重量増</v>
      </c>
      <c r="M287" s="1" t="s">
        <v>1474</v>
      </c>
      <c r="N287" s="1"/>
      <c r="O287" s="1">
        <f t="shared" si="33"/>
        <v>1</v>
      </c>
      <c r="P287" s="1"/>
      <c r="Q287" s="1">
        <f t="shared" si="36"/>
        <v>1</v>
      </c>
      <c r="R287" s="1">
        <f>IF(Q287=1,COUNTIF($Q$5:Q287,1),"")</f>
        <v>210</v>
      </c>
    </row>
    <row r="288" spans="1:18">
      <c r="A288" s="1" t="s">
        <v>2043</v>
      </c>
      <c r="B288" s="1" t="s">
        <v>1850</v>
      </c>
      <c r="C288" s="1">
        <v>2</v>
      </c>
      <c r="D288" s="1" t="s">
        <v>613</v>
      </c>
      <c r="E288" s="1" t="s">
        <v>614</v>
      </c>
      <c r="F288" s="1">
        <f>'01_入力仕様'!D140</f>
        <v>5.5E-2</v>
      </c>
      <c r="G288" s="1" t="s">
        <v>229</v>
      </c>
      <c r="H288" s="1">
        <f t="shared" si="34"/>
        <v>5.4999999999999993E-2</v>
      </c>
      <c r="I288" s="1" t="s">
        <v>1482</v>
      </c>
      <c r="J288" s="1">
        <f>'01_入力仕様'!D140/F175</f>
        <v>0.17460317460317457</v>
      </c>
      <c r="K288" s="1">
        <f>K175*J288</f>
        <v>4.4219056676451539E-3</v>
      </c>
      <c r="L288" s="1" t="str">
        <f t="shared" si="35"/>
        <v>増加→総重量増</v>
      </c>
      <c r="M288" s="1" t="s">
        <v>1474</v>
      </c>
      <c r="N288" s="1"/>
      <c r="O288" s="1">
        <f t="shared" si="33"/>
        <v>1</v>
      </c>
      <c r="P288" s="1"/>
      <c r="Q288" s="1">
        <f t="shared" si="36"/>
        <v>1</v>
      </c>
      <c r="R288" s="1">
        <f>IF(Q288=1,COUNTIF($Q$5:Q288,1),"")</f>
        <v>211</v>
      </c>
    </row>
    <row r="289" spans="1:18">
      <c r="A289" s="1" t="s">
        <v>2044</v>
      </c>
      <c r="B289" s="1" t="s">
        <v>1852</v>
      </c>
      <c r="C289" s="1">
        <v>2</v>
      </c>
      <c r="D289" s="1" t="s">
        <v>2045</v>
      </c>
      <c r="E289" s="1" t="s">
        <v>620</v>
      </c>
      <c r="F289" s="1">
        <f>F290*F291</f>
        <v>0.11</v>
      </c>
      <c r="G289" s="1" t="s">
        <v>229</v>
      </c>
      <c r="H289" s="1">
        <f t="shared" si="34"/>
        <v>0.10999999999999999</v>
      </c>
      <c r="I289" s="1" t="s">
        <v>2046</v>
      </c>
      <c r="J289" s="1">
        <f>F289/F176</f>
        <v>0.26190476190476186</v>
      </c>
      <c r="K289" s="1">
        <f>K176*J289</f>
        <v>8.8438113352903077E-3</v>
      </c>
      <c r="L289" s="1" t="str">
        <f t="shared" si="35"/>
        <v>増加→総重量増</v>
      </c>
      <c r="M289" s="1" t="s">
        <v>1474</v>
      </c>
      <c r="N289" s="1"/>
      <c r="O289" s="1">
        <f t="shared" si="33"/>
        <v>0</v>
      </c>
      <c r="P289" s="1"/>
      <c r="Q289" s="1">
        <f t="shared" si="36"/>
        <v>1</v>
      </c>
      <c r="R289" s="1">
        <f>IF(Q289=1,COUNTIF($Q$5:Q289,1),"")</f>
        <v>212</v>
      </c>
    </row>
    <row r="290" spans="1:18">
      <c r="A290" s="1" t="s">
        <v>2047</v>
      </c>
      <c r="B290" s="1" t="s">
        <v>2044</v>
      </c>
      <c r="C290" s="1">
        <v>3</v>
      </c>
      <c r="D290" s="1" t="s">
        <v>618</v>
      </c>
      <c r="E290" s="1" t="s">
        <v>619</v>
      </c>
      <c r="F290" s="1">
        <f>'01_入力仕様'!D141</f>
        <v>2</v>
      </c>
      <c r="G290" s="1" t="s">
        <v>114</v>
      </c>
      <c r="H290" s="1">
        <f t="shared" si="34"/>
        <v>0.10999999999999999</v>
      </c>
      <c r="I290" s="1" t="s">
        <v>1482</v>
      </c>
      <c r="J290" s="1">
        <f>1</f>
        <v>1</v>
      </c>
      <c r="K290" s="1">
        <f>K289*J290</f>
        <v>8.8438113352903077E-3</v>
      </c>
      <c r="L290" s="1" t="str">
        <f t="shared" si="35"/>
        <v>増加→総重量増</v>
      </c>
      <c r="M290" s="1" t="s">
        <v>1474</v>
      </c>
      <c r="N290" s="1"/>
      <c r="O290" s="1">
        <f t="shared" si="33"/>
        <v>1</v>
      </c>
      <c r="P290" s="1"/>
      <c r="Q290" s="1">
        <f t="shared" si="36"/>
        <v>1</v>
      </c>
      <c r="R290" s="1">
        <f>IF(Q290=1,COUNTIF($Q$5:Q290,1),"")</f>
        <v>213</v>
      </c>
    </row>
    <row r="291" spans="1:18">
      <c r="A291" s="1" t="s">
        <v>2048</v>
      </c>
      <c r="B291" s="1" t="s">
        <v>2044</v>
      </c>
      <c r="C291" s="1">
        <v>3</v>
      </c>
      <c r="D291" s="1" t="s">
        <v>622</v>
      </c>
      <c r="E291" s="1" t="s">
        <v>623</v>
      </c>
      <c r="F291" s="1">
        <f>'01_入力仕様'!D142</f>
        <v>5.5E-2</v>
      </c>
      <c r="G291" s="1" t="s">
        <v>433</v>
      </c>
      <c r="H291" s="1">
        <f t="shared" si="34"/>
        <v>0.10999999999999999</v>
      </c>
      <c r="I291" s="1" t="s">
        <v>1482</v>
      </c>
      <c r="J291" s="1">
        <f>1</f>
        <v>1</v>
      </c>
      <c r="K291" s="1">
        <f>K289*J291</f>
        <v>8.8438113352903077E-3</v>
      </c>
      <c r="L291" s="1" t="str">
        <f t="shared" si="35"/>
        <v>増加→総重量増</v>
      </c>
      <c r="M291" s="1" t="s">
        <v>1474</v>
      </c>
      <c r="N291" s="1"/>
      <c r="O291" s="1">
        <f t="shared" si="33"/>
        <v>1</v>
      </c>
      <c r="P291" s="1"/>
      <c r="Q291" s="1">
        <f t="shared" si="36"/>
        <v>1</v>
      </c>
      <c r="R291" s="1">
        <f>IF(Q291=1,COUNTIF($Q$5:Q291,1),"")</f>
        <v>214</v>
      </c>
    </row>
    <row r="292" spans="1:18">
      <c r="A292" s="1" t="s">
        <v>2049</v>
      </c>
      <c r="B292" s="1" t="s">
        <v>1852</v>
      </c>
      <c r="C292" s="1">
        <v>2</v>
      </c>
      <c r="D292" s="1" t="s">
        <v>2050</v>
      </c>
      <c r="E292" s="1" t="s">
        <v>627</v>
      </c>
      <c r="F292" s="1">
        <f>F293*F294</f>
        <v>0.16500000000000001</v>
      </c>
      <c r="G292" s="1" t="s">
        <v>229</v>
      </c>
      <c r="H292" s="1">
        <f t="shared" si="34"/>
        <v>0.16500000000000001</v>
      </c>
      <c r="I292" s="1" t="s">
        <v>2051</v>
      </c>
      <c r="J292" s="1">
        <f>F292/F176</f>
        <v>0.39285714285714285</v>
      </c>
      <c r="K292" s="1">
        <f>K176*J292</f>
        <v>1.3265717002935462E-2</v>
      </c>
      <c r="L292" s="1" t="str">
        <f t="shared" si="35"/>
        <v>増加→総重量増</v>
      </c>
      <c r="M292" s="1" t="s">
        <v>1474</v>
      </c>
      <c r="N292" s="1"/>
      <c r="O292" s="1">
        <f t="shared" si="33"/>
        <v>0</v>
      </c>
      <c r="P292" s="1"/>
      <c r="Q292" s="1">
        <f t="shared" si="36"/>
        <v>1</v>
      </c>
      <c r="R292" s="1">
        <f>IF(Q292=1,COUNTIF($Q$5:Q292,1),"")</f>
        <v>215</v>
      </c>
    </row>
    <row r="293" spans="1:18">
      <c r="A293" s="1" t="s">
        <v>2052</v>
      </c>
      <c r="B293" s="1" t="s">
        <v>2049</v>
      </c>
      <c r="C293" s="1">
        <v>3</v>
      </c>
      <c r="D293" s="1" t="s">
        <v>625</v>
      </c>
      <c r="E293" s="1" t="s">
        <v>626</v>
      </c>
      <c r="F293" s="1">
        <f>'01_入力仕様'!D143</f>
        <v>3</v>
      </c>
      <c r="G293" s="1" t="s">
        <v>114</v>
      </c>
      <c r="H293" s="1">
        <f t="shared" si="34"/>
        <v>0.16500000000000001</v>
      </c>
      <c r="I293" s="1" t="s">
        <v>1482</v>
      </c>
      <c r="J293" s="1">
        <f>1</f>
        <v>1</v>
      </c>
      <c r="K293" s="1">
        <f>K292*J293</f>
        <v>1.3265717002935462E-2</v>
      </c>
      <c r="L293" s="1" t="str">
        <f t="shared" si="35"/>
        <v>増加→総重量増</v>
      </c>
      <c r="M293" s="1" t="s">
        <v>1474</v>
      </c>
      <c r="N293" s="1"/>
      <c r="O293" s="1">
        <f t="shared" si="33"/>
        <v>1</v>
      </c>
      <c r="P293" s="1"/>
      <c r="Q293" s="1">
        <f t="shared" si="36"/>
        <v>1</v>
      </c>
      <c r="R293" s="1">
        <f>IF(Q293=1,COUNTIF($Q$5:Q293,1),"")</f>
        <v>216</v>
      </c>
    </row>
    <row r="294" spans="1:18">
      <c r="A294" s="1" t="s">
        <v>2053</v>
      </c>
      <c r="B294" s="1" t="s">
        <v>2049</v>
      </c>
      <c r="C294" s="1">
        <v>3</v>
      </c>
      <c r="D294" s="1" t="s">
        <v>629</v>
      </c>
      <c r="E294" s="1" t="s">
        <v>630</v>
      </c>
      <c r="F294" s="1">
        <f>'01_入力仕様'!D144</f>
        <v>5.5E-2</v>
      </c>
      <c r="G294" s="1" t="s">
        <v>433</v>
      </c>
      <c r="H294" s="1">
        <f t="shared" si="34"/>
        <v>0.16500000000000001</v>
      </c>
      <c r="I294" s="1" t="s">
        <v>1482</v>
      </c>
      <c r="J294" s="1">
        <f>1</f>
        <v>1</v>
      </c>
      <c r="K294" s="1">
        <f>K292*J294</f>
        <v>1.3265717002935462E-2</v>
      </c>
      <c r="L294" s="1" t="str">
        <f t="shared" si="35"/>
        <v>増加→総重量増</v>
      </c>
      <c r="M294" s="1" t="s">
        <v>1474</v>
      </c>
      <c r="N294" s="1"/>
      <c r="O294" s="1">
        <f t="shared" si="33"/>
        <v>1</v>
      </c>
      <c r="P294" s="1"/>
      <c r="Q294" s="1">
        <f t="shared" si="36"/>
        <v>1</v>
      </c>
      <c r="R294" s="1">
        <f>IF(Q294=1,COUNTIF($Q$5:Q294,1),"")</f>
        <v>217</v>
      </c>
    </row>
    <row r="295" spans="1:18">
      <c r="A295" s="1" t="s">
        <v>2054</v>
      </c>
      <c r="B295" s="1" t="s">
        <v>1852</v>
      </c>
      <c r="C295" s="1">
        <v>2</v>
      </c>
      <c r="D295" s="1" t="s">
        <v>632</v>
      </c>
      <c r="E295" s="1" t="s">
        <v>633</v>
      </c>
      <c r="F295" s="1">
        <f>'01_入力仕様'!D145</f>
        <v>7.4999999999999997E-2</v>
      </c>
      <c r="G295" s="1" t="s">
        <v>229</v>
      </c>
      <c r="H295" s="1">
        <f t="shared" si="34"/>
        <v>7.4999999999999997E-2</v>
      </c>
      <c r="I295" s="1" t="s">
        <v>1482</v>
      </c>
      <c r="J295" s="1">
        <f>'01_入力仕様'!D145/F176</f>
        <v>0.17857142857142855</v>
      </c>
      <c r="K295" s="1">
        <f>K176*J295</f>
        <v>6.0298713649706648E-3</v>
      </c>
      <c r="L295" s="1" t="str">
        <f t="shared" si="35"/>
        <v>増加→総重量増</v>
      </c>
      <c r="M295" s="1" t="s">
        <v>1474</v>
      </c>
      <c r="N295" s="1"/>
      <c r="O295" s="1">
        <f t="shared" si="33"/>
        <v>1</v>
      </c>
      <c r="P295" s="1"/>
      <c r="Q295" s="1">
        <f t="shared" si="36"/>
        <v>1</v>
      </c>
      <c r="R295" s="1">
        <f>IF(Q295=1,COUNTIF($Q$5:Q295,1),"")</f>
        <v>218</v>
      </c>
    </row>
    <row r="296" spans="1:18">
      <c r="A296" s="1" t="s">
        <v>2055</v>
      </c>
      <c r="B296" s="1" t="s">
        <v>1852</v>
      </c>
      <c r="C296" s="1">
        <v>2</v>
      </c>
      <c r="D296" s="1" t="s">
        <v>636</v>
      </c>
      <c r="E296" s="1" t="s">
        <v>637</v>
      </c>
      <c r="F296" s="1">
        <f>'01_入力仕様'!D146</f>
        <v>7.0000000000000007E-2</v>
      </c>
      <c r="G296" s="1" t="s">
        <v>229</v>
      </c>
      <c r="H296" s="1">
        <f t="shared" si="34"/>
        <v>7.0000000000000007E-2</v>
      </c>
      <c r="I296" s="1" t="s">
        <v>1482</v>
      </c>
      <c r="J296" s="1">
        <f>F296/(F289+F292+F295+F296)</f>
        <v>0.16666666666666666</v>
      </c>
      <c r="K296" s="1">
        <f>K176*J296</f>
        <v>5.6278799406392875E-3</v>
      </c>
      <c r="L296" s="1" t="str">
        <f t="shared" si="35"/>
        <v>増加→総重量増</v>
      </c>
      <c r="M296" s="1" t="s">
        <v>1474</v>
      </c>
      <c r="N296" s="1"/>
      <c r="O296" s="1">
        <f t="shared" si="33"/>
        <v>1</v>
      </c>
      <c r="P296" s="1"/>
      <c r="Q296" s="1">
        <f t="shared" si="36"/>
        <v>1</v>
      </c>
      <c r="R296" s="1">
        <f>IF(Q296=1,COUNTIF($Q$5:Q296,1),"")</f>
        <v>219</v>
      </c>
    </row>
    <row r="297" spans="1:18">
      <c r="A297" s="1" t="s">
        <v>2056</v>
      </c>
      <c r="B297" s="1" t="s">
        <v>1854</v>
      </c>
      <c r="C297" s="1">
        <v>2</v>
      </c>
      <c r="D297" s="1" t="s">
        <v>640</v>
      </c>
      <c r="E297" s="1" t="s">
        <v>641</v>
      </c>
      <c r="F297" s="1">
        <f>'01_入力仕様'!D147</f>
        <v>0.15</v>
      </c>
      <c r="G297" s="1" t="s">
        <v>229</v>
      </c>
      <c r="H297" s="1">
        <f t="shared" si="34"/>
        <v>0.15</v>
      </c>
      <c r="I297" s="1" t="s">
        <v>1482</v>
      </c>
      <c r="J297" s="1">
        <f>'01_入力仕様'!D147/F177</f>
        <v>0.13996199779917534</v>
      </c>
      <c r="K297" s="1">
        <f>K177*J297</f>
        <v>1.205974272994133E-2</v>
      </c>
      <c r="L297" s="1" t="str">
        <f t="shared" si="35"/>
        <v>増加→総重量増</v>
      </c>
      <c r="M297" s="1" t="s">
        <v>1474</v>
      </c>
      <c r="N297" s="1"/>
      <c r="O297" s="1">
        <f t="shared" si="33"/>
        <v>1</v>
      </c>
      <c r="P297" s="1"/>
      <c r="Q297" s="1">
        <f t="shared" si="36"/>
        <v>1</v>
      </c>
      <c r="R297" s="1">
        <f>IF(Q297=1,COUNTIF($Q$5:Q297,1),"")</f>
        <v>220</v>
      </c>
    </row>
    <row r="298" spans="1:18">
      <c r="A298" s="1" t="s">
        <v>2057</v>
      </c>
      <c r="B298" s="1" t="s">
        <v>1854</v>
      </c>
      <c r="C298" s="1">
        <v>2</v>
      </c>
      <c r="D298" s="1" t="s">
        <v>644</v>
      </c>
      <c r="E298" s="1" t="s">
        <v>645</v>
      </c>
      <c r="F298" s="1">
        <f>'01_入力仕様'!D148</f>
        <v>0.15</v>
      </c>
      <c r="G298" s="1" t="s">
        <v>229</v>
      </c>
      <c r="H298" s="1">
        <f t="shared" si="34"/>
        <v>0.15</v>
      </c>
      <c r="I298" s="1" t="s">
        <v>1482</v>
      </c>
      <c r="J298" s="1">
        <f>'01_入力仕様'!D148/F177</f>
        <v>0.13996199779917534</v>
      </c>
      <c r="K298" s="1">
        <f>K177*J298</f>
        <v>1.205974272994133E-2</v>
      </c>
      <c r="L298" s="1" t="str">
        <f t="shared" si="35"/>
        <v>増加→総重量増</v>
      </c>
      <c r="M298" s="1" t="s">
        <v>1474</v>
      </c>
      <c r="N298" s="1"/>
      <c r="O298" s="1">
        <f t="shared" si="33"/>
        <v>1</v>
      </c>
      <c r="P298" s="1"/>
      <c r="Q298" s="1">
        <f t="shared" si="36"/>
        <v>1</v>
      </c>
      <c r="R298" s="1">
        <f>IF(Q298=1,COUNTIF($Q$5:Q298,1),"")</f>
        <v>221</v>
      </c>
    </row>
    <row r="299" spans="1:18">
      <c r="A299" s="1" t="s">
        <v>2058</v>
      </c>
      <c r="B299" s="1" t="s">
        <v>1854</v>
      </c>
      <c r="C299" s="1">
        <v>2</v>
      </c>
      <c r="D299" s="1" t="s">
        <v>647</v>
      </c>
      <c r="E299" s="1" t="s">
        <v>648</v>
      </c>
      <c r="F299" s="1">
        <f>'01_入力仕様'!D149</f>
        <v>0.2</v>
      </c>
      <c r="G299" s="1" t="s">
        <v>229</v>
      </c>
      <c r="H299" s="1">
        <f t="shared" si="34"/>
        <v>0.2</v>
      </c>
      <c r="I299" s="1" t="s">
        <v>1482</v>
      </c>
      <c r="J299" s="1">
        <f>'01_入力仕様'!D149/F177</f>
        <v>0.18661599706556714</v>
      </c>
      <c r="K299" s="1">
        <f>K177*J299</f>
        <v>1.6079656973255106E-2</v>
      </c>
      <c r="L299" s="1" t="str">
        <f t="shared" si="35"/>
        <v>増加→総重量増</v>
      </c>
      <c r="M299" s="1" t="s">
        <v>1474</v>
      </c>
      <c r="N299" s="1"/>
      <c r="O299" s="1">
        <f t="shared" si="33"/>
        <v>1</v>
      </c>
      <c r="P299" s="1"/>
      <c r="Q299" s="1">
        <f t="shared" si="36"/>
        <v>1</v>
      </c>
      <c r="R299" s="1">
        <f>IF(Q299=1,COUNTIF($Q$5:Q299,1),"")</f>
        <v>222</v>
      </c>
    </row>
    <row r="300" spans="1:18">
      <c r="A300" s="1" t="s">
        <v>2059</v>
      </c>
      <c r="B300" s="1" t="s">
        <v>1621</v>
      </c>
      <c r="C300" s="1">
        <v>6</v>
      </c>
      <c r="D300" s="1" t="s">
        <v>2060</v>
      </c>
      <c r="E300" s="1" t="s">
        <v>2061</v>
      </c>
      <c r="F300" s="1">
        <f>F301/(('01_入力仕様'!D153+'01_入力仕様'!D154)/2)</f>
        <v>1</v>
      </c>
      <c r="G300" s="1" t="s">
        <v>86</v>
      </c>
      <c r="H300" s="1">
        <f t="shared" si="34"/>
        <v>4.6121749387180254E-4</v>
      </c>
      <c r="I300" s="1" t="s">
        <v>2062</v>
      </c>
      <c r="J300" s="1">
        <f>1</f>
        <v>1</v>
      </c>
      <c r="K300" s="1">
        <f>K68*J300</f>
        <v>3.7081095457614869E-5</v>
      </c>
      <c r="L300" s="1" t="str">
        <f t="shared" si="35"/>
        <v>増加→総重量増</v>
      </c>
      <c r="M300" s="1" t="s">
        <v>1474</v>
      </c>
      <c r="N300" s="1"/>
      <c r="O300" s="1">
        <f t="shared" si="33"/>
        <v>0</v>
      </c>
      <c r="P300" s="1"/>
      <c r="Q300" s="1">
        <f t="shared" si="36"/>
        <v>1</v>
      </c>
      <c r="R300" s="1">
        <f>IF(Q300=1,COUNTIF($Q$5:Q300,1),"")</f>
        <v>223</v>
      </c>
    </row>
    <row r="301" spans="1:18">
      <c r="A301" s="1" t="s">
        <v>2063</v>
      </c>
      <c r="B301" s="1" t="s">
        <v>2059</v>
      </c>
      <c r="C301" s="1">
        <v>7</v>
      </c>
      <c r="D301" s="1" t="s">
        <v>2064</v>
      </c>
      <c r="E301" s="1" t="s">
        <v>677</v>
      </c>
      <c r="F301" s="1">
        <f>(F302+F305)/2*F309</f>
        <v>4.9999999999999998E-8</v>
      </c>
      <c r="G301" s="1" t="s">
        <v>109</v>
      </c>
      <c r="H301" s="1">
        <f t="shared" si="34"/>
        <v>4.6121749387180254E-4</v>
      </c>
      <c r="I301" s="1" t="s">
        <v>2065</v>
      </c>
      <c r="J301" s="1">
        <f>1</f>
        <v>1</v>
      </c>
      <c r="K301" s="1">
        <f>K300*J301</f>
        <v>3.7081095457614869E-5</v>
      </c>
      <c r="L301" s="1" t="str">
        <f t="shared" si="35"/>
        <v>増加→総重量増</v>
      </c>
      <c r="M301" s="1" t="s">
        <v>1474</v>
      </c>
      <c r="N301" s="1"/>
      <c r="O301" s="1">
        <f t="shared" si="33"/>
        <v>0</v>
      </c>
      <c r="P301" s="1"/>
      <c r="Q301" s="1">
        <f t="shared" si="36"/>
        <v>1</v>
      </c>
      <c r="R301" s="1">
        <f>IF(Q301=1,COUNTIF($Q$5:Q301,1),"")</f>
        <v>224</v>
      </c>
    </row>
    <row r="302" spans="1:18">
      <c r="A302" s="1" t="s">
        <v>2066</v>
      </c>
      <c r="B302" s="1" t="s">
        <v>2063</v>
      </c>
      <c r="C302" s="1">
        <v>8</v>
      </c>
      <c r="D302" s="1" t="s">
        <v>2067</v>
      </c>
      <c r="E302" s="1" t="s">
        <v>665</v>
      </c>
      <c r="F302" s="1">
        <f>F304*F303/F308</f>
        <v>4.9999999999999998E-8</v>
      </c>
      <c r="G302" s="1" t="s">
        <v>109</v>
      </c>
      <c r="H302" s="1">
        <f t="shared" si="34"/>
        <v>2.3060874693590127E-4</v>
      </c>
      <c r="I302" s="1" t="s">
        <v>2068</v>
      </c>
      <c r="J302" s="1">
        <f>F302/(F302+F305)</f>
        <v>0.5</v>
      </c>
      <c r="K302" s="1">
        <f>K301*J302</f>
        <v>1.8540547728807434E-5</v>
      </c>
      <c r="L302" s="1" t="str">
        <f t="shared" si="35"/>
        <v>増加→総重量増</v>
      </c>
      <c r="M302" s="1" t="s">
        <v>1474</v>
      </c>
      <c r="N302" s="1"/>
      <c r="O302" s="1">
        <f t="shared" si="33"/>
        <v>0</v>
      </c>
      <c r="P302" s="1"/>
      <c r="Q302" s="1">
        <f t="shared" si="36"/>
        <v>1</v>
      </c>
      <c r="R302" s="1">
        <f>IF(Q302=1,COUNTIF($Q$5:Q302,1),"")</f>
        <v>225</v>
      </c>
    </row>
    <row r="303" spans="1:18">
      <c r="A303" s="1" t="s">
        <v>2069</v>
      </c>
      <c r="B303" s="1" t="s">
        <v>2066</v>
      </c>
      <c r="C303" s="1">
        <v>9</v>
      </c>
      <c r="D303" s="1" t="s">
        <v>651</v>
      </c>
      <c r="E303" s="1" t="s">
        <v>652</v>
      </c>
      <c r="F303" s="1">
        <f>'01_入力仕様'!D150</f>
        <v>4</v>
      </c>
      <c r="G303" s="1" t="s">
        <v>653</v>
      </c>
      <c r="H303" s="1">
        <f t="shared" si="34"/>
        <v>2.3060874693590127E-4</v>
      </c>
      <c r="I303" s="1" t="s">
        <v>1482</v>
      </c>
      <c r="J303" s="1">
        <f>1</f>
        <v>1</v>
      </c>
      <c r="K303" s="1">
        <f>K302*J303</f>
        <v>1.8540547728807434E-5</v>
      </c>
      <c r="L303" s="1" t="str">
        <f t="shared" si="35"/>
        <v>増加→総重量増</v>
      </c>
      <c r="M303" s="1" t="s">
        <v>1474</v>
      </c>
      <c r="N303" s="1" t="s">
        <v>2070</v>
      </c>
      <c r="O303" s="1">
        <f t="shared" si="33"/>
        <v>1</v>
      </c>
      <c r="P303" s="1"/>
      <c r="Q303" s="1">
        <f t="shared" si="36"/>
        <v>1</v>
      </c>
      <c r="R303" s="1">
        <f>IF(Q303=1,COUNTIF($Q$5:Q303,1),"")</f>
        <v>226</v>
      </c>
    </row>
    <row r="304" spans="1:18">
      <c r="A304" s="1" t="s">
        <v>2071</v>
      </c>
      <c r="B304" s="1" t="s">
        <v>2066</v>
      </c>
      <c r="C304" s="1">
        <v>9</v>
      </c>
      <c r="D304" s="1" t="s">
        <v>663</v>
      </c>
      <c r="E304" s="1" t="s">
        <v>664</v>
      </c>
      <c r="F304" s="1">
        <f>'01_入力仕様'!D153</f>
        <v>4.9999999999999998E-8</v>
      </c>
      <c r="G304" s="1" t="s">
        <v>109</v>
      </c>
      <c r="H304" s="1">
        <f t="shared" si="34"/>
        <v>2.3060874693590127E-4</v>
      </c>
      <c r="I304" s="1" t="s">
        <v>1482</v>
      </c>
      <c r="J304" s="1">
        <f>1</f>
        <v>1</v>
      </c>
      <c r="K304" s="1">
        <f>K302*J304</f>
        <v>1.8540547728807434E-5</v>
      </c>
      <c r="L304" s="1" t="str">
        <f t="shared" si="35"/>
        <v>増加→総重量増</v>
      </c>
      <c r="M304" s="1" t="s">
        <v>1474</v>
      </c>
      <c r="N304" s="1"/>
      <c r="O304" s="1">
        <f t="shared" si="33"/>
        <v>1</v>
      </c>
      <c r="P304" s="1"/>
      <c r="Q304" s="1">
        <f t="shared" si="36"/>
        <v>1</v>
      </c>
      <c r="R304" s="1">
        <f>IF(Q304=1,COUNTIF($Q$5:Q304,1),"")</f>
        <v>227</v>
      </c>
    </row>
    <row r="305" spans="1:18" ht="28.5">
      <c r="A305" s="1" t="s">
        <v>2072</v>
      </c>
      <c r="B305" s="1" t="s">
        <v>2063</v>
      </c>
      <c r="C305" s="1">
        <v>8</v>
      </c>
      <c r="D305" s="1" t="s">
        <v>2073</v>
      </c>
      <c r="E305" s="1" t="s">
        <v>669</v>
      </c>
      <c r="F305" s="1">
        <f>F307*F306/F642</f>
        <v>4.9999999999999998E-8</v>
      </c>
      <c r="G305" s="1" t="s">
        <v>109</v>
      </c>
      <c r="H305" s="1">
        <f t="shared" si="34"/>
        <v>2.3060874693590127E-4</v>
      </c>
      <c r="I305" s="1" t="s">
        <v>2074</v>
      </c>
      <c r="J305" s="1">
        <f>F305/(F302+F305)</f>
        <v>0.5</v>
      </c>
      <c r="K305" s="1">
        <f>K301*J305</f>
        <v>1.8540547728807434E-5</v>
      </c>
      <c r="L305" s="1" t="str">
        <f t="shared" si="35"/>
        <v>増加→総重量増</v>
      </c>
      <c r="M305" s="1" t="s">
        <v>1474</v>
      </c>
      <c r="N305" s="1" t="s">
        <v>2075</v>
      </c>
      <c r="O305" s="1">
        <f t="shared" si="33"/>
        <v>0</v>
      </c>
      <c r="P305" s="1"/>
      <c r="Q305" s="1">
        <f t="shared" si="36"/>
        <v>1</v>
      </c>
      <c r="R305" s="1">
        <f>IF(Q305=1,COUNTIF($Q$5:Q305,1),"")</f>
        <v>228</v>
      </c>
    </row>
    <row r="306" spans="1:18">
      <c r="A306" s="1" t="s">
        <v>2076</v>
      </c>
      <c r="B306" s="1" t="s">
        <v>2072</v>
      </c>
      <c r="C306" s="1">
        <v>9</v>
      </c>
      <c r="D306" s="1" t="s">
        <v>656</v>
      </c>
      <c r="E306" s="1" t="s">
        <v>657</v>
      </c>
      <c r="F306" s="1">
        <f>'01_入力仕様'!D151</f>
        <v>4</v>
      </c>
      <c r="G306" s="1" t="s">
        <v>653</v>
      </c>
      <c r="H306" s="1">
        <f t="shared" si="34"/>
        <v>2.3060874693590127E-4</v>
      </c>
      <c r="I306" s="1" t="s">
        <v>1482</v>
      </c>
      <c r="J306" s="1">
        <f>1</f>
        <v>1</v>
      </c>
      <c r="K306" s="1">
        <f>K305*J306</f>
        <v>1.8540547728807434E-5</v>
      </c>
      <c r="L306" s="1" t="str">
        <f t="shared" si="35"/>
        <v>増加→総重量増</v>
      </c>
      <c r="M306" s="1" t="s">
        <v>1474</v>
      </c>
      <c r="N306" s="1" t="s">
        <v>2077</v>
      </c>
      <c r="O306" s="1">
        <f t="shared" si="33"/>
        <v>1</v>
      </c>
      <c r="P306" s="1"/>
      <c r="Q306" s="1">
        <f t="shared" si="36"/>
        <v>1</v>
      </c>
      <c r="R306" s="1">
        <f>IF(Q306=1,COUNTIF($Q$5:Q306,1),"")</f>
        <v>229</v>
      </c>
    </row>
    <row r="307" spans="1:18">
      <c r="A307" s="1" t="s">
        <v>2078</v>
      </c>
      <c r="B307" s="1" t="s">
        <v>2072</v>
      </c>
      <c r="C307" s="1">
        <v>9</v>
      </c>
      <c r="D307" s="1" t="s">
        <v>667</v>
      </c>
      <c r="E307" s="1" t="s">
        <v>668</v>
      </c>
      <c r="F307" s="1">
        <f>'01_入力仕様'!D154</f>
        <v>4.9999999999999998E-8</v>
      </c>
      <c r="G307" s="1" t="s">
        <v>109</v>
      </c>
      <c r="H307" s="1">
        <f t="shared" si="34"/>
        <v>2.3060874693590127E-4</v>
      </c>
      <c r="I307" s="1" t="s">
        <v>1482</v>
      </c>
      <c r="J307" s="1">
        <f>1</f>
        <v>1</v>
      </c>
      <c r="K307" s="1">
        <f>K305*J307</f>
        <v>1.8540547728807434E-5</v>
      </c>
      <c r="L307" s="1" t="str">
        <f t="shared" si="35"/>
        <v>増加→総重量増</v>
      </c>
      <c r="M307" s="1" t="s">
        <v>1474</v>
      </c>
      <c r="N307" s="1"/>
      <c r="O307" s="1">
        <f t="shared" si="33"/>
        <v>1</v>
      </c>
      <c r="P307" s="1"/>
      <c r="Q307" s="1">
        <f t="shared" si="36"/>
        <v>1</v>
      </c>
      <c r="R307" s="1">
        <f>IF(Q307=1,COUNTIF($Q$5:Q307,1),"")</f>
        <v>230</v>
      </c>
    </row>
    <row r="308" spans="1:18">
      <c r="A308" s="1" t="s">
        <v>2079</v>
      </c>
      <c r="B308" s="1" t="s">
        <v>2066</v>
      </c>
      <c r="C308" s="1">
        <v>9</v>
      </c>
      <c r="D308" s="1" t="s">
        <v>659</v>
      </c>
      <c r="E308" s="1" t="s">
        <v>660</v>
      </c>
      <c r="F308" s="1">
        <f>'01_入力仕様'!D152</f>
        <v>4</v>
      </c>
      <c r="G308" s="1" t="s">
        <v>653</v>
      </c>
      <c r="H308" s="1">
        <f t="shared" si="34"/>
        <v>2.3060874693590127E-4</v>
      </c>
      <c r="I308" s="1" t="s">
        <v>1482</v>
      </c>
      <c r="J308" s="1">
        <f>-1</f>
        <v>-1</v>
      </c>
      <c r="K308" s="1">
        <f>K302*J308</f>
        <v>-1.8540547728807434E-5</v>
      </c>
      <c r="L308" s="1" t="str">
        <f t="shared" si="35"/>
        <v>増加→総重量減</v>
      </c>
      <c r="M308" s="1" t="s">
        <v>1474</v>
      </c>
      <c r="N308" s="1"/>
      <c r="O308" s="1">
        <f t="shared" si="33"/>
        <v>1</v>
      </c>
      <c r="P308" s="1"/>
      <c r="Q308" s="1">
        <f t="shared" si="36"/>
        <v>1</v>
      </c>
      <c r="R308" s="1">
        <f>IF(Q308=1,COUNTIF($Q$5:Q308,1),"")</f>
        <v>231</v>
      </c>
    </row>
    <row r="309" spans="1:18">
      <c r="A309" s="1" t="s">
        <v>2080</v>
      </c>
      <c r="B309" s="1" t="s">
        <v>2063</v>
      </c>
      <c r="C309" s="1">
        <v>8</v>
      </c>
      <c r="D309" s="1" t="s">
        <v>2081</v>
      </c>
      <c r="E309" s="1" t="s">
        <v>2082</v>
      </c>
      <c r="F309" s="1">
        <f>1-F310*(1-F311)</f>
        <v>1</v>
      </c>
      <c r="G309" s="1" t="s">
        <v>86</v>
      </c>
      <c r="H309" s="1">
        <f t="shared" si="34"/>
        <v>4.6121749387180254E-4</v>
      </c>
      <c r="I309" s="1" t="s">
        <v>2083</v>
      </c>
      <c r="J309" s="1">
        <f>1</f>
        <v>1</v>
      </c>
      <c r="K309" s="1">
        <f>K301*J309</f>
        <v>3.7081095457614869E-5</v>
      </c>
      <c r="L309" s="1" t="str">
        <f t="shared" si="35"/>
        <v>増加→総重量増</v>
      </c>
      <c r="M309" s="1" t="s">
        <v>1474</v>
      </c>
      <c r="N309" s="1"/>
      <c r="O309" s="1">
        <f t="shared" si="33"/>
        <v>0</v>
      </c>
      <c r="P309" s="1"/>
      <c r="Q309" s="1">
        <f t="shared" si="36"/>
        <v>1</v>
      </c>
      <c r="R309" s="1">
        <f>IF(Q309=1,COUNTIF($Q$5:Q309,1),"")</f>
        <v>232</v>
      </c>
    </row>
    <row r="310" spans="1:18">
      <c r="A310" s="1" t="s">
        <v>2084</v>
      </c>
      <c r="B310" s="1" t="s">
        <v>2080</v>
      </c>
      <c r="C310" s="1">
        <v>9</v>
      </c>
      <c r="D310" s="1" t="s">
        <v>671</v>
      </c>
      <c r="E310" s="1" t="s">
        <v>672</v>
      </c>
      <c r="F310" s="1">
        <f>'01_入力仕様'!D155</f>
        <v>0</v>
      </c>
      <c r="G310" s="1" t="s">
        <v>415</v>
      </c>
      <c r="H310" s="1">
        <f t="shared" si="34"/>
        <v>4.6121749387180241E-5</v>
      </c>
      <c r="I310" s="1" t="s">
        <v>1482</v>
      </c>
      <c r="J310" s="1">
        <f>0</f>
        <v>0</v>
      </c>
      <c r="K310" s="1">
        <f>K68*('01_入力仕様'!D156-1)</f>
        <v>-3.7081095457614859E-6</v>
      </c>
      <c r="L310" s="1" t="str">
        <f t="shared" si="35"/>
        <v>増加→総重量減</v>
      </c>
      <c r="M310" s="1" t="s">
        <v>1474</v>
      </c>
      <c r="N310" s="1" t="s">
        <v>2085</v>
      </c>
      <c r="O310" s="1">
        <f t="shared" si="33"/>
        <v>1</v>
      </c>
      <c r="P310" s="1"/>
      <c r="Q310" s="1">
        <f t="shared" si="36"/>
        <v>1</v>
      </c>
      <c r="R310" s="1">
        <f>IF(Q310=1,COUNTIF($Q$5:Q310,1),"")</f>
        <v>233</v>
      </c>
    </row>
    <row r="311" spans="1:18">
      <c r="A311" s="1" t="s">
        <v>2086</v>
      </c>
      <c r="B311" s="1" t="s">
        <v>2080</v>
      </c>
      <c r="C311" s="1">
        <v>9</v>
      </c>
      <c r="D311" s="1" t="s">
        <v>675</v>
      </c>
      <c r="E311" s="1" t="s">
        <v>676</v>
      </c>
      <c r="F311" s="1">
        <f>'01_入力仕様'!D156</f>
        <v>0.9</v>
      </c>
      <c r="G311" s="1" t="s">
        <v>86</v>
      </c>
      <c r="H311" s="1">
        <f t="shared" si="34"/>
        <v>0</v>
      </c>
      <c r="I311" s="1" t="s">
        <v>1482</v>
      </c>
      <c r="J311" s="1">
        <f>IF(F309=0,0,'01_入力仕様'!D155*'01_入力仕様'!D156/F309)</f>
        <v>0</v>
      </c>
      <c r="K311" s="1">
        <f>K309*J311</f>
        <v>0</v>
      </c>
      <c r="L311" s="1" t="str">
        <f t="shared" si="35"/>
        <v>中立</v>
      </c>
      <c r="M311" s="1" t="s">
        <v>1474</v>
      </c>
      <c r="N311" s="1"/>
      <c r="O311" s="1">
        <f t="shared" si="33"/>
        <v>1</v>
      </c>
      <c r="P311" s="1"/>
      <c r="Q311" s="1">
        <f t="shared" si="36"/>
        <v>1</v>
      </c>
      <c r="R311" s="1">
        <f>IF(Q311=1,COUNTIF($Q$5:Q311,1),"")</f>
        <v>234</v>
      </c>
    </row>
    <row r="312" spans="1:18" ht="28.5">
      <c r="A312" s="1" t="s">
        <v>2087</v>
      </c>
      <c r="B312" s="1" t="s">
        <v>1782</v>
      </c>
      <c r="C312" s="1">
        <v>2</v>
      </c>
      <c r="D312" s="1" t="s">
        <v>2088</v>
      </c>
      <c r="E312" s="1" t="s">
        <v>2089</v>
      </c>
      <c r="F312" s="1">
        <f>F481*F317*((F313/(F393/'01_入力仕様'!D153))^F318)*F548</f>
        <v>0</v>
      </c>
      <c r="G312" s="1" t="s">
        <v>229</v>
      </c>
      <c r="H312" s="1">
        <f>F312</f>
        <v>0</v>
      </c>
      <c r="I312" s="1" t="s">
        <v>2090</v>
      </c>
      <c r="J312" s="1">
        <f>IFERROR(F312/F140,0)</f>
        <v>0</v>
      </c>
      <c r="K312" s="1">
        <f>IFERROR(F312/F5,0)</f>
        <v>0</v>
      </c>
      <c r="L312" s="1" t="s">
        <v>1627</v>
      </c>
      <c r="M312" s="1" t="s">
        <v>1474</v>
      </c>
      <c r="N312" s="1" t="s">
        <v>2091</v>
      </c>
      <c r="O312" s="1">
        <f t="shared" si="33"/>
        <v>0</v>
      </c>
      <c r="P312" s="1"/>
      <c r="Q312" s="1">
        <f t="shared" si="36"/>
        <v>1</v>
      </c>
      <c r="R312" s="1">
        <f>IF(Q312=1,COUNTIF($Q$5:Q312,1),"")</f>
        <v>235</v>
      </c>
    </row>
    <row r="313" spans="1:18" ht="42.75">
      <c r="A313" s="1" t="s">
        <v>2092</v>
      </c>
      <c r="B313" s="1" t="s">
        <v>2087</v>
      </c>
      <c r="C313" s="1">
        <v>3</v>
      </c>
      <c r="D313" s="1" t="s">
        <v>2093</v>
      </c>
      <c r="E313" s="1" t="s">
        <v>1311</v>
      </c>
      <c r="F313" s="1">
        <f>MAX(F314/F315,F314/F639)*(1-F631*(1-F632))</f>
        <v>16000000000</v>
      </c>
      <c r="G313" s="1" t="s">
        <v>2094</v>
      </c>
      <c r="H313" s="1">
        <f>ABS(K313)*$F$5</f>
        <v>0</v>
      </c>
      <c r="I313" s="1" t="s">
        <v>2095</v>
      </c>
      <c r="J313" s="1">
        <f>'01_入力仕様'!D159</f>
        <v>0.7</v>
      </c>
      <c r="K313" s="1">
        <f>K312*J313</f>
        <v>0</v>
      </c>
      <c r="L313" s="1" t="str">
        <f>IF(K313&gt;0,"増加→総重量増",IF(K313&lt;0,"増加→総重量減","中立"))</f>
        <v>中立</v>
      </c>
      <c r="M313" s="1" t="s">
        <v>1474</v>
      </c>
      <c r="N313" s="1" t="s">
        <v>2096</v>
      </c>
      <c r="O313" s="1">
        <f t="shared" si="33"/>
        <v>0</v>
      </c>
      <c r="P313" s="1"/>
      <c r="Q313" s="1">
        <f t="shared" si="36"/>
        <v>1</v>
      </c>
      <c r="R313" s="1">
        <f>IF(Q313=1,COUNTIF($Q$5:Q313,1),"")</f>
        <v>236</v>
      </c>
    </row>
    <row r="314" spans="1:18">
      <c r="A314" s="1" t="s">
        <v>2097</v>
      </c>
      <c r="B314" s="1" t="s">
        <v>2092</v>
      </c>
      <c r="C314" s="1">
        <v>4</v>
      </c>
      <c r="D314" s="1" t="s">
        <v>71</v>
      </c>
      <c r="E314" s="1" t="s">
        <v>72</v>
      </c>
      <c r="F314" s="1">
        <f>'01_入力仕様'!D6</f>
        <v>800</v>
      </c>
      <c r="G314" s="1" t="s">
        <v>73</v>
      </c>
      <c r="H314" s="1">
        <f>ABS(K314)*$F$5</f>
        <v>0</v>
      </c>
      <c r="I314" s="1" t="s">
        <v>1482</v>
      </c>
      <c r="J314" s="1">
        <f>1</f>
        <v>1</v>
      </c>
      <c r="K314" s="1">
        <f>K313*J314</f>
        <v>0</v>
      </c>
      <c r="L314" s="1" t="str">
        <f>IF(K314&gt;0,"増加→総重量増",IF(K314&lt;0,"増加→総重量減","中立"))</f>
        <v>中立</v>
      </c>
      <c r="M314" s="1" t="s">
        <v>1474</v>
      </c>
      <c r="N314" s="1"/>
      <c r="O314" s="1">
        <f t="shared" si="33"/>
        <v>1</v>
      </c>
      <c r="P314" s="1"/>
      <c r="Q314" s="1">
        <f t="shared" si="36"/>
        <v>0</v>
      </c>
      <c r="R314" s="1" t="str">
        <f>IF(Q314=1,COUNTIF($Q$5:Q314,1),"")</f>
        <v/>
      </c>
    </row>
    <row r="315" spans="1:18" ht="28.5">
      <c r="A315" s="1" t="s">
        <v>2098</v>
      </c>
      <c r="B315" s="1" t="s">
        <v>2092</v>
      </c>
      <c r="C315" s="1">
        <v>4</v>
      </c>
      <c r="D315" s="1" t="s">
        <v>2067</v>
      </c>
      <c r="E315" s="1" t="s">
        <v>665</v>
      </c>
      <c r="F315" s="1">
        <f>F302</f>
        <v>4.9999999999999998E-8</v>
      </c>
      <c r="G315" s="1" t="s">
        <v>109</v>
      </c>
      <c r="H315" s="1">
        <f>ABS(K315)*$F$5</f>
        <v>0</v>
      </c>
      <c r="I315" s="1" t="s">
        <v>2068</v>
      </c>
      <c r="J315" s="1">
        <f>IF(F302&lt;F305,-1,0)</f>
        <v>0</v>
      </c>
      <c r="K315" s="1">
        <f>K313*J315</f>
        <v>0</v>
      </c>
      <c r="L315" s="1" t="str">
        <f>IF(K315&gt;0,"増加→総重量増",IF(K315&lt;0,"増加→総重量減","中立"))</f>
        <v>中立</v>
      </c>
      <c r="M315" s="1" t="s">
        <v>1474</v>
      </c>
      <c r="N315" s="1" t="s">
        <v>2099</v>
      </c>
      <c r="O315" s="1">
        <f t="shared" si="33"/>
        <v>1</v>
      </c>
      <c r="P315" s="1"/>
      <c r="Q315" s="1">
        <f t="shared" si="36"/>
        <v>0</v>
      </c>
      <c r="R315" s="1" t="str">
        <f>IF(Q315=1,COUNTIF($Q$5:Q315,1),"")</f>
        <v/>
      </c>
    </row>
    <row r="316" spans="1:18">
      <c r="A316" s="1"/>
      <c r="B316" s="1"/>
      <c r="C316" s="1"/>
      <c r="D316" s="1"/>
      <c r="E316" s="1"/>
      <c r="F316" s="1"/>
      <c r="G316" s="1"/>
      <c r="H316" s="1"/>
      <c r="I316" s="1"/>
      <c r="J316" s="1"/>
      <c r="K316" s="1"/>
      <c r="L316" s="1"/>
      <c r="M316" s="1"/>
      <c r="N316" s="1"/>
      <c r="O316" s="1" t="str">
        <f t="shared" si="33"/>
        <v/>
      </c>
      <c r="P316" s="1"/>
      <c r="Q316" s="1"/>
      <c r="R316" s="1"/>
    </row>
    <row r="317" spans="1:18">
      <c r="A317" s="1" t="s">
        <v>2100</v>
      </c>
      <c r="B317" s="1" t="s">
        <v>2087</v>
      </c>
      <c r="C317" s="1">
        <v>3</v>
      </c>
      <c r="D317" s="1" t="s">
        <v>2101</v>
      </c>
      <c r="E317" s="1" t="s">
        <v>684</v>
      </c>
      <c r="F317" s="1">
        <f>'01_入力仕様'!D158</f>
        <v>0.08</v>
      </c>
      <c r="G317" s="1" t="s">
        <v>229</v>
      </c>
      <c r="H317" s="1">
        <f t="shared" ref="H317:H346" si="37">ABS(K317)*$F$5</f>
        <v>0</v>
      </c>
      <c r="I317" s="1" t="s">
        <v>1482</v>
      </c>
      <c r="J317" s="1">
        <f>1</f>
        <v>1</v>
      </c>
      <c r="K317" s="1">
        <f>K312*J317</f>
        <v>0</v>
      </c>
      <c r="L317" s="1" t="str">
        <f t="shared" ref="L317:L364" si="38">IF(K317&gt;0,"増加→総重量増",IF(K317&lt;0,"増加→総重量減","中立"))</f>
        <v>中立</v>
      </c>
      <c r="M317" s="1" t="s">
        <v>1474</v>
      </c>
      <c r="N317" s="1"/>
      <c r="O317" s="1">
        <f t="shared" si="33"/>
        <v>1</v>
      </c>
      <c r="P317" s="1"/>
      <c r="Q317" s="1">
        <f t="shared" ref="Q317:Q356" si="39">IF(E317="","",--(MATCH(E317,$E$5:$E$560,0)=ROW()-4))</f>
        <v>1</v>
      </c>
      <c r="R317" s="1">
        <f>IF(Q317=1,COUNTIF($Q$5:Q317,1),"")</f>
        <v>237</v>
      </c>
    </row>
    <row r="318" spans="1:18">
      <c r="A318" s="1" t="s">
        <v>2102</v>
      </c>
      <c r="B318" s="1" t="s">
        <v>2087</v>
      </c>
      <c r="C318" s="1">
        <v>3</v>
      </c>
      <c r="D318" s="1" t="s">
        <v>687</v>
      </c>
      <c r="E318" s="1" t="s">
        <v>688</v>
      </c>
      <c r="F318" s="1">
        <f>'01_入力仕様'!D159</f>
        <v>0.7</v>
      </c>
      <c r="G318" s="1" t="s">
        <v>86</v>
      </c>
      <c r="H318" s="1">
        <f t="shared" si="37"/>
        <v>0</v>
      </c>
      <c r="I318" s="1" t="s">
        <v>1482</v>
      </c>
      <c r="J318" s="1">
        <f>'01_入力仕様'!D159*LN((F313)/('01_入力仕様'!D195/'01_入力仕様'!D153))</f>
        <v>0</v>
      </c>
      <c r="K318" s="1">
        <f>K312*J318</f>
        <v>0</v>
      </c>
      <c r="L318" s="1" t="str">
        <f t="shared" si="38"/>
        <v>中立</v>
      </c>
      <c r="M318" s="1" t="s">
        <v>1474</v>
      </c>
      <c r="N318" s="1"/>
      <c r="O318" s="1">
        <f t="shared" si="33"/>
        <v>1</v>
      </c>
      <c r="P318" s="1"/>
      <c r="Q318" s="1">
        <f t="shared" si="39"/>
        <v>1</v>
      </c>
      <c r="R318" s="1">
        <f>IF(Q318=1,COUNTIF($Q$5:Q318,1),"")</f>
        <v>238</v>
      </c>
    </row>
    <row r="319" spans="1:18" ht="28.5">
      <c r="A319" s="1" t="s">
        <v>2103</v>
      </c>
      <c r="B319" s="1" t="s">
        <v>1558</v>
      </c>
      <c r="C319" s="1">
        <v>5</v>
      </c>
      <c r="D319" s="1" t="s">
        <v>2104</v>
      </c>
      <c r="E319" s="1" t="s">
        <v>692</v>
      </c>
      <c r="F319" s="1">
        <f>'01_入力仕様'!D131*F325*F326*F320*F327</f>
        <v>11.277596142607992</v>
      </c>
      <c r="G319" s="1" t="s">
        <v>984</v>
      </c>
      <c r="H319" s="1">
        <f t="shared" si="37"/>
        <v>2.9384356600095993E-4</v>
      </c>
      <c r="I319" s="1" t="s">
        <v>2105</v>
      </c>
      <c r="J319" s="1">
        <f>IF(F38=0,0,F319/F38)</f>
        <v>0.28320907274960533</v>
      </c>
      <c r="K319" s="1">
        <f>K38*J319</f>
        <v>2.3624518725467412E-5</v>
      </c>
      <c r="L319" s="1" t="str">
        <f t="shared" si="38"/>
        <v>増加→総重量増</v>
      </c>
      <c r="M319" s="1" t="s">
        <v>1474</v>
      </c>
      <c r="N319" s="1"/>
      <c r="O319" s="1">
        <f t="shared" si="33"/>
        <v>0</v>
      </c>
      <c r="P319" s="1"/>
      <c r="Q319" s="1">
        <f t="shared" si="39"/>
        <v>1</v>
      </c>
      <c r="R319" s="1">
        <f>IF(Q319=1,COUNTIF($Q$5:Q319,1),"")</f>
        <v>239</v>
      </c>
    </row>
    <row r="320" spans="1:18">
      <c r="A320" s="1" t="s">
        <v>2106</v>
      </c>
      <c r="B320" s="1" t="s">
        <v>2103</v>
      </c>
      <c r="C320" s="1">
        <v>6</v>
      </c>
      <c r="D320" s="1" t="s">
        <v>2107</v>
      </c>
      <c r="E320" s="1" t="s">
        <v>704</v>
      </c>
      <c r="F320" s="1">
        <f>F321*F322</f>
        <v>2.9999999999999999E-7</v>
      </c>
      <c r="G320" s="1" t="s">
        <v>109</v>
      </c>
      <c r="H320" s="1">
        <f t="shared" si="37"/>
        <v>2.9384356600095993E-4</v>
      </c>
      <c r="I320" s="1" t="s">
        <v>2108</v>
      </c>
      <c r="J320" s="1">
        <f>1</f>
        <v>1</v>
      </c>
      <c r="K320" s="1">
        <f>K319*J320</f>
        <v>2.3624518725467412E-5</v>
      </c>
      <c r="L320" s="1" t="str">
        <f t="shared" si="38"/>
        <v>増加→総重量増</v>
      </c>
      <c r="M320" s="1" t="s">
        <v>1474</v>
      </c>
      <c r="N320" s="1"/>
      <c r="O320" s="1">
        <f t="shared" si="33"/>
        <v>0</v>
      </c>
      <c r="P320" s="1"/>
      <c r="Q320" s="1">
        <f t="shared" si="39"/>
        <v>1</v>
      </c>
      <c r="R320" s="1">
        <f>IF(Q320=1,COUNTIF($Q$5:Q320,1),"")</f>
        <v>240</v>
      </c>
    </row>
    <row r="321" spans="1:18">
      <c r="A321" s="1" t="s">
        <v>2109</v>
      </c>
      <c r="B321" s="1" t="s">
        <v>2106</v>
      </c>
      <c r="C321" s="1">
        <v>7</v>
      </c>
      <c r="D321" s="1" t="s">
        <v>690</v>
      </c>
      <c r="E321" s="1" t="s">
        <v>691</v>
      </c>
      <c r="F321" s="1">
        <f>'01_入力仕様'!D160</f>
        <v>2.9999999999999999E-7</v>
      </c>
      <c r="G321" s="1" t="s">
        <v>109</v>
      </c>
      <c r="H321" s="1">
        <f t="shared" si="37"/>
        <v>2.9384356600095993E-4</v>
      </c>
      <c r="I321" s="1" t="s">
        <v>1482</v>
      </c>
      <c r="J321" s="1">
        <f>1</f>
        <v>1</v>
      </c>
      <c r="K321" s="1">
        <f>K320*J321</f>
        <v>2.3624518725467412E-5</v>
      </c>
      <c r="L321" s="1" t="str">
        <f t="shared" si="38"/>
        <v>増加→総重量増</v>
      </c>
      <c r="M321" s="1" t="s">
        <v>1474</v>
      </c>
      <c r="N321" s="1"/>
      <c r="O321" s="1">
        <f t="shared" si="33"/>
        <v>1</v>
      </c>
      <c r="P321" s="1"/>
      <c r="Q321" s="1">
        <f t="shared" si="39"/>
        <v>1</v>
      </c>
      <c r="R321" s="1">
        <f>IF(Q321=1,COUNTIF($Q$5:Q321,1),"")</f>
        <v>241</v>
      </c>
    </row>
    <row r="322" spans="1:18">
      <c r="A322" s="1" t="s">
        <v>2110</v>
      </c>
      <c r="B322" s="1" t="s">
        <v>2106</v>
      </c>
      <c r="C322" s="1">
        <v>7</v>
      </c>
      <c r="D322" s="1" t="s">
        <v>2111</v>
      </c>
      <c r="E322" s="1" t="s">
        <v>2112</v>
      </c>
      <c r="F322" s="1">
        <f>1-F323*(1-F324)</f>
        <v>1</v>
      </c>
      <c r="G322" s="1" t="s">
        <v>86</v>
      </c>
      <c r="H322" s="1">
        <f t="shared" si="37"/>
        <v>2.9384356600095993E-4</v>
      </c>
      <c r="I322" s="1" t="s">
        <v>2113</v>
      </c>
      <c r="J322" s="1">
        <f>1</f>
        <v>1</v>
      </c>
      <c r="K322" s="1">
        <f>K320*J322</f>
        <v>2.3624518725467412E-5</v>
      </c>
      <c r="L322" s="1" t="str">
        <f t="shared" si="38"/>
        <v>増加→総重量増</v>
      </c>
      <c r="M322" s="1" t="s">
        <v>1474</v>
      </c>
      <c r="N322" s="1"/>
      <c r="O322" s="1">
        <f t="shared" si="33"/>
        <v>0</v>
      </c>
      <c r="P322" s="1"/>
      <c r="Q322" s="1">
        <f t="shared" si="39"/>
        <v>1</v>
      </c>
      <c r="R322" s="1">
        <f>IF(Q322=1,COUNTIF($Q$5:Q322,1),"")</f>
        <v>242</v>
      </c>
    </row>
    <row r="323" spans="1:18">
      <c r="A323" s="1" t="s">
        <v>2114</v>
      </c>
      <c r="B323" s="1" t="s">
        <v>2110</v>
      </c>
      <c r="C323" s="1">
        <v>8</v>
      </c>
      <c r="D323" s="1" t="s">
        <v>698</v>
      </c>
      <c r="E323" s="1" t="s">
        <v>699</v>
      </c>
      <c r="F323" s="1">
        <f>'01_入力仕様'!D162</f>
        <v>0</v>
      </c>
      <c r="G323" s="1" t="s">
        <v>415</v>
      </c>
      <c r="H323" s="1">
        <f t="shared" si="37"/>
        <v>1.6161396130052799E-4</v>
      </c>
      <c r="I323" s="1" t="s">
        <v>1482</v>
      </c>
      <c r="J323" s="1">
        <f>0</f>
        <v>0</v>
      </c>
      <c r="K323" s="1">
        <f>K319*('01_入力仕様'!D163-1)</f>
        <v>-1.2993485299007078E-5</v>
      </c>
      <c r="L323" s="1" t="str">
        <f t="shared" si="38"/>
        <v>増加→総重量減</v>
      </c>
      <c r="M323" s="1" t="s">
        <v>1474</v>
      </c>
      <c r="N323" s="1" t="s">
        <v>2085</v>
      </c>
      <c r="O323" s="1">
        <f t="shared" si="33"/>
        <v>1</v>
      </c>
      <c r="P323" s="1"/>
      <c r="Q323" s="1">
        <f t="shared" si="39"/>
        <v>1</v>
      </c>
      <c r="R323" s="1">
        <f>IF(Q323=1,COUNTIF($Q$5:Q323,1),"")</f>
        <v>243</v>
      </c>
    </row>
    <row r="324" spans="1:18">
      <c r="A324" s="1" t="s">
        <v>2115</v>
      </c>
      <c r="B324" s="1" t="s">
        <v>2110</v>
      </c>
      <c r="C324" s="1">
        <v>8</v>
      </c>
      <c r="D324" s="1" t="s">
        <v>2116</v>
      </c>
      <c r="E324" s="1" t="s">
        <v>703</v>
      </c>
      <c r="F324" s="1">
        <f>'01_入力仕様'!D163</f>
        <v>0.45</v>
      </c>
      <c r="G324" s="1" t="s">
        <v>86</v>
      </c>
      <c r="H324" s="1">
        <f t="shared" si="37"/>
        <v>0</v>
      </c>
      <c r="I324" s="1" t="s">
        <v>1482</v>
      </c>
      <c r="J324" s="1">
        <f>IF(F322=0,0,'01_入力仕様'!D162*'01_入力仕様'!D163/F322)</f>
        <v>0</v>
      </c>
      <c r="K324" s="1">
        <f>K322*J324</f>
        <v>0</v>
      </c>
      <c r="L324" s="1" t="str">
        <f t="shared" si="38"/>
        <v>中立</v>
      </c>
      <c r="M324" s="1" t="s">
        <v>1474</v>
      </c>
      <c r="N324" s="1"/>
      <c r="O324" s="1">
        <f t="shared" si="33"/>
        <v>1</v>
      </c>
      <c r="P324" s="1"/>
      <c r="Q324" s="1">
        <f t="shared" si="39"/>
        <v>1</v>
      </c>
      <c r="R324" s="1">
        <f>IF(Q324=1,COUNTIF($Q$5:Q324,1),"")</f>
        <v>244</v>
      </c>
    </row>
    <row r="325" spans="1:18">
      <c r="A325" s="1" t="s">
        <v>2117</v>
      </c>
      <c r="B325" s="1" t="s">
        <v>2103</v>
      </c>
      <c r="C325" s="1">
        <v>6</v>
      </c>
      <c r="D325" s="1" t="s">
        <v>695</v>
      </c>
      <c r="E325" s="1" t="s">
        <v>696</v>
      </c>
      <c r="F325" s="1">
        <f>'01_入力仕様'!D161</f>
        <v>2.5</v>
      </c>
      <c r="G325" s="1" t="s">
        <v>73</v>
      </c>
      <c r="H325" s="1">
        <f t="shared" si="37"/>
        <v>2.9384356600095993E-4</v>
      </c>
      <c r="I325" s="1" t="s">
        <v>1482</v>
      </c>
      <c r="J325" s="1">
        <f>1</f>
        <v>1</v>
      </c>
      <c r="K325" s="1">
        <f>K319*J325</f>
        <v>2.3624518725467412E-5</v>
      </c>
      <c r="L325" s="1" t="str">
        <f t="shared" si="38"/>
        <v>増加→総重量増</v>
      </c>
      <c r="M325" s="1" t="s">
        <v>1474</v>
      </c>
      <c r="N325" s="1"/>
      <c r="O325" s="1">
        <f t="shared" ref="O325:O388" si="40">IF($A325="","",--(COUNTIF($B$5:$B$679,$A325)=0))</f>
        <v>1</v>
      </c>
      <c r="P325" s="1"/>
      <c r="Q325" s="1">
        <f t="shared" si="39"/>
        <v>1</v>
      </c>
      <c r="R325" s="1">
        <f>IF(Q325=1,COUNTIF($Q$5:Q325,1),"")</f>
        <v>245</v>
      </c>
    </row>
    <row r="326" spans="1:18">
      <c r="A326" s="1" t="s">
        <v>2118</v>
      </c>
      <c r="B326" s="1" t="s">
        <v>2103</v>
      </c>
      <c r="C326" s="1">
        <v>6</v>
      </c>
      <c r="D326" s="1" t="s">
        <v>80</v>
      </c>
      <c r="E326" s="1" t="s">
        <v>1497</v>
      </c>
      <c r="F326" s="1">
        <f>'01_入力仕様'!D5*1000/(SQRT(3)*'01_入力仕様'!D7*'01_入力仕様'!D8*'01_入力仕様'!D9)</f>
        <v>156.63327975844433</v>
      </c>
      <c r="G326" s="1" t="s">
        <v>808</v>
      </c>
      <c r="H326" s="1">
        <f t="shared" si="37"/>
        <v>2.9384356600095993E-4</v>
      </c>
      <c r="I326" s="1" t="s">
        <v>2119</v>
      </c>
      <c r="J326" s="1">
        <f>1</f>
        <v>1</v>
      </c>
      <c r="K326" s="1">
        <f>K319*J326</f>
        <v>2.3624518725467412E-5</v>
      </c>
      <c r="L326" s="1" t="str">
        <f t="shared" si="38"/>
        <v>増加→総重量増</v>
      </c>
      <c r="M326" s="1" t="s">
        <v>1474</v>
      </c>
      <c r="N326" s="1"/>
      <c r="O326" s="1">
        <f t="shared" si="40"/>
        <v>1</v>
      </c>
      <c r="P326" s="1"/>
      <c r="Q326" s="1">
        <f t="shared" si="39"/>
        <v>0</v>
      </c>
      <c r="R326" s="1" t="str">
        <f>IF(Q326=1,COUNTIF($Q$5:Q326,1),"")</f>
        <v/>
      </c>
    </row>
    <row r="327" spans="1:18">
      <c r="A327" s="1" t="s">
        <v>2120</v>
      </c>
      <c r="B327" s="1" t="s">
        <v>2103</v>
      </c>
      <c r="C327" s="1">
        <v>6</v>
      </c>
      <c r="D327" s="1" t="s">
        <v>94</v>
      </c>
      <c r="E327" s="1" t="s">
        <v>95</v>
      </c>
      <c r="F327" s="1">
        <f>'01_入力仕様'!D10</f>
        <v>16000</v>
      </c>
      <c r="G327" s="1" t="s">
        <v>96</v>
      </c>
      <c r="H327" s="1">
        <f t="shared" si="37"/>
        <v>2.9384356600095993E-4</v>
      </c>
      <c r="I327" s="1" t="s">
        <v>1482</v>
      </c>
      <c r="J327" s="1">
        <f>1</f>
        <v>1</v>
      </c>
      <c r="K327" s="1">
        <f>K319*J327</f>
        <v>2.3624518725467412E-5</v>
      </c>
      <c r="L327" s="1" t="str">
        <f t="shared" si="38"/>
        <v>増加→総重量増</v>
      </c>
      <c r="M327" s="1" t="s">
        <v>1474</v>
      </c>
      <c r="N327" s="1"/>
      <c r="O327" s="1">
        <f t="shared" si="40"/>
        <v>1</v>
      </c>
      <c r="P327" s="1"/>
      <c r="Q327" s="1">
        <f t="shared" si="39"/>
        <v>0</v>
      </c>
      <c r="R327" s="1" t="str">
        <f>IF(Q327=1,COUNTIF($Q$5:Q327,1),"")</f>
        <v/>
      </c>
    </row>
    <row r="328" spans="1:18">
      <c r="A328" s="1" t="s">
        <v>2121</v>
      </c>
      <c r="B328" s="1" t="s">
        <v>1565</v>
      </c>
      <c r="C328" s="1">
        <v>7</v>
      </c>
      <c r="D328" s="1" t="s">
        <v>2122</v>
      </c>
      <c r="E328" s="1" t="s">
        <v>720</v>
      </c>
      <c r="F328" s="1">
        <f>(F330/F329)^F331</f>
        <v>1</v>
      </c>
      <c r="G328" s="1" t="s">
        <v>86</v>
      </c>
      <c r="H328" s="1">
        <f t="shared" si="37"/>
        <v>2.7618556390487389E-4</v>
      </c>
      <c r="I328" s="1" t="s">
        <v>2123</v>
      </c>
      <c r="J328" s="1">
        <f>1</f>
        <v>1</v>
      </c>
      <c r="K328" s="1">
        <f>K44*J328</f>
        <v>2.2204845642776994E-5</v>
      </c>
      <c r="L328" s="1" t="str">
        <f t="shared" si="38"/>
        <v>増加→総重量増</v>
      </c>
      <c r="M328" s="1" t="s">
        <v>1474</v>
      </c>
      <c r="N328" s="1"/>
      <c r="O328" s="1">
        <f t="shared" si="40"/>
        <v>0</v>
      </c>
      <c r="P328" s="1"/>
      <c r="Q328" s="1">
        <f t="shared" si="39"/>
        <v>1</v>
      </c>
      <c r="R328" s="1">
        <f>IF(Q328=1,COUNTIF($Q$5:Q328,1),"")</f>
        <v>246</v>
      </c>
    </row>
    <row r="329" spans="1:18">
      <c r="A329" s="1" t="s">
        <v>2124</v>
      </c>
      <c r="B329" s="1" t="s">
        <v>2121</v>
      </c>
      <c r="C329" s="1">
        <v>8</v>
      </c>
      <c r="D329" s="1" t="s">
        <v>711</v>
      </c>
      <c r="E329" s="1" t="s">
        <v>711</v>
      </c>
      <c r="F329" s="1">
        <f>'01_入力仕様'!D165</f>
        <v>18</v>
      </c>
      <c r="G329" s="1" t="s">
        <v>73</v>
      </c>
      <c r="H329" s="1">
        <f t="shared" si="37"/>
        <v>1.9332989473341171E-4</v>
      </c>
      <c r="I329" s="1" t="s">
        <v>1482</v>
      </c>
      <c r="J329" s="1">
        <f>-'01_入力仕様'!D168</f>
        <v>-0.7</v>
      </c>
      <c r="K329" s="1">
        <f>K328*J329</f>
        <v>-1.5543391949943896E-5</v>
      </c>
      <c r="L329" s="1" t="str">
        <f t="shared" si="38"/>
        <v>増加→総重量減</v>
      </c>
      <c r="M329" s="1" t="s">
        <v>1474</v>
      </c>
      <c r="N329" s="1"/>
      <c r="O329" s="1">
        <f t="shared" si="40"/>
        <v>1</v>
      </c>
      <c r="P329" s="1"/>
      <c r="Q329" s="1">
        <f t="shared" si="39"/>
        <v>1</v>
      </c>
      <c r="R329" s="1">
        <f>IF(Q329=1,COUNTIF($Q$5:Q329,1),"")</f>
        <v>247</v>
      </c>
    </row>
    <row r="330" spans="1:18">
      <c r="A330" s="1" t="s">
        <v>2125</v>
      </c>
      <c r="B330" s="1" t="s">
        <v>2121</v>
      </c>
      <c r="C330" s="1">
        <v>8</v>
      </c>
      <c r="D330" s="1" t="s">
        <v>2126</v>
      </c>
      <c r="E330" s="1" t="s">
        <v>719</v>
      </c>
      <c r="F330" s="1">
        <f>'01_入力仕様'!D167</f>
        <v>18</v>
      </c>
      <c r="G330" s="1" t="s">
        <v>73</v>
      </c>
      <c r="H330" s="1">
        <f t="shared" si="37"/>
        <v>1.9332989473341171E-4</v>
      </c>
      <c r="I330" s="1" t="s">
        <v>1482</v>
      </c>
      <c r="J330" s="1">
        <f>'01_入力仕様'!D168</f>
        <v>0.7</v>
      </c>
      <c r="K330" s="1">
        <f>K328*J330</f>
        <v>1.5543391949943896E-5</v>
      </c>
      <c r="L330" s="1" t="str">
        <f t="shared" si="38"/>
        <v>増加→総重量増</v>
      </c>
      <c r="M330" s="1" t="s">
        <v>1474</v>
      </c>
      <c r="N330" s="1"/>
      <c r="O330" s="1">
        <f t="shared" si="40"/>
        <v>1</v>
      </c>
      <c r="P330" s="1"/>
      <c r="Q330" s="1">
        <f t="shared" si="39"/>
        <v>1</v>
      </c>
      <c r="R330" s="1">
        <f>IF(Q330=1,COUNTIF($Q$5:Q330,1),"")</f>
        <v>248</v>
      </c>
    </row>
    <row r="331" spans="1:18">
      <c r="A331" s="1" t="s">
        <v>2127</v>
      </c>
      <c r="B331" s="1" t="s">
        <v>2121</v>
      </c>
      <c r="C331" s="1">
        <v>8</v>
      </c>
      <c r="D331" s="1" t="s">
        <v>722</v>
      </c>
      <c r="E331" s="1" t="s">
        <v>723</v>
      </c>
      <c r="F331" s="1">
        <f>'01_入力仕様'!D168</f>
        <v>0.7</v>
      </c>
      <c r="G331" s="1" t="s">
        <v>86</v>
      </c>
      <c r="H331" s="1">
        <f t="shared" si="37"/>
        <v>0</v>
      </c>
      <c r="I331" s="1" t="s">
        <v>1482</v>
      </c>
      <c r="J331" s="1">
        <f>'01_入力仕様'!D168*LN('01_入力仕様'!D167/'01_入力仕様'!D165)</f>
        <v>0</v>
      </c>
      <c r="K331" s="1">
        <f>K328*J331</f>
        <v>0</v>
      </c>
      <c r="L331" s="1" t="str">
        <f t="shared" si="38"/>
        <v>中立</v>
      </c>
      <c r="M331" s="1" t="s">
        <v>1474</v>
      </c>
      <c r="N331" s="1"/>
      <c r="O331" s="1">
        <f t="shared" si="40"/>
        <v>1</v>
      </c>
      <c r="P331" s="1"/>
      <c r="Q331" s="1">
        <f t="shared" si="39"/>
        <v>1</v>
      </c>
      <c r="R331" s="1">
        <f>IF(Q331=1,COUNTIF($Q$5:Q331,1),"")</f>
        <v>249</v>
      </c>
    </row>
    <row r="332" spans="1:18">
      <c r="A332" s="1" t="s">
        <v>2128</v>
      </c>
      <c r="B332" s="1" t="s">
        <v>1558</v>
      </c>
      <c r="C332" s="1">
        <v>5</v>
      </c>
      <c r="D332" s="1" t="s">
        <v>2129</v>
      </c>
      <c r="E332" s="1" t="s">
        <v>727</v>
      </c>
      <c r="F332" s="1">
        <f>F643*F333*(F334-F335)*F336</f>
        <v>0.24191999999999997</v>
      </c>
      <c r="G332" s="1" t="s">
        <v>984</v>
      </c>
      <c r="H332" s="1">
        <f t="shared" si="37"/>
        <v>6.3033499859406333E-6</v>
      </c>
      <c r="I332" s="1" t="s">
        <v>2130</v>
      </c>
      <c r="J332" s="1">
        <f>IF(F38=0,0,F332/F38)</f>
        <v>6.0752254304205274E-3</v>
      </c>
      <c r="K332" s="1">
        <f>K38*J332</f>
        <v>5.067785277814889E-7</v>
      </c>
      <c r="L332" s="1" t="str">
        <f t="shared" si="38"/>
        <v>増加→総重量増</v>
      </c>
      <c r="M332" s="1" t="s">
        <v>1474</v>
      </c>
      <c r="N332" s="1"/>
      <c r="O332" s="1">
        <f t="shared" si="40"/>
        <v>0</v>
      </c>
      <c r="P332" s="1"/>
      <c r="Q332" s="1">
        <f t="shared" si="39"/>
        <v>1</v>
      </c>
      <c r="R332" s="1">
        <f>IF(Q332=1,COUNTIF($Q$5:Q332,1),"")</f>
        <v>250</v>
      </c>
    </row>
    <row r="333" spans="1:18">
      <c r="A333" s="1" t="s">
        <v>2131</v>
      </c>
      <c r="B333" s="1" t="s">
        <v>2128</v>
      </c>
      <c r="C333" s="1">
        <v>6</v>
      </c>
      <c r="D333" s="1" t="s">
        <v>725</v>
      </c>
      <c r="E333" s="1" t="s">
        <v>726</v>
      </c>
      <c r="F333" s="1">
        <f>'01_入力仕様'!D169</f>
        <v>1.1999999999999999E-7</v>
      </c>
      <c r="G333" s="1" t="s">
        <v>155</v>
      </c>
      <c r="H333" s="1">
        <f t="shared" si="37"/>
        <v>6.3033499859406333E-6</v>
      </c>
      <c r="I333" s="1" t="s">
        <v>1482</v>
      </c>
      <c r="J333" s="1">
        <f>1</f>
        <v>1</v>
      </c>
      <c r="K333" s="1">
        <f>K332*J333</f>
        <v>5.067785277814889E-7</v>
      </c>
      <c r="L333" s="1" t="str">
        <f t="shared" si="38"/>
        <v>増加→総重量増</v>
      </c>
      <c r="M333" s="1" t="s">
        <v>1474</v>
      </c>
      <c r="N333" s="1"/>
      <c r="O333" s="1">
        <f t="shared" si="40"/>
        <v>1</v>
      </c>
      <c r="P333" s="1"/>
      <c r="Q333" s="1">
        <f t="shared" si="39"/>
        <v>1</v>
      </c>
      <c r="R333" s="1">
        <f>IF(Q333=1,COUNTIF($Q$5:Q333,1),"")</f>
        <v>251</v>
      </c>
    </row>
    <row r="334" spans="1:18">
      <c r="A334" s="1" t="s">
        <v>2132</v>
      </c>
      <c r="B334" s="1" t="s">
        <v>2128</v>
      </c>
      <c r="C334" s="1">
        <v>6</v>
      </c>
      <c r="D334" s="1" t="s">
        <v>711</v>
      </c>
      <c r="E334" s="1" t="s">
        <v>711</v>
      </c>
      <c r="F334" s="1">
        <f>'01_入力仕様'!D165</f>
        <v>18</v>
      </c>
      <c r="G334" s="1" t="s">
        <v>73</v>
      </c>
      <c r="H334" s="1">
        <f t="shared" si="37"/>
        <v>5.4028714165205425E-6</v>
      </c>
      <c r="I334" s="1" t="s">
        <v>1482</v>
      </c>
      <c r="J334" s="1">
        <f>'01_入力仕様'!D165/('01_入力仕様'!D165-'01_入力仕様'!D166)</f>
        <v>0.8571428571428571</v>
      </c>
      <c r="K334" s="1">
        <f>K332*J334</f>
        <v>4.3438159524127619E-7</v>
      </c>
      <c r="L334" s="1" t="str">
        <f t="shared" si="38"/>
        <v>増加→総重量増</v>
      </c>
      <c r="M334" s="1" t="s">
        <v>1474</v>
      </c>
      <c r="N334" s="1"/>
      <c r="O334" s="1">
        <f t="shared" si="40"/>
        <v>1</v>
      </c>
      <c r="P334" s="1"/>
      <c r="Q334" s="1">
        <f t="shared" si="39"/>
        <v>0</v>
      </c>
      <c r="R334" s="1" t="str">
        <f>IF(Q334=1,COUNTIF($Q$5:Q334,1),"")</f>
        <v/>
      </c>
    </row>
    <row r="335" spans="1:18">
      <c r="A335" s="1" t="s">
        <v>2133</v>
      </c>
      <c r="B335" s="1" t="s">
        <v>2128</v>
      </c>
      <c r="C335" s="1">
        <v>6</v>
      </c>
      <c r="D335" s="1" t="s">
        <v>715</v>
      </c>
      <c r="E335" s="1" t="s">
        <v>715</v>
      </c>
      <c r="F335" s="1">
        <f>'01_入力仕様'!D166</f>
        <v>-3</v>
      </c>
      <c r="G335" s="1" t="s">
        <v>73</v>
      </c>
      <c r="H335" s="1">
        <f t="shared" si="37"/>
        <v>9.0047856942009041E-7</v>
      </c>
      <c r="I335" s="1" t="s">
        <v>1482</v>
      </c>
      <c r="J335" s="1">
        <f>-F335/(F334-F335)</f>
        <v>0.14285714285714285</v>
      </c>
      <c r="K335" s="1">
        <f>K332*J335</f>
        <v>7.2396932540212694E-8</v>
      </c>
      <c r="L335" s="1" t="str">
        <f t="shared" si="38"/>
        <v>増加→総重量増</v>
      </c>
      <c r="M335" s="1" t="s">
        <v>1474</v>
      </c>
      <c r="N335" s="1"/>
      <c r="O335" s="1">
        <f t="shared" si="40"/>
        <v>1</v>
      </c>
      <c r="P335" s="1"/>
      <c r="Q335" s="1">
        <f t="shared" si="39"/>
        <v>1</v>
      </c>
      <c r="R335" s="1">
        <f>IF(Q335=1,COUNTIF($Q$5:Q335,1),"")</f>
        <v>252</v>
      </c>
    </row>
    <row r="336" spans="1:18">
      <c r="A336" s="1" t="s">
        <v>2134</v>
      </c>
      <c r="B336" s="1" t="s">
        <v>2128</v>
      </c>
      <c r="C336" s="1">
        <v>6</v>
      </c>
      <c r="D336" s="1" t="s">
        <v>95</v>
      </c>
      <c r="E336" s="1" t="s">
        <v>95</v>
      </c>
      <c r="F336" s="1">
        <f>'01_入力仕様'!D10</f>
        <v>16000</v>
      </c>
      <c r="G336" s="1" t="s">
        <v>96</v>
      </c>
      <c r="H336" s="1">
        <f t="shared" si="37"/>
        <v>6.3033499859406333E-6</v>
      </c>
      <c r="I336" s="1" t="s">
        <v>1482</v>
      </c>
      <c r="J336" s="1">
        <f>1</f>
        <v>1</v>
      </c>
      <c r="K336" s="1">
        <f>K332*J336</f>
        <v>5.067785277814889E-7</v>
      </c>
      <c r="L336" s="1" t="str">
        <f t="shared" si="38"/>
        <v>増加→総重量増</v>
      </c>
      <c r="M336" s="1" t="s">
        <v>1474</v>
      </c>
      <c r="N336" s="1"/>
      <c r="O336" s="1">
        <f t="shared" si="40"/>
        <v>1</v>
      </c>
      <c r="P336" s="1"/>
      <c r="Q336" s="1">
        <f t="shared" si="39"/>
        <v>0</v>
      </c>
      <c r="R336" s="1" t="str">
        <f>IF(Q336=1,COUNTIF($Q$5:Q336,1),"")</f>
        <v/>
      </c>
    </row>
    <row r="337" spans="1:18" ht="28.5">
      <c r="A337" s="1" t="s">
        <v>2135</v>
      </c>
      <c r="B337" s="1" t="s">
        <v>1848</v>
      </c>
      <c r="C337" s="1">
        <v>2</v>
      </c>
      <c r="D337" s="1" t="s">
        <v>2136</v>
      </c>
      <c r="E337" s="1" t="s">
        <v>732</v>
      </c>
      <c r="F337" s="1">
        <f>F338*F396+F339*ABS(F397)+F340</f>
        <v>1.92576E-2</v>
      </c>
      <c r="G337" s="1" t="s">
        <v>229</v>
      </c>
      <c r="H337" s="1">
        <f t="shared" si="37"/>
        <v>1.9257599999999996E-2</v>
      </c>
      <c r="I337" s="1" t="s">
        <v>2137</v>
      </c>
      <c r="J337" s="1">
        <f>IFERROR(F337/F174,0)</f>
        <v>3.4428035313789303E-2</v>
      </c>
      <c r="K337" s="1">
        <f>K174*J337</f>
        <v>1.5482780106407875E-3</v>
      </c>
      <c r="L337" s="1" t="str">
        <f t="shared" si="38"/>
        <v>増加→総重量増</v>
      </c>
      <c r="M337" s="1" t="s">
        <v>1474</v>
      </c>
      <c r="N337" s="1"/>
      <c r="O337" s="1">
        <f t="shared" si="40"/>
        <v>0</v>
      </c>
      <c r="P337" s="1"/>
      <c r="Q337" s="1">
        <f t="shared" si="39"/>
        <v>1</v>
      </c>
      <c r="R337" s="1">
        <f>IF(Q337=1,COUNTIF($Q$5:Q337,1),"")</f>
        <v>253</v>
      </c>
    </row>
    <row r="338" spans="1:18">
      <c r="A338" s="1" t="s">
        <v>2138</v>
      </c>
      <c r="B338" s="1" t="s">
        <v>2135</v>
      </c>
      <c r="C338" s="1">
        <v>3</v>
      </c>
      <c r="D338" s="1" t="s">
        <v>729</v>
      </c>
      <c r="E338" s="1" t="s">
        <v>730</v>
      </c>
      <c r="F338" s="1">
        <f>'01_入力仕様'!D170</f>
        <v>0.03</v>
      </c>
      <c r="G338" s="1" t="s">
        <v>731</v>
      </c>
      <c r="H338" s="1">
        <f t="shared" si="37"/>
        <v>7.2575999999999969E-3</v>
      </c>
      <c r="I338" s="1" t="s">
        <v>1482</v>
      </c>
      <c r="J338" s="1">
        <f>IF(F337=0,0,('01_入力仕様'!D170*F332)/F337)</f>
        <v>0.37686939182452633</v>
      </c>
      <c r="K338" s="1">
        <f>K337*J338</f>
        <v>5.8349859224548107E-4</v>
      </c>
      <c r="L338" s="1" t="str">
        <f t="shared" si="38"/>
        <v>増加→総重量増</v>
      </c>
      <c r="M338" s="1" t="s">
        <v>1474</v>
      </c>
      <c r="N338" s="1"/>
      <c r="O338" s="1">
        <f t="shared" si="40"/>
        <v>1</v>
      </c>
      <c r="P338" s="1"/>
      <c r="Q338" s="1">
        <f t="shared" si="39"/>
        <v>1</v>
      </c>
      <c r="R338" s="1">
        <f>IF(Q338=1,COUNTIF($Q$5:Q338,1),"")</f>
        <v>254</v>
      </c>
    </row>
    <row r="339" spans="1:18">
      <c r="A339" s="1" t="s">
        <v>2139</v>
      </c>
      <c r="B339" s="1" t="s">
        <v>2135</v>
      </c>
      <c r="C339" s="1">
        <v>3</v>
      </c>
      <c r="D339" s="1" t="s">
        <v>2140</v>
      </c>
      <c r="E339" s="1" t="s">
        <v>735</v>
      </c>
      <c r="F339" s="1">
        <f>'01_入力仕様'!D171</f>
        <v>4.0000000000000001E-3</v>
      </c>
      <c r="G339" s="1" t="s">
        <v>736</v>
      </c>
      <c r="H339" s="1">
        <f t="shared" si="37"/>
        <v>1.1999999999999999E-2</v>
      </c>
      <c r="I339" s="1" t="s">
        <v>1482</v>
      </c>
      <c r="J339" s="1">
        <f>IF(F337=0,0,('01_入力仕様'!D171*ABS('01_入力仕様'!D166))/F337)</f>
        <v>0.62313060817547361</v>
      </c>
      <c r="K339" s="1">
        <f>K337*J339</f>
        <v>9.6477941839530628E-4</v>
      </c>
      <c r="L339" s="1" t="str">
        <f t="shared" si="38"/>
        <v>増加→総重量増</v>
      </c>
      <c r="M339" s="1" t="s">
        <v>1474</v>
      </c>
      <c r="N339" s="1"/>
      <c r="O339" s="1">
        <f t="shared" si="40"/>
        <v>1</v>
      </c>
      <c r="P339" s="1"/>
      <c r="Q339" s="1">
        <f t="shared" si="39"/>
        <v>1</v>
      </c>
      <c r="R339" s="1">
        <f>IF(Q339=1,COUNTIF($Q$5:Q339,1),"")</f>
        <v>255</v>
      </c>
    </row>
    <row r="340" spans="1:18" ht="28.5">
      <c r="A340" s="1" t="s">
        <v>2141</v>
      </c>
      <c r="B340" s="1" t="s">
        <v>2135</v>
      </c>
      <c r="C340" s="1">
        <v>3</v>
      </c>
      <c r="D340" s="1" t="s">
        <v>2142</v>
      </c>
      <c r="E340" s="1" t="s">
        <v>681</v>
      </c>
      <c r="F340" s="1">
        <f>F341*F394+F342*F395</f>
        <v>0</v>
      </c>
      <c r="G340" s="1" t="s">
        <v>229</v>
      </c>
      <c r="H340" s="1">
        <f t="shared" si="37"/>
        <v>0</v>
      </c>
      <c r="I340" s="1" t="s">
        <v>2143</v>
      </c>
      <c r="J340" s="1">
        <f>IF(F337=0,0,F340/F337)</f>
        <v>0</v>
      </c>
      <c r="K340" s="1">
        <f>K337*J340</f>
        <v>0</v>
      </c>
      <c r="L340" s="1" t="str">
        <f t="shared" si="38"/>
        <v>中立</v>
      </c>
      <c r="M340" s="1" t="s">
        <v>1474</v>
      </c>
      <c r="N340" s="1"/>
      <c r="O340" s="1">
        <f t="shared" si="40"/>
        <v>0</v>
      </c>
      <c r="P340" s="1"/>
      <c r="Q340" s="1">
        <f t="shared" si="39"/>
        <v>1</v>
      </c>
      <c r="R340" s="1">
        <f>IF(Q340=1,COUNTIF($Q$5:Q340,1),"")</f>
        <v>256</v>
      </c>
    </row>
    <row r="341" spans="1:18">
      <c r="A341" s="1" t="s">
        <v>2144</v>
      </c>
      <c r="B341" s="1" t="s">
        <v>2141</v>
      </c>
      <c r="C341" s="1">
        <v>4</v>
      </c>
      <c r="D341" s="1" t="s">
        <v>671</v>
      </c>
      <c r="E341" s="1" t="s">
        <v>672</v>
      </c>
      <c r="F341" s="1">
        <f>'01_入力仕様'!D155</f>
        <v>0</v>
      </c>
      <c r="G341" s="1" t="s">
        <v>415</v>
      </c>
      <c r="H341" s="1">
        <f t="shared" si="37"/>
        <v>3.0000000000000001E-3</v>
      </c>
      <c r="I341" s="1" t="s">
        <v>1482</v>
      </c>
      <c r="J341" s="1">
        <f>0</f>
        <v>0</v>
      </c>
      <c r="K341" s="1">
        <f>'01_入力仕様'!D157/F5</f>
        <v>2.411948545988266E-4</v>
      </c>
      <c r="L341" s="1" t="str">
        <f t="shared" si="38"/>
        <v>増加→総重量増</v>
      </c>
      <c r="M341" s="1" t="s">
        <v>1474</v>
      </c>
      <c r="N341" s="1" t="s">
        <v>2145</v>
      </c>
      <c r="O341" s="1">
        <f t="shared" si="40"/>
        <v>1</v>
      </c>
      <c r="P341" s="1"/>
      <c r="Q341" s="1">
        <f t="shared" si="39"/>
        <v>0</v>
      </c>
      <c r="R341" s="1" t="str">
        <f>IF(Q341=1,COUNTIF($Q$5:Q341,1),"")</f>
        <v/>
      </c>
    </row>
    <row r="342" spans="1:18">
      <c r="A342" s="1" t="s">
        <v>2146</v>
      </c>
      <c r="B342" s="1" t="s">
        <v>2141</v>
      </c>
      <c r="C342" s="1">
        <v>4</v>
      </c>
      <c r="D342" s="1" t="s">
        <v>2147</v>
      </c>
      <c r="E342" s="1" t="s">
        <v>699</v>
      </c>
      <c r="F342" s="1">
        <f>'01_入力仕様'!D162</f>
        <v>0</v>
      </c>
      <c r="G342" s="1" t="s">
        <v>415</v>
      </c>
      <c r="H342" s="1">
        <f t="shared" si="37"/>
        <v>1.5000000000000001E-2</v>
      </c>
      <c r="I342" s="1" t="s">
        <v>1482</v>
      </c>
      <c r="J342" s="1">
        <f>0</f>
        <v>0</v>
      </c>
      <c r="K342" s="1">
        <f>'01_入力仕様'!D164/F5</f>
        <v>1.205974272994133E-3</v>
      </c>
      <c r="L342" s="1" t="str">
        <f t="shared" si="38"/>
        <v>増加→総重量増</v>
      </c>
      <c r="M342" s="1" t="s">
        <v>1474</v>
      </c>
      <c r="N342" s="1" t="s">
        <v>2148</v>
      </c>
      <c r="O342" s="1">
        <f t="shared" si="40"/>
        <v>1</v>
      </c>
      <c r="P342" s="1"/>
      <c r="Q342" s="1">
        <f t="shared" si="39"/>
        <v>0</v>
      </c>
      <c r="R342" s="1" t="str">
        <f>IF(Q342=1,COUNTIF($Q$5:Q342,1),"")</f>
        <v/>
      </c>
    </row>
    <row r="343" spans="1:18">
      <c r="A343" s="1" t="s">
        <v>2149</v>
      </c>
      <c r="B343" s="1" t="s">
        <v>1719</v>
      </c>
      <c r="C343" s="1">
        <v>2</v>
      </c>
      <c r="D343" s="1" t="s">
        <v>2150</v>
      </c>
      <c r="E343" s="1" t="s">
        <v>746</v>
      </c>
      <c r="F343" s="1">
        <f>F346*F345/F344</f>
        <v>0.05</v>
      </c>
      <c r="G343" s="1" t="s">
        <v>229</v>
      </c>
      <c r="H343" s="1">
        <f t="shared" si="37"/>
        <v>0.05</v>
      </c>
      <c r="I343" s="1" t="s">
        <v>2151</v>
      </c>
      <c r="J343" s="1">
        <f>IFERROR(F343/F111,0)</f>
        <v>5.0891386239388887E-2</v>
      </c>
      <c r="K343" s="1">
        <f>K111*J343</f>
        <v>4.0199142433137765E-3</v>
      </c>
      <c r="L343" s="1" t="str">
        <f t="shared" si="38"/>
        <v>増加→総重量増</v>
      </c>
      <c r="M343" s="1" t="s">
        <v>1474</v>
      </c>
      <c r="N343" s="1"/>
      <c r="O343" s="1">
        <f t="shared" si="40"/>
        <v>0</v>
      </c>
      <c r="P343" s="1"/>
      <c r="Q343" s="1">
        <f t="shared" si="39"/>
        <v>1</v>
      </c>
      <c r="R343" s="1">
        <f>IF(Q343=1,COUNTIF($Q$5:Q343,1),"")</f>
        <v>257</v>
      </c>
    </row>
    <row r="344" spans="1:18">
      <c r="A344" s="1" t="s">
        <v>2152</v>
      </c>
      <c r="B344" s="1" t="s">
        <v>2149</v>
      </c>
      <c r="C344" s="1">
        <v>3</v>
      </c>
      <c r="D344" s="1" t="s">
        <v>2153</v>
      </c>
      <c r="E344" s="1" t="s">
        <v>740</v>
      </c>
      <c r="F344" s="1">
        <f>'01_入力仕様'!D172</f>
        <v>1.4999999999999999E-8</v>
      </c>
      <c r="G344" s="1" t="s">
        <v>741</v>
      </c>
      <c r="H344" s="1">
        <f t="shared" si="37"/>
        <v>0.05</v>
      </c>
      <c r="I344" s="1" t="s">
        <v>1482</v>
      </c>
      <c r="J344" s="1">
        <f>-1</f>
        <v>-1</v>
      </c>
      <c r="K344" s="1">
        <f>K343*J344</f>
        <v>-4.0199142433137765E-3</v>
      </c>
      <c r="L344" s="1" t="str">
        <f t="shared" si="38"/>
        <v>増加→総重量減</v>
      </c>
      <c r="M344" s="1" t="s">
        <v>1474</v>
      </c>
      <c r="N344" s="1" t="s">
        <v>2154</v>
      </c>
      <c r="O344" s="1">
        <f t="shared" si="40"/>
        <v>1</v>
      </c>
      <c r="P344" s="1"/>
      <c r="Q344" s="1">
        <f t="shared" si="39"/>
        <v>1</v>
      </c>
      <c r="R344" s="1">
        <f>IF(Q344=1,COUNTIF($Q$5:Q344,1),"")</f>
        <v>258</v>
      </c>
    </row>
    <row r="345" spans="1:18">
      <c r="A345" s="1" t="s">
        <v>2155</v>
      </c>
      <c r="B345" s="1" t="s">
        <v>2149</v>
      </c>
      <c r="C345" s="1">
        <v>3</v>
      </c>
      <c r="D345" s="1" t="s">
        <v>2156</v>
      </c>
      <c r="E345" s="1" t="s">
        <v>745</v>
      </c>
      <c r="F345" s="1">
        <f>'01_入力仕様'!D173</f>
        <v>1.4999999999999999E-8</v>
      </c>
      <c r="G345" s="1" t="s">
        <v>741</v>
      </c>
      <c r="H345" s="1">
        <f t="shared" si="37"/>
        <v>0.05</v>
      </c>
      <c r="I345" s="1" t="s">
        <v>1482</v>
      </c>
      <c r="J345" s="1">
        <f>1</f>
        <v>1</v>
      </c>
      <c r="K345" s="1">
        <f>K343*J345</f>
        <v>4.0199142433137765E-3</v>
      </c>
      <c r="L345" s="1" t="str">
        <f t="shared" si="38"/>
        <v>増加→総重量増</v>
      </c>
      <c r="M345" s="1" t="s">
        <v>1474</v>
      </c>
      <c r="N345" s="1"/>
      <c r="O345" s="1">
        <f t="shared" si="40"/>
        <v>1</v>
      </c>
      <c r="P345" s="1"/>
      <c r="Q345" s="1">
        <f t="shared" si="39"/>
        <v>1</v>
      </c>
      <c r="R345" s="1">
        <f>IF(Q345=1,COUNTIF($Q$5:Q345,1),"")</f>
        <v>259</v>
      </c>
    </row>
    <row r="346" spans="1:18">
      <c r="A346" s="1" t="s">
        <v>2157</v>
      </c>
      <c r="B346" s="1" t="s">
        <v>2149</v>
      </c>
      <c r="C346" s="1">
        <v>3</v>
      </c>
      <c r="D346" s="1" t="s">
        <v>2158</v>
      </c>
      <c r="E346" s="1" t="s">
        <v>749</v>
      </c>
      <c r="F346" s="1">
        <f>'01_入力仕様'!D174</f>
        <v>0.05</v>
      </c>
      <c r="G346" s="1" t="s">
        <v>229</v>
      </c>
      <c r="H346" s="1">
        <f t="shared" si="37"/>
        <v>0.05</v>
      </c>
      <c r="I346" s="1" t="s">
        <v>1482</v>
      </c>
      <c r="J346" s="1">
        <f>1</f>
        <v>1</v>
      </c>
      <c r="K346" s="1">
        <f>K343*J346</f>
        <v>4.0199142433137765E-3</v>
      </c>
      <c r="L346" s="1" t="str">
        <f t="shared" si="38"/>
        <v>増加→総重量増</v>
      </c>
      <c r="M346" s="1" t="s">
        <v>1474</v>
      </c>
      <c r="N346" s="1"/>
      <c r="O346" s="1">
        <f t="shared" si="40"/>
        <v>1</v>
      </c>
      <c r="P346" s="1"/>
      <c r="Q346" s="1">
        <f t="shared" si="39"/>
        <v>1</v>
      </c>
      <c r="R346" s="1">
        <f>IF(Q346=1,COUNTIF($Q$5:Q346,1),"")</f>
        <v>260</v>
      </c>
    </row>
    <row r="347" spans="1:18" ht="28.5">
      <c r="A347" s="1" t="s">
        <v>2159</v>
      </c>
      <c r="B347" s="1" t="s">
        <v>1593</v>
      </c>
      <c r="C347" s="1">
        <v>12</v>
      </c>
      <c r="D347" s="1" t="s">
        <v>2160</v>
      </c>
      <c r="E347" s="1" t="s">
        <v>758</v>
      </c>
      <c r="F347" s="1">
        <f>F401*F402*F405</f>
        <v>84.581971069559927</v>
      </c>
      <c r="G347" s="1" t="s">
        <v>73</v>
      </c>
      <c r="H347" s="1">
        <f>ABS(K347)*F5</f>
        <v>3.0493487651298371E-5</v>
      </c>
      <c r="I347" s="1" t="s">
        <v>2161</v>
      </c>
      <c r="J347" s="1">
        <f>F347/F55</f>
        <v>9.5618013746414848E-2</v>
      </c>
      <c r="K347" s="1">
        <f>K55*J347</f>
        <v>2.4516241067553416E-6</v>
      </c>
      <c r="L347" s="1" t="str">
        <f t="shared" si="38"/>
        <v>増加→総重量増</v>
      </c>
      <c r="M347" s="1" t="s">
        <v>1474</v>
      </c>
      <c r="N347" s="1"/>
      <c r="O347" s="1">
        <f t="shared" si="40"/>
        <v>0</v>
      </c>
      <c r="P347" s="1"/>
      <c r="Q347" s="1">
        <f t="shared" si="39"/>
        <v>1</v>
      </c>
      <c r="R347" s="1">
        <f>IF(Q347=1,COUNTIF($Q$5:Q347,1),"")</f>
        <v>261</v>
      </c>
    </row>
    <row r="348" spans="1:18" ht="28.5">
      <c r="A348" s="1" t="s">
        <v>2162</v>
      </c>
      <c r="B348" s="1" t="s">
        <v>1606</v>
      </c>
      <c r="C348" s="1">
        <v>11</v>
      </c>
      <c r="D348" s="1" t="s">
        <v>2163</v>
      </c>
      <c r="E348" s="1" t="s">
        <v>758</v>
      </c>
      <c r="F348" s="1">
        <f>F408*F409*F412</f>
        <v>84.581971069559927</v>
      </c>
      <c r="G348" s="1" t="s">
        <v>73</v>
      </c>
      <c r="H348" s="1">
        <f>ABS(K348)*F5</f>
        <v>2.5411239709415313E-5</v>
      </c>
      <c r="I348" s="1" t="s">
        <v>2161</v>
      </c>
      <c r="J348" s="1">
        <f>F348/F60</f>
        <v>9.5618013746414848E-2</v>
      </c>
      <c r="K348" s="1">
        <f>K60*J348</f>
        <v>2.0430200889627849E-6</v>
      </c>
      <c r="L348" s="1" t="str">
        <f t="shared" si="38"/>
        <v>増加→総重量増</v>
      </c>
      <c r="M348" s="1" t="s">
        <v>1474</v>
      </c>
      <c r="N348" s="1"/>
      <c r="O348" s="1">
        <f t="shared" si="40"/>
        <v>0</v>
      </c>
      <c r="P348" s="1"/>
      <c r="Q348" s="1">
        <f t="shared" si="39"/>
        <v>0</v>
      </c>
      <c r="R348" s="1" t="str">
        <f>IF(Q348=1,COUNTIF($Q$5:Q348,1),"")</f>
        <v/>
      </c>
    </row>
    <row r="349" spans="1:18" ht="28.5">
      <c r="A349" s="1" t="s">
        <v>2164</v>
      </c>
      <c r="B349" s="1" t="s">
        <v>1643</v>
      </c>
      <c r="C349" s="1">
        <v>9</v>
      </c>
      <c r="D349" s="1" t="s">
        <v>2165</v>
      </c>
      <c r="E349" s="1" t="s">
        <v>758</v>
      </c>
      <c r="F349" s="1">
        <f>F415*F416*F419</f>
        <v>84.581971069559927</v>
      </c>
      <c r="G349" s="1" t="s">
        <v>73</v>
      </c>
      <c r="H349" s="1">
        <f>ABS(K349)*F5</f>
        <v>1.5435245234192356E-5</v>
      </c>
      <c r="I349" s="1" t="s">
        <v>2161</v>
      </c>
      <c r="J349" s="1">
        <f>F349/F77</f>
        <v>9.5618013746414848E-2</v>
      </c>
      <c r="K349" s="1">
        <f>K77*J349</f>
        <v>-1.2409672433194188E-6</v>
      </c>
      <c r="L349" s="1" t="str">
        <f t="shared" si="38"/>
        <v>増加→総重量減</v>
      </c>
      <c r="M349" s="1" t="s">
        <v>1474</v>
      </c>
      <c r="N349" s="1"/>
      <c r="O349" s="1">
        <f t="shared" si="40"/>
        <v>0</v>
      </c>
      <c r="P349" s="1"/>
      <c r="Q349" s="1">
        <f t="shared" si="39"/>
        <v>0</v>
      </c>
      <c r="R349" s="1" t="str">
        <f>IF(Q349=1,COUNTIF($Q$5:Q349,1),"")</f>
        <v/>
      </c>
    </row>
    <row r="350" spans="1:18">
      <c r="A350" s="1" t="s">
        <v>2166</v>
      </c>
      <c r="B350" s="1" t="s">
        <v>1558</v>
      </c>
      <c r="C350" s="1">
        <v>5</v>
      </c>
      <c r="D350" s="1" t="s">
        <v>2167</v>
      </c>
      <c r="E350" s="1" t="s">
        <v>763</v>
      </c>
      <c r="F350" s="1">
        <f>F351*0.5*F352*F353^2*F354*'01_入力仕様'!D131</f>
        <v>0</v>
      </c>
      <c r="G350" s="1" t="s">
        <v>984</v>
      </c>
      <c r="H350" s="1">
        <f t="shared" ref="H350:H364" si="41">ABS(K350)*$F$5</f>
        <v>0</v>
      </c>
      <c r="I350" s="1" t="s">
        <v>2168</v>
      </c>
      <c r="J350" s="1">
        <f>IF(F38=0,0,F350/F38)</f>
        <v>0</v>
      </c>
      <c r="K350" s="1">
        <f>K38*J350</f>
        <v>0</v>
      </c>
      <c r="L350" s="1" t="str">
        <f t="shared" si="38"/>
        <v>中立</v>
      </c>
      <c r="M350" s="1" t="s">
        <v>1474</v>
      </c>
      <c r="N350" s="1"/>
      <c r="O350" s="1">
        <f t="shared" si="40"/>
        <v>0</v>
      </c>
      <c r="P350" s="1"/>
      <c r="Q350" s="1">
        <f t="shared" si="39"/>
        <v>1</v>
      </c>
      <c r="R350" s="1">
        <f>IF(Q350=1,COUNTIF($Q$5:Q350,1),"")</f>
        <v>262</v>
      </c>
    </row>
    <row r="351" spans="1:18">
      <c r="A351" s="1" t="s">
        <v>2169</v>
      </c>
      <c r="B351" s="1" t="s">
        <v>2166</v>
      </c>
      <c r="C351" s="1">
        <v>6</v>
      </c>
      <c r="D351" s="1" t="s">
        <v>752</v>
      </c>
      <c r="E351" s="1" t="s">
        <v>753</v>
      </c>
      <c r="F351" s="1">
        <f>'01_入力仕様'!D175</f>
        <v>0</v>
      </c>
      <c r="G351" s="1" t="s">
        <v>415</v>
      </c>
      <c r="H351" s="1">
        <f t="shared" si="41"/>
        <v>4.002126975200403E-3</v>
      </c>
      <c r="I351" s="1" t="s">
        <v>1482</v>
      </c>
      <c r="J351" s="1">
        <f>0</f>
        <v>0</v>
      </c>
      <c r="K351" s="1">
        <f>K38*(0.5*'01_入力仕様'!D177*'01_入力仕様'!D6^2*'01_入力仕様'!D10*6)/F38</f>
        <v>3.2176414462316765E-4</v>
      </c>
      <c r="L351" s="1" t="str">
        <f t="shared" si="38"/>
        <v>増加→総重量増</v>
      </c>
      <c r="M351" s="1" t="s">
        <v>1474</v>
      </c>
      <c r="N351" s="1" t="s">
        <v>2085</v>
      </c>
      <c r="O351" s="1">
        <f t="shared" si="40"/>
        <v>1</v>
      </c>
      <c r="P351" s="1"/>
      <c r="Q351" s="1">
        <f t="shared" si="39"/>
        <v>1</v>
      </c>
      <c r="R351" s="1">
        <f>IF(Q351=1,COUNTIF($Q$5:Q351,1),"")</f>
        <v>263</v>
      </c>
    </row>
    <row r="352" spans="1:18">
      <c r="A352" s="1" t="s">
        <v>2170</v>
      </c>
      <c r="B352" s="1" t="s">
        <v>2166</v>
      </c>
      <c r="C352" s="1">
        <v>6</v>
      </c>
      <c r="D352" s="1" t="s">
        <v>760</v>
      </c>
      <c r="E352" s="1" t="s">
        <v>761</v>
      </c>
      <c r="F352" s="1">
        <f>'01_入力仕様'!D177</f>
        <v>5.0000000000000001E-9</v>
      </c>
      <c r="G352" s="1" t="s">
        <v>762</v>
      </c>
      <c r="H352" s="1">
        <f t="shared" si="41"/>
        <v>0</v>
      </c>
      <c r="I352" s="1" t="s">
        <v>1482</v>
      </c>
      <c r="J352" s="1">
        <f>1</f>
        <v>1</v>
      </c>
      <c r="K352" s="1">
        <f>K350*J352</f>
        <v>0</v>
      </c>
      <c r="L352" s="1" t="str">
        <f t="shared" si="38"/>
        <v>中立</v>
      </c>
      <c r="M352" s="1" t="s">
        <v>1474</v>
      </c>
      <c r="N352" s="1"/>
      <c r="O352" s="1">
        <f t="shared" si="40"/>
        <v>1</v>
      </c>
      <c r="P352" s="1"/>
      <c r="Q352" s="1">
        <f t="shared" si="39"/>
        <v>1</v>
      </c>
      <c r="R352" s="1">
        <f>IF(Q352=1,COUNTIF($Q$5:Q352,1),"")</f>
        <v>264</v>
      </c>
    </row>
    <row r="353" spans="1:18">
      <c r="A353" s="1" t="s">
        <v>2171</v>
      </c>
      <c r="B353" s="1" t="s">
        <v>2166</v>
      </c>
      <c r="C353" s="1">
        <v>6</v>
      </c>
      <c r="D353" s="1" t="s">
        <v>71</v>
      </c>
      <c r="E353" s="1" t="s">
        <v>72</v>
      </c>
      <c r="F353" s="1">
        <f>'01_入力仕様'!D6</f>
        <v>800</v>
      </c>
      <c r="G353" s="1" t="s">
        <v>73</v>
      </c>
      <c r="H353" s="1">
        <f t="shared" si="41"/>
        <v>0</v>
      </c>
      <c r="I353" s="1" t="s">
        <v>1482</v>
      </c>
      <c r="J353" s="1">
        <f>2</f>
        <v>2</v>
      </c>
      <c r="K353" s="1">
        <f>K350*J353</f>
        <v>0</v>
      </c>
      <c r="L353" s="1" t="str">
        <f t="shared" si="38"/>
        <v>中立</v>
      </c>
      <c r="M353" s="1" t="s">
        <v>1474</v>
      </c>
      <c r="N353" s="1"/>
      <c r="O353" s="1">
        <f t="shared" si="40"/>
        <v>1</v>
      </c>
      <c r="P353" s="1"/>
      <c r="Q353" s="1">
        <f t="shared" si="39"/>
        <v>0</v>
      </c>
      <c r="R353" s="1" t="str">
        <f>IF(Q353=1,COUNTIF($Q$5:Q353,1),"")</f>
        <v/>
      </c>
    </row>
    <row r="354" spans="1:18">
      <c r="A354" s="1" t="s">
        <v>2172</v>
      </c>
      <c r="B354" s="1" t="s">
        <v>2166</v>
      </c>
      <c r="C354" s="1">
        <v>6</v>
      </c>
      <c r="D354" s="1" t="s">
        <v>95</v>
      </c>
      <c r="E354" s="1" t="s">
        <v>95</v>
      </c>
      <c r="F354" s="1">
        <f>'01_入力仕様'!D10</f>
        <v>16000</v>
      </c>
      <c r="G354" s="1" t="s">
        <v>96</v>
      </c>
      <c r="H354" s="1">
        <f t="shared" si="41"/>
        <v>0</v>
      </c>
      <c r="I354" s="1" t="s">
        <v>1482</v>
      </c>
      <c r="J354" s="1">
        <f>1</f>
        <v>1</v>
      </c>
      <c r="K354" s="1">
        <f>K350*J354</f>
        <v>0</v>
      </c>
      <c r="L354" s="1" t="str">
        <f t="shared" si="38"/>
        <v>中立</v>
      </c>
      <c r="M354" s="1" t="s">
        <v>1474</v>
      </c>
      <c r="N354" s="1"/>
      <c r="O354" s="1">
        <f t="shared" si="40"/>
        <v>1</v>
      </c>
      <c r="P354" s="1"/>
      <c r="Q354" s="1">
        <f t="shared" si="39"/>
        <v>0</v>
      </c>
      <c r="R354" s="1" t="str">
        <f>IF(Q354=1,COUNTIF($Q$5:Q354,1),"")</f>
        <v/>
      </c>
    </row>
    <row r="355" spans="1:18" ht="42.75">
      <c r="A355" s="1" t="s">
        <v>2173</v>
      </c>
      <c r="B355" s="1" t="s">
        <v>1470</v>
      </c>
      <c r="C355" s="1">
        <v>1</v>
      </c>
      <c r="D355" s="1" t="s">
        <v>765</v>
      </c>
      <c r="E355" s="1" t="s">
        <v>767</v>
      </c>
      <c r="F355" s="1">
        <f>F356*F357</f>
        <v>0</v>
      </c>
      <c r="G355" s="1" t="s">
        <v>229</v>
      </c>
      <c r="H355" s="1">
        <f t="shared" si="41"/>
        <v>0</v>
      </c>
      <c r="I355" s="1" t="s">
        <v>2174</v>
      </c>
      <c r="J355" s="1">
        <f>IFERROR(F355/F5,0)</f>
        <v>0</v>
      </c>
      <c r="K355" s="1">
        <f>K5*J355</f>
        <v>0</v>
      </c>
      <c r="L355" s="1" t="str">
        <f t="shared" si="38"/>
        <v>中立</v>
      </c>
      <c r="M355" s="1" t="s">
        <v>1474</v>
      </c>
      <c r="N355" s="1" t="s">
        <v>2175</v>
      </c>
      <c r="O355" s="1">
        <f t="shared" si="40"/>
        <v>0</v>
      </c>
      <c r="P355" s="1"/>
      <c r="Q355" s="1">
        <f t="shared" si="39"/>
        <v>1</v>
      </c>
      <c r="R355" s="1">
        <f>IF(Q355=1,COUNTIF($Q$5:Q355,1),"")</f>
        <v>265</v>
      </c>
    </row>
    <row r="356" spans="1:18">
      <c r="A356" s="1" t="s">
        <v>2176</v>
      </c>
      <c r="B356" s="1" t="s">
        <v>2173</v>
      </c>
      <c r="C356" s="1">
        <v>2</v>
      </c>
      <c r="D356" s="1" t="s">
        <v>752</v>
      </c>
      <c r="E356" s="1" t="s">
        <v>753</v>
      </c>
      <c r="F356" s="1">
        <f>'01_入力仕様'!D175</f>
        <v>0</v>
      </c>
      <c r="G356" s="1" t="s">
        <v>415</v>
      </c>
      <c r="H356" s="1">
        <f t="shared" si="41"/>
        <v>3.0000000000000002E-2</v>
      </c>
      <c r="I356" s="1" t="s">
        <v>1482</v>
      </c>
      <c r="J356" s="1">
        <f>0</f>
        <v>0</v>
      </c>
      <c r="K356" s="1">
        <f>'01_入力仕様'!D178/F5</f>
        <v>2.411948545988266E-3</v>
      </c>
      <c r="L356" s="1" t="str">
        <f t="shared" si="38"/>
        <v>増加→総重量増</v>
      </c>
      <c r="M356" s="1" t="s">
        <v>1474</v>
      </c>
      <c r="N356" s="1" t="s">
        <v>2177</v>
      </c>
      <c r="O356" s="1">
        <f t="shared" si="40"/>
        <v>1</v>
      </c>
      <c r="P356" s="1"/>
      <c r="Q356" s="1">
        <f t="shared" si="39"/>
        <v>0</v>
      </c>
      <c r="R356" s="1" t="str">
        <f>IF(Q356=1,COUNTIF($Q$5:Q356,1),"")</f>
        <v/>
      </c>
    </row>
    <row r="357" spans="1:18">
      <c r="A357" s="1" t="s">
        <v>2178</v>
      </c>
      <c r="B357" s="1" t="s">
        <v>2173</v>
      </c>
      <c r="C357" s="1">
        <v>2</v>
      </c>
      <c r="D357" s="1" t="s">
        <v>2179</v>
      </c>
      <c r="E357" s="1" t="s">
        <v>766</v>
      </c>
      <c r="F357" s="1">
        <f>'01_入力仕様'!D178</f>
        <v>0.03</v>
      </c>
      <c r="G357" s="1" t="s">
        <v>229</v>
      </c>
      <c r="H357" s="1">
        <f t="shared" si="41"/>
        <v>0</v>
      </c>
      <c r="I357" s="1" t="s">
        <v>1482</v>
      </c>
      <c r="J357" s="1">
        <f>0</f>
        <v>0</v>
      </c>
      <c r="K357" s="1">
        <f>K355*J357</f>
        <v>0</v>
      </c>
      <c r="L357" s="1" t="str">
        <f t="shared" si="38"/>
        <v>中立</v>
      </c>
      <c r="M357" s="1" t="s">
        <v>1474</v>
      </c>
      <c r="N357" s="1"/>
      <c r="O357" s="1">
        <f t="shared" si="40"/>
        <v>1</v>
      </c>
      <c r="P357" s="1"/>
      <c r="Q357" s="1">
        <f>1</f>
        <v>1</v>
      </c>
      <c r="R357" s="1">
        <f>IF(Q357=1,COUNTIF($Q$5:Q357,1),"")</f>
        <v>266</v>
      </c>
    </row>
    <row r="358" spans="1:18">
      <c r="A358" s="1" t="s">
        <v>2180</v>
      </c>
      <c r="B358" s="1" t="s">
        <v>1621</v>
      </c>
      <c r="C358" s="1">
        <v>6</v>
      </c>
      <c r="D358" s="1" t="s">
        <v>2181</v>
      </c>
      <c r="E358" s="1" t="s">
        <v>776</v>
      </c>
      <c r="F358" s="1">
        <f>F359*F362</f>
        <v>1</v>
      </c>
      <c r="G358" s="1" t="s">
        <v>86</v>
      </c>
      <c r="H358" s="1">
        <f t="shared" si="41"/>
        <v>4.6121749387180254E-4</v>
      </c>
      <c r="I358" s="1" t="s">
        <v>2182</v>
      </c>
      <c r="J358" s="1">
        <f>1</f>
        <v>1</v>
      </c>
      <c r="K358" s="1">
        <f>K68*J358</f>
        <v>3.7081095457614869E-5</v>
      </c>
      <c r="L358" s="1" t="str">
        <f t="shared" si="38"/>
        <v>増加→総重量増</v>
      </c>
      <c r="M358" s="1" t="s">
        <v>1474</v>
      </c>
      <c r="N358" s="1"/>
      <c r="O358" s="1">
        <f t="shared" si="40"/>
        <v>0</v>
      </c>
      <c r="P358" s="1"/>
      <c r="Q358" s="1">
        <f t="shared" ref="Q358:Q364" si="42">IF(E358="","",--(MATCH(E358,$E$5:$E$560,0)=ROW()-4))</f>
        <v>1</v>
      </c>
      <c r="R358" s="1">
        <f>IF(Q358=1,COUNTIF($Q$5:Q358,1),"")</f>
        <v>267</v>
      </c>
    </row>
    <row r="359" spans="1:18">
      <c r="A359" s="1" t="s">
        <v>2183</v>
      </c>
      <c r="B359" s="1" t="s">
        <v>2180</v>
      </c>
      <c r="C359" s="1">
        <v>7</v>
      </c>
      <c r="D359" s="1" t="s">
        <v>2184</v>
      </c>
      <c r="E359" s="1" t="s">
        <v>2185</v>
      </c>
      <c r="F359" s="1">
        <f>1-F360*(1-F361)</f>
        <v>1</v>
      </c>
      <c r="G359" s="1" t="s">
        <v>86</v>
      </c>
      <c r="H359" s="1">
        <f t="shared" si="41"/>
        <v>4.6121749387180254E-4</v>
      </c>
      <c r="I359" s="1" t="s">
        <v>2186</v>
      </c>
      <c r="J359" s="1">
        <f>1</f>
        <v>1</v>
      </c>
      <c r="K359" s="1">
        <f>K358*J359</f>
        <v>3.7081095457614869E-5</v>
      </c>
      <c r="L359" s="1" t="str">
        <f t="shared" si="38"/>
        <v>増加→総重量増</v>
      </c>
      <c r="M359" s="1" t="s">
        <v>1474</v>
      </c>
      <c r="N359" s="1"/>
      <c r="O359" s="1">
        <f t="shared" si="40"/>
        <v>0</v>
      </c>
      <c r="P359" s="1"/>
      <c r="Q359" s="1">
        <f t="shared" si="42"/>
        <v>1</v>
      </c>
      <c r="R359" s="1">
        <f>IF(Q359=1,COUNTIF($Q$5:Q359,1),"")</f>
        <v>268</v>
      </c>
    </row>
    <row r="360" spans="1:18">
      <c r="A360" s="1" t="s">
        <v>2187</v>
      </c>
      <c r="B360" s="1" t="s">
        <v>2183</v>
      </c>
      <c r="C360" s="1">
        <v>8</v>
      </c>
      <c r="D360" s="1" t="s">
        <v>770</v>
      </c>
      <c r="E360" s="1" t="s">
        <v>771</v>
      </c>
      <c r="F360" s="1">
        <f>'01_入力仕様'!D179</f>
        <v>0</v>
      </c>
      <c r="G360" s="1" t="s">
        <v>415</v>
      </c>
      <c r="H360" s="1">
        <f t="shared" si="41"/>
        <v>1.5220177297769482E-4</v>
      </c>
      <c r="I360" s="1" t="s">
        <v>1482</v>
      </c>
      <c r="J360" s="1">
        <f>0</f>
        <v>0</v>
      </c>
      <c r="K360" s="1">
        <f>K68*('01_入力仕様'!D180-1)</f>
        <v>-1.2236761501012905E-5</v>
      </c>
      <c r="L360" s="1" t="str">
        <f t="shared" si="38"/>
        <v>増加→総重量減</v>
      </c>
      <c r="M360" s="1" t="s">
        <v>1474</v>
      </c>
      <c r="N360" s="1" t="s">
        <v>2085</v>
      </c>
      <c r="O360" s="1">
        <f t="shared" si="40"/>
        <v>1</v>
      </c>
      <c r="P360" s="1"/>
      <c r="Q360" s="1">
        <f t="shared" si="42"/>
        <v>1</v>
      </c>
      <c r="R360" s="1">
        <f>IF(Q360=1,COUNTIF($Q$5:Q360,1),"")</f>
        <v>269</v>
      </c>
    </row>
    <row r="361" spans="1:18">
      <c r="A361" s="1" t="s">
        <v>2188</v>
      </c>
      <c r="B361" s="1" t="s">
        <v>2183</v>
      </c>
      <c r="C361" s="1">
        <v>8</v>
      </c>
      <c r="D361" s="1" t="s">
        <v>2189</v>
      </c>
      <c r="E361" s="1" t="s">
        <v>775</v>
      </c>
      <c r="F361" s="1">
        <f>'01_入力仕様'!D180</f>
        <v>0.67</v>
      </c>
      <c r="G361" s="1" t="s">
        <v>86</v>
      </c>
      <c r="H361" s="1">
        <f t="shared" si="41"/>
        <v>0</v>
      </c>
      <c r="I361" s="1" t="s">
        <v>1482</v>
      </c>
      <c r="J361" s="1">
        <f>IF(F359=0,0,'01_入力仕様'!D179*'01_入力仕様'!D180/F359)</f>
        <v>0</v>
      </c>
      <c r="K361" s="1">
        <f>K359*J361</f>
        <v>0</v>
      </c>
      <c r="L361" s="1" t="str">
        <f t="shared" si="38"/>
        <v>中立</v>
      </c>
      <c r="M361" s="1" t="s">
        <v>1474</v>
      </c>
      <c r="N361" s="1"/>
      <c r="O361" s="1">
        <f t="shared" si="40"/>
        <v>1</v>
      </c>
      <c r="P361" s="1"/>
      <c r="Q361" s="1">
        <f t="shared" si="42"/>
        <v>1</v>
      </c>
      <c r="R361" s="1">
        <f>IF(Q361=1,COUNTIF($Q$5:Q361,1),"")</f>
        <v>270</v>
      </c>
    </row>
    <row r="362" spans="1:18">
      <c r="A362" s="1" t="s">
        <v>2190</v>
      </c>
      <c r="B362" s="1" t="s">
        <v>2180</v>
      </c>
      <c r="C362" s="1">
        <v>7</v>
      </c>
      <c r="D362" s="1" t="s">
        <v>2191</v>
      </c>
      <c r="E362" s="1" t="s">
        <v>2192</v>
      </c>
      <c r="F362" s="1">
        <f>1+F363*(F364-1)</f>
        <v>1</v>
      </c>
      <c r="G362" s="1" t="s">
        <v>86</v>
      </c>
      <c r="H362" s="1">
        <f t="shared" si="41"/>
        <v>4.6121749387180254E-4</v>
      </c>
      <c r="I362" s="1" t="s">
        <v>2193</v>
      </c>
      <c r="J362" s="1">
        <f>1</f>
        <v>1</v>
      </c>
      <c r="K362" s="1">
        <f>K358*J362</f>
        <v>3.7081095457614869E-5</v>
      </c>
      <c r="L362" s="1" t="str">
        <f t="shared" si="38"/>
        <v>増加→総重量増</v>
      </c>
      <c r="M362" s="1" t="s">
        <v>1474</v>
      </c>
      <c r="N362" s="1"/>
      <c r="O362" s="1">
        <f t="shared" si="40"/>
        <v>0</v>
      </c>
      <c r="P362" s="1"/>
      <c r="Q362" s="1">
        <f t="shared" si="42"/>
        <v>1</v>
      </c>
      <c r="R362" s="1">
        <f>IF(Q362=1,COUNTIF($Q$5:Q362,1),"")</f>
        <v>271</v>
      </c>
    </row>
    <row r="363" spans="1:18">
      <c r="A363" s="1" t="s">
        <v>2194</v>
      </c>
      <c r="B363" s="1" t="s">
        <v>2190</v>
      </c>
      <c r="C363" s="1">
        <v>8</v>
      </c>
      <c r="D363" s="1" t="s">
        <v>782</v>
      </c>
      <c r="E363" s="1" t="s">
        <v>783</v>
      </c>
      <c r="F363" s="1">
        <f>'01_入力仕様'!D182</f>
        <v>0</v>
      </c>
      <c r="G363" s="1" t="s">
        <v>415</v>
      </c>
      <c r="H363" s="1">
        <f t="shared" si="41"/>
        <v>3.6897399509744232E-5</v>
      </c>
      <c r="I363" s="1" t="s">
        <v>1482</v>
      </c>
      <c r="J363" s="1">
        <f>0</f>
        <v>0</v>
      </c>
      <c r="K363" s="1">
        <f>K68*('01_入力仕様'!D183-1)</f>
        <v>2.966487636609192E-6</v>
      </c>
      <c r="L363" s="1" t="str">
        <f t="shared" si="38"/>
        <v>増加→総重量増</v>
      </c>
      <c r="M363" s="1" t="s">
        <v>1474</v>
      </c>
      <c r="N363" s="1" t="s">
        <v>2085</v>
      </c>
      <c r="O363" s="1">
        <f t="shared" si="40"/>
        <v>1</v>
      </c>
      <c r="P363" s="1"/>
      <c r="Q363" s="1">
        <f t="shared" si="42"/>
        <v>1</v>
      </c>
      <c r="R363" s="1">
        <f>IF(Q363=1,COUNTIF($Q$5:Q363,1),"")</f>
        <v>272</v>
      </c>
    </row>
    <row r="364" spans="1:18">
      <c r="A364" s="1" t="s">
        <v>2195</v>
      </c>
      <c r="B364" s="1" t="s">
        <v>2190</v>
      </c>
      <c r="C364" s="1">
        <v>8</v>
      </c>
      <c r="D364" s="1" t="s">
        <v>2196</v>
      </c>
      <c r="E364" s="1" t="s">
        <v>787</v>
      </c>
      <c r="F364" s="1">
        <f>'01_入力仕様'!D183</f>
        <v>1.08</v>
      </c>
      <c r="G364" s="1" t="s">
        <v>86</v>
      </c>
      <c r="H364" s="1">
        <f t="shared" si="41"/>
        <v>0</v>
      </c>
      <c r="I364" s="1" t="s">
        <v>1482</v>
      </c>
      <c r="J364" s="1">
        <f>IF(F362=0,0,'01_入力仕様'!D182*'01_入力仕様'!D183/F362)</f>
        <v>0</v>
      </c>
      <c r="K364" s="1">
        <f>K362*J364</f>
        <v>0</v>
      </c>
      <c r="L364" s="1" t="str">
        <f t="shared" si="38"/>
        <v>中立</v>
      </c>
      <c r="M364" s="1" t="s">
        <v>1474</v>
      </c>
      <c r="N364" s="1"/>
      <c r="O364" s="1">
        <f t="shared" si="40"/>
        <v>1</v>
      </c>
      <c r="P364" s="1"/>
      <c r="Q364" s="1">
        <f t="shared" si="42"/>
        <v>1</v>
      </c>
      <c r="R364" s="1">
        <f>IF(Q364=1,COUNTIF($Q$5:Q364,1),"")</f>
        <v>273</v>
      </c>
    </row>
    <row r="365" spans="1:18" ht="57">
      <c r="A365" s="1" t="s">
        <v>1787</v>
      </c>
      <c r="B365" s="1" t="s">
        <v>1782</v>
      </c>
      <c r="C365" s="1">
        <v>2</v>
      </c>
      <c r="D365" s="1" t="s">
        <v>2197</v>
      </c>
      <c r="E365" s="1" t="s">
        <v>2198</v>
      </c>
      <c r="F365" s="1">
        <f>F141+F158+F672</f>
        <v>0.35835381043987435</v>
      </c>
      <c r="G365" s="1" t="s">
        <v>229</v>
      </c>
      <c r="H365" s="1">
        <f>F365</f>
        <v>0.35835381043987435</v>
      </c>
      <c r="I365" s="1" t="s">
        <v>2199</v>
      </c>
      <c r="J365" s="1">
        <f>IFERROR(F365/F140,0)</f>
        <v>1</v>
      </c>
      <c r="K365" s="1">
        <f>IFERROR(F365/F5,0)</f>
        <v>2.881103173466032E-2</v>
      </c>
      <c r="L365" s="1" t="s">
        <v>1627</v>
      </c>
      <c r="M365" s="1" t="s">
        <v>1474</v>
      </c>
      <c r="N365" s="1" t="s">
        <v>2200</v>
      </c>
      <c r="O365" s="1">
        <f t="shared" si="40"/>
        <v>0</v>
      </c>
      <c r="P365" s="1"/>
      <c r="Q365" s="1">
        <f>IF($A365="","",IF($E365="","",--(COUNTIF($E$5:$E365,$E365)=1)))</f>
        <v>1</v>
      </c>
      <c r="R365" s="1">
        <f>IF($A365="","",IF($Q365=1,COUNTIF($Q$5:$Q365,1),""))</f>
        <v>274</v>
      </c>
    </row>
    <row r="366" spans="1:18" ht="57">
      <c r="A366" s="1" t="s">
        <v>2201</v>
      </c>
      <c r="B366" s="1" t="s">
        <v>1793</v>
      </c>
      <c r="C366" s="1">
        <v>5</v>
      </c>
      <c r="D366" s="1" t="s">
        <v>2202</v>
      </c>
      <c r="E366" s="1" t="s">
        <v>780</v>
      </c>
      <c r="F366" s="1">
        <f>1+F624*F367</f>
        <v>1</v>
      </c>
      <c r="G366" s="1" t="s">
        <v>86</v>
      </c>
      <c r="H366" s="1">
        <f>F365</f>
        <v>0.35835381043987435</v>
      </c>
      <c r="I366" s="1" t="s">
        <v>2203</v>
      </c>
      <c r="J366" s="1">
        <f>1</f>
        <v>1</v>
      </c>
      <c r="K366" s="1">
        <f>K143*J366</f>
        <v>1.8789803305213251E-2</v>
      </c>
      <c r="L366" s="1" t="s">
        <v>2204</v>
      </c>
      <c r="M366" s="1" t="s">
        <v>1474</v>
      </c>
      <c r="N366" s="1" t="s">
        <v>2205</v>
      </c>
      <c r="O366" s="1">
        <f t="shared" si="40"/>
        <v>0</v>
      </c>
      <c r="P366" s="1"/>
      <c r="Q366" s="1">
        <f>IF($A366="","",IF($E366="","",--(COUNTIF($E$5:$E366,$E366)=1)))</f>
        <v>1</v>
      </c>
      <c r="R366" s="1">
        <f>IF($A366="","",IF($Q366=1,COUNTIF($Q$5:$Q366,1),""))</f>
        <v>275</v>
      </c>
    </row>
    <row r="367" spans="1:18" ht="57">
      <c r="A367" s="1" t="s">
        <v>2206</v>
      </c>
      <c r="B367" s="1" t="s">
        <v>2201</v>
      </c>
      <c r="C367" s="1">
        <v>6</v>
      </c>
      <c r="D367" s="1" t="s">
        <v>778</v>
      </c>
      <c r="E367" s="1" t="s">
        <v>779</v>
      </c>
      <c r="F367" s="1">
        <f>'01_入力仕様'!D181</f>
        <v>0.3</v>
      </c>
      <c r="G367" s="1" t="s">
        <v>86</v>
      </c>
      <c r="H367" s="1">
        <f>ABS(K367)*$F$5</f>
        <v>0</v>
      </c>
      <c r="I367" s="1" t="s">
        <v>1482</v>
      </c>
      <c r="J367" s="1">
        <f>IF(F366=0,0,F624*F367/F366)</f>
        <v>0</v>
      </c>
      <c r="K367" s="1">
        <f>K366*J367</f>
        <v>0</v>
      </c>
      <c r="L367" s="1" t="str">
        <f>IF(K367&gt;0,"増加→総重量増",IF(K367&lt;0,"増加→総重量減","中立"))</f>
        <v>中立</v>
      </c>
      <c r="M367" s="1" t="s">
        <v>1474</v>
      </c>
      <c r="N367" s="1" t="s">
        <v>2207</v>
      </c>
      <c r="O367" s="1">
        <f t="shared" si="40"/>
        <v>1</v>
      </c>
      <c r="P367" s="1"/>
      <c r="Q367" s="1">
        <f>IF($A367="","",IF($E367="","",--(COUNTIF($E$5:$E367,$E367)=1)))</f>
        <v>1</v>
      </c>
      <c r="R367" s="1">
        <f>IF($A367="","",IF($Q367=1,COUNTIF($Q$5:$Q367,1),""))</f>
        <v>276</v>
      </c>
    </row>
    <row r="368" spans="1:18" ht="28.5">
      <c r="A368" s="1" t="s">
        <v>2208</v>
      </c>
      <c r="B368" s="1" t="s">
        <v>1782</v>
      </c>
      <c r="C368" s="1">
        <v>2</v>
      </c>
      <c r="D368" s="1" t="s">
        <v>2209</v>
      </c>
      <c r="E368" s="1" t="s">
        <v>1187</v>
      </c>
      <c r="F368" s="1">
        <f>F482+F625</f>
        <v>0</v>
      </c>
      <c r="G368" s="1" t="s">
        <v>229</v>
      </c>
      <c r="H368" s="1">
        <f>F368</f>
        <v>0</v>
      </c>
      <c r="I368" s="1" t="s">
        <v>2210</v>
      </c>
      <c r="J368" s="1">
        <f>IFERROR(F368/F140,0)</f>
        <v>0</v>
      </c>
      <c r="K368" s="1">
        <f>IFERROR(F368/F5,0)</f>
        <v>0</v>
      </c>
      <c r="L368" s="1" t="s">
        <v>1627</v>
      </c>
      <c r="M368" s="1" t="s">
        <v>1474</v>
      </c>
      <c r="N368" s="1" t="s">
        <v>2211</v>
      </c>
      <c r="O368" s="1">
        <f t="shared" si="40"/>
        <v>0</v>
      </c>
      <c r="P368" s="1"/>
      <c r="Q368" s="1">
        <f>IF($A368="","",IF($E368="","",--(COUNTIF($E$5:$E368,$E368)=1)))</f>
        <v>1</v>
      </c>
      <c r="R368" s="1">
        <f>IF($A368="","",IF($Q368=1,COUNTIF($Q$5:$Q368,1),""))</f>
        <v>277</v>
      </c>
    </row>
    <row r="369" spans="1:18" ht="42.75">
      <c r="A369" s="1" t="s">
        <v>2212</v>
      </c>
      <c r="B369" s="1" t="s">
        <v>2213</v>
      </c>
      <c r="C369" s="1">
        <v>6</v>
      </c>
      <c r="D369" s="1" t="s">
        <v>2214</v>
      </c>
      <c r="E369" s="1" t="s">
        <v>796</v>
      </c>
      <c r="F369" s="1">
        <f>F547*('01_入力仕様'!D10/F633)^F634*(1-'01_入力仕様'!D182*'01_入力仕様'!D185)</f>
        <v>4.8</v>
      </c>
      <c r="G369" s="1" t="s">
        <v>808</v>
      </c>
      <c r="H369" s="1"/>
      <c r="I369" s="1" t="s">
        <v>2215</v>
      </c>
      <c r="J369" s="1">
        <f>1</f>
        <v>1</v>
      </c>
      <c r="K369" s="1">
        <f>K668*J369</f>
        <v>0</v>
      </c>
      <c r="L369" s="1"/>
      <c r="M369" s="1" t="s">
        <v>1474</v>
      </c>
      <c r="N369" s="1" t="s">
        <v>2216</v>
      </c>
      <c r="O369" s="1">
        <f t="shared" si="40"/>
        <v>0</v>
      </c>
      <c r="P369" s="1"/>
      <c r="Q369" s="1">
        <f>IF($A369="","",IF($E369="","",--(COUNTIF($E$5:$E369,$E369)=1)))</f>
        <v>1</v>
      </c>
      <c r="R369" s="1">
        <f>IF($A369="","",IF($Q369=1,COUNTIF($Q$5:$Q369,1),""))</f>
        <v>278</v>
      </c>
    </row>
    <row r="370" spans="1:18">
      <c r="A370" s="1"/>
      <c r="B370" s="1"/>
      <c r="C370" s="1"/>
      <c r="D370" s="1"/>
      <c r="E370" s="1"/>
      <c r="F370" s="1"/>
      <c r="G370" s="1"/>
      <c r="H370" s="1"/>
      <c r="I370" s="1"/>
      <c r="J370" s="1"/>
      <c r="K370" s="1"/>
      <c r="L370" s="1"/>
      <c r="M370" s="1"/>
      <c r="N370" s="1"/>
      <c r="O370" s="1" t="str">
        <f t="shared" si="40"/>
        <v/>
      </c>
      <c r="P370" s="1"/>
      <c r="Q370" s="1"/>
      <c r="R370" s="1"/>
    </row>
    <row r="371" spans="1:18">
      <c r="A371" s="1"/>
      <c r="B371" s="1"/>
      <c r="C371" s="1"/>
      <c r="D371" s="1"/>
      <c r="E371" s="1"/>
      <c r="F371" s="1"/>
      <c r="G371" s="1"/>
      <c r="H371" s="1"/>
      <c r="I371" s="1"/>
      <c r="J371" s="1"/>
      <c r="K371" s="1"/>
      <c r="L371" s="1"/>
      <c r="M371" s="1"/>
      <c r="N371" s="1"/>
      <c r="O371" s="1" t="str">
        <f t="shared" si="40"/>
        <v/>
      </c>
      <c r="P371" s="1"/>
      <c r="Q371" s="1"/>
      <c r="R371" s="1"/>
    </row>
    <row r="372" spans="1:18">
      <c r="A372" s="1" t="s">
        <v>2217</v>
      </c>
      <c r="B372" s="1" t="s">
        <v>1848</v>
      </c>
      <c r="C372" s="1">
        <v>2</v>
      </c>
      <c r="D372" s="1" t="s">
        <v>2218</v>
      </c>
      <c r="E372" s="1" t="s">
        <v>800</v>
      </c>
      <c r="F372" s="1">
        <f>F373*F374</f>
        <v>0</v>
      </c>
      <c r="G372" s="1" t="s">
        <v>229</v>
      </c>
      <c r="H372" s="1">
        <f t="shared" ref="H372:H403" si="43">ABS(K372)*$F$5</f>
        <v>0</v>
      </c>
      <c r="I372" s="1" t="s">
        <v>2219</v>
      </c>
      <c r="J372" s="1">
        <f>IFERROR(F372/F174,0)</f>
        <v>0</v>
      </c>
      <c r="K372" s="1">
        <f>K174*J372</f>
        <v>0</v>
      </c>
      <c r="L372" s="1" t="str">
        <f t="shared" ref="L372:L403" si="44">IF(K372&gt;0,"増加→総重量増",IF(K372&lt;0,"増加→総重量減","中立"))</f>
        <v>中立</v>
      </c>
      <c r="M372" s="1" t="s">
        <v>1474</v>
      </c>
      <c r="N372" s="1"/>
      <c r="O372" s="1">
        <f t="shared" si="40"/>
        <v>0</v>
      </c>
      <c r="P372" s="1"/>
      <c r="Q372" s="1">
        <f t="shared" ref="Q372:Q403" si="45">IF(E372="","",--(MATCH(E372,$E$5:$E$560,0)=ROW()-4))</f>
        <v>1</v>
      </c>
      <c r="R372" s="1">
        <f>IF(Q372=1,COUNTIF($Q$5:Q372,1),"")</f>
        <v>279</v>
      </c>
    </row>
    <row r="373" spans="1:18">
      <c r="A373" s="1" t="s">
        <v>2220</v>
      </c>
      <c r="B373" s="1" t="s">
        <v>2217</v>
      </c>
      <c r="C373" s="1">
        <v>3</v>
      </c>
      <c r="D373" s="1" t="s">
        <v>782</v>
      </c>
      <c r="E373" s="1" t="s">
        <v>783</v>
      </c>
      <c r="F373" s="1">
        <f>'01_入力仕様'!D182</f>
        <v>0</v>
      </c>
      <c r="G373" s="1" t="s">
        <v>415</v>
      </c>
      <c r="H373" s="1">
        <f t="shared" si="43"/>
        <v>5.0000000000000001E-3</v>
      </c>
      <c r="I373" s="1" t="s">
        <v>1482</v>
      </c>
      <c r="J373" s="1">
        <f>0</f>
        <v>0</v>
      </c>
      <c r="K373" s="1">
        <f>'01_入力仕様'!D186/F5</f>
        <v>4.0199142433137769E-4</v>
      </c>
      <c r="L373" s="1" t="str">
        <f t="shared" si="44"/>
        <v>増加→総重量増</v>
      </c>
      <c r="M373" s="1" t="s">
        <v>1474</v>
      </c>
      <c r="N373" s="1" t="s">
        <v>2148</v>
      </c>
      <c r="O373" s="1">
        <f t="shared" si="40"/>
        <v>1</v>
      </c>
      <c r="P373" s="1"/>
      <c r="Q373" s="1">
        <f t="shared" si="45"/>
        <v>0</v>
      </c>
      <c r="R373" s="1" t="str">
        <f>IF(Q373=1,COUNTIF($Q$5:Q373,1),"")</f>
        <v/>
      </c>
    </row>
    <row r="374" spans="1:18">
      <c r="A374" s="1" t="s">
        <v>2221</v>
      </c>
      <c r="B374" s="1" t="s">
        <v>2217</v>
      </c>
      <c r="C374" s="1">
        <v>3</v>
      </c>
      <c r="D374" s="1" t="s">
        <v>2222</v>
      </c>
      <c r="E374" s="1" t="s">
        <v>799</v>
      </c>
      <c r="F374" s="1">
        <f>'01_入力仕様'!D186</f>
        <v>5.0000000000000001E-3</v>
      </c>
      <c r="G374" s="1" t="s">
        <v>229</v>
      </c>
      <c r="H374" s="1">
        <f t="shared" si="43"/>
        <v>0</v>
      </c>
      <c r="I374" s="1" t="s">
        <v>1482</v>
      </c>
      <c r="J374" s="1">
        <f>0</f>
        <v>0</v>
      </c>
      <c r="K374" s="1">
        <f>K372*J374</f>
        <v>0</v>
      </c>
      <c r="L374" s="1" t="str">
        <f t="shared" si="44"/>
        <v>中立</v>
      </c>
      <c r="M374" s="1" t="s">
        <v>1474</v>
      </c>
      <c r="N374" s="1"/>
      <c r="O374" s="1">
        <f t="shared" si="40"/>
        <v>1</v>
      </c>
      <c r="P374" s="1"/>
      <c r="Q374" s="1">
        <f t="shared" si="45"/>
        <v>1</v>
      </c>
      <c r="R374" s="1">
        <f>IF(Q374=1,COUNTIF($Q$5:Q374,1),"")</f>
        <v>280</v>
      </c>
    </row>
    <row r="375" spans="1:18">
      <c r="A375" s="1" t="s">
        <v>2223</v>
      </c>
      <c r="B375" s="1" t="s">
        <v>1679</v>
      </c>
      <c r="C375" s="1">
        <v>2</v>
      </c>
      <c r="D375" s="1" t="s">
        <v>2224</v>
      </c>
      <c r="E375" s="1" t="s">
        <v>813</v>
      </c>
      <c r="F375" s="1">
        <f>MAX(0,(F376-F391)*F392)</f>
        <v>0</v>
      </c>
      <c r="G375" s="1" t="s">
        <v>229</v>
      </c>
      <c r="H375" s="1">
        <f t="shared" si="43"/>
        <v>0</v>
      </c>
      <c r="I375" s="1" t="s">
        <v>2225</v>
      </c>
      <c r="J375" s="1">
        <f>IF(F96=0,0,F375/F96)</f>
        <v>0</v>
      </c>
      <c r="K375" s="1">
        <f>K96*J375</f>
        <v>0</v>
      </c>
      <c r="L375" s="1" t="str">
        <f t="shared" si="44"/>
        <v>中立</v>
      </c>
      <c r="M375" s="1" t="s">
        <v>1474</v>
      </c>
      <c r="N375" s="1"/>
      <c r="O375" s="1">
        <f t="shared" si="40"/>
        <v>0</v>
      </c>
      <c r="P375" s="1"/>
      <c r="Q375" s="1">
        <f t="shared" si="45"/>
        <v>1</v>
      </c>
      <c r="R375" s="1">
        <f>IF(Q375=1,COUNTIF($Q$5:Q375,1),"")</f>
        <v>281</v>
      </c>
    </row>
    <row r="376" spans="1:18">
      <c r="A376" s="1" t="s">
        <v>2226</v>
      </c>
      <c r="B376" s="1" t="s">
        <v>2223</v>
      </c>
      <c r="C376" s="1">
        <v>3</v>
      </c>
      <c r="D376" s="1" t="s">
        <v>2227</v>
      </c>
      <c r="E376" s="1" t="s">
        <v>2228</v>
      </c>
      <c r="F376" s="1">
        <f>F377*F382</f>
        <v>4.1895198007877763</v>
      </c>
      <c r="G376" s="1" t="s">
        <v>114</v>
      </c>
      <c r="H376" s="1">
        <f t="shared" si="43"/>
        <v>0</v>
      </c>
      <c r="I376" s="1" t="s">
        <v>2229</v>
      </c>
      <c r="J376" s="1">
        <f>IF(((F376-F391)&gt;0),F376/(F376-F391),0)</f>
        <v>0</v>
      </c>
      <c r="K376" s="1">
        <f>K375*J376</f>
        <v>0</v>
      </c>
      <c r="L376" s="1" t="str">
        <f t="shared" si="44"/>
        <v>中立</v>
      </c>
      <c r="M376" s="1" t="s">
        <v>1474</v>
      </c>
      <c r="N376" s="1"/>
      <c r="O376" s="1">
        <f t="shared" si="40"/>
        <v>0</v>
      </c>
      <c r="P376" s="1"/>
      <c r="Q376" s="1">
        <f t="shared" si="45"/>
        <v>1</v>
      </c>
      <c r="R376" s="1">
        <f>IF(Q376=1,COUNTIF($Q$5:Q376,1),"")</f>
        <v>282</v>
      </c>
    </row>
    <row r="377" spans="1:18">
      <c r="A377" s="1" t="s">
        <v>2230</v>
      </c>
      <c r="B377" s="1" t="s">
        <v>2226</v>
      </c>
      <c r="C377" s="1">
        <v>4</v>
      </c>
      <c r="D377" s="1" t="s">
        <v>2231</v>
      </c>
      <c r="E377" s="1" t="s">
        <v>809</v>
      </c>
      <c r="F377" s="1">
        <f>F378/F381</f>
        <v>3.4459321546857757</v>
      </c>
      <c r="G377" s="1" t="s">
        <v>114</v>
      </c>
      <c r="H377" s="1">
        <f t="shared" si="43"/>
        <v>0</v>
      </c>
      <c r="I377" s="1" t="s">
        <v>2232</v>
      </c>
      <c r="J377" s="1">
        <f>1</f>
        <v>1</v>
      </c>
      <c r="K377" s="1">
        <f>K376*J377</f>
        <v>0</v>
      </c>
      <c r="L377" s="1" t="str">
        <f t="shared" si="44"/>
        <v>中立</v>
      </c>
      <c r="M377" s="1" t="s">
        <v>1474</v>
      </c>
      <c r="N377" s="1"/>
      <c r="O377" s="1">
        <f t="shared" si="40"/>
        <v>0</v>
      </c>
      <c r="P377" s="1"/>
      <c r="Q377" s="1">
        <f t="shared" si="45"/>
        <v>1</v>
      </c>
      <c r="R377" s="1">
        <f>IF(Q377=1,COUNTIF($Q$5:Q377,1),"")</f>
        <v>283</v>
      </c>
    </row>
    <row r="378" spans="1:18">
      <c r="A378" s="1" t="s">
        <v>2233</v>
      </c>
      <c r="B378" s="1" t="s">
        <v>2230</v>
      </c>
      <c r="C378" s="1">
        <v>5</v>
      </c>
      <c r="D378" s="1" t="s">
        <v>2234</v>
      </c>
      <c r="E378" s="1" t="s">
        <v>804</v>
      </c>
      <c r="F378" s="1">
        <f>F379*F380</f>
        <v>86.148303867144392</v>
      </c>
      <c r="G378" s="1" t="s">
        <v>808</v>
      </c>
      <c r="H378" s="1">
        <f t="shared" si="43"/>
        <v>0</v>
      </c>
      <c r="I378" s="1" t="s">
        <v>2235</v>
      </c>
      <c r="J378" s="1">
        <f>1</f>
        <v>1</v>
      </c>
      <c r="K378" s="1">
        <f>K377*J378</f>
        <v>0</v>
      </c>
      <c r="L378" s="1" t="str">
        <f t="shared" si="44"/>
        <v>中立</v>
      </c>
      <c r="M378" s="1" t="s">
        <v>1474</v>
      </c>
      <c r="N378" s="1"/>
      <c r="O378" s="1">
        <f t="shared" si="40"/>
        <v>0</v>
      </c>
      <c r="P378" s="1"/>
      <c r="Q378" s="1">
        <f t="shared" si="45"/>
        <v>1</v>
      </c>
      <c r="R378" s="1">
        <f>IF(Q378=1,COUNTIF($Q$5:Q378,1),"")</f>
        <v>284</v>
      </c>
    </row>
    <row r="379" spans="1:18">
      <c r="A379" s="1" t="s">
        <v>2236</v>
      </c>
      <c r="B379" s="1" t="s">
        <v>2233</v>
      </c>
      <c r="C379" s="1">
        <v>6</v>
      </c>
      <c r="D379" s="1" t="s">
        <v>2237</v>
      </c>
      <c r="E379" s="1" t="s">
        <v>803</v>
      </c>
      <c r="F379" s="1">
        <f>'01_入力仕様'!D187</f>
        <v>0.55000000000000004</v>
      </c>
      <c r="G379" s="1" t="s">
        <v>86</v>
      </c>
      <c r="H379" s="1">
        <f t="shared" si="43"/>
        <v>0</v>
      </c>
      <c r="I379" s="1" t="s">
        <v>1482</v>
      </c>
      <c r="J379" s="1">
        <f>1</f>
        <v>1</v>
      </c>
      <c r="K379" s="1">
        <f>K378*J379</f>
        <v>0</v>
      </c>
      <c r="L379" s="1" t="str">
        <f t="shared" si="44"/>
        <v>中立</v>
      </c>
      <c r="M379" s="1" t="s">
        <v>1474</v>
      </c>
      <c r="N379" s="1"/>
      <c r="O379" s="1">
        <f t="shared" si="40"/>
        <v>1</v>
      </c>
      <c r="P379" s="1"/>
      <c r="Q379" s="1">
        <f t="shared" si="45"/>
        <v>1</v>
      </c>
      <c r="R379" s="1">
        <f>IF(Q379=1,COUNTIF($Q$5:Q379,1),"")</f>
        <v>285</v>
      </c>
    </row>
    <row r="380" spans="1:18">
      <c r="A380" s="1" t="s">
        <v>2238</v>
      </c>
      <c r="B380" s="1" t="s">
        <v>2233</v>
      </c>
      <c r="C380" s="1">
        <v>6</v>
      </c>
      <c r="D380" s="1" t="s">
        <v>80</v>
      </c>
      <c r="E380" s="1" t="s">
        <v>1497</v>
      </c>
      <c r="F380" s="1">
        <f>'01_入力仕様'!D5*1000/(SQRT(3)*'01_入力仕様'!D7*'01_入力仕様'!D8*'01_入力仕様'!D9)</f>
        <v>156.63327975844433</v>
      </c>
      <c r="G380" s="1" t="s">
        <v>808</v>
      </c>
      <c r="H380" s="1">
        <f t="shared" si="43"/>
        <v>0</v>
      </c>
      <c r="I380" s="1" t="s">
        <v>2119</v>
      </c>
      <c r="J380" s="1">
        <f>1</f>
        <v>1</v>
      </c>
      <c r="K380" s="1">
        <f>K378*J380</f>
        <v>0</v>
      </c>
      <c r="L380" s="1" t="str">
        <f t="shared" si="44"/>
        <v>中立</v>
      </c>
      <c r="M380" s="1" t="s">
        <v>1474</v>
      </c>
      <c r="N380" s="1"/>
      <c r="O380" s="1">
        <f t="shared" si="40"/>
        <v>1</v>
      </c>
      <c r="P380" s="1"/>
      <c r="Q380" s="1">
        <f t="shared" si="45"/>
        <v>0</v>
      </c>
      <c r="R380" s="1" t="str">
        <f>IF(Q380=1,COUNTIF($Q$5:Q380,1),"")</f>
        <v/>
      </c>
    </row>
    <row r="381" spans="1:18">
      <c r="A381" s="1" t="s">
        <v>2239</v>
      </c>
      <c r="B381" s="1" t="s">
        <v>2230</v>
      </c>
      <c r="C381" s="1">
        <v>5</v>
      </c>
      <c r="D381" s="1" t="s">
        <v>2240</v>
      </c>
      <c r="E381" s="1" t="s">
        <v>807</v>
      </c>
      <c r="F381" s="1">
        <f>'01_入力仕様'!D188</f>
        <v>25</v>
      </c>
      <c r="G381" s="1" t="s">
        <v>808</v>
      </c>
      <c r="H381" s="1">
        <f t="shared" si="43"/>
        <v>0</v>
      </c>
      <c r="I381" s="1" t="s">
        <v>1482</v>
      </c>
      <c r="J381" s="1">
        <f>-1</f>
        <v>-1</v>
      </c>
      <c r="K381" s="1">
        <f>K377*J381</f>
        <v>0</v>
      </c>
      <c r="L381" s="1" t="str">
        <f t="shared" si="44"/>
        <v>中立</v>
      </c>
      <c r="M381" s="1" t="s">
        <v>1474</v>
      </c>
      <c r="N381" s="1"/>
      <c r="O381" s="1">
        <f t="shared" si="40"/>
        <v>1</v>
      </c>
      <c r="P381" s="1"/>
      <c r="Q381" s="1">
        <f t="shared" si="45"/>
        <v>1</v>
      </c>
      <c r="R381" s="1">
        <f>IF(Q381=1,COUNTIF($Q$5:Q381,1),"")</f>
        <v>286</v>
      </c>
    </row>
    <row r="382" spans="1:18">
      <c r="A382" s="1" t="s">
        <v>2241</v>
      </c>
      <c r="B382" s="1" t="s">
        <v>2226</v>
      </c>
      <c r="C382" s="1">
        <v>4</v>
      </c>
      <c r="D382" s="1" t="s">
        <v>2242</v>
      </c>
      <c r="E382" s="1" t="s">
        <v>833</v>
      </c>
      <c r="F382" s="1">
        <f>MAX(1,F390/F383)</f>
        <v>1.2157870824853214</v>
      </c>
      <c r="G382" s="1" t="s">
        <v>86</v>
      </c>
      <c r="H382" s="1">
        <f t="shared" si="43"/>
        <v>0</v>
      </c>
      <c r="I382" s="1" t="s">
        <v>2243</v>
      </c>
      <c r="J382" s="1">
        <f>1</f>
        <v>1</v>
      </c>
      <c r="K382" s="1">
        <f>K376*J382</f>
        <v>0</v>
      </c>
      <c r="L382" s="1" t="str">
        <f t="shared" si="44"/>
        <v>中立</v>
      </c>
      <c r="M382" s="1" t="s">
        <v>1474</v>
      </c>
      <c r="N382" s="1"/>
      <c r="O382" s="1">
        <f t="shared" si="40"/>
        <v>0</v>
      </c>
      <c r="P382" s="1"/>
      <c r="Q382" s="1">
        <f t="shared" si="45"/>
        <v>1</v>
      </c>
      <c r="R382" s="1">
        <f>IF(Q382=1,COUNTIF($Q$5:Q382,1),"")</f>
        <v>287</v>
      </c>
    </row>
    <row r="383" spans="1:18">
      <c r="A383" s="1" t="s">
        <v>2244</v>
      </c>
      <c r="B383" s="1" t="s">
        <v>2241</v>
      </c>
      <c r="C383" s="1">
        <v>5</v>
      </c>
      <c r="D383" s="1" t="s">
        <v>2245</v>
      </c>
      <c r="E383" s="1" t="s">
        <v>825</v>
      </c>
      <c r="F383" s="1">
        <f>F389*2^((F388-F384)/10)</f>
        <v>123376.86603263528</v>
      </c>
      <c r="G383" s="1" t="s">
        <v>829</v>
      </c>
      <c r="H383" s="1">
        <f t="shared" si="43"/>
        <v>0</v>
      </c>
      <c r="I383" s="1" t="s">
        <v>2246</v>
      </c>
      <c r="J383" s="1">
        <f>IF(('01_入力仕様'!D194&gt;F383),-1,0)</f>
        <v>-1</v>
      </c>
      <c r="K383" s="1">
        <f>K382*J383</f>
        <v>0</v>
      </c>
      <c r="L383" s="1" t="str">
        <f t="shared" si="44"/>
        <v>中立</v>
      </c>
      <c r="M383" s="1" t="s">
        <v>1474</v>
      </c>
      <c r="N383" s="1"/>
      <c r="O383" s="1">
        <f t="shared" si="40"/>
        <v>0</v>
      </c>
      <c r="P383" s="1"/>
      <c r="Q383" s="1">
        <f t="shared" si="45"/>
        <v>1</v>
      </c>
      <c r="R383" s="1">
        <f>IF(Q383=1,COUNTIF($Q$5:Q383,1),"")</f>
        <v>288</v>
      </c>
    </row>
    <row r="384" spans="1:18">
      <c r="A384" s="1" t="s">
        <v>2247</v>
      </c>
      <c r="B384" s="1" t="s">
        <v>2244</v>
      </c>
      <c r="C384" s="1">
        <v>6</v>
      </c>
      <c r="D384" s="1" t="s">
        <v>2248</v>
      </c>
      <c r="E384" s="1" t="s">
        <v>817</v>
      </c>
      <c r="F384" s="1">
        <f>F385+F398^2*F386*F387</f>
        <v>48.75</v>
      </c>
      <c r="G384" s="1" t="s">
        <v>303</v>
      </c>
      <c r="H384" s="1">
        <f t="shared" si="43"/>
        <v>0</v>
      </c>
      <c r="I384" s="1" t="s">
        <v>2249</v>
      </c>
      <c r="J384" s="1">
        <f>-F384*(LN(2)/10)</f>
        <v>-3.3790925052297331</v>
      </c>
      <c r="K384" s="1">
        <f>K383*J384</f>
        <v>0</v>
      </c>
      <c r="L384" s="1" t="str">
        <f t="shared" si="44"/>
        <v>中立</v>
      </c>
      <c r="M384" s="1" t="s">
        <v>1474</v>
      </c>
      <c r="N384" s="1"/>
      <c r="O384" s="1">
        <f t="shared" si="40"/>
        <v>0</v>
      </c>
      <c r="P384" s="1"/>
      <c r="Q384" s="1">
        <f t="shared" si="45"/>
        <v>1</v>
      </c>
      <c r="R384" s="1">
        <f>IF(Q384=1,COUNTIF($Q$5:Q384,1),"")</f>
        <v>289</v>
      </c>
    </row>
    <row r="385" spans="1:18">
      <c r="A385" s="1" t="s">
        <v>2250</v>
      </c>
      <c r="B385" s="1" t="s">
        <v>2247</v>
      </c>
      <c r="C385" s="1">
        <v>7</v>
      </c>
      <c r="D385" s="1" t="s">
        <v>306</v>
      </c>
      <c r="E385" s="1" t="s">
        <v>307</v>
      </c>
      <c r="F385" s="1">
        <f>'01_入力仕様'!D60</f>
        <v>45</v>
      </c>
      <c r="G385" s="1" t="s">
        <v>303</v>
      </c>
      <c r="H385" s="1">
        <f t="shared" si="43"/>
        <v>0</v>
      </c>
      <c r="I385" s="1" t="s">
        <v>1482</v>
      </c>
      <c r="J385" s="1">
        <f>'01_入力仕様'!D60/F384</f>
        <v>0.92307692307692313</v>
      </c>
      <c r="K385" s="1">
        <f>K384*J385</f>
        <v>0</v>
      </c>
      <c r="L385" s="1" t="str">
        <f t="shared" si="44"/>
        <v>中立</v>
      </c>
      <c r="M385" s="1" t="s">
        <v>1474</v>
      </c>
      <c r="N385" s="1"/>
      <c r="O385" s="1">
        <f t="shared" si="40"/>
        <v>1</v>
      </c>
      <c r="P385" s="1"/>
      <c r="Q385" s="1">
        <f t="shared" si="45"/>
        <v>0</v>
      </c>
      <c r="R385" s="1" t="str">
        <f>IF(Q385=1,COUNTIF($Q$5:Q385,1),"")</f>
        <v/>
      </c>
    </row>
    <row r="386" spans="1:18">
      <c r="A386" s="1" t="s">
        <v>2251</v>
      </c>
      <c r="B386" s="1" t="s">
        <v>2247</v>
      </c>
      <c r="C386" s="1">
        <v>7</v>
      </c>
      <c r="D386" s="1" t="s">
        <v>815</v>
      </c>
      <c r="E386" s="1" t="s">
        <v>816</v>
      </c>
      <c r="F386" s="1">
        <f>'01_入力仕様'!D190</f>
        <v>3.0000000000000001E-3</v>
      </c>
      <c r="G386" s="1" t="s">
        <v>653</v>
      </c>
      <c r="H386" s="1">
        <f t="shared" si="43"/>
        <v>0</v>
      </c>
      <c r="I386" s="1" t="s">
        <v>1482</v>
      </c>
      <c r="J386" s="1">
        <f>('01_入力仕様'!D188^2*'01_入力仕様'!D190*'01_入力仕様'!D191)/F384</f>
        <v>7.6923076923076927E-2</v>
      </c>
      <c r="K386" s="1">
        <f>K384*J386</f>
        <v>0</v>
      </c>
      <c r="L386" s="1" t="str">
        <f t="shared" si="44"/>
        <v>中立</v>
      </c>
      <c r="M386" s="1" t="s">
        <v>1474</v>
      </c>
      <c r="N386" s="1"/>
      <c r="O386" s="1">
        <f t="shared" si="40"/>
        <v>1</v>
      </c>
      <c r="P386" s="1"/>
      <c r="Q386" s="1">
        <f t="shared" si="45"/>
        <v>1</v>
      </c>
      <c r="R386" s="1">
        <f>IF(Q386=1,COUNTIF($Q$5:Q386,1),"")</f>
        <v>290</v>
      </c>
    </row>
    <row r="387" spans="1:18">
      <c r="A387" s="1" t="s">
        <v>2252</v>
      </c>
      <c r="B387" s="1" t="s">
        <v>2247</v>
      </c>
      <c r="C387" s="1">
        <v>7</v>
      </c>
      <c r="D387" s="1" t="s">
        <v>819</v>
      </c>
      <c r="E387" s="1" t="s">
        <v>820</v>
      </c>
      <c r="F387" s="1">
        <f>'01_入力仕様'!D191</f>
        <v>2</v>
      </c>
      <c r="G387" s="1" t="s">
        <v>821</v>
      </c>
      <c r="H387" s="1">
        <f t="shared" si="43"/>
        <v>0</v>
      </c>
      <c r="I387" s="1" t="s">
        <v>1482</v>
      </c>
      <c r="J387" s="1">
        <f>('01_入力仕様'!D188^2*'01_入力仕様'!D190*'01_入力仕様'!D191)/F384</f>
        <v>7.6923076923076927E-2</v>
      </c>
      <c r="K387" s="1">
        <f>K384*J387</f>
        <v>0</v>
      </c>
      <c r="L387" s="1" t="str">
        <f t="shared" si="44"/>
        <v>中立</v>
      </c>
      <c r="M387" s="1" t="s">
        <v>1474</v>
      </c>
      <c r="N387" s="1"/>
      <c r="O387" s="1">
        <f t="shared" si="40"/>
        <v>1</v>
      </c>
      <c r="P387" s="1"/>
      <c r="Q387" s="1">
        <f t="shared" si="45"/>
        <v>1</v>
      </c>
      <c r="R387" s="1">
        <f>IF(Q387=1,COUNTIF($Q$5:Q387,1),"")</f>
        <v>291</v>
      </c>
    </row>
    <row r="388" spans="1:18">
      <c r="A388" s="1" t="s">
        <v>2253</v>
      </c>
      <c r="B388" s="1" t="s">
        <v>2244</v>
      </c>
      <c r="C388" s="1">
        <v>6</v>
      </c>
      <c r="D388" s="1" t="s">
        <v>823</v>
      </c>
      <c r="E388" s="1" t="s">
        <v>824</v>
      </c>
      <c r="F388" s="1">
        <f>'01_入力仕様'!D192</f>
        <v>85</v>
      </c>
      <c r="G388" s="1" t="s">
        <v>303</v>
      </c>
      <c r="H388" s="1">
        <f t="shared" si="43"/>
        <v>0</v>
      </c>
      <c r="I388" s="1" t="s">
        <v>1482</v>
      </c>
      <c r="J388" s="1">
        <f>'01_入力仕様'!D192*(LN(2)/10)</f>
        <v>5.891751034759535</v>
      </c>
      <c r="K388" s="1">
        <f>K383*J388</f>
        <v>0</v>
      </c>
      <c r="L388" s="1" t="str">
        <f t="shared" si="44"/>
        <v>中立</v>
      </c>
      <c r="M388" s="1" t="s">
        <v>1474</v>
      </c>
      <c r="N388" s="1"/>
      <c r="O388" s="1">
        <f t="shared" si="40"/>
        <v>1</v>
      </c>
      <c r="P388" s="1"/>
      <c r="Q388" s="1">
        <f t="shared" si="45"/>
        <v>1</v>
      </c>
      <c r="R388" s="1">
        <f>IF(Q388=1,COUNTIF($Q$5:Q388,1),"")</f>
        <v>292</v>
      </c>
    </row>
    <row r="389" spans="1:18">
      <c r="A389" s="1" t="s">
        <v>2254</v>
      </c>
      <c r="B389" s="1" t="s">
        <v>2244</v>
      </c>
      <c r="C389" s="1">
        <v>6</v>
      </c>
      <c r="D389" s="1" t="s">
        <v>827</v>
      </c>
      <c r="E389" s="1" t="s">
        <v>828</v>
      </c>
      <c r="F389" s="1">
        <f>'01_入力仕様'!D193</f>
        <v>10000</v>
      </c>
      <c r="G389" s="1" t="s">
        <v>829</v>
      </c>
      <c r="H389" s="1">
        <f t="shared" si="43"/>
        <v>0</v>
      </c>
      <c r="I389" s="1" t="s">
        <v>1482</v>
      </c>
      <c r="J389" s="1">
        <f>1</f>
        <v>1</v>
      </c>
      <c r="K389" s="1">
        <f>K383*J389</f>
        <v>0</v>
      </c>
      <c r="L389" s="1" t="str">
        <f t="shared" si="44"/>
        <v>中立</v>
      </c>
      <c r="M389" s="1" t="s">
        <v>1474</v>
      </c>
      <c r="N389" s="1"/>
      <c r="O389" s="1">
        <f t="shared" ref="O389:O452" si="46">IF($A389="","",--(COUNTIF($B$5:$B$679,$A389)=0))</f>
        <v>1</v>
      </c>
      <c r="P389" s="1"/>
      <c r="Q389" s="1">
        <f t="shared" si="45"/>
        <v>1</v>
      </c>
      <c r="R389" s="1">
        <f>IF(Q389=1,COUNTIF($Q$5:Q389,1),"")</f>
        <v>293</v>
      </c>
    </row>
    <row r="390" spans="1:18">
      <c r="A390" s="1" t="s">
        <v>2255</v>
      </c>
      <c r="B390" s="1" t="s">
        <v>2241</v>
      </c>
      <c r="C390" s="1">
        <v>5</v>
      </c>
      <c r="D390" s="1" t="s">
        <v>831</v>
      </c>
      <c r="E390" s="1" t="s">
        <v>832</v>
      </c>
      <c r="F390" s="1">
        <f>'01_入力仕様'!D194</f>
        <v>150000</v>
      </c>
      <c r="G390" s="1" t="s">
        <v>829</v>
      </c>
      <c r="H390" s="1">
        <f t="shared" si="43"/>
        <v>0</v>
      </c>
      <c r="I390" s="1" t="s">
        <v>1482</v>
      </c>
      <c r="J390" s="1">
        <f>IF(('01_入力仕様'!D194&gt;F383),1,0)</f>
        <v>1</v>
      </c>
      <c r="K390" s="1">
        <f>K382*J390</f>
        <v>0</v>
      </c>
      <c r="L390" s="1" t="str">
        <f t="shared" si="44"/>
        <v>中立</v>
      </c>
      <c r="M390" s="1" t="s">
        <v>1474</v>
      </c>
      <c r="N390" s="1"/>
      <c r="O390" s="1">
        <f t="shared" si="46"/>
        <v>1</v>
      </c>
      <c r="P390" s="1"/>
      <c r="Q390" s="1">
        <f t="shared" si="45"/>
        <v>1</v>
      </c>
      <c r="R390" s="1">
        <f>IF(Q390=1,COUNTIF($Q$5:Q390,1),"")</f>
        <v>294</v>
      </c>
    </row>
    <row r="391" spans="1:18">
      <c r="A391" s="1" t="s">
        <v>2256</v>
      </c>
      <c r="B391" s="1" t="s">
        <v>2223</v>
      </c>
      <c r="C391" s="1">
        <v>3</v>
      </c>
      <c r="D391" s="1" t="s">
        <v>2257</v>
      </c>
      <c r="E391" s="1" t="s">
        <v>2258</v>
      </c>
      <c r="F391" s="1">
        <f>F399/F400</f>
        <v>11.612112143868137</v>
      </c>
      <c r="G391" s="1" t="s">
        <v>114</v>
      </c>
      <c r="H391" s="1">
        <f t="shared" si="43"/>
        <v>0</v>
      </c>
      <c r="I391" s="1" t="s">
        <v>2259</v>
      </c>
      <c r="J391" s="1">
        <f>IF(((F376-F391)&gt;0),-F391/(F376-F391),0)</f>
        <v>0</v>
      </c>
      <c r="K391" s="1">
        <f>K375*J391</f>
        <v>0</v>
      </c>
      <c r="L391" s="1" t="str">
        <f t="shared" si="44"/>
        <v>中立</v>
      </c>
      <c r="M391" s="1" t="s">
        <v>1474</v>
      </c>
      <c r="N391" s="1"/>
      <c r="O391" s="1">
        <f t="shared" si="46"/>
        <v>0</v>
      </c>
      <c r="P391" s="1"/>
      <c r="Q391" s="1">
        <f t="shared" si="45"/>
        <v>1</v>
      </c>
      <c r="R391" s="1">
        <f>IF(Q391=1,COUNTIF($Q$5:Q391,1),"")</f>
        <v>295</v>
      </c>
    </row>
    <row r="392" spans="1:18">
      <c r="A392" s="1" t="s">
        <v>2260</v>
      </c>
      <c r="B392" s="1" t="s">
        <v>2223</v>
      </c>
      <c r="C392" s="1">
        <v>3</v>
      </c>
      <c r="D392" s="1" t="s">
        <v>811</v>
      </c>
      <c r="E392" s="1" t="s">
        <v>812</v>
      </c>
      <c r="F392" s="1">
        <f>'01_入力仕様'!D189</f>
        <v>0.35</v>
      </c>
      <c r="G392" s="1" t="s">
        <v>433</v>
      </c>
      <c r="H392" s="1">
        <f t="shared" si="43"/>
        <v>0</v>
      </c>
      <c r="I392" s="1" t="s">
        <v>1482</v>
      </c>
      <c r="J392" s="1">
        <f>IF(((F376-F391)&gt;0),1,0)</f>
        <v>0</v>
      </c>
      <c r="K392" s="1">
        <f>K375*J392</f>
        <v>0</v>
      </c>
      <c r="L392" s="1" t="str">
        <f t="shared" si="44"/>
        <v>中立</v>
      </c>
      <c r="M392" s="1" t="s">
        <v>1474</v>
      </c>
      <c r="N392" s="1"/>
      <c r="O392" s="1">
        <f t="shared" si="46"/>
        <v>1</v>
      </c>
      <c r="P392" s="1"/>
      <c r="Q392" s="1">
        <f t="shared" si="45"/>
        <v>1</v>
      </c>
      <c r="R392" s="1">
        <f>IF(Q392=1,COUNTIF($Q$5:Q392,1),"")</f>
        <v>296</v>
      </c>
    </row>
    <row r="393" spans="1:18">
      <c r="A393" s="1" t="s">
        <v>2261</v>
      </c>
      <c r="B393" s="1" t="s">
        <v>2087</v>
      </c>
      <c r="C393" s="1">
        <v>3</v>
      </c>
      <c r="D393" s="1" t="s">
        <v>2262</v>
      </c>
      <c r="E393" s="1" t="s">
        <v>837</v>
      </c>
      <c r="F393" s="1">
        <f>'01_入力仕様'!D195</f>
        <v>800</v>
      </c>
      <c r="G393" s="1" t="s">
        <v>73</v>
      </c>
      <c r="H393" s="1">
        <f t="shared" si="43"/>
        <v>0</v>
      </c>
      <c r="I393" s="1" t="s">
        <v>1482</v>
      </c>
      <c r="J393" s="1">
        <f>-'01_入力仕様'!D159</f>
        <v>-0.7</v>
      </c>
      <c r="K393" s="1">
        <f>K312*J393</f>
        <v>0</v>
      </c>
      <c r="L393" s="1" t="str">
        <f t="shared" si="44"/>
        <v>中立</v>
      </c>
      <c r="M393" s="1" t="s">
        <v>1474</v>
      </c>
      <c r="N393" s="1"/>
      <c r="O393" s="1">
        <f t="shared" si="46"/>
        <v>1</v>
      </c>
      <c r="P393" s="1"/>
      <c r="Q393" s="1">
        <f t="shared" si="45"/>
        <v>1</v>
      </c>
      <c r="R393" s="1">
        <f>IF(Q393=1,COUNTIF($Q$5:Q393,1),"")</f>
        <v>297</v>
      </c>
    </row>
    <row r="394" spans="1:18">
      <c r="A394" s="1" t="s">
        <v>2263</v>
      </c>
      <c r="B394" s="1" t="s">
        <v>2141</v>
      </c>
      <c r="C394" s="1">
        <v>4</v>
      </c>
      <c r="D394" s="1" t="s">
        <v>679</v>
      </c>
      <c r="E394" s="1" t="s">
        <v>680</v>
      </c>
      <c r="F394" s="1">
        <f>'01_入力仕様'!D157</f>
        <v>3.0000000000000001E-3</v>
      </c>
      <c r="G394" s="1" t="s">
        <v>229</v>
      </c>
      <c r="H394" s="1">
        <f t="shared" si="43"/>
        <v>0</v>
      </c>
      <c r="I394" s="1" t="s">
        <v>1482</v>
      </c>
      <c r="J394" s="1">
        <f>0</f>
        <v>0</v>
      </c>
      <c r="K394" s="1">
        <f>K340*J394</f>
        <v>0</v>
      </c>
      <c r="L394" s="1" t="str">
        <f t="shared" si="44"/>
        <v>中立</v>
      </c>
      <c r="M394" s="1" t="s">
        <v>1474</v>
      </c>
      <c r="N394" s="1"/>
      <c r="O394" s="1">
        <f t="shared" si="46"/>
        <v>1</v>
      </c>
      <c r="P394" s="1"/>
      <c r="Q394" s="1">
        <f t="shared" si="45"/>
        <v>1</v>
      </c>
      <c r="R394" s="1">
        <f>IF(Q394=1,COUNTIF($Q$5:Q394,1),"")</f>
        <v>298</v>
      </c>
    </row>
    <row r="395" spans="1:18">
      <c r="A395" s="1" t="s">
        <v>2264</v>
      </c>
      <c r="B395" s="1" t="s">
        <v>2141</v>
      </c>
      <c r="C395" s="1">
        <v>4</v>
      </c>
      <c r="D395" s="1" t="s">
        <v>2265</v>
      </c>
      <c r="E395" s="1" t="s">
        <v>707</v>
      </c>
      <c r="F395" s="1">
        <f>'01_入力仕様'!D164</f>
        <v>1.4999999999999999E-2</v>
      </c>
      <c r="G395" s="1" t="s">
        <v>229</v>
      </c>
      <c r="H395" s="1">
        <f t="shared" si="43"/>
        <v>0</v>
      </c>
      <c r="I395" s="1" t="s">
        <v>1482</v>
      </c>
      <c r="J395" s="1">
        <f>0</f>
        <v>0</v>
      </c>
      <c r="K395" s="1">
        <f>K340*J395</f>
        <v>0</v>
      </c>
      <c r="L395" s="1" t="str">
        <f t="shared" si="44"/>
        <v>中立</v>
      </c>
      <c r="M395" s="1" t="s">
        <v>1474</v>
      </c>
      <c r="N395" s="1"/>
      <c r="O395" s="1">
        <f t="shared" si="46"/>
        <v>1</v>
      </c>
      <c r="P395" s="1"/>
      <c r="Q395" s="1">
        <f t="shared" si="45"/>
        <v>1</v>
      </c>
      <c r="R395" s="1">
        <f>IF(Q395=1,COUNTIF($Q$5:Q395,1),"")</f>
        <v>299</v>
      </c>
    </row>
    <row r="396" spans="1:18">
      <c r="A396" s="1" t="s">
        <v>2266</v>
      </c>
      <c r="B396" s="1" t="s">
        <v>2135</v>
      </c>
      <c r="C396" s="1">
        <v>3</v>
      </c>
      <c r="D396" s="1" t="s">
        <v>2267</v>
      </c>
      <c r="E396" s="1" t="s">
        <v>727</v>
      </c>
      <c r="F396" s="1">
        <f>F332</f>
        <v>0.24191999999999997</v>
      </c>
      <c r="G396" s="1" t="s">
        <v>984</v>
      </c>
      <c r="H396" s="1">
        <f t="shared" si="43"/>
        <v>7.2575999999999969E-3</v>
      </c>
      <c r="I396" s="1" t="s">
        <v>2268</v>
      </c>
      <c r="J396" s="1">
        <f>IF(F337=0,0,('01_入力仕様'!D170*F332)/F337)</f>
        <v>0.37686939182452633</v>
      </c>
      <c r="K396" s="1">
        <f>K337*J396</f>
        <v>5.8349859224548107E-4</v>
      </c>
      <c r="L396" s="1" t="str">
        <f t="shared" si="44"/>
        <v>増加→総重量増</v>
      </c>
      <c r="M396" s="1" t="s">
        <v>1474</v>
      </c>
      <c r="N396" s="1"/>
      <c r="O396" s="1">
        <f t="shared" si="46"/>
        <v>1</v>
      </c>
      <c r="P396" s="1"/>
      <c r="Q396" s="1">
        <f t="shared" si="45"/>
        <v>0</v>
      </c>
      <c r="R396" s="1" t="str">
        <f>IF(Q396=1,COUNTIF($Q$5:Q396,1),"")</f>
        <v/>
      </c>
    </row>
    <row r="397" spans="1:18">
      <c r="A397" s="1" t="s">
        <v>2269</v>
      </c>
      <c r="B397" s="1" t="s">
        <v>2135</v>
      </c>
      <c r="C397" s="1">
        <v>3</v>
      </c>
      <c r="D397" s="1" t="s">
        <v>2270</v>
      </c>
      <c r="E397" s="1" t="s">
        <v>715</v>
      </c>
      <c r="F397" s="1">
        <f>'01_入力仕様'!D166</f>
        <v>-3</v>
      </c>
      <c r="G397" s="1" t="s">
        <v>73</v>
      </c>
      <c r="H397" s="1">
        <f t="shared" si="43"/>
        <v>1.1999999999999999E-2</v>
      </c>
      <c r="I397" s="1" t="s">
        <v>1482</v>
      </c>
      <c r="J397" s="1">
        <f>IF(F337=0,0,('01_入力仕様'!D171*ABS('01_入力仕様'!D166))/F337)</f>
        <v>0.62313060817547361</v>
      </c>
      <c r="K397" s="1">
        <f>K337*J397</f>
        <v>9.6477941839530628E-4</v>
      </c>
      <c r="L397" s="1" t="str">
        <f t="shared" si="44"/>
        <v>増加→総重量増</v>
      </c>
      <c r="M397" s="1" t="s">
        <v>1474</v>
      </c>
      <c r="N397" s="1"/>
      <c r="O397" s="1">
        <f t="shared" si="46"/>
        <v>1</v>
      </c>
      <c r="P397" s="1"/>
      <c r="Q397" s="1">
        <f t="shared" si="45"/>
        <v>0</v>
      </c>
      <c r="R397" s="1" t="str">
        <f>IF(Q397=1,COUNTIF($Q$5:Q397,1),"")</f>
        <v/>
      </c>
    </row>
    <row r="398" spans="1:18">
      <c r="A398" s="1" t="s">
        <v>2271</v>
      </c>
      <c r="B398" s="1" t="s">
        <v>2247</v>
      </c>
      <c r="C398" s="1">
        <v>7</v>
      </c>
      <c r="D398" s="1" t="s">
        <v>2240</v>
      </c>
      <c r="E398" s="1" t="s">
        <v>807</v>
      </c>
      <c r="F398" s="1">
        <f>'01_入力仕様'!D188</f>
        <v>25</v>
      </c>
      <c r="G398" s="1" t="s">
        <v>808</v>
      </c>
      <c r="H398" s="1">
        <f t="shared" si="43"/>
        <v>0</v>
      </c>
      <c r="I398" s="1" t="s">
        <v>1482</v>
      </c>
      <c r="J398" s="1">
        <f>2*('01_入力仕様'!D188^2*'01_入力仕様'!D190*'01_入力仕様'!D191)/F384</f>
        <v>0.15384615384615385</v>
      </c>
      <c r="K398" s="1">
        <f>K384*J398</f>
        <v>0</v>
      </c>
      <c r="L398" s="1" t="str">
        <f t="shared" si="44"/>
        <v>中立</v>
      </c>
      <c r="M398" s="1" t="s">
        <v>1474</v>
      </c>
      <c r="N398" s="1"/>
      <c r="O398" s="1">
        <f t="shared" si="46"/>
        <v>1</v>
      </c>
      <c r="P398" s="1"/>
      <c r="Q398" s="1">
        <f t="shared" si="45"/>
        <v>0</v>
      </c>
      <c r="R398" s="1" t="str">
        <f>IF(Q398=1,COUNTIF($Q$5:Q398,1),"")</f>
        <v/>
      </c>
    </row>
    <row r="399" spans="1:18">
      <c r="A399" s="1" t="s">
        <v>2272</v>
      </c>
      <c r="B399" s="1" t="s">
        <v>2256</v>
      </c>
      <c r="C399" s="1">
        <v>4</v>
      </c>
      <c r="D399" s="1" t="s">
        <v>1684</v>
      </c>
      <c r="E399" s="1" t="s">
        <v>1685</v>
      </c>
      <c r="F399" s="1">
        <f>F97</f>
        <v>4.0642392503538476</v>
      </c>
      <c r="G399" s="1" t="s">
        <v>229</v>
      </c>
      <c r="H399" s="1">
        <f t="shared" si="43"/>
        <v>0</v>
      </c>
      <c r="I399" s="1" t="s">
        <v>2273</v>
      </c>
      <c r="J399" s="1">
        <f>1</f>
        <v>1</v>
      </c>
      <c r="K399" s="1">
        <f>K391*J399</f>
        <v>0</v>
      </c>
      <c r="L399" s="1" t="str">
        <f t="shared" si="44"/>
        <v>中立</v>
      </c>
      <c r="M399" s="1" t="s">
        <v>1474</v>
      </c>
      <c r="N399" s="1"/>
      <c r="O399" s="1">
        <f t="shared" si="46"/>
        <v>1</v>
      </c>
      <c r="P399" s="1"/>
      <c r="Q399" s="1">
        <f t="shared" si="45"/>
        <v>0</v>
      </c>
      <c r="R399" s="1" t="str">
        <f>IF(Q399=1,COUNTIF($Q$5:Q399,1),"")</f>
        <v/>
      </c>
    </row>
    <row r="400" spans="1:18">
      <c r="A400" s="1" t="s">
        <v>2274</v>
      </c>
      <c r="B400" s="1" t="s">
        <v>2256</v>
      </c>
      <c r="C400" s="1">
        <v>4</v>
      </c>
      <c r="D400" s="1" t="s">
        <v>811</v>
      </c>
      <c r="E400" s="1" t="s">
        <v>812</v>
      </c>
      <c r="F400" s="1">
        <f>'01_入力仕様'!D189</f>
        <v>0.35</v>
      </c>
      <c r="G400" s="1" t="s">
        <v>433</v>
      </c>
      <c r="H400" s="1">
        <f t="shared" si="43"/>
        <v>0</v>
      </c>
      <c r="I400" s="1" t="s">
        <v>1482</v>
      </c>
      <c r="J400" s="1">
        <f>-1</f>
        <v>-1</v>
      </c>
      <c r="K400" s="1">
        <f>K391*J400</f>
        <v>0</v>
      </c>
      <c r="L400" s="1" t="str">
        <f t="shared" si="44"/>
        <v>中立</v>
      </c>
      <c r="M400" s="1" t="s">
        <v>1474</v>
      </c>
      <c r="N400" s="1"/>
      <c r="O400" s="1">
        <f t="shared" si="46"/>
        <v>1</v>
      </c>
      <c r="P400" s="1"/>
      <c r="Q400" s="1">
        <f t="shared" si="45"/>
        <v>0</v>
      </c>
      <c r="R400" s="1" t="str">
        <f>IF(Q400=1,COUNTIF($Q$5:Q400,1),"")</f>
        <v/>
      </c>
    </row>
    <row r="401" spans="1:18" ht="28.5">
      <c r="A401" s="1" t="s">
        <v>2275</v>
      </c>
      <c r="B401" s="1" t="s">
        <v>2159</v>
      </c>
      <c r="C401" s="1">
        <v>13</v>
      </c>
      <c r="D401" s="1" t="s">
        <v>2276</v>
      </c>
      <c r="E401" s="1" t="s">
        <v>2277</v>
      </c>
      <c r="F401" s="1">
        <f>(F422+F423)*F424/'01_入力仕様'!D221/F425*(1-F426*F427)</f>
        <v>2.6999999999999997E-8</v>
      </c>
      <c r="G401" s="1" t="s">
        <v>741</v>
      </c>
      <c r="H401" s="1">
        <f t="shared" si="43"/>
        <v>3.0493487651298371E-5</v>
      </c>
      <c r="I401" s="1" t="s">
        <v>2278</v>
      </c>
      <c r="J401" s="1">
        <f>1</f>
        <v>1</v>
      </c>
      <c r="K401" s="1">
        <f>K347*J401</f>
        <v>2.4516241067553416E-6</v>
      </c>
      <c r="L401" s="1" t="str">
        <f t="shared" si="44"/>
        <v>増加→総重量増</v>
      </c>
      <c r="M401" s="1" t="s">
        <v>1474</v>
      </c>
      <c r="N401" s="1"/>
      <c r="O401" s="1">
        <f t="shared" si="46"/>
        <v>0</v>
      </c>
      <c r="P401" s="1"/>
      <c r="Q401" s="1">
        <f t="shared" si="45"/>
        <v>1</v>
      </c>
      <c r="R401" s="1">
        <f>IF(Q401=1,COUNTIF($Q$5:Q401,1),"")</f>
        <v>300</v>
      </c>
    </row>
    <row r="402" spans="1:18">
      <c r="A402" s="1" t="s">
        <v>2279</v>
      </c>
      <c r="B402" s="1" t="s">
        <v>2159</v>
      </c>
      <c r="C402" s="1">
        <v>13</v>
      </c>
      <c r="D402" s="1" t="s">
        <v>2280</v>
      </c>
      <c r="E402" s="1" t="s">
        <v>2281</v>
      </c>
      <c r="F402" s="1">
        <f>F403/F404</f>
        <v>3132665595.1688867</v>
      </c>
      <c r="G402" s="1" t="s">
        <v>2282</v>
      </c>
      <c r="H402" s="1">
        <f t="shared" si="43"/>
        <v>3.0493487651298371E-5</v>
      </c>
      <c r="I402" s="1" t="s">
        <v>2283</v>
      </c>
      <c r="J402" s="1">
        <f>1</f>
        <v>1</v>
      </c>
      <c r="K402" s="1">
        <f>K347*J402</f>
        <v>2.4516241067553416E-6</v>
      </c>
      <c r="L402" s="1" t="str">
        <f t="shared" si="44"/>
        <v>増加→総重量増</v>
      </c>
      <c r="M402" s="1" t="s">
        <v>1474</v>
      </c>
      <c r="N402" s="1"/>
      <c r="O402" s="1">
        <f t="shared" si="46"/>
        <v>0</v>
      </c>
      <c r="P402" s="1"/>
      <c r="Q402" s="1">
        <f t="shared" si="45"/>
        <v>1</v>
      </c>
      <c r="R402" s="1">
        <f>IF(Q402=1,COUNTIF($Q$5:Q402,1),"")</f>
        <v>301</v>
      </c>
    </row>
    <row r="403" spans="1:18">
      <c r="A403" s="1" t="s">
        <v>2284</v>
      </c>
      <c r="B403" s="1" t="s">
        <v>2279</v>
      </c>
      <c r="C403" s="1">
        <v>14</v>
      </c>
      <c r="D403" s="1" t="s">
        <v>80</v>
      </c>
      <c r="E403" s="1" t="s">
        <v>1497</v>
      </c>
      <c r="F403" s="1">
        <f>'01_入力仕様'!D5*1000/(SQRT(3)*'01_入力仕様'!D7*'01_入力仕様'!D8*'01_入力仕様'!D9)</f>
        <v>156.63327975844433</v>
      </c>
      <c r="G403" s="1" t="s">
        <v>808</v>
      </c>
      <c r="H403" s="1">
        <f t="shared" si="43"/>
        <v>3.0493487651298371E-5</v>
      </c>
      <c r="I403" s="1" t="s">
        <v>2119</v>
      </c>
      <c r="J403" s="1">
        <f>1</f>
        <v>1</v>
      </c>
      <c r="K403" s="1">
        <f>K402*J403</f>
        <v>2.4516241067553416E-6</v>
      </c>
      <c r="L403" s="1" t="str">
        <f t="shared" si="44"/>
        <v>増加→総重量増</v>
      </c>
      <c r="M403" s="1" t="s">
        <v>1474</v>
      </c>
      <c r="N403" s="1"/>
      <c r="O403" s="1">
        <f t="shared" si="46"/>
        <v>1</v>
      </c>
      <c r="P403" s="1"/>
      <c r="Q403" s="1">
        <f t="shared" si="45"/>
        <v>0</v>
      </c>
      <c r="R403" s="1" t="str">
        <f>IF(Q403=1,COUNTIF($Q$5:Q403,1),"")</f>
        <v/>
      </c>
    </row>
    <row r="404" spans="1:18">
      <c r="A404" s="1" t="s">
        <v>2285</v>
      </c>
      <c r="B404" s="1" t="s">
        <v>2279</v>
      </c>
      <c r="C404" s="1">
        <v>14</v>
      </c>
      <c r="D404" s="1" t="s">
        <v>2073</v>
      </c>
      <c r="E404" s="1" t="s">
        <v>669</v>
      </c>
      <c r="F404" s="1">
        <f>F305</f>
        <v>4.9999999999999998E-8</v>
      </c>
      <c r="G404" s="1" t="s">
        <v>109</v>
      </c>
      <c r="H404" s="1">
        <f t="shared" ref="H404:H435" si="47">ABS(K404)*$F$5</f>
        <v>3.0493487651298371E-5</v>
      </c>
      <c r="I404" s="1" t="s">
        <v>2286</v>
      </c>
      <c r="J404" s="1">
        <f>-1</f>
        <v>-1</v>
      </c>
      <c r="K404" s="1">
        <f>K402*J404</f>
        <v>-2.4516241067553416E-6</v>
      </c>
      <c r="L404" s="1" t="str">
        <f t="shared" ref="L404:L435" si="48">IF(K404&gt;0,"増加→総重量増",IF(K404&lt;0,"増加→総重量減","中立"))</f>
        <v>増加→総重量減</v>
      </c>
      <c r="M404" s="1" t="s">
        <v>1474</v>
      </c>
      <c r="N404" s="1"/>
      <c r="O404" s="1">
        <f t="shared" si="46"/>
        <v>1</v>
      </c>
      <c r="P404" s="1"/>
      <c r="Q404" s="1">
        <f t="shared" ref="Q404:Q435" si="49">IF(E404="","",--(MATCH(E404,$E$5:$E$560,0)=ROW()-4))</f>
        <v>0</v>
      </c>
      <c r="R404" s="1" t="str">
        <f>IF(Q404=1,COUNTIF($Q$5:Q404,1),"")</f>
        <v/>
      </c>
    </row>
    <row r="405" spans="1:18">
      <c r="A405" s="1" t="s">
        <v>2287</v>
      </c>
      <c r="B405" s="1" t="s">
        <v>2159</v>
      </c>
      <c r="C405" s="1">
        <v>13</v>
      </c>
      <c r="D405" s="1" t="s">
        <v>2288</v>
      </c>
      <c r="E405" s="1" t="s">
        <v>2289</v>
      </c>
      <c r="F405" s="1">
        <f>1-F406*F407</f>
        <v>1</v>
      </c>
      <c r="G405" s="1" t="s">
        <v>86</v>
      </c>
      <c r="H405" s="1">
        <f t="shared" si="47"/>
        <v>3.0493487651298371E-5</v>
      </c>
      <c r="I405" s="1" t="s">
        <v>2290</v>
      </c>
      <c r="J405" s="1">
        <f>1</f>
        <v>1</v>
      </c>
      <c r="K405" s="1">
        <f>K347*J405</f>
        <v>2.4516241067553416E-6</v>
      </c>
      <c r="L405" s="1" t="str">
        <f t="shared" si="48"/>
        <v>増加→総重量増</v>
      </c>
      <c r="M405" s="1" t="s">
        <v>1474</v>
      </c>
      <c r="N405" s="1"/>
      <c r="O405" s="1">
        <f t="shared" si="46"/>
        <v>0</v>
      </c>
      <c r="P405" s="1"/>
      <c r="Q405" s="1">
        <f t="shared" si="49"/>
        <v>1</v>
      </c>
      <c r="R405" s="1">
        <f>IF(Q405=1,COUNTIF($Q$5:Q405,1),"")</f>
        <v>302</v>
      </c>
    </row>
    <row r="406" spans="1:18">
      <c r="A406" s="1" t="s">
        <v>2291</v>
      </c>
      <c r="B406" s="1" t="s">
        <v>2287</v>
      </c>
      <c r="C406" s="1">
        <v>14</v>
      </c>
      <c r="D406" s="1" t="s">
        <v>752</v>
      </c>
      <c r="E406" s="1" t="s">
        <v>753</v>
      </c>
      <c r="F406" s="1">
        <f>'01_入力仕様'!D175</f>
        <v>0</v>
      </c>
      <c r="G406" s="1" t="s">
        <v>415</v>
      </c>
      <c r="H406" s="1">
        <f t="shared" si="47"/>
        <v>1.9820766973343942E-5</v>
      </c>
      <c r="I406" s="1" t="s">
        <v>1482</v>
      </c>
      <c r="J406" s="1">
        <f>0</f>
        <v>0</v>
      </c>
      <c r="K406" s="1">
        <f>K347*(-'01_入力仕様'!D176)</f>
        <v>-1.5935556693909721E-6</v>
      </c>
      <c r="L406" s="1" t="str">
        <f t="shared" si="48"/>
        <v>増加→総重量減</v>
      </c>
      <c r="M406" s="1" t="s">
        <v>1474</v>
      </c>
      <c r="N406" s="1" t="s">
        <v>2085</v>
      </c>
      <c r="O406" s="1">
        <f t="shared" si="46"/>
        <v>1</v>
      </c>
      <c r="P406" s="1"/>
      <c r="Q406" s="1">
        <f t="shared" si="49"/>
        <v>0</v>
      </c>
      <c r="R406" s="1" t="str">
        <f>IF(Q406=1,COUNTIF($Q$5:Q406,1),"")</f>
        <v/>
      </c>
    </row>
    <row r="407" spans="1:18">
      <c r="A407" s="1" t="s">
        <v>2292</v>
      </c>
      <c r="B407" s="1" t="s">
        <v>2287</v>
      </c>
      <c r="C407" s="1">
        <v>14</v>
      </c>
      <c r="D407" s="1" t="s">
        <v>756</v>
      </c>
      <c r="E407" s="1" t="s">
        <v>757</v>
      </c>
      <c r="F407" s="1">
        <f>'01_入力仕様'!D176</f>
        <v>0.65</v>
      </c>
      <c r="G407" s="1" t="s">
        <v>86</v>
      </c>
      <c r="H407" s="1">
        <f t="shared" si="47"/>
        <v>0</v>
      </c>
      <c r="I407" s="1" t="s">
        <v>1482</v>
      </c>
      <c r="J407" s="1">
        <f>IF(F405=0,0,-'01_入力仕様'!D175*'01_入力仕様'!D176/F405)</f>
        <v>0</v>
      </c>
      <c r="K407" s="1">
        <f>K405*J407</f>
        <v>0</v>
      </c>
      <c r="L407" s="1" t="str">
        <f t="shared" si="48"/>
        <v>中立</v>
      </c>
      <c r="M407" s="1" t="s">
        <v>1474</v>
      </c>
      <c r="N407" s="1"/>
      <c r="O407" s="1">
        <f t="shared" si="46"/>
        <v>1</v>
      </c>
      <c r="P407" s="1"/>
      <c r="Q407" s="1">
        <f t="shared" si="49"/>
        <v>1</v>
      </c>
      <c r="R407" s="1">
        <f>IF(Q407=1,COUNTIF($Q$5:Q407,1),"")</f>
        <v>303</v>
      </c>
    </row>
    <row r="408" spans="1:18" ht="28.5">
      <c r="A408" s="1" t="s">
        <v>2293</v>
      </c>
      <c r="B408" s="1" t="s">
        <v>2162</v>
      </c>
      <c r="C408" s="1">
        <v>12</v>
      </c>
      <c r="D408" s="1" t="s">
        <v>2276</v>
      </c>
      <c r="E408" s="1" t="s">
        <v>2277</v>
      </c>
      <c r="F408" s="1">
        <f>(F428+F429)*F430/'01_入力仕様'!D221/F431*(1-F432*F433)</f>
        <v>2.6999999999999997E-8</v>
      </c>
      <c r="G408" s="1" t="s">
        <v>741</v>
      </c>
      <c r="H408" s="1">
        <f t="shared" si="47"/>
        <v>2.5411239709415313E-5</v>
      </c>
      <c r="I408" s="1" t="s">
        <v>2278</v>
      </c>
      <c r="J408" s="1">
        <f>1</f>
        <v>1</v>
      </c>
      <c r="K408" s="1">
        <f>K348*J408</f>
        <v>2.0430200889627849E-6</v>
      </c>
      <c r="L408" s="1" t="str">
        <f t="shared" si="48"/>
        <v>増加→総重量増</v>
      </c>
      <c r="M408" s="1" t="s">
        <v>1474</v>
      </c>
      <c r="N408" s="1"/>
      <c r="O408" s="1">
        <f t="shared" si="46"/>
        <v>0</v>
      </c>
      <c r="P408" s="1"/>
      <c r="Q408" s="1">
        <f t="shared" si="49"/>
        <v>0</v>
      </c>
      <c r="R408" s="1" t="str">
        <f>IF(Q408=1,COUNTIF($Q$5:Q408,1),"")</f>
        <v/>
      </c>
    </row>
    <row r="409" spans="1:18">
      <c r="A409" s="1" t="s">
        <v>2294</v>
      </c>
      <c r="B409" s="1" t="s">
        <v>2162</v>
      </c>
      <c r="C409" s="1">
        <v>12</v>
      </c>
      <c r="D409" s="1" t="s">
        <v>2280</v>
      </c>
      <c r="E409" s="1" t="s">
        <v>2281</v>
      </c>
      <c r="F409" s="1">
        <f>F410/F411</f>
        <v>3132665595.1688867</v>
      </c>
      <c r="G409" s="1" t="s">
        <v>2282</v>
      </c>
      <c r="H409" s="1">
        <f t="shared" si="47"/>
        <v>2.5411239709415313E-5</v>
      </c>
      <c r="I409" s="1" t="s">
        <v>2283</v>
      </c>
      <c r="J409" s="1">
        <f>1</f>
        <v>1</v>
      </c>
      <c r="K409" s="1">
        <f>K348*J409</f>
        <v>2.0430200889627849E-6</v>
      </c>
      <c r="L409" s="1" t="str">
        <f t="shared" si="48"/>
        <v>増加→総重量増</v>
      </c>
      <c r="M409" s="1" t="s">
        <v>1474</v>
      </c>
      <c r="N409" s="1"/>
      <c r="O409" s="1">
        <f t="shared" si="46"/>
        <v>0</v>
      </c>
      <c r="P409" s="1"/>
      <c r="Q409" s="1">
        <f t="shared" si="49"/>
        <v>0</v>
      </c>
      <c r="R409" s="1" t="str">
        <f>IF(Q409=1,COUNTIF($Q$5:Q409,1),"")</f>
        <v/>
      </c>
    </row>
    <row r="410" spans="1:18">
      <c r="A410" s="1" t="s">
        <v>2295</v>
      </c>
      <c r="B410" s="1" t="s">
        <v>2294</v>
      </c>
      <c r="C410" s="1">
        <v>13</v>
      </c>
      <c r="D410" s="1" t="s">
        <v>80</v>
      </c>
      <c r="E410" s="1" t="s">
        <v>1497</v>
      </c>
      <c r="F410" s="1">
        <f>'01_入力仕様'!D5*1000/(SQRT(3)*'01_入力仕様'!D7*'01_入力仕様'!D8*'01_入力仕様'!D9)</f>
        <v>156.63327975844433</v>
      </c>
      <c r="G410" s="1" t="s">
        <v>808</v>
      </c>
      <c r="H410" s="1">
        <f t="shared" si="47"/>
        <v>2.5411239709415313E-5</v>
      </c>
      <c r="I410" s="1" t="s">
        <v>2119</v>
      </c>
      <c r="J410" s="1">
        <f>1</f>
        <v>1</v>
      </c>
      <c r="K410" s="1">
        <f>K409*J410</f>
        <v>2.0430200889627849E-6</v>
      </c>
      <c r="L410" s="1" t="str">
        <f t="shared" si="48"/>
        <v>増加→総重量増</v>
      </c>
      <c r="M410" s="1" t="s">
        <v>1474</v>
      </c>
      <c r="N410" s="1"/>
      <c r="O410" s="1">
        <f t="shared" si="46"/>
        <v>1</v>
      </c>
      <c r="P410" s="1"/>
      <c r="Q410" s="1">
        <f t="shared" si="49"/>
        <v>0</v>
      </c>
      <c r="R410" s="1" t="str">
        <f>IF(Q410=1,COUNTIF($Q$5:Q410,1),"")</f>
        <v/>
      </c>
    </row>
    <row r="411" spans="1:18">
      <c r="A411" s="1" t="s">
        <v>2296</v>
      </c>
      <c r="B411" s="1" t="s">
        <v>2294</v>
      </c>
      <c r="C411" s="1">
        <v>13</v>
      </c>
      <c r="D411" s="1" t="s">
        <v>2073</v>
      </c>
      <c r="E411" s="1" t="s">
        <v>669</v>
      </c>
      <c r="F411" s="1">
        <f>F305</f>
        <v>4.9999999999999998E-8</v>
      </c>
      <c r="G411" s="1" t="s">
        <v>109</v>
      </c>
      <c r="H411" s="1">
        <f t="shared" si="47"/>
        <v>2.5411239709415313E-5</v>
      </c>
      <c r="I411" s="1" t="s">
        <v>2286</v>
      </c>
      <c r="J411" s="1">
        <f>-1</f>
        <v>-1</v>
      </c>
      <c r="K411" s="1">
        <f>K409*J411</f>
        <v>-2.0430200889627849E-6</v>
      </c>
      <c r="L411" s="1" t="str">
        <f t="shared" si="48"/>
        <v>増加→総重量減</v>
      </c>
      <c r="M411" s="1" t="s">
        <v>1474</v>
      </c>
      <c r="N411" s="1"/>
      <c r="O411" s="1">
        <f t="shared" si="46"/>
        <v>1</v>
      </c>
      <c r="P411" s="1"/>
      <c r="Q411" s="1">
        <f t="shared" si="49"/>
        <v>0</v>
      </c>
      <c r="R411" s="1" t="str">
        <f>IF(Q411=1,COUNTIF($Q$5:Q411,1),"")</f>
        <v/>
      </c>
    </row>
    <row r="412" spans="1:18">
      <c r="A412" s="1" t="s">
        <v>2297</v>
      </c>
      <c r="B412" s="1" t="s">
        <v>2162</v>
      </c>
      <c r="C412" s="1">
        <v>12</v>
      </c>
      <c r="D412" s="1" t="s">
        <v>2288</v>
      </c>
      <c r="E412" s="1" t="s">
        <v>2289</v>
      </c>
      <c r="F412" s="1">
        <f>1-F413*F414</f>
        <v>1</v>
      </c>
      <c r="G412" s="1" t="s">
        <v>86</v>
      </c>
      <c r="H412" s="1">
        <f t="shared" si="47"/>
        <v>2.5411239709415313E-5</v>
      </c>
      <c r="I412" s="1" t="s">
        <v>2290</v>
      </c>
      <c r="J412" s="1">
        <f>1</f>
        <v>1</v>
      </c>
      <c r="K412" s="1">
        <f>K348*J412</f>
        <v>2.0430200889627849E-6</v>
      </c>
      <c r="L412" s="1" t="str">
        <f t="shared" si="48"/>
        <v>増加→総重量増</v>
      </c>
      <c r="M412" s="1" t="s">
        <v>1474</v>
      </c>
      <c r="N412" s="1"/>
      <c r="O412" s="1">
        <f t="shared" si="46"/>
        <v>0</v>
      </c>
      <c r="P412" s="1"/>
      <c r="Q412" s="1">
        <f t="shared" si="49"/>
        <v>0</v>
      </c>
      <c r="R412" s="1" t="str">
        <f>IF(Q412=1,COUNTIF($Q$5:Q412,1),"")</f>
        <v/>
      </c>
    </row>
    <row r="413" spans="1:18">
      <c r="A413" s="1" t="s">
        <v>2298</v>
      </c>
      <c r="B413" s="1" t="s">
        <v>2297</v>
      </c>
      <c r="C413" s="1">
        <v>13</v>
      </c>
      <c r="D413" s="1" t="s">
        <v>752</v>
      </c>
      <c r="E413" s="1" t="s">
        <v>753</v>
      </c>
      <c r="F413" s="1">
        <f>'01_入力仕様'!D175</f>
        <v>0</v>
      </c>
      <c r="G413" s="1" t="s">
        <v>415</v>
      </c>
      <c r="H413" s="1">
        <f t="shared" si="47"/>
        <v>1.6517305811119955E-5</v>
      </c>
      <c r="I413" s="1" t="s">
        <v>1482</v>
      </c>
      <c r="J413" s="1">
        <f>0</f>
        <v>0</v>
      </c>
      <c r="K413" s="1">
        <f>K348*(-'01_入力仕様'!D176)</f>
        <v>-1.3279630578258103E-6</v>
      </c>
      <c r="L413" s="1" t="str">
        <f t="shared" si="48"/>
        <v>増加→総重量減</v>
      </c>
      <c r="M413" s="1" t="s">
        <v>1474</v>
      </c>
      <c r="N413" s="1" t="s">
        <v>2085</v>
      </c>
      <c r="O413" s="1">
        <f t="shared" si="46"/>
        <v>1</v>
      </c>
      <c r="P413" s="1"/>
      <c r="Q413" s="1">
        <f t="shared" si="49"/>
        <v>0</v>
      </c>
      <c r="R413" s="1" t="str">
        <f>IF(Q413=1,COUNTIF($Q$5:Q413,1),"")</f>
        <v/>
      </c>
    </row>
    <row r="414" spans="1:18">
      <c r="A414" s="1" t="s">
        <v>2299</v>
      </c>
      <c r="B414" s="1" t="s">
        <v>2297</v>
      </c>
      <c r="C414" s="1">
        <v>13</v>
      </c>
      <c r="D414" s="1" t="s">
        <v>756</v>
      </c>
      <c r="E414" s="1" t="s">
        <v>757</v>
      </c>
      <c r="F414" s="1">
        <f>'01_入力仕様'!D176</f>
        <v>0.65</v>
      </c>
      <c r="G414" s="1" t="s">
        <v>86</v>
      </c>
      <c r="H414" s="1">
        <f t="shared" si="47"/>
        <v>0</v>
      </c>
      <c r="I414" s="1" t="s">
        <v>1482</v>
      </c>
      <c r="J414" s="1">
        <f>IF(F412=0,0,-'01_入力仕様'!D175*'01_入力仕様'!D176/F412)</f>
        <v>0</v>
      </c>
      <c r="K414" s="1">
        <f>K412*J414</f>
        <v>0</v>
      </c>
      <c r="L414" s="1" t="str">
        <f t="shared" si="48"/>
        <v>中立</v>
      </c>
      <c r="M414" s="1" t="s">
        <v>1474</v>
      </c>
      <c r="N414" s="1"/>
      <c r="O414" s="1">
        <f t="shared" si="46"/>
        <v>1</v>
      </c>
      <c r="P414" s="1"/>
      <c r="Q414" s="1">
        <f t="shared" si="49"/>
        <v>0</v>
      </c>
      <c r="R414" s="1" t="str">
        <f>IF(Q414=1,COUNTIF($Q$5:Q414,1),"")</f>
        <v/>
      </c>
    </row>
    <row r="415" spans="1:18" ht="28.5">
      <c r="A415" s="1" t="s">
        <v>2300</v>
      </c>
      <c r="B415" s="1" t="s">
        <v>2164</v>
      </c>
      <c r="C415" s="1">
        <v>10</v>
      </c>
      <c r="D415" s="1" t="s">
        <v>2276</v>
      </c>
      <c r="E415" s="1" t="s">
        <v>2277</v>
      </c>
      <c r="F415" s="1">
        <f>(F434+F435)*F436/'01_入力仕様'!D221/F437*(1-F438*F439)</f>
        <v>2.6999999999999997E-8</v>
      </c>
      <c r="G415" s="1" t="s">
        <v>741</v>
      </c>
      <c r="H415" s="1">
        <f t="shared" si="47"/>
        <v>1.5435245234192356E-5</v>
      </c>
      <c r="I415" s="1" t="s">
        <v>2278</v>
      </c>
      <c r="J415" s="1">
        <f>1</f>
        <v>1</v>
      </c>
      <c r="K415" s="1">
        <f>K349*J415</f>
        <v>-1.2409672433194188E-6</v>
      </c>
      <c r="L415" s="1" t="str">
        <f t="shared" si="48"/>
        <v>増加→総重量減</v>
      </c>
      <c r="M415" s="1" t="s">
        <v>1474</v>
      </c>
      <c r="N415" s="1"/>
      <c r="O415" s="1">
        <f t="shared" si="46"/>
        <v>0</v>
      </c>
      <c r="P415" s="1"/>
      <c r="Q415" s="1">
        <f t="shared" si="49"/>
        <v>0</v>
      </c>
      <c r="R415" s="1" t="str">
        <f>IF(Q415=1,COUNTIF($Q$5:Q415,1),"")</f>
        <v/>
      </c>
    </row>
    <row r="416" spans="1:18">
      <c r="A416" s="1" t="s">
        <v>2301</v>
      </c>
      <c r="B416" s="1" t="s">
        <v>2164</v>
      </c>
      <c r="C416" s="1">
        <v>10</v>
      </c>
      <c r="D416" s="1" t="s">
        <v>2280</v>
      </c>
      <c r="E416" s="1" t="s">
        <v>2281</v>
      </c>
      <c r="F416" s="1">
        <f>F417/F418</f>
        <v>3132665595.1688867</v>
      </c>
      <c r="G416" s="1" t="s">
        <v>2282</v>
      </c>
      <c r="H416" s="1">
        <f t="shared" si="47"/>
        <v>1.5435245234192356E-5</v>
      </c>
      <c r="I416" s="1" t="s">
        <v>2283</v>
      </c>
      <c r="J416" s="1">
        <f>1</f>
        <v>1</v>
      </c>
      <c r="K416" s="1">
        <f>K349*J416</f>
        <v>-1.2409672433194188E-6</v>
      </c>
      <c r="L416" s="1" t="str">
        <f t="shared" si="48"/>
        <v>増加→総重量減</v>
      </c>
      <c r="M416" s="1" t="s">
        <v>1474</v>
      </c>
      <c r="N416" s="1"/>
      <c r="O416" s="1">
        <f t="shared" si="46"/>
        <v>0</v>
      </c>
      <c r="P416" s="1"/>
      <c r="Q416" s="1">
        <f t="shared" si="49"/>
        <v>0</v>
      </c>
      <c r="R416" s="1" t="str">
        <f>IF(Q416=1,COUNTIF($Q$5:Q416,1),"")</f>
        <v/>
      </c>
    </row>
    <row r="417" spans="1:18">
      <c r="A417" s="1" t="s">
        <v>2302</v>
      </c>
      <c r="B417" s="1" t="s">
        <v>2301</v>
      </c>
      <c r="C417" s="1">
        <v>11</v>
      </c>
      <c r="D417" s="1" t="s">
        <v>80</v>
      </c>
      <c r="E417" s="1" t="s">
        <v>1497</v>
      </c>
      <c r="F417" s="1">
        <f>'01_入力仕様'!D5*1000/(SQRT(3)*'01_入力仕様'!D7*'01_入力仕様'!D8*'01_入力仕様'!D9)</f>
        <v>156.63327975844433</v>
      </c>
      <c r="G417" s="1" t="s">
        <v>808</v>
      </c>
      <c r="H417" s="1">
        <f t="shared" si="47"/>
        <v>1.5435245234192356E-5</v>
      </c>
      <c r="I417" s="1" t="s">
        <v>2119</v>
      </c>
      <c r="J417" s="1">
        <f>1</f>
        <v>1</v>
      </c>
      <c r="K417" s="1">
        <f>K416*J417</f>
        <v>-1.2409672433194188E-6</v>
      </c>
      <c r="L417" s="1" t="str">
        <f t="shared" si="48"/>
        <v>増加→総重量減</v>
      </c>
      <c r="M417" s="1" t="s">
        <v>1474</v>
      </c>
      <c r="N417" s="1"/>
      <c r="O417" s="1">
        <f t="shared" si="46"/>
        <v>1</v>
      </c>
      <c r="P417" s="1"/>
      <c r="Q417" s="1">
        <f t="shared" si="49"/>
        <v>0</v>
      </c>
      <c r="R417" s="1" t="str">
        <f>IF(Q417=1,COUNTIF($Q$5:Q417,1),"")</f>
        <v/>
      </c>
    </row>
    <row r="418" spans="1:18">
      <c r="A418" s="1" t="s">
        <v>2303</v>
      </c>
      <c r="B418" s="1" t="s">
        <v>2301</v>
      </c>
      <c r="C418" s="1">
        <v>11</v>
      </c>
      <c r="D418" s="1" t="s">
        <v>2073</v>
      </c>
      <c r="E418" s="1" t="s">
        <v>669</v>
      </c>
      <c r="F418" s="1">
        <f>F305</f>
        <v>4.9999999999999998E-8</v>
      </c>
      <c r="G418" s="1" t="s">
        <v>109</v>
      </c>
      <c r="H418" s="1">
        <f t="shared" si="47"/>
        <v>1.5435245234192356E-5</v>
      </c>
      <c r="I418" s="1" t="s">
        <v>2286</v>
      </c>
      <c r="J418" s="1">
        <f>-1</f>
        <v>-1</v>
      </c>
      <c r="K418" s="1">
        <f>K416*J418</f>
        <v>1.2409672433194188E-6</v>
      </c>
      <c r="L418" s="1" t="str">
        <f t="shared" si="48"/>
        <v>増加→総重量増</v>
      </c>
      <c r="M418" s="1" t="s">
        <v>1474</v>
      </c>
      <c r="N418" s="1"/>
      <c r="O418" s="1">
        <f t="shared" si="46"/>
        <v>1</v>
      </c>
      <c r="P418" s="1"/>
      <c r="Q418" s="1">
        <f t="shared" si="49"/>
        <v>0</v>
      </c>
      <c r="R418" s="1" t="str">
        <f>IF(Q418=1,COUNTIF($Q$5:Q418,1),"")</f>
        <v/>
      </c>
    </row>
    <row r="419" spans="1:18">
      <c r="A419" s="1" t="s">
        <v>2304</v>
      </c>
      <c r="B419" s="1" t="s">
        <v>2164</v>
      </c>
      <c r="C419" s="1">
        <v>10</v>
      </c>
      <c r="D419" s="1" t="s">
        <v>2288</v>
      </c>
      <c r="E419" s="1" t="s">
        <v>2289</v>
      </c>
      <c r="F419" s="1">
        <f>1-F420*F421</f>
        <v>1</v>
      </c>
      <c r="G419" s="1" t="s">
        <v>86</v>
      </c>
      <c r="H419" s="1">
        <f t="shared" si="47"/>
        <v>1.5435245234192356E-5</v>
      </c>
      <c r="I419" s="1" t="s">
        <v>2290</v>
      </c>
      <c r="J419" s="1">
        <f>1</f>
        <v>1</v>
      </c>
      <c r="K419" s="1">
        <f>K349*J419</f>
        <v>-1.2409672433194188E-6</v>
      </c>
      <c r="L419" s="1" t="str">
        <f t="shared" si="48"/>
        <v>増加→総重量減</v>
      </c>
      <c r="M419" s="1" t="s">
        <v>1474</v>
      </c>
      <c r="N419" s="1"/>
      <c r="O419" s="1">
        <f t="shared" si="46"/>
        <v>0</v>
      </c>
      <c r="P419" s="1"/>
      <c r="Q419" s="1">
        <f t="shared" si="49"/>
        <v>0</v>
      </c>
      <c r="R419" s="1" t="str">
        <f>IF(Q419=1,COUNTIF($Q$5:Q419,1),"")</f>
        <v/>
      </c>
    </row>
    <row r="420" spans="1:18">
      <c r="A420" s="1" t="s">
        <v>2305</v>
      </c>
      <c r="B420" s="1" t="s">
        <v>2304</v>
      </c>
      <c r="C420" s="1">
        <v>11</v>
      </c>
      <c r="D420" s="1" t="s">
        <v>752</v>
      </c>
      <c r="E420" s="1" t="s">
        <v>753</v>
      </c>
      <c r="F420" s="1">
        <f>'01_入力仕様'!D175</f>
        <v>0</v>
      </c>
      <c r="G420" s="1" t="s">
        <v>415</v>
      </c>
      <c r="H420" s="1">
        <f t="shared" si="47"/>
        <v>1.0032909402225031E-5</v>
      </c>
      <c r="I420" s="1" t="s">
        <v>1482</v>
      </c>
      <c r="J420" s="1">
        <f>0</f>
        <v>0</v>
      </c>
      <c r="K420" s="1">
        <f>K349*(-'01_入力仕様'!D176)</f>
        <v>8.0662870815762223E-7</v>
      </c>
      <c r="L420" s="1" t="str">
        <f t="shared" si="48"/>
        <v>増加→総重量増</v>
      </c>
      <c r="M420" s="1" t="s">
        <v>1474</v>
      </c>
      <c r="N420" s="1" t="s">
        <v>2085</v>
      </c>
      <c r="O420" s="1">
        <f t="shared" si="46"/>
        <v>1</v>
      </c>
      <c r="P420" s="1"/>
      <c r="Q420" s="1">
        <f t="shared" si="49"/>
        <v>0</v>
      </c>
      <c r="R420" s="1" t="str">
        <f>IF(Q420=1,COUNTIF($Q$5:Q420,1),"")</f>
        <v/>
      </c>
    </row>
    <row r="421" spans="1:18">
      <c r="A421" s="1" t="s">
        <v>2306</v>
      </c>
      <c r="B421" s="1" t="s">
        <v>2304</v>
      </c>
      <c r="C421" s="1">
        <v>11</v>
      </c>
      <c r="D421" s="1" t="s">
        <v>756</v>
      </c>
      <c r="E421" s="1" t="s">
        <v>757</v>
      </c>
      <c r="F421" s="1">
        <f>'01_入力仕様'!D176</f>
        <v>0.65</v>
      </c>
      <c r="G421" s="1" t="s">
        <v>86</v>
      </c>
      <c r="H421" s="1">
        <f t="shared" si="47"/>
        <v>0</v>
      </c>
      <c r="I421" s="1" t="s">
        <v>1482</v>
      </c>
      <c r="J421" s="1">
        <f>IF(F419=0,0,-'01_入力仕様'!D175*'01_入力仕様'!D176/F419)</f>
        <v>0</v>
      </c>
      <c r="K421" s="1">
        <f>K419*J421</f>
        <v>0</v>
      </c>
      <c r="L421" s="1" t="str">
        <f t="shared" si="48"/>
        <v>中立</v>
      </c>
      <c r="M421" s="1" t="s">
        <v>1474</v>
      </c>
      <c r="N421" s="1"/>
      <c r="O421" s="1">
        <f t="shared" si="46"/>
        <v>1</v>
      </c>
      <c r="P421" s="1"/>
      <c r="Q421" s="1">
        <f t="shared" si="49"/>
        <v>0</v>
      </c>
      <c r="R421" s="1" t="str">
        <f>IF(Q421=1,COUNTIF($Q$5:Q421,1),"")</f>
        <v/>
      </c>
    </row>
    <row r="422" spans="1:18">
      <c r="A422" s="1" t="s">
        <v>2307</v>
      </c>
      <c r="B422" s="1" t="s">
        <v>2275</v>
      </c>
      <c r="C422" s="1">
        <v>14</v>
      </c>
      <c r="D422" s="1" t="s">
        <v>2308</v>
      </c>
      <c r="E422" s="1" t="s">
        <v>740</v>
      </c>
      <c r="F422" s="1">
        <f>'01_入力仕様'!D172</f>
        <v>1.4999999999999999E-8</v>
      </c>
      <c r="G422" s="1" t="s">
        <v>741</v>
      </c>
      <c r="H422" s="1">
        <f t="shared" si="47"/>
        <v>1.694082647294354E-5</v>
      </c>
      <c r="I422" s="1" t="s">
        <v>1482</v>
      </c>
      <c r="J422" s="1">
        <f>F422/(F422+F423)</f>
        <v>0.55555555555555558</v>
      </c>
      <c r="K422" s="1">
        <f>K401*J422</f>
        <v>1.3620133926418565E-6</v>
      </c>
      <c r="L422" s="1" t="str">
        <f t="shared" si="48"/>
        <v>増加→総重量増</v>
      </c>
      <c r="M422" s="1" t="s">
        <v>1474</v>
      </c>
      <c r="N422" s="1"/>
      <c r="O422" s="1">
        <f t="shared" si="46"/>
        <v>1</v>
      </c>
      <c r="P422" s="1"/>
      <c r="Q422" s="1">
        <f t="shared" si="49"/>
        <v>0</v>
      </c>
      <c r="R422" s="1" t="str">
        <f>IF(Q422=1,COUNTIF($Q$5:Q422,1),"")</f>
        <v/>
      </c>
    </row>
    <row r="423" spans="1:18">
      <c r="A423" s="1" t="s">
        <v>2309</v>
      </c>
      <c r="B423" s="1" t="s">
        <v>2275</v>
      </c>
      <c r="C423" s="1">
        <v>14</v>
      </c>
      <c r="D423" s="1" t="s">
        <v>839</v>
      </c>
      <c r="E423" s="1" t="s">
        <v>841</v>
      </c>
      <c r="F423" s="1">
        <f>'01_入力仕様'!D196</f>
        <v>1.2E-8</v>
      </c>
      <c r="G423" s="1" t="s">
        <v>741</v>
      </c>
      <c r="H423" s="1">
        <f t="shared" si="47"/>
        <v>1.3552661178354833E-5</v>
      </c>
      <c r="I423" s="1" t="s">
        <v>1482</v>
      </c>
      <c r="J423" s="1">
        <f>'01_入力仕様'!D196/('01_入力仕様'!D172+'01_入力仕様'!D196)</f>
        <v>0.44444444444444448</v>
      </c>
      <c r="K423" s="1">
        <f>K401*J423</f>
        <v>1.0896107141134853E-6</v>
      </c>
      <c r="L423" s="1" t="str">
        <f t="shared" si="48"/>
        <v>増加→総重量増</v>
      </c>
      <c r="M423" s="1" t="s">
        <v>1474</v>
      </c>
      <c r="N423" s="1"/>
      <c r="O423" s="1">
        <f t="shared" si="46"/>
        <v>1</v>
      </c>
      <c r="P423" s="1"/>
      <c r="Q423" s="1">
        <f t="shared" si="49"/>
        <v>1</v>
      </c>
      <c r="R423" s="1">
        <f>IF(Q423=1,COUNTIF($Q$5:Q423,1),"")</f>
        <v>304</v>
      </c>
    </row>
    <row r="424" spans="1:18">
      <c r="A424" s="1" t="s">
        <v>2310</v>
      </c>
      <c r="B424" s="1" t="s">
        <v>2275</v>
      </c>
      <c r="C424" s="1">
        <v>14</v>
      </c>
      <c r="D424" s="1" t="s">
        <v>930</v>
      </c>
      <c r="E424" s="1" t="s">
        <v>931</v>
      </c>
      <c r="F424" s="1">
        <f>'01_入力仕様'!D220</f>
        <v>1E-3</v>
      </c>
      <c r="G424" s="1" t="s">
        <v>262</v>
      </c>
      <c r="H424" s="1">
        <f t="shared" si="47"/>
        <v>3.0493487651298371E-5</v>
      </c>
      <c r="I424" s="1" t="s">
        <v>1482</v>
      </c>
      <c r="J424" s="1">
        <f>1</f>
        <v>1</v>
      </c>
      <c r="K424" s="1">
        <f>K401*J424</f>
        <v>2.4516241067553416E-6</v>
      </c>
      <c r="L424" s="1" t="str">
        <f t="shared" si="48"/>
        <v>増加→総重量増</v>
      </c>
      <c r="M424" s="1" t="s">
        <v>1474</v>
      </c>
      <c r="N424" s="1"/>
      <c r="O424" s="1">
        <f t="shared" si="46"/>
        <v>1</v>
      </c>
      <c r="P424" s="1"/>
      <c r="Q424" s="1">
        <f t="shared" si="49"/>
        <v>1</v>
      </c>
      <c r="R424" s="1">
        <f>IF(Q424=1,COUNTIF($Q$5:Q424,1),"")</f>
        <v>305</v>
      </c>
    </row>
    <row r="425" spans="1:18">
      <c r="A425" s="1" t="s">
        <v>2311</v>
      </c>
      <c r="B425" s="1" t="s">
        <v>2275</v>
      </c>
      <c r="C425" s="1">
        <v>14</v>
      </c>
      <c r="D425" s="1" t="s">
        <v>937</v>
      </c>
      <c r="E425" s="1" t="s">
        <v>938</v>
      </c>
      <c r="F425" s="1">
        <f>'01_入力仕様'!D222</f>
        <v>1</v>
      </c>
      <c r="G425" s="1" t="s">
        <v>86</v>
      </c>
      <c r="H425" s="1">
        <f t="shared" si="47"/>
        <v>3.0493487651298371E-5</v>
      </c>
      <c r="I425" s="1" t="s">
        <v>1482</v>
      </c>
      <c r="J425" s="1">
        <f>-1</f>
        <v>-1</v>
      </c>
      <c r="K425" s="1">
        <f>K401*J425</f>
        <v>-2.4516241067553416E-6</v>
      </c>
      <c r="L425" s="1" t="str">
        <f t="shared" si="48"/>
        <v>増加→総重量減</v>
      </c>
      <c r="M425" s="1" t="s">
        <v>1474</v>
      </c>
      <c r="N425" s="1"/>
      <c r="O425" s="1">
        <f t="shared" si="46"/>
        <v>1</v>
      </c>
      <c r="P425" s="1"/>
      <c r="Q425" s="1">
        <f t="shared" si="49"/>
        <v>1</v>
      </c>
      <c r="R425" s="1">
        <f>IF(Q425=1,COUNTIF($Q$5:Q425,1),"")</f>
        <v>306</v>
      </c>
    </row>
    <row r="426" spans="1:18">
      <c r="A426" s="1" t="s">
        <v>2312</v>
      </c>
      <c r="B426" s="1" t="s">
        <v>2275</v>
      </c>
      <c r="C426" s="1">
        <v>14</v>
      </c>
      <c r="D426" s="1" t="s">
        <v>2313</v>
      </c>
      <c r="E426" s="1" t="s">
        <v>844</v>
      </c>
      <c r="F426" s="1">
        <f>'01_入力仕様'!D197</f>
        <v>0</v>
      </c>
      <c r="G426" s="1" t="s">
        <v>415</v>
      </c>
      <c r="H426" s="1">
        <f t="shared" si="47"/>
        <v>1.3722069443084267E-5</v>
      </c>
      <c r="I426" s="1" t="s">
        <v>1482</v>
      </c>
      <c r="J426" s="1">
        <f>0</f>
        <v>0</v>
      </c>
      <c r="K426" s="1">
        <f>K401*(-'01_入力仕様'!D198)</f>
        <v>-1.1032308480399037E-6</v>
      </c>
      <c r="L426" s="1" t="str">
        <f t="shared" si="48"/>
        <v>増加→総重量減</v>
      </c>
      <c r="M426" s="1" t="s">
        <v>1474</v>
      </c>
      <c r="N426" s="1" t="s">
        <v>2085</v>
      </c>
      <c r="O426" s="1">
        <f t="shared" si="46"/>
        <v>1</v>
      </c>
      <c r="P426" s="1"/>
      <c r="Q426" s="1">
        <f t="shared" si="49"/>
        <v>1</v>
      </c>
      <c r="R426" s="1">
        <f>IF(Q426=1,COUNTIF($Q$5:Q426,1),"")</f>
        <v>307</v>
      </c>
    </row>
    <row r="427" spans="1:18">
      <c r="A427" s="1" t="s">
        <v>2314</v>
      </c>
      <c r="B427" s="1" t="s">
        <v>2275</v>
      </c>
      <c r="C427" s="1">
        <v>14</v>
      </c>
      <c r="D427" s="1" t="s">
        <v>2315</v>
      </c>
      <c r="E427" s="1" t="s">
        <v>848</v>
      </c>
      <c r="F427" s="1">
        <f>'01_入力仕様'!D198</f>
        <v>0.45</v>
      </c>
      <c r="G427" s="1" t="s">
        <v>86</v>
      </c>
      <c r="H427" s="1">
        <f t="shared" si="47"/>
        <v>0</v>
      </c>
      <c r="I427" s="1" t="s">
        <v>1482</v>
      </c>
      <c r="J427" s="1">
        <f>0</f>
        <v>0</v>
      </c>
      <c r="K427" s="1">
        <f>0</f>
        <v>0</v>
      </c>
      <c r="L427" s="1" t="str">
        <f t="shared" si="48"/>
        <v>中立</v>
      </c>
      <c r="M427" s="1" t="s">
        <v>1474</v>
      </c>
      <c r="N427" s="1"/>
      <c r="O427" s="1">
        <f t="shared" si="46"/>
        <v>1</v>
      </c>
      <c r="P427" s="1"/>
      <c r="Q427" s="1">
        <f t="shared" si="49"/>
        <v>1</v>
      </c>
      <c r="R427" s="1">
        <f>IF(Q427=1,COUNTIF($Q$5:Q427,1),"")</f>
        <v>308</v>
      </c>
    </row>
    <row r="428" spans="1:18">
      <c r="A428" s="1" t="s">
        <v>2316</v>
      </c>
      <c r="B428" s="1" t="s">
        <v>2293</v>
      </c>
      <c r="C428" s="1">
        <v>13</v>
      </c>
      <c r="D428" s="1" t="s">
        <v>2308</v>
      </c>
      <c r="E428" s="1" t="s">
        <v>740</v>
      </c>
      <c r="F428" s="1">
        <f>'01_入力仕様'!D172</f>
        <v>1.4999999999999999E-8</v>
      </c>
      <c r="G428" s="1" t="s">
        <v>741</v>
      </c>
      <c r="H428" s="1">
        <f t="shared" si="47"/>
        <v>1.4117355394119617E-5</v>
      </c>
      <c r="I428" s="1" t="s">
        <v>1482</v>
      </c>
      <c r="J428" s="1">
        <f>F428/(F428+F429)</f>
        <v>0.55555555555555558</v>
      </c>
      <c r="K428" s="1">
        <f>K408*J428</f>
        <v>1.1350111605348805E-6</v>
      </c>
      <c r="L428" s="1" t="str">
        <f t="shared" si="48"/>
        <v>増加→総重量増</v>
      </c>
      <c r="M428" s="1" t="s">
        <v>1474</v>
      </c>
      <c r="N428" s="1"/>
      <c r="O428" s="1">
        <f t="shared" si="46"/>
        <v>1</v>
      </c>
      <c r="P428" s="1"/>
      <c r="Q428" s="1">
        <f t="shared" si="49"/>
        <v>0</v>
      </c>
      <c r="R428" s="1" t="str">
        <f>IF(Q428=1,COUNTIF($Q$5:Q428,1),"")</f>
        <v/>
      </c>
    </row>
    <row r="429" spans="1:18">
      <c r="A429" s="1" t="s">
        <v>2317</v>
      </c>
      <c r="B429" s="1" t="s">
        <v>2293</v>
      </c>
      <c r="C429" s="1">
        <v>13</v>
      </c>
      <c r="D429" s="1" t="s">
        <v>839</v>
      </c>
      <c r="E429" s="1" t="s">
        <v>841</v>
      </c>
      <c r="F429" s="1">
        <f>'01_入力仕様'!D196</f>
        <v>1.2E-8</v>
      </c>
      <c r="G429" s="1" t="s">
        <v>741</v>
      </c>
      <c r="H429" s="1">
        <f t="shared" si="47"/>
        <v>1.1293884315295695E-5</v>
      </c>
      <c r="I429" s="1" t="s">
        <v>1482</v>
      </c>
      <c r="J429" s="1">
        <f>'01_入力仕様'!D196/('01_入力仕様'!D172+'01_入力仕様'!D196)</f>
        <v>0.44444444444444448</v>
      </c>
      <c r="K429" s="1">
        <f>K408*J429</f>
        <v>9.0800892842790444E-7</v>
      </c>
      <c r="L429" s="1" t="str">
        <f t="shared" si="48"/>
        <v>増加→総重量増</v>
      </c>
      <c r="M429" s="1" t="s">
        <v>1474</v>
      </c>
      <c r="N429" s="1"/>
      <c r="O429" s="1">
        <f t="shared" si="46"/>
        <v>1</v>
      </c>
      <c r="P429" s="1"/>
      <c r="Q429" s="1">
        <f t="shared" si="49"/>
        <v>0</v>
      </c>
      <c r="R429" s="1" t="str">
        <f>IF(Q429=1,COUNTIF($Q$5:Q429,1),"")</f>
        <v/>
      </c>
    </row>
    <row r="430" spans="1:18">
      <c r="A430" s="1" t="s">
        <v>2318</v>
      </c>
      <c r="B430" s="1" t="s">
        <v>2293</v>
      </c>
      <c r="C430" s="1">
        <v>13</v>
      </c>
      <c r="D430" s="1" t="s">
        <v>930</v>
      </c>
      <c r="E430" s="1" t="s">
        <v>931</v>
      </c>
      <c r="F430" s="1">
        <f>'01_入力仕様'!D220</f>
        <v>1E-3</v>
      </c>
      <c r="G430" s="1" t="s">
        <v>262</v>
      </c>
      <c r="H430" s="1">
        <f t="shared" si="47"/>
        <v>2.5411239709415313E-5</v>
      </c>
      <c r="I430" s="1" t="s">
        <v>1482</v>
      </c>
      <c r="J430" s="1">
        <f>1</f>
        <v>1</v>
      </c>
      <c r="K430" s="1">
        <f>K408*J430</f>
        <v>2.0430200889627849E-6</v>
      </c>
      <c r="L430" s="1" t="str">
        <f t="shared" si="48"/>
        <v>増加→総重量増</v>
      </c>
      <c r="M430" s="1" t="s">
        <v>1474</v>
      </c>
      <c r="N430" s="1"/>
      <c r="O430" s="1">
        <f t="shared" si="46"/>
        <v>1</v>
      </c>
      <c r="P430" s="1"/>
      <c r="Q430" s="1">
        <f t="shared" si="49"/>
        <v>0</v>
      </c>
      <c r="R430" s="1" t="str">
        <f>IF(Q430=1,COUNTIF($Q$5:Q430,1),"")</f>
        <v/>
      </c>
    </row>
    <row r="431" spans="1:18">
      <c r="A431" s="1" t="s">
        <v>2319</v>
      </c>
      <c r="B431" s="1" t="s">
        <v>2293</v>
      </c>
      <c r="C431" s="1">
        <v>13</v>
      </c>
      <c r="D431" s="1" t="s">
        <v>937</v>
      </c>
      <c r="E431" s="1" t="s">
        <v>938</v>
      </c>
      <c r="F431" s="1">
        <f>'01_入力仕様'!D222</f>
        <v>1</v>
      </c>
      <c r="G431" s="1" t="s">
        <v>86</v>
      </c>
      <c r="H431" s="1">
        <f t="shared" si="47"/>
        <v>2.5411239709415313E-5</v>
      </c>
      <c r="I431" s="1" t="s">
        <v>1482</v>
      </c>
      <c r="J431" s="1">
        <f>-1</f>
        <v>-1</v>
      </c>
      <c r="K431" s="1">
        <f>K408*J431</f>
        <v>-2.0430200889627849E-6</v>
      </c>
      <c r="L431" s="1" t="str">
        <f t="shared" si="48"/>
        <v>増加→総重量減</v>
      </c>
      <c r="M431" s="1" t="s">
        <v>1474</v>
      </c>
      <c r="N431" s="1"/>
      <c r="O431" s="1">
        <f t="shared" si="46"/>
        <v>1</v>
      </c>
      <c r="P431" s="1"/>
      <c r="Q431" s="1">
        <f t="shared" si="49"/>
        <v>0</v>
      </c>
      <c r="R431" s="1" t="str">
        <f>IF(Q431=1,COUNTIF($Q$5:Q431,1),"")</f>
        <v/>
      </c>
    </row>
    <row r="432" spans="1:18">
      <c r="A432" s="1" t="s">
        <v>2320</v>
      </c>
      <c r="B432" s="1" t="s">
        <v>2293</v>
      </c>
      <c r="C432" s="1">
        <v>13</v>
      </c>
      <c r="D432" s="1" t="s">
        <v>2313</v>
      </c>
      <c r="E432" s="1" t="s">
        <v>844</v>
      </c>
      <c r="F432" s="1">
        <f>'01_入力仕様'!D197</f>
        <v>0</v>
      </c>
      <c r="G432" s="1" t="s">
        <v>415</v>
      </c>
      <c r="H432" s="1">
        <f t="shared" si="47"/>
        <v>1.1435057869236892E-5</v>
      </c>
      <c r="I432" s="1" t="s">
        <v>1482</v>
      </c>
      <c r="J432" s="1">
        <f>0</f>
        <v>0</v>
      </c>
      <c r="K432" s="1">
        <f>K408*(-'01_入力仕様'!D198)</f>
        <v>-9.1935904003325325E-7</v>
      </c>
      <c r="L432" s="1" t="str">
        <f t="shared" si="48"/>
        <v>増加→総重量減</v>
      </c>
      <c r="M432" s="1" t="s">
        <v>1474</v>
      </c>
      <c r="N432" s="1" t="s">
        <v>2085</v>
      </c>
      <c r="O432" s="1">
        <f t="shared" si="46"/>
        <v>1</v>
      </c>
      <c r="P432" s="1"/>
      <c r="Q432" s="1">
        <f t="shared" si="49"/>
        <v>0</v>
      </c>
      <c r="R432" s="1" t="str">
        <f>IF(Q432=1,COUNTIF($Q$5:Q432,1),"")</f>
        <v/>
      </c>
    </row>
    <row r="433" spans="1:18">
      <c r="A433" s="1" t="s">
        <v>2321</v>
      </c>
      <c r="B433" s="1" t="s">
        <v>2293</v>
      </c>
      <c r="C433" s="1">
        <v>13</v>
      </c>
      <c r="D433" s="1" t="s">
        <v>2315</v>
      </c>
      <c r="E433" s="1" t="s">
        <v>848</v>
      </c>
      <c r="F433" s="1">
        <f>'01_入力仕様'!D198</f>
        <v>0.45</v>
      </c>
      <c r="G433" s="1" t="s">
        <v>86</v>
      </c>
      <c r="H433" s="1">
        <f t="shared" si="47"/>
        <v>0</v>
      </c>
      <c r="I433" s="1" t="s">
        <v>1482</v>
      </c>
      <c r="J433" s="1">
        <f>0</f>
        <v>0</v>
      </c>
      <c r="K433" s="1">
        <f>0</f>
        <v>0</v>
      </c>
      <c r="L433" s="1" t="str">
        <f t="shared" si="48"/>
        <v>中立</v>
      </c>
      <c r="M433" s="1" t="s">
        <v>1474</v>
      </c>
      <c r="N433" s="1"/>
      <c r="O433" s="1">
        <f t="shared" si="46"/>
        <v>1</v>
      </c>
      <c r="P433" s="1"/>
      <c r="Q433" s="1">
        <f t="shared" si="49"/>
        <v>0</v>
      </c>
      <c r="R433" s="1" t="str">
        <f>IF(Q433=1,COUNTIF($Q$5:Q433,1),"")</f>
        <v/>
      </c>
    </row>
    <row r="434" spans="1:18">
      <c r="A434" s="1" t="s">
        <v>2322</v>
      </c>
      <c r="B434" s="1" t="s">
        <v>2300</v>
      </c>
      <c r="C434" s="1">
        <v>11</v>
      </c>
      <c r="D434" s="1" t="s">
        <v>2308</v>
      </c>
      <c r="E434" s="1" t="s">
        <v>740</v>
      </c>
      <c r="F434" s="1">
        <f>'01_入力仕様'!D172</f>
        <v>1.4999999999999999E-8</v>
      </c>
      <c r="G434" s="1" t="s">
        <v>741</v>
      </c>
      <c r="H434" s="1">
        <f t="shared" si="47"/>
        <v>8.5751362412179771E-6</v>
      </c>
      <c r="I434" s="1" t="s">
        <v>1482</v>
      </c>
      <c r="J434" s="1">
        <f>F434/(F434+F435)</f>
        <v>0.55555555555555558</v>
      </c>
      <c r="K434" s="1">
        <f>K415*J434</f>
        <v>-6.8942624628856606E-7</v>
      </c>
      <c r="L434" s="1" t="str">
        <f t="shared" si="48"/>
        <v>増加→総重量減</v>
      </c>
      <c r="M434" s="1" t="s">
        <v>1474</v>
      </c>
      <c r="N434" s="1"/>
      <c r="O434" s="1">
        <f t="shared" si="46"/>
        <v>1</v>
      </c>
      <c r="P434" s="1"/>
      <c r="Q434" s="1">
        <f t="shared" si="49"/>
        <v>0</v>
      </c>
      <c r="R434" s="1" t="str">
        <f>IF(Q434=1,COUNTIF($Q$5:Q434,1),"")</f>
        <v/>
      </c>
    </row>
    <row r="435" spans="1:18">
      <c r="A435" s="1" t="s">
        <v>2323</v>
      </c>
      <c r="B435" s="1" t="s">
        <v>2300</v>
      </c>
      <c r="C435" s="1">
        <v>11</v>
      </c>
      <c r="D435" s="1" t="s">
        <v>839</v>
      </c>
      <c r="E435" s="1" t="s">
        <v>841</v>
      </c>
      <c r="F435" s="1">
        <f>'01_入力仕様'!D196</f>
        <v>1.2E-8</v>
      </c>
      <c r="G435" s="1" t="s">
        <v>741</v>
      </c>
      <c r="H435" s="1">
        <f t="shared" si="47"/>
        <v>6.8601089929743812E-6</v>
      </c>
      <c r="I435" s="1" t="s">
        <v>1482</v>
      </c>
      <c r="J435" s="1">
        <f>'01_入力仕様'!D196/('01_入力仕様'!D172+'01_入力仕様'!D196)</f>
        <v>0.44444444444444448</v>
      </c>
      <c r="K435" s="1">
        <f>K415*J435</f>
        <v>-5.5154099703085285E-7</v>
      </c>
      <c r="L435" s="1" t="str">
        <f t="shared" si="48"/>
        <v>増加→総重量減</v>
      </c>
      <c r="M435" s="1" t="s">
        <v>1474</v>
      </c>
      <c r="N435" s="1"/>
      <c r="O435" s="1">
        <f t="shared" si="46"/>
        <v>1</v>
      </c>
      <c r="P435" s="1"/>
      <c r="Q435" s="1">
        <f t="shared" si="49"/>
        <v>0</v>
      </c>
      <c r="R435" s="1" t="str">
        <f>IF(Q435=1,COUNTIF($Q$5:Q435,1),"")</f>
        <v/>
      </c>
    </row>
    <row r="436" spans="1:18">
      <c r="A436" s="1" t="s">
        <v>2324</v>
      </c>
      <c r="B436" s="1" t="s">
        <v>2300</v>
      </c>
      <c r="C436" s="1">
        <v>11</v>
      </c>
      <c r="D436" s="1" t="s">
        <v>930</v>
      </c>
      <c r="E436" s="1" t="s">
        <v>931</v>
      </c>
      <c r="F436" s="1">
        <f>'01_入力仕様'!D220</f>
        <v>1E-3</v>
      </c>
      <c r="G436" s="1" t="s">
        <v>262</v>
      </c>
      <c r="H436" s="1">
        <f t="shared" ref="H436:H465" si="50">ABS(K436)*$F$5</f>
        <v>1.5435245234192356E-5</v>
      </c>
      <c r="I436" s="1" t="s">
        <v>1482</v>
      </c>
      <c r="J436" s="1">
        <f>1</f>
        <v>1</v>
      </c>
      <c r="K436" s="1">
        <f>K415*J436</f>
        <v>-1.2409672433194188E-6</v>
      </c>
      <c r="L436" s="1" t="str">
        <f t="shared" ref="L436:L467" si="51">IF(K436&gt;0,"増加→総重量増",IF(K436&lt;0,"増加→総重量減","中立"))</f>
        <v>増加→総重量減</v>
      </c>
      <c r="M436" s="1" t="s">
        <v>1474</v>
      </c>
      <c r="N436" s="1"/>
      <c r="O436" s="1">
        <f t="shared" si="46"/>
        <v>1</v>
      </c>
      <c r="P436" s="1"/>
      <c r="Q436" s="1">
        <f t="shared" ref="Q436:Q441" si="52">IF(E436="","",--(MATCH(E436,$E$5:$E$560,0)=ROW()-4))</f>
        <v>0</v>
      </c>
      <c r="R436" s="1" t="str">
        <f>IF(Q436=1,COUNTIF($Q$5:Q436,1),"")</f>
        <v/>
      </c>
    </row>
    <row r="437" spans="1:18">
      <c r="A437" s="1" t="s">
        <v>2325</v>
      </c>
      <c r="B437" s="1" t="s">
        <v>2300</v>
      </c>
      <c r="C437" s="1">
        <v>11</v>
      </c>
      <c r="D437" s="1" t="s">
        <v>937</v>
      </c>
      <c r="E437" s="1" t="s">
        <v>938</v>
      </c>
      <c r="F437" s="1">
        <f>'01_入力仕様'!D222</f>
        <v>1</v>
      </c>
      <c r="G437" s="1" t="s">
        <v>86</v>
      </c>
      <c r="H437" s="1">
        <f t="shared" si="50"/>
        <v>1.5435245234192356E-5</v>
      </c>
      <c r="I437" s="1" t="s">
        <v>1482</v>
      </c>
      <c r="J437" s="1">
        <f>-1</f>
        <v>-1</v>
      </c>
      <c r="K437" s="1">
        <f>K415*J437</f>
        <v>1.2409672433194188E-6</v>
      </c>
      <c r="L437" s="1" t="str">
        <f t="shared" si="51"/>
        <v>増加→総重量増</v>
      </c>
      <c r="M437" s="1" t="s">
        <v>1474</v>
      </c>
      <c r="N437" s="1"/>
      <c r="O437" s="1">
        <f t="shared" si="46"/>
        <v>1</v>
      </c>
      <c r="P437" s="1"/>
      <c r="Q437" s="1">
        <f t="shared" si="52"/>
        <v>0</v>
      </c>
      <c r="R437" s="1" t="str">
        <f>IF(Q437=1,COUNTIF($Q$5:Q437,1),"")</f>
        <v/>
      </c>
    </row>
    <row r="438" spans="1:18">
      <c r="A438" s="1" t="s">
        <v>2326</v>
      </c>
      <c r="B438" s="1" t="s">
        <v>2300</v>
      </c>
      <c r="C438" s="1">
        <v>11</v>
      </c>
      <c r="D438" s="1" t="s">
        <v>2313</v>
      </c>
      <c r="E438" s="1" t="s">
        <v>844</v>
      </c>
      <c r="F438" s="1">
        <f>'01_入力仕様'!D197</f>
        <v>0</v>
      </c>
      <c r="G438" s="1" t="s">
        <v>415</v>
      </c>
      <c r="H438" s="1">
        <f t="shared" si="50"/>
        <v>6.9458603553865606E-6</v>
      </c>
      <c r="I438" s="1" t="s">
        <v>1482</v>
      </c>
      <c r="J438" s="1">
        <f>0</f>
        <v>0</v>
      </c>
      <c r="K438" s="1">
        <f>K415*(-'01_入力仕様'!D198)</f>
        <v>5.5843525949373849E-7</v>
      </c>
      <c r="L438" s="1" t="str">
        <f t="shared" si="51"/>
        <v>増加→総重量増</v>
      </c>
      <c r="M438" s="1" t="s">
        <v>1474</v>
      </c>
      <c r="N438" s="1" t="s">
        <v>2085</v>
      </c>
      <c r="O438" s="1">
        <f t="shared" si="46"/>
        <v>1</v>
      </c>
      <c r="P438" s="1"/>
      <c r="Q438" s="1">
        <f t="shared" si="52"/>
        <v>0</v>
      </c>
      <c r="R438" s="1" t="str">
        <f>IF(Q438=1,COUNTIF($Q$5:Q438,1),"")</f>
        <v/>
      </c>
    </row>
    <row r="439" spans="1:18">
      <c r="A439" s="1" t="s">
        <v>2327</v>
      </c>
      <c r="B439" s="1" t="s">
        <v>2300</v>
      </c>
      <c r="C439" s="1">
        <v>11</v>
      </c>
      <c r="D439" s="1" t="s">
        <v>2315</v>
      </c>
      <c r="E439" s="1" t="s">
        <v>848</v>
      </c>
      <c r="F439" s="1">
        <f>'01_入力仕様'!D198</f>
        <v>0.45</v>
      </c>
      <c r="G439" s="1" t="s">
        <v>86</v>
      </c>
      <c r="H439" s="1">
        <f t="shared" si="50"/>
        <v>0</v>
      </c>
      <c r="I439" s="1" t="s">
        <v>1482</v>
      </c>
      <c r="J439" s="1">
        <f>0</f>
        <v>0</v>
      </c>
      <c r="K439" s="1">
        <f>0</f>
        <v>0</v>
      </c>
      <c r="L439" s="1" t="str">
        <f t="shared" si="51"/>
        <v>中立</v>
      </c>
      <c r="M439" s="1" t="s">
        <v>1474</v>
      </c>
      <c r="N439" s="1"/>
      <c r="O439" s="1">
        <f t="shared" si="46"/>
        <v>1</v>
      </c>
      <c r="P439" s="1"/>
      <c r="Q439" s="1">
        <f t="shared" si="52"/>
        <v>0</v>
      </c>
      <c r="R439" s="1" t="str">
        <f>IF(Q439=1,COUNTIF($Q$5:Q439,1),"")</f>
        <v/>
      </c>
    </row>
    <row r="440" spans="1:18" ht="28.5">
      <c r="A440" s="1" t="s">
        <v>2328</v>
      </c>
      <c r="B440" s="1" t="s">
        <v>1679</v>
      </c>
      <c r="C440" s="1">
        <v>2</v>
      </c>
      <c r="D440" s="1" t="s">
        <v>2329</v>
      </c>
      <c r="E440" s="1" t="s">
        <v>2330</v>
      </c>
      <c r="F440" s="1">
        <f>F441*F442</f>
        <v>0</v>
      </c>
      <c r="G440" s="1" t="s">
        <v>229</v>
      </c>
      <c r="H440" s="1">
        <f t="shared" si="50"/>
        <v>0</v>
      </c>
      <c r="I440" s="1" t="s">
        <v>2331</v>
      </c>
      <c r="J440" s="1">
        <f>IFERROR(F440/F96,0)</f>
        <v>0</v>
      </c>
      <c r="K440" s="1">
        <f>K96*J440</f>
        <v>0</v>
      </c>
      <c r="L440" s="1" t="str">
        <f t="shared" si="51"/>
        <v>中立</v>
      </c>
      <c r="M440" s="1" t="s">
        <v>1474</v>
      </c>
      <c r="N440" s="1"/>
      <c r="O440" s="1">
        <f t="shared" si="46"/>
        <v>0</v>
      </c>
      <c r="P440" s="1"/>
      <c r="Q440" s="1">
        <f t="shared" si="52"/>
        <v>1</v>
      </c>
      <c r="R440" s="1">
        <f>IF(Q440=1,COUNTIF($Q$5:Q440,1),"")</f>
        <v>309</v>
      </c>
    </row>
    <row r="441" spans="1:18">
      <c r="A441" s="1" t="s">
        <v>2332</v>
      </c>
      <c r="B441" s="1" t="s">
        <v>2328</v>
      </c>
      <c r="C441" s="1">
        <v>3</v>
      </c>
      <c r="D441" s="1" t="s">
        <v>2313</v>
      </c>
      <c r="E441" s="1" t="s">
        <v>844</v>
      </c>
      <c r="F441" s="1">
        <f>'01_入力仕様'!D197</f>
        <v>0</v>
      </c>
      <c r="G441" s="1" t="s">
        <v>415</v>
      </c>
      <c r="H441" s="1">
        <f t="shared" si="50"/>
        <v>3.5000000000000003E-2</v>
      </c>
      <c r="I441" s="1" t="s">
        <v>1482</v>
      </c>
      <c r="J441" s="1">
        <f>0</f>
        <v>0</v>
      </c>
      <c r="K441" s="1">
        <f>'01_入力仕様'!D199/$F$5</f>
        <v>2.8139399703196438E-3</v>
      </c>
      <c r="L441" s="1" t="str">
        <f t="shared" si="51"/>
        <v>増加→総重量増</v>
      </c>
      <c r="M441" s="1" t="s">
        <v>1474</v>
      </c>
      <c r="N441" s="1" t="s">
        <v>2333</v>
      </c>
      <c r="O441" s="1">
        <f t="shared" si="46"/>
        <v>1</v>
      </c>
      <c r="P441" s="1"/>
      <c r="Q441" s="1">
        <f t="shared" si="52"/>
        <v>0</v>
      </c>
      <c r="R441" s="1" t="str">
        <f>IF(Q441=1,COUNTIF($Q$5:Q441,1),"")</f>
        <v/>
      </c>
    </row>
    <row r="442" spans="1:18">
      <c r="A442" s="1" t="s">
        <v>2334</v>
      </c>
      <c r="B442" s="1" t="s">
        <v>2328</v>
      </c>
      <c r="C442" s="1">
        <v>3</v>
      </c>
      <c r="D442" s="1" t="s">
        <v>2335</v>
      </c>
      <c r="E442" s="1" t="s">
        <v>851</v>
      </c>
      <c r="F442" s="1">
        <f>'01_入力仕様'!D199</f>
        <v>3.5000000000000003E-2</v>
      </c>
      <c r="G442" s="1" t="s">
        <v>229</v>
      </c>
      <c r="H442" s="1">
        <f t="shared" si="50"/>
        <v>0</v>
      </c>
      <c r="I442" s="1" t="s">
        <v>1482</v>
      </c>
      <c r="J442" s="1">
        <f>0</f>
        <v>0</v>
      </c>
      <c r="K442" s="1">
        <f>0</f>
        <v>0</v>
      </c>
      <c r="L442" s="1" t="str">
        <f t="shared" si="51"/>
        <v>中立</v>
      </c>
      <c r="M442" s="1" t="s">
        <v>1474</v>
      </c>
      <c r="N442" s="1"/>
      <c r="O442" s="1">
        <f t="shared" si="46"/>
        <v>1</v>
      </c>
      <c r="P442" s="1"/>
      <c r="Q442" s="1">
        <f>1</f>
        <v>1</v>
      </c>
      <c r="R442" s="1">
        <f>IF(Q442=1,COUNTIF($Q$5:Q442,1),"")</f>
        <v>310</v>
      </c>
    </row>
    <row r="443" spans="1:18">
      <c r="A443" s="1" t="s">
        <v>2336</v>
      </c>
      <c r="B443" s="1" t="s">
        <v>1547</v>
      </c>
      <c r="C443" s="1">
        <v>2</v>
      </c>
      <c r="D443" s="1" t="s">
        <v>2337</v>
      </c>
      <c r="E443" s="1" t="s">
        <v>874</v>
      </c>
      <c r="F443" s="1">
        <f>F449*F444</f>
        <v>0.15</v>
      </c>
      <c r="G443" s="1" t="s">
        <v>229</v>
      </c>
      <c r="H443" s="1">
        <f t="shared" si="50"/>
        <v>0.15</v>
      </c>
      <c r="I443" s="1" t="s">
        <v>2338</v>
      </c>
      <c r="J443" s="1">
        <f>F443/F34</f>
        <v>0.26460261429352733</v>
      </c>
      <c r="K443" s="1">
        <f>K34*J443</f>
        <v>1.205974272994133E-2</v>
      </c>
      <c r="L443" s="1" t="str">
        <f t="shared" si="51"/>
        <v>増加→総重量増</v>
      </c>
      <c r="M443" s="1" t="s">
        <v>1474</v>
      </c>
      <c r="N443" s="1"/>
      <c r="O443" s="1">
        <f t="shared" si="46"/>
        <v>0</v>
      </c>
      <c r="P443" s="1"/>
      <c r="Q443" s="1">
        <f t="shared" ref="Q443:Q465" si="53">IF(E443="","",--(MATCH(E443,$E$5:$E$560,0)=ROW()-4))</f>
        <v>1</v>
      </c>
      <c r="R443" s="1">
        <f>IF(Q443=1,COUNTIF($Q$5:Q443,1),"")</f>
        <v>311</v>
      </c>
    </row>
    <row r="444" spans="1:18">
      <c r="A444" s="1" t="s">
        <v>2339</v>
      </c>
      <c r="B444" s="1" t="s">
        <v>1553</v>
      </c>
      <c r="C444" s="1">
        <v>4</v>
      </c>
      <c r="D444" s="1" t="s">
        <v>2340</v>
      </c>
      <c r="E444" s="1" t="s">
        <v>856</v>
      </c>
      <c r="F444" s="1">
        <f>F445*'01_入力仕様'!D200/F448</f>
        <v>14.999999999999998</v>
      </c>
      <c r="G444" s="1" t="s">
        <v>984</v>
      </c>
      <c r="H444" s="1">
        <f t="shared" si="50"/>
        <v>3.9083271242191424E-4</v>
      </c>
      <c r="I444" s="1" t="s">
        <v>2341</v>
      </c>
      <c r="J444" s="1">
        <f>IFERROR(F444/(F38+F444+F471+F479+F488+F504+F516+F534+F569+F595+F675),0)</f>
        <v>2.3142871073869694E-2</v>
      </c>
      <c r="K444" s="1">
        <f>K36*J444</f>
        <v>3.1422279748356206E-5</v>
      </c>
      <c r="L444" s="1" t="str">
        <f t="shared" si="51"/>
        <v>増加→総重量増</v>
      </c>
      <c r="M444" s="1" t="s">
        <v>1474</v>
      </c>
      <c r="N444" s="1"/>
      <c r="O444" s="1">
        <f t="shared" si="46"/>
        <v>0</v>
      </c>
      <c r="P444" s="1"/>
      <c r="Q444" s="1">
        <f t="shared" si="53"/>
        <v>1</v>
      </c>
      <c r="R444" s="1">
        <f>IF(Q444=1,COUNTIF($Q$5:Q444,1),"")</f>
        <v>312</v>
      </c>
    </row>
    <row r="445" spans="1:18">
      <c r="A445" s="1" t="s">
        <v>2342</v>
      </c>
      <c r="B445" s="1" t="s">
        <v>2339</v>
      </c>
      <c r="C445" s="1">
        <v>5</v>
      </c>
      <c r="D445" s="1" t="s">
        <v>2343</v>
      </c>
      <c r="E445" s="1" t="s">
        <v>860</v>
      </c>
      <c r="F445" s="1">
        <f>'01_入力仕様'!D202*(F446/'01_入力仕様'!D201)^'01_入力仕様'!D203*F447^'01_入力仕様'!D208</f>
        <v>45000</v>
      </c>
      <c r="G445" s="1" t="s">
        <v>864</v>
      </c>
      <c r="H445" s="1">
        <f t="shared" si="50"/>
        <v>3.9083271242191424E-4</v>
      </c>
      <c r="I445" s="1" t="s">
        <v>2344</v>
      </c>
      <c r="J445" s="1">
        <f>1</f>
        <v>1</v>
      </c>
      <c r="K445" s="1">
        <f>K444*J445</f>
        <v>3.1422279748356206E-5</v>
      </c>
      <c r="L445" s="1" t="str">
        <f t="shared" si="51"/>
        <v>増加→総重量増</v>
      </c>
      <c r="M445" s="1" t="s">
        <v>1474</v>
      </c>
      <c r="N445" s="1"/>
      <c r="O445" s="1">
        <f t="shared" si="46"/>
        <v>0</v>
      </c>
      <c r="P445" s="1"/>
      <c r="Q445" s="1">
        <f t="shared" si="53"/>
        <v>1</v>
      </c>
      <c r="R445" s="1">
        <f>IF(Q445=1,COUNTIF($Q$5:Q445,1),"")</f>
        <v>313</v>
      </c>
    </row>
    <row r="446" spans="1:18">
      <c r="A446" s="1" t="s">
        <v>2345</v>
      </c>
      <c r="B446" s="1" t="s">
        <v>2342</v>
      </c>
      <c r="C446" s="1">
        <v>6</v>
      </c>
      <c r="D446" s="1" t="s">
        <v>853</v>
      </c>
      <c r="E446" s="1" t="s">
        <v>854</v>
      </c>
      <c r="F446" s="1">
        <f>'01_入力仕様'!D200</f>
        <v>1.4999999999999999E-4</v>
      </c>
      <c r="G446" s="1" t="s">
        <v>855</v>
      </c>
      <c r="H446" s="1">
        <f t="shared" si="50"/>
        <v>7.034988823594457E-4</v>
      </c>
      <c r="I446" s="1" t="s">
        <v>1482</v>
      </c>
      <c r="J446" s="1">
        <f>'01_入力仕様'!D203</f>
        <v>1.8</v>
      </c>
      <c r="K446" s="1">
        <f>K445*J446</f>
        <v>5.6560103547041174E-5</v>
      </c>
      <c r="L446" s="1" t="str">
        <f t="shared" si="51"/>
        <v>増加→総重量増</v>
      </c>
      <c r="M446" s="1" t="s">
        <v>1474</v>
      </c>
      <c r="N446" s="1"/>
      <c r="O446" s="1">
        <f t="shared" si="46"/>
        <v>1</v>
      </c>
      <c r="P446" s="1"/>
      <c r="Q446" s="1">
        <f t="shared" si="53"/>
        <v>1</v>
      </c>
      <c r="R446" s="1">
        <f>IF(Q446=1,COUNTIF($Q$5:Q446,1),"")</f>
        <v>314</v>
      </c>
    </row>
    <row r="447" spans="1:18">
      <c r="A447" s="1" t="s">
        <v>2346</v>
      </c>
      <c r="B447" s="1" t="s">
        <v>2342</v>
      </c>
      <c r="C447" s="1">
        <v>6</v>
      </c>
      <c r="D447" s="1" t="s">
        <v>2347</v>
      </c>
      <c r="E447" s="1" t="s">
        <v>877</v>
      </c>
      <c r="F447" s="1">
        <f>'01_入力仕様'!D206</f>
        <v>1</v>
      </c>
      <c r="G447" s="1" t="s">
        <v>86</v>
      </c>
      <c r="H447" s="1">
        <f t="shared" si="50"/>
        <v>6.6441561111725415E-4</v>
      </c>
      <c r="I447" s="1" t="s">
        <v>1482</v>
      </c>
      <c r="J447" s="1">
        <f>'01_入力仕様'!D208</f>
        <v>1.7</v>
      </c>
      <c r="K447" s="1">
        <f>K445*J447</f>
        <v>5.3417875572205546E-5</v>
      </c>
      <c r="L447" s="1" t="str">
        <f t="shared" si="51"/>
        <v>増加→総重量増</v>
      </c>
      <c r="M447" s="1" t="s">
        <v>1474</v>
      </c>
      <c r="N447" s="1"/>
      <c r="O447" s="1">
        <f t="shared" si="46"/>
        <v>1</v>
      </c>
      <c r="P447" s="1"/>
      <c r="Q447" s="1">
        <f t="shared" si="53"/>
        <v>1</v>
      </c>
      <c r="R447" s="1">
        <f>IF(Q447=1,COUNTIF($Q$5:Q447,1),"")</f>
        <v>315</v>
      </c>
    </row>
    <row r="448" spans="1:18">
      <c r="A448" s="1" t="s">
        <v>2348</v>
      </c>
      <c r="B448" s="1" t="s">
        <v>2339</v>
      </c>
      <c r="C448" s="1">
        <v>5</v>
      </c>
      <c r="D448" s="1" t="s">
        <v>869</v>
      </c>
      <c r="E448" s="1" t="s">
        <v>870</v>
      </c>
      <c r="F448" s="1">
        <f>'01_入力仕様'!D204</f>
        <v>0.45</v>
      </c>
      <c r="G448" s="1" t="s">
        <v>86</v>
      </c>
      <c r="H448" s="1">
        <f t="shared" si="50"/>
        <v>3.9083271242191424E-4</v>
      </c>
      <c r="I448" s="1" t="s">
        <v>1482</v>
      </c>
      <c r="J448" s="1">
        <f>-1</f>
        <v>-1</v>
      </c>
      <c r="K448" s="1">
        <f>K444*J448</f>
        <v>-3.1422279748356206E-5</v>
      </c>
      <c r="L448" s="1" t="str">
        <f t="shared" si="51"/>
        <v>増加→総重量減</v>
      </c>
      <c r="M448" s="1" t="s">
        <v>1474</v>
      </c>
      <c r="N448" s="1"/>
      <c r="O448" s="1">
        <f t="shared" si="46"/>
        <v>1</v>
      </c>
      <c r="P448" s="1"/>
      <c r="Q448" s="1">
        <f t="shared" si="53"/>
        <v>1</v>
      </c>
      <c r="R448" s="1">
        <f>IF(Q448=1,COUNTIF($Q$5:Q448,1),"")</f>
        <v>316</v>
      </c>
    </row>
    <row r="449" spans="1:18">
      <c r="A449" s="1" t="s">
        <v>2349</v>
      </c>
      <c r="B449" s="1" t="s">
        <v>2336</v>
      </c>
      <c r="C449" s="1">
        <v>3</v>
      </c>
      <c r="D449" s="1" t="s">
        <v>872</v>
      </c>
      <c r="E449" s="1" t="s">
        <v>873</v>
      </c>
      <c r="F449" s="1">
        <f>'01_入力仕様'!D205</f>
        <v>0.01</v>
      </c>
      <c r="G449" s="1" t="s">
        <v>731</v>
      </c>
      <c r="H449" s="1">
        <f t="shared" si="50"/>
        <v>0.15</v>
      </c>
      <c r="I449" s="1" t="s">
        <v>1482</v>
      </c>
      <c r="J449" s="1">
        <f>1</f>
        <v>1</v>
      </c>
      <c r="K449" s="1">
        <f>K443*J449</f>
        <v>1.205974272994133E-2</v>
      </c>
      <c r="L449" s="1" t="str">
        <f t="shared" si="51"/>
        <v>増加→総重量増</v>
      </c>
      <c r="M449" s="1" t="s">
        <v>1474</v>
      </c>
      <c r="N449" s="1"/>
      <c r="O449" s="1">
        <f t="shared" si="46"/>
        <v>1</v>
      </c>
      <c r="P449" s="1"/>
      <c r="Q449" s="1">
        <f t="shared" si="53"/>
        <v>1</v>
      </c>
      <c r="R449" s="1">
        <f>IF(Q449=1,COUNTIF($Q$5:Q449,1),"")</f>
        <v>317</v>
      </c>
    </row>
    <row r="450" spans="1:18">
      <c r="A450" s="1" t="s">
        <v>2350</v>
      </c>
      <c r="B450" s="1" t="s">
        <v>1655</v>
      </c>
      <c r="C450" s="1">
        <v>5</v>
      </c>
      <c r="D450" s="1" t="s">
        <v>2351</v>
      </c>
      <c r="E450" s="1" t="s">
        <v>2352</v>
      </c>
      <c r="F450" s="1">
        <f>F451^'01_入力仕様'!D207</f>
        <v>1</v>
      </c>
      <c r="G450" s="1" t="s">
        <v>86</v>
      </c>
      <c r="H450" s="1">
        <f t="shared" si="50"/>
        <v>1.6887823087049829E-2</v>
      </c>
      <c r="I450" s="1" t="s">
        <v>2353</v>
      </c>
      <c r="J450" s="1">
        <f>1</f>
        <v>1</v>
      </c>
      <c r="K450" s="1">
        <f>K83*J450</f>
        <v>-1.3577520113238967E-3</v>
      </c>
      <c r="L450" s="1" t="str">
        <f t="shared" si="51"/>
        <v>増加→総重量減</v>
      </c>
      <c r="M450" s="1" t="s">
        <v>1474</v>
      </c>
      <c r="N450" s="1"/>
      <c r="O450" s="1">
        <f t="shared" si="46"/>
        <v>0</v>
      </c>
      <c r="P450" s="1"/>
      <c r="Q450" s="1">
        <f t="shared" si="53"/>
        <v>1</v>
      </c>
      <c r="R450" s="1">
        <f>IF(Q450=1,COUNTIF($Q$5:Q450,1),"")</f>
        <v>318</v>
      </c>
    </row>
    <row r="451" spans="1:18">
      <c r="A451" s="1" t="s">
        <v>2354</v>
      </c>
      <c r="B451" s="1" t="s">
        <v>2350</v>
      </c>
      <c r="C451" s="1">
        <v>6</v>
      </c>
      <c r="D451" s="1" t="s">
        <v>2347</v>
      </c>
      <c r="E451" s="1" t="s">
        <v>877</v>
      </c>
      <c r="F451" s="1">
        <f>'01_入力仕様'!D206</f>
        <v>1</v>
      </c>
      <c r="G451" s="1" t="s">
        <v>86</v>
      </c>
      <c r="H451" s="1">
        <f t="shared" si="50"/>
        <v>1.0977085006582388E-2</v>
      </c>
      <c r="I451" s="1" t="s">
        <v>1482</v>
      </c>
      <c r="J451" s="1">
        <f>'01_入力仕様'!D207</f>
        <v>0.65</v>
      </c>
      <c r="K451" s="1">
        <f>K450*J451</f>
        <v>-8.8253880736053291E-4</v>
      </c>
      <c r="L451" s="1" t="str">
        <f t="shared" si="51"/>
        <v>増加→総重量減</v>
      </c>
      <c r="M451" s="1" t="s">
        <v>1474</v>
      </c>
      <c r="N451" s="1"/>
      <c r="O451" s="1">
        <f t="shared" si="46"/>
        <v>1</v>
      </c>
      <c r="P451" s="1"/>
      <c r="Q451" s="1">
        <f t="shared" si="53"/>
        <v>0</v>
      </c>
      <c r="R451" s="1" t="str">
        <f>IF(Q451=1,COUNTIF($Q$5:Q451,1),"")</f>
        <v/>
      </c>
    </row>
    <row r="452" spans="1:18">
      <c r="A452" s="1" t="s">
        <v>2355</v>
      </c>
      <c r="B452" s="1" t="s">
        <v>1550</v>
      </c>
      <c r="C452" s="1">
        <v>3</v>
      </c>
      <c r="D452" s="1" t="s">
        <v>2356</v>
      </c>
      <c r="E452" s="1" t="s">
        <v>2357</v>
      </c>
      <c r="F452" s="1">
        <f>F453/'01_入力仕様'!D212</f>
        <v>1</v>
      </c>
      <c r="G452" s="1" t="s">
        <v>86</v>
      </c>
      <c r="H452" s="1">
        <f t="shared" si="50"/>
        <v>1.6887823087049829E-2</v>
      </c>
      <c r="I452" s="1" t="s">
        <v>2358</v>
      </c>
      <c r="J452" s="1">
        <f>1</f>
        <v>1</v>
      </c>
      <c r="K452" s="1">
        <f>K35*J452</f>
        <v>1.3577520113238967E-3</v>
      </c>
      <c r="L452" s="1" t="str">
        <f t="shared" si="51"/>
        <v>増加→総重量増</v>
      </c>
      <c r="M452" s="1" t="s">
        <v>1474</v>
      </c>
      <c r="N452" s="1"/>
      <c r="O452" s="1">
        <f t="shared" si="46"/>
        <v>0</v>
      </c>
      <c r="P452" s="1"/>
      <c r="Q452" s="1">
        <f t="shared" si="53"/>
        <v>1</v>
      </c>
      <c r="R452" s="1">
        <f>IF(Q452=1,COUNTIF($Q$5:Q452,1),"")</f>
        <v>319</v>
      </c>
    </row>
    <row r="453" spans="1:18">
      <c r="A453" s="1" t="s">
        <v>2359</v>
      </c>
      <c r="B453" s="1" t="s">
        <v>2355</v>
      </c>
      <c r="C453" s="1">
        <v>4</v>
      </c>
      <c r="D453" s="1" t="s">
        <v>2360</v>
      </c>
      <c r="E453" s="1" t="s">
        <v>890</v>
      </c>
      <c r="F453" s="1">
        <f>F454/(F455*'01_入力仕様'!D211*F456^'01_入力仕様'!D214)</f>
        <v>1.1999999999999999E-3</v>
      </c>
      <c r="G453" s="1" t="s">
        <v>821</v>
      </c>
      <c r="H453" s="1">
        <f t="shared" si="50"/>
        <v>1.6887823087049829E-2</v>
      </c>
      <c r="I453" s="1" t="s">
        <v>2361</v>
      </c>
      <c r="J453" s="1">
        <f>1</f>
        <v>1</v>
      </c>
      <c r="K453" s="1">
        <f>K452*J453</f>
        <v>1.3577520113238967E-3</v>
      </c>
      <c r="L453" s="1" t="str">
        <f t="shared" si="51"/>
        <v>増加→総重量増</v>
      </c>
      <c r="M453" s="1" t="s">
        <v>1474</v>
      </c>
      <c r="N453" s="1"/>
      <c r="O453" s="1">
        <f t="shared" ref="O453:O516" si="54">IF($A453="","",--(COUNTIF($B$5:$B$679,$A453)=0))</f>
        <v>0</v>
      </c>
      <c r="P453" s="1"/>
      <c r="Q453" s="1">
        <f t="shared" si="53"/>
        <v>1</v>
      </c>
      <c r="R453" s="1">
        <f>IF(Q453=1,COUNTIF($Q$5:Q453,1),"")</f>
        <v>320</v>
      </c>
    </row>
    <row r="454" spans="1:18">
      <c r="A454" s="1" t="s">
        <v>2362</v>
      </c>
      <c r="B454" s="1" t="s">
        <v>2359</v>
      </c>
      <c r="C454" s="1">
        <v>5</v>
      </c>
      <c r="D454" s="1" t="s">
        <v>888</v>
      </c>
      <c r="E454" s="1" t="s">
        <v>889</v>
      </c>
      <c r="F454" s="1">
        <f>'01_入力仕様'!D209</f>
        <v>1.4999999999999999E-4</v>
      </c>
      <c r="G454" s="1" t="s">
        <v>262</v>
      </c>
      <c r="H454" s="1">
        <f t="shared" si="50"/>
        <v>1.6887823087049829E-2</v>
      </c>
      <c r="I454" s="1" t="s">
        <v>1482</v>
      </c>
      <c r="J454" s="1">
        <f>1</f>
        <v>1</v>
      </c>
      <c r="K454" s="1">
        <f>K453*J454</f>
        <v>1.3577520113238967E-3</v>
      </c>
      <c r="L454" s="1" t="str">
        <f t="shared" si="51"/>
        <v>増加→総重量増</v>
      </c>
      <c r="M454" s="1" t="s">
        <v>1474</v>
      </c>
      <c r="N454" s="1"/>
      <c r="O454" s="1">
        <f t="shared" si="54"/>
        <v>1</v>
      </c>
      <c r="P454" s="1"/>
      <c r="Q454" s="1">
        <f t="shared" si="53"/>
        <v>1</v>
      </c>
      <c r="R454" s="1">
        <f>IF(Q454=1,COUNTIF($Q$5:Q454,1),"")</f>
        <v>321</v>
      </c>
    </row>
    <row r="455" spans="1:18">
      <c r="A455" s="1" t="s">
        <v>2363</v>
      </c>
      <c r="B455" s="1" t="s">
        <v>2359</v>
      </c>
      <c r="C455" s="1">
        <v>5</v>
      </c>
      <c r="D455" s="1" t="s">
        <v>892</v>
      </c>
      <c r="E455" s="1" t="s">
        <v>893</v>
      </c>
      <c r="F455" s="1">
        <f>'01_入力仕様'!D210</f>
        <v>5</v>
      </c>
      <c r="G455" s="1" t="s">
        <v>894</v>
      </c>
      <c r="H455" s="1">
        <f t="shared" si="50"/>
        <v>1.6887823087049829E-2</v>
      </c>
      <c r="I455" s="1" t="s">
        <v>1482</v>
      </c>
      <c r="J455" s="1">
        <f>-1</f>
        <v>-1</v>
      </c>
      <c r="K455" s="1">
        <f>K453*J455</f>
        <v>-1.3577520113238967E-3</v>
      </c>
      <c r="L455" s="1" t="str">
        <f t="shared" si="51"/>
        <v>増加→総重量減</v>
      </c>
      <c r="M455" s="1" t="s">
        <v>1474</v>
      </c>
      <c r="N455" s="1"/>
      <c r="O455" s="1">
        <f t="shared" si="54"/>
        <v>1</v>
      </c>
      <c r="P455" s="1"/>
      <c r="Q455" s="1">
        <f t="shared" si="53"/>
        <v>1</v>
      </c>
      <c r="R455" s="1">
        <f>IF(Q455=1,COUNTIF($Q$5:Q455,1),"")</f>
        <v>322</v>
      </c>
    </row>
    <row r="456" spans="1:18">
      <c r="A456" s="1" t="s">
        <v>2364</v>
      </c>
      <c r="B456" s="1" t="s">
        <v>2359</v>
      </c>
      <c r="C456" s="1">
        <v>5</v>
      </c>
      <c r="D456" s="1" t="s">
        <v>904</v>
      </c>
      <c r="E456" s="1" t="s">
        <v>905</v>
      </c>
      <c r="F456" s="1">
        <f>'01_入力仕様'!D213</f>
        <v>1</v>
      </c>
      <c r="G456" s="1" t="s">
        <v>86</v>
      </c>
      <c r="H456" s="1">
        <f t="shared" si="50"/>
        <v>4.2219557717624572E-3</v>
      </c>
      <c r="I456" s="1" t="s">
        <v>1482</v>
      </c>
      <c r="J456" s="1">
        <f>-'01_入力仕様'!D214</f>
        <v>-0.25</v>
      </c>
      <c r="K456" s="1">
        <f>K453*J456</f>
        <v>-3.3943800283097418E-4</v>
      </c>
      <c r="L456" s="1" t="str">
        <f t="shared" si="51"/>
        <v>増加→総重量減</v>
      </c>
      <c r="M456" s="1" t="s">
        <v>1474</v>
      </c>
      <c r="N456" s="1"/>
      <c r="O456" s="1">
        <f t="shared" si="54"/>
        <v>1</v>
      </c>
      <c r="P456" s="1"/>
      <c r="Q456" s="1">
        <f t="shared" si="53"/>
        <v>1</v>
      </c>
      <c r="R456" s="1">
        <f>IF(Q456=1,COUNTIF($Q$5:Q456,1),"")</f>
        <v>323</v>
      </c>
    </row>
    <row r="457" spans="1:18">
      <c r="A457" s="1" t="s">
        <v>2365</v>
      </c>
      <c r="B457" s="1" t="s">
        <v>1547</v>
      </c>
      <c r="C457" s="1">
        <v>2</v>
      </c>
      <c r="D457" s="1" t="s">
        <v>2366</v>
      </c>
      <c r="E457" s="1" t="s">
        <v>913</v>
      </c>
      <c r="F457" s="1">
        <f>'01_入力仕様'!D215*SQRT(F458)</f>
        <v>0.05</v>
      </c>
      <c r="G457" s="1" t="s">
        <v>229</v>
      </c>
      <c r="H457" s="1">
        <f t="shared" si="50"/>
        <v>5.000000000000001E-2</v>
      </c>
      <c r="I457" s="1" t="s">
        <v>2367</v>
      </c>
      <c r="J457" s="1">
        <f>F457/F34</f>
        <v>8.820087143117579E-2</v>
      </c>
      <c r="K457" s="1">
        <f>K34*J457</f>
        <v>4.0199142433137774E-3</v>
      </c>
      <c r="L457" s="1" t="str">
        <f t="shared" si="51"/>
        <v>増加→総重量増</v>
      </c>
      <c r="M457" s="1" t="s">
        <v>1474</v>
      </c>
      <c r="N457" s="1"/>
      <c r="O457" s="1">
        <f t="shared" si="54"/>
        <v>0</v>
      </c>
      <c r="P457" s="1"/>
      <c r="Q457" s="1">
        <f t="shared" si="53"/>
        <v>1</v>
      </c>
      <c r="R457" s="1">
        <f>IF(Q457=1,COUNTIF($Q$5:Q457,1),"")</f>
        <v>324</v>
      </c>
    </row>
    <row r="458" spans="1:18">
      <c r="A458" s="1" t="s">
        <v>2368</v>
      </c>
      <c r="B458" s="1" t="s">
        <v>2365</v>
      </c>
      <c r="C458" s="1">
        <v>3</v>
      </c>
      <c r="D458" s="1" t="s">
        <v>904</v>
      </c>
      <c r="E458" s="1" t="s">
        <v>905</v>
      </c>
      <c r="F458" s="1">
        <f>'01_入力仕様'!D213</f>
        <v>1</v>
      </c>
      <c r="G458" s="1" t="s">
        <v>86</v>
      </c>
      <c r="H458" s="1">
        <f t="shared" si="50"/>
        <v>2.5000000000000005E-2</v>
      </c>
      <c r="I458" s="1" t="s">
        <v>1482</v>
      </c>
      <c r="J458" s="1">
        <f>0.5</f>
        <v>0.5</v>
      </c>
      <c r="K458" s="1">
        <f>K457*J458</f>
        <v>2.0099571216568887E-3</v>
      </c>
      <c r="L458" s="1" t="str">
        <f t="shared" si="51"/>
        <v>増加→総重量増</v>
      </c>
      <c r="M458" s="1" t="s">
        <v>1474</v>
      </c>
      <c r="N458" s="1"/>
      <c r="O458" s="1">
        <f t="shared" si="54"/>
        <v>1</v>
      </c>
      <c r="P458" s="1"/>
      <c r="Q458" s="1">
        <f t="shared" si="53"/>
        <v>0</v>
      </c>
      <c r="R458" s="1" t="str">
        <f>IF(Q458=1,COUNTIF($Q$5:Q458,1),"")</f>
        <v/>
      </c>
    </row>
    <row r="459" spans="1:18">
      <c r="A459" s="1" t="s">
        <v>2369</v>
      </c>
      <c r="B459" s="1" t="s">
        <v>1550</v>
      </c>
      <c r="C459" s="1">
        <v>3</v>
      </c>
      <c r="D459" s="1" t="s">
        <v>2370</v>
      </c>
      <c r="E459" s="1" t="s">
        <v>2371</v>
      </c>
      <c r="F459" s="1">
        <f>('01_入力仕様'!D217-'01_入力仕様'!D218)/(F460-'01_入力仕様'!D218)</f>
        <v>0.70588235294117652</v>
      </c>
      <c r="G459" s="1" t="s">
        <v>86</v>
      </c>
      <c r="H459" s="1">
        <f t="shared" si="50"/>
        <v>1.6887823087049829E-2</v>
      </c>
      <c r="I459" s="1" t="s">
        <v>2372</v>
      </c>
      <c r="J459" s="1">
        <f>1</f>
        <v>1</v>
      </c>
      <c r="K459" s="1">
        <f>K35*J459</f>
        <v>1.3577520113238967E-3</v>
      </c>
      <c r="L459" s="1" t="str">
        <f t="shared" si="51"/>
        <v>増加→総重量増</v>
      </c>
      <c r="M459" s="1" t="s">
        <v>1474</v>
      </c>
      <c r="N459" s="1"/>
      <c r="O459" s="1">
        <f t="shared" si="54"/>
        <v>0</v>
      </c>
      <c r="P459" s="1"/>
      <c r="Q459" s="1">
        <f t="shared" si="53"/>
        <v>1</v>
      </c>
      <c r="R459" s="1">
        <f>IF(Q459=1,COUNTIF($Q$5:Q459,1),"")</f>
        <v>325</v>
      </c>
    </row>
    <row r="460" spans="1:18">
      <c r="A460" s="1" t="s">
        <v>2373</v>
      </c>
      <c r="B460" s="1" t="s">
        <v>2369</v>
      </c>
      <c r="C460" s="1">
        <v>4</v>
      </c>
      <c r="D460" s="1" t="s">
        <v>916</v>
      </c>
      <c r="E460" s="1" t="s">
        <v>917</v>
      </c>
      <c r="F460" s="1">
        <f>'01_入力仕様'!D216</f>
        <v>150</v>
      </c>
      <c r="G460" s="1" t="s">
        <v>918</v>
      </c>
      <c r="H460" s="1">
        <f t="shared" si="50"/>
        <v>2.9802040741852637E-2</v>
      </c>
      <c r="I460" s="1" t="s">
        <v>1482</v>
      </c>
      <c r="J460" s="1">
        <f>-'01_入力仕様'!D216/('01_入力仕様'!D216-'01_入力仕様'!D218)</f>
        <v>-1.7647058823529411</v>
      </c>
      <c r="K460" s="1">
        <f>K459*J460</f>
        <v>-2.3960329611598177E-3</v>
      </c>
      <c r="L460" s="1" t="str">
        <f t="shared" si="51"/>
        <v>増加→総重量減</v>
      </c>
      <c r="M460" s="1" t="s">
        <v>1474</v>
      </c>
      <c r="N460" s="1"/>
      <c r="O460" s="1">
        <f t="shared" si="54"/>
        <v>1</v>
      </c>
      <c r="P460" s="1"/>
      <c r="Q460" s="1">
        <f t="shared" si="53"/>
        <v>1</v>
      </c>
      <c r="R460" s="1">
        <f>IF(Q460=1,COUNTIF($Q$5:Q460,1),"")</f>
        <v>326</v>
      </c>
    </row>
    <row r="461" spans="1:18">
      <c r="A461" s="1" t="s">
        <v>2374</v>
      </c>
      <c r="B461" s="1" t="s">
        <v>1565</v>
      </c>
      <c r="C461" s="1">
        <v>7</v>
      </c>
      <c r="D461" s="1" t="s">
        <v>2375</v>
      </c>
      <c r="E461" s="1" t="s">
        <v>2376</v>
      </c>
      <c r="F461" s="1">
        <f>1+F542*(F462-F543)</f>
        <v>1.0874999999999999</v>
      </c>
      <c r="G461" s="1" t="s">
        <v>86</v>
      </c>
      <c r="H461" s="1">
        <f t="shared" si="50"/>
        <v>2.7618556390487389E-4</v>
      </c>
      <c r="I461" s="1" t="s">
        <v>2377</v>
      </c>
      <c r="J461" s="1">
        <f>1</f>
        <v>1</v>
      </c>
      <c r="K461" s="1">
        <f>K44*J461</f>
        <v>2.2204845642776994E-5</v>
      </c>
      <c r="L461" s="1" t="str">
        <f t="shared" si="51"/>
        <v>増加→総重量増</v>
      </c>
      <c r="M461" s="1" t="s">
        <v>1474</v>
      </c>
      <c r="N461" s="1"/>
      <c r="O461" s="1">
        <f t="shared" si="54"/>
        <v>0</v>
      </c>
      <c r="P461" s="1"/>
      <c r="Q461" s="1">
        <f t="shared" si="53"/>
        <v>1</v>
      </c>
      <c r="R461" s="1">
        <f>IF(Q461=1,COUNTIF($Q$5:Q461,1),"")</f>
        <v>327</v>
      </c>
    </row>
    <row r="462" spans="1:18">
      <c r="A462" s="1" t="s">
        <v>2378</v>
      </c>
      <c r="B462" s="1" t="s">
        <v>2374</v>
      </c>
      <c r="C462" s="1">
        <v>8</v>
      </c>
      <c r="D462" s="1" t="s">
        <v>916</v>
      </c>
      <c r="E462" s="1" t="s">
        <v>917</v>
      </c>
      <c r="F462" s="1">
        <f>'01_入力仕様'!D216</f>
        <v>150</v>
      </c>
      <c r="G462" s="1" t="s">
        <v>918</v>
      </c>
      <c r="H462" s="1">
        <f t="shared" si="50"/>
        <v>1.3333096188511155E-4</v>
      </c>
      <c r="I462" s="1" t="s">
        <v>1482</v>
      </c>
      <c r="J462" s="1">
        <f>'01_入力仕様'!D216*'01_入力仕様'!D219/(1+'01_入力仕様'!D219*('01_入力仕様'!D216-'01_入力仕様'!D217))</f>
        <v>0.48275862068965525</v>
      </c>
      <c r="K462" s="1">
        <f>K461*J462</f>
        <v>1.0719580655133723E-5</v>
      </c>
      <c r="L462" s="1" t="str">
        <f t="shared" si="51"/>
        <v>増加→総重量増</v>
      </c>
      <c r="M462" s="1" t="s">
        <v>1474</v>
      </c>
      <c r="N462" s="1"/>
      <c r="O462" s="1">
        <f t="shared" si="54"/>
        <v>1</v>
      </c>
      <c r="P462" s="1"/>
      <c r="Q462" s="1">
        <f t="shared" si="53"/>
        <v>0</v>
      </c>
      <c r="R462" s="1" t="str">
        <f>IF(Q462=1,COUNTIF($Q$5:Q462,1),"")</f>
        <v/>
      </c>
    </row>
    <row r="463" spans="1:18">
      <c r="A463" s="1" t="s">
        <v>2379</v>
      </c>
      <c r="B463" s="1" t="s">
        <v>1719</v>
      </c>
      <c r="C463" s="1">
        <v>2</v>
      </c>
      <c r="D463" s="1" t="s">
        <v>2380</v>
      </c>
      <c r="E463" s="1" t="s">
        <v>2381</v>
      </c>
      <c r="F463" s="1">
        <f>'01_入力仕様'!D223*F465*F464/'01_入力仕様'!D221</f>
        <v>0.08</v>
      </c>
      <c r="G463" s="1" t="s">
        <v>229</v>
      </c>
      <c r="H463" s="1">
        <f t="shared" si="50"/>
        <v>0.08</v>
      </c>
      <c r="I463" s="1" t="s">
        <v>2382</v>
      </c>
      <c r="J463" s="1">
        <f>IFERROR(F463/F111,0)</f>
        <v>8.1426217983022214E-2</v>
      </c>
      <c r="K463" s="1">
        <f>K111*J463</f>
        <v>6.4318627893020421E-3</v>
      </c>
      <c r="L463" s="1" t="str">
        <f t="shared" si="51"/>
        <v>増加→総重量増</v>
      </c>
      <c r="M463" s="1" t="s">
        <v>1474</v>
      </c>
      <c r="N463" s="1"/>
      <c r="O463" s="1">
        <f t="shared" si="54"/>
        <v>0</v>
      </c>
      <c r="P463" s="1"/>
      <c r="Q463" s="1">
        <f t="shared" si="53"/>
        <v>1</v>
      </c>
      <c r="R463" s="1">
        <f>IF(Q463=1,COUNTIF($Q$5:Q463,1),"")</f>
        <v>328</v>
      </c>
    </row>
    <row r="464" spans="1:18">
      <c r="A464" s="1" t="s">
        <v>2383</v>
      </c>
      <c r="B464" s="1" t="s">
        <v>2379</v>
      </c>
      <c r="C464" s="1">
        <v>3</v>
      </c>
      <c r="D464" s="1" t="s">
        <v>930</v>
      </c>
      <c r="E464" s="1" t="s">
        <v>931</v>
      </c>
      <c r="F464" s="1">
        <f>'01_入力仕様'!D220</f>
        <v>1E-3</v>
      </c>
      <c r="G464" s="1" t="s">
        <v>262</v>
      </c>
      <c r="H464" s="1">
        <f t="shared" si="50"/>
        <v>0.08</v>
      </c>
      <c r="I464" s="1" t="s">
        <v>1482</v>
      </c>
      <c r="J464" s="1">
        <f>1</f>
        <v>1</v>
      </c>
      <c r="K464" s="1">
        <f>K463*J464</f>
        <v>6.4318627893020421E-3</v>
      </c>
      <c r="L464" s="1" t="str">
        <f t="shared" si="51"/>
        <v>増加→総重量増</v>
      </c>
      <c r="M464" s="1" t="s">
        <v>1474</v>
      </c>
      <c r="N464" s="1"/>
      <c r="O464" s="1">
        <f t="shared" si="54"/>
        <v>1</v>
      </c>
      <c r="P464" s="1"/>
      <c r="Q464" s="1">
        <f t="shared" si="53"/>
        <v>0</v>
      </c>
      <c r="R464" s="1" t="str">
        <f>IF(Q464=1,COUNTIF($Q$5:Q464,1),"")</f>
        <v/>
      </c>
    </row>
    <row r="465" spans="1:18">
      <c r="A465" s="1" t="s">
        <v>2384</v>
      </c>
      <c r="B465" s="1" t="s">
        <v>2379</v>
      </c>
      <c r="C465" s="1">
        <v>3</v>
      </c>
      <c r="D465" s="1" t="s">
        <v>937</v>
      </c>
      <c r="E465" s="1" t="s">
        <v>938</v>
      </c>
      <c r="F465" s="1">
        <f>'01_入力仕様'!D222</f>
        <v>1</v>
      </c>
      <c r="G465" s="1" t="s">
        <v>86</v>
      </c>
      <c r="H465" s="1">
        <f t="shared" si="50"/>
        <v>0.08</v>
      </c>
      <c r="I465" s="1" t="s">
        <v>1482</v>
      </c>
      <c r="J465" s="1">
        <f>1</f>
        <v>1</v>
      </c>
      <c r="K465" s="1">
        <f>K463*J465</f>
        <v>6.4318627893020421E-3</v>
      </c>
      <c r="L465" s="1" t="str">
        <f t="shared" si="51"/>
        <v>増加→総重量増</v>
      </c>
      <c r="M465" s="1" t="s">
        <v>1474</v>
      </c>
      <c r="N465" s="1"/>
      <c r="O465" s="1">
        <f t="shared" si="54"/>
        <v>1</v>
      </c>
      <c r="P465" s="1"/>
      <c r="Q465" s="1">
        <f t="shared" si="53"/>
        <v>0</v>
      </c>
      <c r="R465" s="1" t="str">
        <f>IF(Q465=1,COUNTIF($Q$5:Q465,1),"")</f>
        <v/>
      </c>
    </row>
    <row r="466" spans="1:18">
      <c r="A466" s="1"/>
      <c r="B466" s="1"/>
      <c r="C466" s="1"/>
      <c r="D466" s="1"/>
      <c r="E466" s="1"/>
      <c r="F466" s="1"/>
      <c r="G466" s="1"/>
      <c r="H466" s="1"/>
      <c r="I466" s="1"/>
      <c r="J466" s="1"/>
      <c r="K466" s="1"/>
      <c r="L466" s="1"/>
      <c r="M466" s="1"/>
      <c r="N466" s="1"/>
      <c r="O466" s="1" t="str">
        <f t="shared" si="54"/>
        <v/>
      </c>
      <c r="P466" s="1"/>
      <c r="Q466" s="1"/>
      <c r="R466" s="1"/>
    </row>
    <row r="467" spans="1:18">
      <c r="A467" s="1"/>
      <c r="B467" s="1"/>
      <c r="C467" s="1"/>
      <c r="D467" s="1"/>
      <c r="E467" s="1"/>
      <c r="F467" s="1"/>
      <c r="G467" s="1"/>
      <c r="H467" s="1"/>
      <c r="I467" s="1"/>
      <c r="J467" s="1"/>
      <c r="K467" s="1"/>
      <c r="L467" s="1"/>
      <c r="M467" s="1"/>
      <c r="N467" s="1"/>
      <c r="O467" s="1" t="str">
        <f t="shared" si="54"/>
        <v/>
      </c>
      <c r="P467" s="1"/>
      <c r="Q467" s="1"/>
      <c r="R467" s="1"/>
    </row>
    <row r="468" spans="1:18">
      <c r="A468" s="1"/>
      <c r="B468" s="1"/>
      <c r="C468" s="1"/>
      <c r="D468" s="1"/>
      <c r="E468" s="1"/>
      <c r="F468" s="1"/>
      <c r="G468" s="1"/>
      <c r="H468" s="1"/>
      <c r="I468" s="1"/>
      <c r="J468" s="1"/>
      <c r="K468" s="1"/>
      <c r="L468" s="1"/>
      <c r="M468" s="1"/>
      <c r="N468" s="1"/>
      <c r="O468" s="1" t="str">
        <f t="shared" si="54"/>
        <v/>
      </c>
      <c r="P468" s="1"/>
      <c r="Q468" s="1"/>
      <c r="R468" s="1"/>
    </row>
    <row r="469" spans="1:18">
      <c r="A469" s="1" t="s">
        <v>2385</v>
      </c>
      <c r="B469" s="1" t="s">
        <v>1754</v>
      </c>
      <c r="C469" s="1">
        <v>4</v>
      </c>
      <c r="D469" s="1" t="s">
        <v>944</v>
      </c>
      <c r="E469" s="1" t="s">
        <v>945</v>
      </c>
      <c r="F469" s="1">
        <f>'01_入力仕様'!D224</f>
        <v>0</v>
      </c>
      <c r="G469" s="1" t="s">
        <v>415</v>
      </c>
      <c r="H469" s="1">
        <f>ABS(K469)*$F$5</f>
        <v>0.5714216907216495</v>
      </c>
      <c r="I469" s="1" t="s">
        <v>1482</v>
      </c>
      <c r="J469" s="1">
        <f>0</f>
        <v>0</v>
      </c>
      <c r="K469" s="1">
        <f>K127*('01_入力仕様'!D225-1)</f>
        <v>-4.5941323869407968E-2</v>
      </c>
      <c r="L469" s="1" t="str">
        <f t="shared" ref="L469:L476" si="55">IF(K469&gt;0,"増加→総重量増",IF(K469&lt;0,"増加→総重量減","中立"))</f>
        <v>増加→総重量減</v>
      </c>
      <c r="M469" s="1" t="s">
        <v>1474</v>
      </c>
      <c r="N469" s="1" t="s">
        <v>2386</v>
      </c>
      <c r="O469" s="1">
        <f t="shared" si="54"/>
        <v>1</v>
      </c>
      <c r="P469" s="1"/>
      <c r="Q469" s="1">
        <f t="shared" ref="Q469:Q476" si="56">IF(E469="","",--(MATCH(E469,$E$5:$E$560,0)=ROW()-4))</f>
        <v>1</v>
      </c>
      <c r="R469" s="1">
        <f>IF(Q469=1,COUNTIF($Q$5:Q469,1),"")</f>
        <v>329</v>
      </c>
    </row>
    <row r="470" spans="1:18">
      <c r="A470" s="1" t="s">
        <v>2387</v>
      </c>
      <c r="B470" s="1" t="s">
        <v>1964</v>
      </c>
      <c r="C470" s="1">
        <v>6</v>
      </c>
      <c r="D470" s="1" t="s">
        <v>944</v>
      </c>
      <c r="E470" s="1" t="s">
        <v>945</v>
      </c>
      <c r="F470" s="1">
        <f>'01_入力仕様'!D224</f>
        <v>0</v>
      </c>
      <c r="G470" s="1" t="s">
        <v>415</v>
      </c>
      <c r="H470" s="1">
        <f>ABS(K470)*$F$5</f>
        <v>0</v>
      </c>
      <c r="I470" s="1" t="s">
        <v>1482</v>
      </c>
      <c r="J470" s="1">
        <f>0</f>
        <v>0</v>
      </c>
      <c r="K470" s="1">
        <f>K244*(-0.5)*('01_入力仕様'!D226-1)</f>
        <v>0</v>
      </c>
      <c r="L470" s="1" t="str">
        <f t="shared" si="55"/>
        <v>中立</v>
      </c>
      <c r="M470" s="1" t="s">
        <v>1474</v>
      </c>
      <c r="N470" s="1" t="s">
        <v>2388</v>
      </c>
      <c r="O470" s="1">
        <f t="shared" si="54"/>
        <v>1</v>
      </c>
      <c r="P470" s="1"/>
      <c r="Q470" s="1">
        <f t="shared" si="56"/>
        <v>0</v>
      </c>
      <c r="R470" s="1" t="str">
        <f>IF(Q470=1,COUNTIF($Q$5:Q470,1),"")</f>
        <v/>
      </c>
    </row>
    <row r="471" spans="1:18">
      <c r="A471" s="1" t="s">
        <v>2389</v>
      </c>
      <c r="B471" s="1" t="s">
        <v>1553</v>
      </c>
      <c r="C471" s="1">
        <v>4</v>
      </c>
      <c r="D471" s="1" t="s">
        <v>2390</v>
      </c>
      <c r="E471" s="1" t="s">
        <v>2391</v>
      </c>
      <c r="F471" s="1">
        <f>F116^2*('01_入力仕様'!D121*'01_入力仕様'!D63/(F115*0.000001))*MAX(0,F472-1)</f>
        <v>8.7029795086149146</v>
      </c>
      <c r="G471" s="1" t="s">
        <v>984</v>
      </c>
      <c r="H471" s="1">
        <f>ABS(K471)*$F$5</f>
        <v>2.2676060583362042E-4</v>
      </c>
      <c r="I471" s="1" t="s">
        <v>2392</v>
      </c>
      <c r="J471" s="1">
        <f>IFERROR(F471/(F38+F444+F471+F479+F488+F504+F516+F534+F569+F595+F675),0)</f>
        <v>1.3427462181760321E-2</v>
      </c>
      <c r="K471" s="1">
        <f>K36*J471</f>
        <v>1.8231163784260635E-5</v>
      </c>
      <c r="L471" s="1" t="str">
        <f t="shared" si="55"/>
        <v>増加→総重量増</v>
      </c>
      <c r="M471" s="1" t="s">
        <v>1474</v>
      </c>
      <c r="N471" s="1"/>
      <c r="O471" s="1">
        <f t="shared" si="54"/>
        <v>0</v>
      </c>
      <c r="P471" s="1"/>
      <c r="Q471" s="1">
        <f t="shared" si="56"/>
        <v>1</v>
      </c>
      <c r="R471" s="1">
        <f>IF(Q471=1,COUNTIF($Q$5:Q471,1),"")</f>
        <v>330</v>
      </c>
    </row>
    <row r="472" spans="1:18" ht="42.75">
      <c r="A472" s="1" t="s">
        <v>2393</v>
      </c>
      <c r="B472" s="1" t="s">
        <v>2389</v>
      </c>
      <c r="C472" s="1">
        <v>5</v>
      </c>
      <c r="D472" s="1" t="s">
        <v>2394</v>
      </c>
      <c r="E472" s="1" t="s">
        <v>957</v>
      </c>
      <c r="F472" s="1">
        <f>MAX(1,'01_入力仕様'!D227/(2*'01_入力仕様'!D228*SQRT(10000/F473)*F474))</f>
        <v>1.8180126088523707</v>
      </c>
      <c r="G472" s="1" t="s">
        <v>86</v>
      </c>
      <c r="H472" s="1">
        <f>ABS(K472)*F5</f>
        <v>5.0396978742772052E-4</v>
      </c>
      <c r="I472" s="1" t="s">
        <v>2395</v>
      </c>
      <c r="J472" s="1">
        <f>IF(F472&gt;1,F472/(F472-1),0)</f>
        <v>2.2224750440007863</v>
      </c>
      <c r="K472" s="1">
        <f>K471*J472</f>
        <v>4.0518306533610195E-5</v>
      </c>
      <c r="L472" s="1" t="str">
        <f t="shared" si="55"/>
        <v>増加→総重量増</v>
      </c>
      <c r="M472" s="1" t="s">
        <v>1474</v>
      </c>
      <c r="N472" s="1" t="s">
        <v>2396</v>
      </c>
      <c r="O472" s="1">
        <f t="shared" si="54"/>
        <v>0</v>
      </c>
      <c r="P472" s="1"/>
      <c r="Q472" s="1">
        <f t="shared" si="56"/>
        <v>1</v>
      </c>
      <c r="R472" s="1">
        <f>IF(Q472=1,COUNTIF($Q$5:Q472,1),"")</f>
        <v>331</v>
      </c>
    </row>
    <row r="473" spans="1:18">
      <c r="A473" s="1" t="s">
        <v>2397</v>
      </c>
      <c r="B473" s="1" t="s">
        <v>2393</v>
      </c>
      <c r="C473" s="1">
        <v>6</v>
      </c>
      <c r="D473" s="1" t="s">
        <v>95</v>
      </c>
      <c r="E473" s="1" t="s">
        <v>95</v>
      </c>
      <c r="F473" s="1">
        <f>'01_入力仕様'!D10</f>
        <v>16000</v>
      </c>
      <c r="G473" s="1" t="s">
        <v>96</v>
      </c>
      <c r="H473" s="1">
        <f>ABS(K473)*F5</f>
        <v>2.5198489371386026E-4</v>
      </c>
      <c r="I473" s="1" t="s">
        <v>1482</v>
      </c>
      <c r="J473" s="1">
        <f>IF(F472&gt;1,0.5,0)</f>
        <v>0.5</v>
      </c>
      <c r="K473" s="1">
        <f>K472*J473</f>
        <v>2.0259153266805098E-5</v>
      </c>
      <c r="L473" s="1" t="str">
        <f t="shared" si="55"/>
        <v>増加→総重量増</v>
      </c>
      <c r="M473" s="1" t="s">
        <v>1474</v>
      </c>
      <c r="N473" s="1"/>
      <c r="O473" s="1">
        <f t="shared" si="54"/>
        <v>1</v>
      </c>
      <c r="P473" s="1"/>
      <c r="Q473" s="1">
        <f t="shared" si="56"/>
        <v>0</v>
      </c>
      <c r="R473" s="1" t="str">
        <f>IF(Q473=1,COUNTIF($Q$5:Q473,1),"")</f>
        <v/>
      </c>
    </row>
    <row r="474" spans="1:18">
      <c r="A474" s="1" t="s">
        <v>2398</v>
      </c>
      <c r="B474" s="1" t="s">
        <v>2393</v>
      </c>
      <c r="C474" s="1">
        <v>6</v>
      </c>
      <c r="D474" s="1" t="s">
        <v>962</v>
      </c>
      <c r="E474" s="1" t="s">
        <v>963</v>
      </c>
      <c r="F474" s="1">
        <f>'01_入力仕様'!D229</f>
        <v>1</v>
      </c>
      <c r="G474" s="1" t="s">
        <v>86</v>
      </c>
      <c r="H474" s="1">
        <f>ABS(K474)*F5</f>
        <v>5.0396978742772052E-4</v>
      </c>
      <c r="I474" s="1" t="s">
        <v>1482</v>
      </c>
      <c r="J474" s="1">
        <f>IF(F472&gt;1,-1,0)</f>
        <v>-1</v>
      </c>
      <c r="K474" s="1">
        <f>K472*J474</f>
        <v>-4.0518306533610195E-5</v>
      </c>
      <c r="L474" s="1" t="str">
        <f t="shared" si="55"/>
        <v>増加→総重量減</v>
      </c>
      <c r="M474" s="1" t="s">
        <v>1474</v>
      </c>
      <c r="N474" s="1"/>
      <c r="O474" s="1">
        <f t="shared" si="54"/>
        <v>1</v>
      </c>
      <c r="P474" s="1"/>
      <c r="Q474" s="1">
        <f t="shared" si="56"/>
        <v>1</v>
      </c>
      <c r="R474" s="1">
        <f>IF(Q474=1,COUNTIF($Q$5:Q474,1),"")</f>
        <v>332</v>
      </c>
    </row>
    <row r="475" spans="1:18">
      <c r="A475" s="1" t="s">
        <v>2399</v>
      </c>
      <c r="B475" s="1" t="s">
        <v>1719</v>
      </c>
      <c r="C475" s="1">
        <v>2</v>
      </c>
      <c r="D475" s="1" t="s">
        <v>2400</v>
      </c>
      <c r="E475" s="1" t="s">
        <v>969</v>
      </c>
      <c r="F475" s="1">
        <f>F476*'01_入力仕様'!D230</f>
        <v>3.5000000000000003E-2</v>
      </c>
      <c r="G475" s="1" t="s">
        <v>229</v>
      </c>
      <c r="H475" s="1">
        <f>ABS(K475)*$F$5</f>
        <v>3.5000000000000003E-2</v>
      </c>
      <c r="I475" s="1" t="s">
        <v>2401</v>
      </c>
      <c r="J475" s="1">
        <f>IFERROR(F475/F111,0)</f>
        <v>3.5623970367572221E-2</v>
      </c>
      <c r="K475" s="1">
        <f>K111*J475</f>
        <v>2.8139399703196438E-3</v>
      </c>
      <c r="L475" s="1" t="str">
        <f t="shared" si="55"/>
        <v>増加→総重量増</v>
      </c>
      <c r="M475" s="1" t="s">
        <v>1474</v>
      </c>
      <c r="N475" s="1"/>
      <c r="O475" s="1">
        <f t="shared" si="54"/>
        <v>0</v>
      </c>
      <c r="P475" s="1"/>
      <c r="Q475" s="1">
        <f t="shared" si="56"/>
        <v>1</v>
      </c>
      <c r="R475" s="1">
        <f>IF(Q475=1,COUNTIF($Q$5:Q475,1),"")</f>
        <v>333</v>
      </c>
    </row>
    <row r="476" spans="1:18">
      <c r="A476" s="1" t="s">
        <v>2402</v>
      </c>
      <c r="B476" s="1" t="s">
        <v>2399</v>
      </c>
      <c r="C476" s="1">
        <v>3</v>
      </c>
      <c r="D476" s="1" t="s">
        <v>962</v>
      </c>
      <c r="E476" s="1" t="s">
        <v>963</v>
      </c>
      <c r="F476" s="1">
        <f>'01_入力仕様'!D229</f>
        <v>1</v>
      </c>
      <c r="G476" s="1" t="s">
        <v>86</v>
      </c>
      <c r="H476" s="1">
        <f>ABS(K476)*$F$5</f>
        <v>3.5000000000000003E-2</v>
      </c>
      <c r="I476" s="1" t="s">
        <v>1482</v>
      </c>
      <c r="J476" s="1">
        <f>1</f>
        <v>1</v>
      </c>
      <c r="K476" s="1">
        <f>K475*J476</f>
        <v>2.8139399703196438E-3</v>
      </c>
      <c r="L476" s="1" t="str">
        <f t="shared" si="55"/>
        <v>増加→総重量増</v>
      </c>
      <c r="M476" s="1" t="s">
        <v>1474</v>
      </c>
      <c r="N476" s="1"/>
      <c r="O476" s="1">
        <f t="shared" si="54"/>
        <v>1</v>
      </c>
      <c r="P476" s="1"/>
      <c r="Q476" s="1">
        <f t="shared" si="56"/>
        <v>0</v>
      </c>
      <c r="R476" s="1" t="str">
        <f>IF(Q476=1,COUNTIF($Q$5:Q476,1),"")</f>
        <v/>
      </c>
    </row>
    <row r="477" spans="1:18">
      <c r="A477" s="1"/>
      <c r="B477" s="1"/>
      <c r="C477" s="1"/>
      <c r="D477" s="1"/>
      <c r="E477" s="1"/>
      <c r="F477" s="1"/>
      <c r="G477" s="1"/>
      <c r="H477" s="1"/>
      <c r="I477" s="1"/>
      <c r="J477" s="1"/>
      <c r="K477" s="1"/>
      <c r="L477" s="1"/>
      <c r="M477" s="1"/>
      <c r="N477" s="1"/>
      <c r="O477" s="1" t="str">
        <f t="shared" si="54"/>
        <v/>
      </c>
      <c r="P477" s="1"/>
      <c r="Q477" s="1"/>
      <c r="R477" s="1"/>
    </row>
    <row r="478" spans="1:18">
      <c r="A478" s="1"/>
      <c r="B478" s="1"/>
      <c r="C478" s="1"/>
      <c r="D478" s="1"/>
      <c r="E478" s="1"/>
      <c r="F478" s="1"/>
      <c r="G478" s="1"/>
      <c r="H478" s="1"/>
      <c r="I478" s="1"/>
      <c r="J478" s="1"/>
      <c r="K478" s="1"/>
      <c r="L478" s="1"/>
      <c r="M478" s="1"/>
      <c r="N478" s="1"/>
      <c r="O478" s="1" t="str">
        <f t="shared" si="54"/>
        <v/>
      </c>
      <c r="P478" s="1"/>
      <c r="Q478" s="1"/>
      <c r="R478" s="1"/>
    </row>
    <row r="479" spans="1:18">
      <c r="A479" s="1" t="s">
        <v>2403</v>
      </c>
      <c r="B479" s="1" t="s">
        <v>1553</v>
      </c>
      <c r="C479" s="1">
        <v>4</v>
      </c>
      <c r="D479" s="1" t="s">
        <v>2404</v>
      </c>
      <c r="E479" s="1" t="s">
        <v>2405</v>
      </c>
      <c r="F479" s="1">
        <f>F480*'01_入力仕様'!D234</f>
        <v>0</v>
      </c>
      <c r="G479" s="1" t="s">
        <v>984</v>
      </c>
      <c r="H479" s="1">
        <f>ABS(K479)*$F$5</f>
        <v>0</v>
      </c>
      <c r="I479" s="1" t="s">
        <v>2406</v>
      </c>
      <c r="J479" s="1">
        <f>IFERROR(F479/(F38+F444+F471+F479+F488+F504+F516+F534+F569+F595+F675),0)</f>
        <v>0</v>
      </c>
      <c r="K479" s="1">
        <f>K36*J479</f>
        <v>0</v>
      </c>
      <c r="L479" s="1" t="str">
        <f>IF(K479&gt;0,"増加→総重量増",IF(K479&lt;0,"増加→総重量減","中立"))</f>
        <v>中立</v>
      </c>
      <c r="M479" s="1" t="s">
        <v>1474</v>
      </c>
      <c r="N479" s="1"/>
      <c r="O479" s="1">
        <f t="shared" si="54"/>
        <v>0</v>
      </c>
      <c r="P479" s="1"/>
      <c r="Q479" s="1">
        <f>IF(E479="","",--(MATCH(E479,$E$5:$E$560,0)=ROW()-4))</f>
        <v>1</v>
      </c>
      <c r="R479" s="1">
        <f>IF(Q479=1,COUNTIF($Q$5:Q479,1),"")</f>
        <v>334</v>
      </c>
    </row>
    <row r="480" spans="1:18">
      <c r="A480" s="1" t="s">
        <v>2407</v>
      </c>
      <c r="B480" s="1" t="s">
        <v>2403</v>
      </c>
      <c r="C480" s="1">
        <v>5</v>
      </c>
      <c r="D480" s="1" t="s">
        <v>972</v>
      </c>
      <c r="E480" s="1" t="s">
        <v>973</v>
      </c>
      <c r="F480" s="1">
        <f>'01_入力仕様'!D231</f>
        <v>0</v>
      </c>
      <c r="G480" s="1" t="s">
        <v>415</v>
      </c>
      <c r="H480" s="1">
        <f>ABS(K480)*$F$5</f>
        <v>3.1902077534139171E-2</v>
      </c>
      <c r="I480" s="1" t="s">
        <v>1482</v>
      </c>
      <c r="J480" s="1">
        <f>0</f>
        <v>0</v>
      </c>
      <c r="K480" s="1">
        <f>K36*'01_入力仕様'!D234/(F38+F444+F471+0.000000000001)</f>
        <v>2.5648723174157301E-3</v>
      </c>
      <c r="L480" s="1" t="str">
        <f>IF(K480&gt;0,"増加→総重量増",IF(K480&lt;0,"増加→総重量減","中立"))</f>
        <v>増加→総重量増</v>
      </c>
      <c r="M480" s="1" t="s">
        <v>1474</v>
      </c>
      <c r="N480" s="1" t="s">
        <v>2408</v>
      </c>
      <c r="O480" s="1">
        <f t="shared" si="54"/>
        <v>1</v>
      </c>
      <c r="P480" s="1"/>
      <c r="Q480" s="1">
        <f>IF(E480="","",--(MATCH(E480,$E$5:$E$560,0)=ROW()-4))</f>
        <v>1</v>
      </c>
      <c r="R480" s="1">
        <f>IF(Q480=1,COUNTIF($Q$5:Q480,1),"")</f>
        <v>335</v>
      </c>
    </row>
    <row r="481" spans="1:18">
      <c r="A481" s="1" t="s">
        <v>2409</v>
      </c>
      <c r="B481" s="1" t="s">
        <v>2087</v>
      </c>
      <c r="C481" s="1">
        <v>3</v>
      </c>
      <c r="D481" s="1" t="s">
        <v>972</v>
      </c>
      <c r="E481" s="1" t="s">
        <v>973</v>
      </c>
      <c r="F481" s="1">
        <f>'01_入力仕様'!D231</f>
        <v>0</v>
      </c>
      <c r="G481" s="1" t="s">
        <v>415</v>
      </c>
      <c r="H481" s="1">
        <f>ABS(K481)*$F$5</f>
        <v>0</v>
      </c>
      <c r="I481" s="1" t="s">
        <v>1482</v>
      </c>
      <c r="J481" s="1">
        <f>0</f>
        <v>0</v>
      </c>
      <c r="K481" s="1">
        <f>-K312*'01_入力仕様'!D233</f>
        <v>0</v>
      </c>
      <c r="L481" s="1" t="str">
        <f>IF(K481&gt;0,"増加→総重量増",IF(K481&lt;0,"増加→総重量減","中立"))</f>
        <v>中立</v>
      </c>
      <c r="M481" s="1" t="s">
        <v>1474</v>
      </c>
      <c r="N481" s="1" t="s">
        <v>2410</v>
      </c>
      <c r="O481" s="1">
        <f t="shared" si="54"/>
        <v>1</v>
      </c>
      <c r="P481" s="1"/>
      <c r="Q481" s="1">
        <f>IF(E481="","",--(MATCH(E481,$E$5:$E$560,0)=ROW()-4))</f>
        <v>0</v>
      </c>
      <c r="R481" s="1" t="str">
        <f>IF(Q481=1,COUNTIF($Q$5:Q481,1),"")</f>
        <v/>
      </c>
    </row>
    <row r="482" spans="1:18">
      <c r="A482" s="1" t="s">
        <v>2411</v>
      </c>
      <c r="B482" s="1" t="s">
        <v>2208</v>
      </c>
      <c r="C482" s="1">
        <v>3</v>
      </c>
      <c r="D482" s="1" t="s">
        <v>2412</v>
      </c>
      <c r="E482" s="1" t="s">
        <v>792</v>
      </c>
      <c r="F482" s="1">
        <f>F635+F636</f>
        <v>0</v>
      </c>
      <c r="G482" s="1" t="s">
        <v>229</v>
      </c>
      <c r="H482" s="1">
        <f>F482</f>
        <v>0</v>
      </c>
      <c r="I482" s="1" t="s">
        <v>2413</v>
      </c>
      <c r="J482" s="1">
        <f>IFERROR(F482/F368,0)</f>
        <v>0</v>
      </c>
      <c r="K482" s="1">
        <f>IFERROR(F482/F5,0)</f>
        <v>0</v>
      </c>
      <c r="L482" s="1" t="s">
        <v>1627</v>
      </c>
      <c r="M482" s="1" t="s">
        <v>1474</v>
      </c>
      <c r="N482" s="1" t="s">
        <v>2414</v>
      </c>
      <c r="O482" s="1">
        <f t="shared" si="54"/>
        <v>0</v>
      </c>
      <c r="P482" s="1"/>
      <c r="Q482" s="1">
        <f>IF($A482="","",IF($E482="","",--(COUNTIF($E$5:$E482,$E482)=1)))</f>
        <v>1</v>
      </c>
      <c r="R482" s="1">
        <f>IF($A482="","",IF($Q482=1,COUNTIF($Q$5:$Q482,1),""))</f>
        <v>336</v>
      </c>
    </row>
    <row r="483" spans="1:18">
      <c r="A483" s="1"/>
      <c r="B483" s="1"/>
      <c r="C483" s="1"/>
      <c r="D483" s="1"/>
      <c r="E483" s="1"/>
      <c r="F483" s="1"/>
      <c r="G483" s="1"/>
      <c r="H483" s="1"/>
      <c r="I483" s="1"/>
      <c r="J483" s="1"/>
      <c r="K483" s="1"/>
      <c r="L483" s="1"/>
      <c r="M483" s="1"/>
      <c r="N483" s="1"/>
      <c r="O483" s="1" t="str">
        <f t="shared" si="54"/>
        <v/>
      </c>
      <c r="P483" s="1"/>
      <c r="Q483" s="1"/>
      <c r="R483" s="1"/>
    </row>
    <row r="484" spans="1:18">
      <c r="A484" s="1"/>
      <c r="B484" s="1"/>
      <c r="C484" s="1"/>
      <c r="D484" s="1"/>
      <c r="E484" s="1"/>
      <c r="F484" s="1"/>
      <c r="G484" s="1"/>
      <c r="H484" s="1"/>
      <c r="I484" s="1"/>
      <c r="J484" s="1"/>
      <c r="K484" s="1"/>
      <c r="L484" s="1"/>
      <c r="M484" s="1"/>
      <c r="N484" s="1"/>
      <c r="O484" s="1" t="str">
        <f t="shared" si="54"/>
        <v/>
      </c>
      <c r="P484" s="1"/>
      <c r="Q484" s="1"/>
      <c r="R484" s="1"/>
    </row>
    <row r="485" spans="1:18">
      <c r="A485" s="1" t="s">
        <v>2415</v>
      </c>
      <c r="B485" s="1" t="s">
        <v>1782</v>
      </c>
      <c r="C485" s="1">
        <v>2</v>
      </c>
      <c r="D485" s="1" t="s">
        <v>2416</v>
      </c>
      <c r="E485" s="1" t="s">
        <v>1006</v>
      </c>
      <c r="F485" s="1">
        <f>F486*'01_入力仕様'!D240</f>
        <v>0</v>
      </c>
      <c r="G485" s="1" t="s">
        <v>229</v>
      </c>
      <c r="H485" s="1">
        <f>ABS(K485)*$F$5</f>
        <v>0</v>
      </c>
      <c r="I485" s="1" t="s">
        <v>2417</v>
      </c>
      <c r="J485" s="1">
        <f>IFERROR(F485/F140,0)</f>
        <v>0</v>
      </c>
      <c r="K485" s="1">
        <f>K140*J485</f>
        <v>0</v>
      </c>
      <c r="L485" s="1" t="str">
        <f>IF(K485&gt;0,"増加→総重量増",IF(K485&lt;0,"増加→総重量減","中立"))</f>
        <v>中立</v>
      </c>
      <c r="M485" s="1" t="s">
        <v>1474</v>
      </c>
      <c r="N485" s="1"/>
      <c r="O485" s="1">
        <f t="shared" si="54"/>
        <v>0</v>
      </c>
      <c r="P485" s="1"/>
      <c r="Q485" s="1">
        <f>IF(E485="","",--(MATCH(E485,$E$5:$E$560,0)=ROW()-4))</f>
        <v>1</v>
      </c>
      <c r="R485" s="1">
        <f>IF(Q485=1,COUNTIF($Q$5:Q485,1),"")</f>
        <v>337</v>
      </c>
    </row>
    <row r="486" spans="1:18">
      <c r="A486" s="1" t="s">
        <v>2418</v>
      </c>
      <c r="B486" s="1" t="s">
        <v>2415</v>
      </c>
      <c r="C486" s="1">
        <v>3</v>
      </c>
      <c r="D486" s="1" t="s">
        <v>1000</v>
      </c>
      <c r="E486" s="1" t="s">
        <v>1001</v>
      </c>
      <c r="F486" s="1">
        <f>'01_入力仕様'!D239</f>
        <v>0</v>
      </c>
      <c r="G486" s="1" t="s">
        <v>415</v>
      </c>
      <c r="H486" s="1">
        <f>ABS(K486)*$F$5</f>
        <v>0.12000000000000001</v>
      </c>
      <c r="I486" s="1" t="s">
        <v>1482</v>
      </c>
      <c r="J486" s="1">
        <f>0</f>
        <v>0</v>
      </c>
      <c r="K486" s="1">
        <f>'01_入力仕様'!D240/$F$5</f>
        <v>9.6477941839530641E-3</v>
      </c>
      <c r="L486" s="1" t="str">
        <f>IF(K486&gt;0,"増加→総重量増",IF(K486&lt;0,"増加→総重量減","中立"))</f>
        <v>増加→総重量増</v>
      </c>
      <c r="M486" s="1" t="s">
        <v>1474</v>
      </c>
      <c r="N486" s="1" t="s">
        <v>2419</v>
      </c>
      <c r="O486" s="1">
        <f t="shared" si="54"/>
        <v>1</v>
      </c>
      <c r="P486" s="1"/>
      <c r="Q486" s="1">
        <f>IF(E486="","",--(MATCH(E486,$E$5:$E$560,0)=ROW()-4))</f>
        <v>1</v>
      </c>
      <c r="R486" s="1">
        <f>IF(Q486=1,COUNTIF($Q$5:Q486,1),"")</f>
        <v>338</v>
      </c>
    </row>
    <row r="487" spans="1:18">
      <c r="A487" s="1"/>
      <c r="B487" s="1"/>
      <c r="C487" s="1"/>
      <c r="D487" s="1"/>
      <c r="E487" s="1"/>
      <c r="F487" s="1"/>
      <c r="G487" s="1"/>
      <c r="H487" s="1"/>
      <c r="I487" s="1"/>
      <c r="J487" s="1"/>
      <c r="K487" s="1"/>
      <c r="L487" s="1"/>
      <c r="M487" s="1"/>
      <c r="N487" s="1"/>
      <c r="O487" s="1" t="str">
        <f t="shared" si="54"/>
        <v/>
      </c>
      <c r="P487" s="1"/>
      <c r="Q487" s="1"/>
      <c r="R487" s="1"/>
    </row>
    <row r="488" spans="1:18">
      <c r="A488" s="1" t="s">
        <v>2420</v>
      </c>
      <c r="B488" s="1" t="s">
        <v>1553</v>
      </c>
      <c r="C488" s="1">
        <v>4</v>
      </c>
      <c r="D488" s="1" t="s">
        <v>2421</v>
      </c>
      <c r="E488" s="1" t="s">
        <v>2422</v>
      </c>
      <c r="F488" s="1">
        <f>3*F12^2*F489</f>
        <v>36.800976491830632</v>
      </c>
      <c r="G488" s="1" t="s">
        <v>984</v>
      </c>
      <c r="H488" s="1">
        <f t="shared" ref="H488:H497" si="57">ABS(K488)*$F$5</f>
        <v>9.5886836413848475E-4</v>
      </c>
      <c r="I488" s="1" t="s">
        <v>2423</v>
      </c>
      <c r="J488" s="1">
        <f>IFERROR(F488/(F38+F444+F471+F479+F488+F504+F516+F534+F569+F595+F675),0)</f>
        <v>5.6778683622863056E-2</v>
      </c>
      <c r="K488" s="1">
        <f>K36*J488</f>
        <v>7.7091371889265515E-5</v>
      </c>
      <c r="L488" s="1" t="str">
        <f t="shared" ref="L488:L497" si="58">IF(K488&gt;0,"増加→総重量増",IF(K488&lt;0,"増加→総重量減","中立"))</f>
        <v>増加→総重量増</v>
      </c>
      <c r="M488" s="1" t="s">
        <v>1474</v>
      </c>
      <c r="N488" s="1"/>
      <c r="O488" s="1">
        <f t="shared" si="54"/>
        <v>0</v>
      </c>
      <c r="P488" s="1"/>
      <c r="Q488" s="1">
        <f t="shared" ref="Q488:Q497" si="59">IF(E488="","",--(MATCH(E488,$E$5:$E$560,0)=ROW()-4))</f>
        <v>1</v>
      </c>
      <c r="R488" s="1">
        <f>IF(Q488=1,COUNTIF($Q$5:Q488,1),"")</f>
        <v>339</v>
      </c>
    </row>
    <row r="489" spans="1:18">
      <c r="A489" s="1" t="s">
        <v>2424</v>
      </c>
      <c r="B489" s="1" t="s">
        <v>2420</v>
      </c>
      <c r="C489" s="1">
        <v>5</v>
      </c>
      <c r="D489" s="1" t="s">
        <v>1013</v>
      </c>
      <c r="E489" s="1" t="s">
        <v>1014</v>
      </c>
      <c r="F489" s="1">
        <f>'01_入力仕様'!D242</f>
        <v>5.0000000000000001E-4</v>
      </c>
      <c r="G489" s="1" t="s">
        <v>1015</v>
      </c>
      <c r="H489" s="1">
        <f t="shared" si="57"/>
        <v>9.5886836413848475E-4</v>
      </c>
      <c r="I489" s="1" t="s">
        <v>1482</v>
      </c>
      <c r="J489" s="1">
        <f>1</f>
        <v>1</v>
      </c>
      <c r="K489" s="1">
        <f>K488*J489</f>
        <v>7.7091371889265515E-5</v>
      </c>
      <c r="L489" s="1" t="str">
        <f t="shared" si="58"/>
        <v>増加→総重量増</v>
      </c>
      <c r="M489" s="1" t="s">
        <v>1474</v>
      </c>
      <c r="N489" s="1"/>
      <c r="O489" s="1">
        <f t="shared" si="54"/>
        <v>1</v>
      </c>
      <c r="P489" s="1"/>
      <c r="Q489" s="1">
        <f t="shared" si="59"/>
        <v>1</v>
      </c>
      <c r="R489" s="1">
        <f>IF(Q489=1,COUNTIF($Q$5:Q489,1),"")</f>
        <v>340</v>
      </c>
    </row>
    <row r="490" spans="1:18">
      <c r="A490" s="1" t="s">
        <v>2425</v>
      </c>
      <c r="B490" s="1" t="s">
        <v>1850</v>
      </c>
      <c r="C490" s="1">
        <v>2</v>
      </c>
      <c r="D490" s="1" t="s">
        <v>2426</v>
      </c>
      <c r="E490" s="1" t="s">
        <v>1020</v>
      </c>
      <c r="F490" s="1">
        <f>'01_入力仕様'!D244*('01_入力仕様'!D243/F491)^0.3</f>
        <v>3.5000000000000003E-2</v>
      </c>
      <c r="G490" s="1" t="s">
        <v>229</v>
      </c>
      <c r="H490" s="1">
        <f t="shared" si="57"/>
        <v>3.5000000000000003E-2</v>
      </c>
      <c r="I490" s="1" t="s">
        <v>2427</v>
      </c>
      <c r="J490" s="1">
        <f>F490/F175</f>
        <v>0.1111111111111111</v>
      </c>
      <c r="K490" s="1">
        <f>K175*J490</f>
        <v>2.8139399703196438E-3</v>
      </c>
      <c r="L490" s="1" t="str">
        <f t="shared" si="58"/>
        <v>増加→総重量増</v>
      </c>
      <c r="M490" s="1" t="s">
        <v>1474</v>
      </c>
      <c r="N490" s="1"/>
      <c r="O490" s="1">
        <f t="shared" si="54"/>
        <v>0</v>
      </c>
      <c r="P490" s="1"/>
      <c r="Q490" s="1">
        <f t="shared" si="59"/>
        <v>1</v>
      </c>
      <c r="R490" s="1">
        <f>IF(Q490=1,COUNTIF($Q$5:Q490,1),"")</f>
        <v>341</v>
      </c>
    </row>
    <row r="491" spans="1:18">
      <c r="A491" s="1" t="s">
        <v>2428</v>
      </c>
      <c r="B491" s="1" t="s">
        <v>2425</v>
      </c>
      <c r="C491" s="1">
        <v>3</v>
      </c>
      <c r="D491" s="1" t="s">
        <v>1013</v>
      </c>
      <c r="E491" s="1" t="s">
        <v>1014</v>
      </c>
      <c r="F491" s="1">
        <f>'01_入力仕様'!D242</f>
        <v>5.0000000000000001E-4</v>
      </c>
      <c r="G491" s="1" t="s">
        <v>1015</v>
      </c>
      <c r="H491" s="1">
        <f t="shared" si="57"/>
        <v>1.0500000000000001E-2</v>
      </c>
      <c r="I491" s="1" t="s">
        <v>1482</v>
      </c>
      <c r="J491" s="1">
        <f>-0.3</f>
        <v>-0.3</v>
      </c>
      <c r="K491" s="1">
        <f>K490*J491</f>
        <v>-8.4418199109589313E-4</v>
      </c>
      <c r="L491" s="1" t="str">
        <f t="shared" si="58"/>
        <v>増加→総重量減</v>
      </c>
      <c r="M491" s="1" t="s">
        <v>1474</v>
      </c>
      <c r="N491" s="1"/>
      <c r="O491" s="1">
        <f t="shared" si="54"/>
        <v>1</v>
      </c>
      <c r="P491" s="1"/>
      <c r="Q491" s="1">
        <f t="shared" si="59"/>
        <v>0</v>
      </c>
      <c r="R491" s="1" t="str">
        <f>IF(Q491=1,COUNTIF($Q$5:Q491,1),"")</f>
        <v/>
      </c>
    </row>
    <row r="492" spans="1:18">
      <c r="A492" s="1" t="s">
        <v>2429</v>
      </c>
      <c r="B492" s="1" t="s">
        <v>1850</v>
      </c>
      <c r="C492" s="1">
        <v>2</v>
      </c>
      <c r="D492" s="1" t="s">
        <v>2430</v>
      </c>
      <c r="E492" s="1" t="s">
        <v>1032</v>
      </c>
      <c r="F492" s="1">
        <f>IF(F493=1,-'01_入力仕様'!D247,IF(F493=2,'01_入力仕様'!D246,0))</f>
        <v>0</v>
      </c>
      <c r="G492" s="1" t="s">
        <v>229</v>
      </c>
      <c r="H492" s="1">
        <f t="shared" si="57"/>
        <v>0</v>
      </c>
      <c r="I492" s="1" t="s">
        <v>2431</v>
      </c>
      <c r="J492" s="1">
        <f>F492/F175</f>
        <v>0</v>
      </c>
      <c r="K492" s="1">
        <f>K175*J492</f>
        <v>0</v>
      </c>
      <c r="L492" s="1" t="str">
        <f t="shared" si="58"/>
        <v>中立</v>
      </c>
      <c r="M492" s="1" t="s">
        <v>1474</v>
      </c>
      <c r="N492" s="1"/>
      <c r="O492" s="1">
        <f t="shared" si="54"/>
        <v>0</v>
      </c>
      <c r="P492" s="1"/>
      <c r="Q492" s="1">
        <f t="shared" si="59"/>
        <v>1</v>
      </c>
      <c r="R492" s="1">
        <f>IF(Q492=1,COUNTIF($Q$5:Q492,1),"")</f>
        <v>342</v>
      </c>
    </row>
    <row r="493" spans="1:18" ht="28.5">
      <c r="A493" s="1" t="s">
        <v>2432</v>
      </c>
      <c r="B493" s="1" t="s">
        <v>2429</v>
      </c>
      <c r="C493" s="1">
        <v>3</v>
      </c>
      <c r="D493" s="1" t="s">
        <v>1025</v>
      </c>
      <c r="E493" s="1" t="s">
        <v>1026</v>
      </c>
      <c r="F493" s="1">
        <f>'01_入力仕様'!D245</f>
        <v>0</v>
      </c>
      <c r="G493" s="1" t="s">
        <v>1027</v>
      </c>
      <c r="H493" s="1">
        <f t="shared" si="57"/>
        <v>0</v>
      </c>
      <c r="I493" s="1" t="s">
        <v>1482</v>
      </c>
      <c r="J493" s="1">
        <f>0</f>
        <v>0</v>
      </c>
      <c r="K493" s="1">
        <f>0</f>
        <v>0</v>
      </c>
      <c r="L493" s="1" t="str">
        <f t="shared" si="58"/>
        <v>中立</v>
      </c>
      <c r="M493" s="1" t="s">
        <v>1474</v>
      </c>
      <c r="N493" s="1" t="s">
        <v>2433</v>
      </c>
      <c r="O493" s="1">
        <f t="shared" si="54"/>
        <v>1</v>
      </c>
      <c r="P493" s="1"/>
      <c r="Q493" s="1">
        <f t="shared" si="59"/>
        <v>1</v>
      </c>
      <c r="R493" s="1">
        <f>IF(Q493=1,COUNTIF($Q$5:Q493,1),"")</f>
        <v>343</v>
      </c>
    </row>
    <row r="494" spans="1:18">
      <c r="A494" s="1" t="s">
        <v>2434</v>
      </c>
      <c r="B494" s="1" t="s">
        <v>1848</v>
      </c>
      <c r="C494" s="1">
        <v>2</v>
      </c>
      <c r="D494" s="1" t="s">
        <v>2435</v>
      </c>
      <c r="E494" s="1" t="s">
        <v>1044</v>
      </c>
      <c r="F494" s="1">
        <f>F495*'01_入力仕様'!D249+(1-F495)*'01_入力仕様'!D250</f>
        <v>0.09</v>
      </c>
      <c r="G494" s="1" t="s">
        <v>229</v>
      </c>
      <c r="H494" s="1">
        <f t="shared" si="57"/>
        <v>8.9999999999999983E-2</v>
      </c>
      <c r="I494" s="1" t="s">
        <v>2436</v>
      </c>
      <c r="J494" s="1">
        <f>IFERROR(F494/F174,0)</f>
        <v>0.16089871937526157</v>
      </c>
      <c r="K494" s="1">
        <f>K174*J494</f>
        <v>7.2358456379647967E-3</v>
      </c>
      <c r="L494" s="1" t="str">
        <f t="shared" si="58"/>
        <v>増加→総重量増</v>
      </c>
      <c r="M494" s="1" t="s">
        <v>1474</v>
      </c>
      <c r="N494" s="1"/>
      <c r="O494" s="1">
        <f t="shared" si="54"/>
        <v>0</v>
      </c>
      <c r="P494" s="1"/>
      <c r="Q494" s="1">
        <f t="shared" si="59"/>
        <v>1</v>
      </c>
      <c r="R494" s="1">
        <f>IF(Q494=1,COUNTIF($Q$5:Q494,1),"")</f>
        <v>344</v>
      </c>
    </row>
    <row r="495" spans="1:18">
      <c r="A495" s="1" t="s">
        <v>2437</v>
      </c>
      <c r="B495" s="1" t="s">
        <v>2434</v>
      </c>
      <c r="C495" s="1">
        <v>3</v>
      </c>
      <c r="D495" s="1" t="s">
        <v>2438</v>
      </c>
      <c r="E495" s="1" t="s">
        <v>1039</v>
      </c>
      <c r="F495" s="1">
        <f>'01_入力仕様'!D248</f>
        <v>1</v>
      </c>
      <c r="G495" s="1" t="s">
        <v>415</v>
      </c>
      <c r="H495" s="1">
        <f t="shared" si="57"/>
        <v>0.05</v>
      </c>
      <c r="I495" s="1" t="s">
        <v>1482</v>
      </c>
      <c r="J495" s="1">
        <f>0</f>
        <v>0</v>
      </c>
      <c r="K495" s="1">
        <f>('01_入力仕様'!D249-'01_入力仕様'!D250)/$F$5</f>
        <v>4.0199142433137765E-3</v>
      </c>
      <c r="L495" s="1" t="str">
        <f t="shared" si="58"/>
        <v>増加→総重量増</v>
      </c>
      <c r="M495" s="1" t="s">
        <v>1474</v>
      </c>
      <c r="N495" s="1" t="s">
        <v>2439</v>
      </c>
      <c r="O495" s="1">
        <f t="shared" si="54"/>
        <v>1</v>
      </c>
      <c r="P495" s="1"/>
      <c r="Q495" s="1">
        <f t="shared" si="59"/>
        <v>1</v>
      </c>
      <c r="R495" s="1">
        <f>IF(Q495=1,COUNTIF($Q$5:Q495,1),"")</f>
        <v>345</v>
      </c>
    </row>
    <row r="496" spans="1:18">
      <c r="A496" s="1" t="s">
        <v>2440</v>
      </c>
      <c r="B496" s="1" t="s">
        <v>1848</v>
      </c>
      <c r="C496" s="1">
        <v>2</v>
      </c>
      <c r="D496" s="1" t="s">
        <v>2441</v>
      </c>
      <c r="E496" s="1" t="s">
        <v>2442</v>
      </c>
      <c r="F496" s="1">
        <f>F497*'01_入力仕様'!D252</f>
        <v>2.5000000000000001E-2</v>
      </c>
      <c r="G496" s="1" t="s">
        <v>229</v>
      </c>
      <c r="H496" s="1">
        <f t="shared" si="57"/>
        <v>2.5000000000000001E-2</v>
      </c>
      <c r="I496" s="1" t="s">
        <v>2443</v>
      </c>
      <c r="J496" s="1">
        <f>IFERROR(F496/F174,0)</f>
        <v>4.4694088715350438E-2</v>
      </c>
      <c r="K496" s="1">
        <f>K174*J496</f>
        <v>2.0099571216568883E-3</v>
      </c>
      <c r="L496" s="1" t="str">
        <f t="shared" si="58"/>
        <v>増加→総重量増</v>
      </c>
      <c r="M496" s="1" t="s">
        <v>1474</v>
      </c>
      <c r="N496" s="1"/>
      <c r="O496" s="1">
        <f t="shared" si="54"/>
        <v>0</v>
      </c>
      <c r="P496" s="1"/>
      <c r="Q496" s="1">
        <f t="shared" si="59"/>
        <v>1</v>
      </c>
      <c r="R496" s="1">
        <f>IF(Q496=1,COUNTIF($Q$5:Q496,1),"")</f>
        <v>346</v>
      </c>
    </row>
    <row r="497" spans="1:18">
      <c r="A497" s="1" t="s">
        <v>2444</v>
      </c>
      <c r="B497" s="1" t="s">
        <v>2440</v>
      </c>
      <c r="C497" s="1">
        <v>3</v>
      </c>
      <c r="D497" s="1" t="s">
        <v>2445</v>
      </c>
      <c r="E497" s="1" t="s">
        <v>1051</v>
      </c>
      <c r="F497" s="1">
        <f>'01_入力仕様'!D251</f>
        <v>1</v>
      </c>
      <c r="G497" s="1" t="s">
        <v>415</v>
      </c>
      <c r="H497" s="1">
        <f t="shared" si="57"/>
        <v>2.5000000000000001E-2</v>
      </c>
      <c r="I497" s="1" t="s">
        <v>1482</v>
      </c>
      <c r="J497" s="1">
        <f>0</f>
        <v>0</v>
      </c>
      <c r="K497" s="1">
        <f>'01_入力仕様'!D252/$F$5</f>
        <v>2.0099571216568883E-3</v>
      </c>
      <c r="L497" s="1" t="str">
        <f t="shared" si="58"/>
        <v>増加→総重量増</v>
      </c>
      <c r="M497" s="1" t="s">
        <v>1474</v>
      </c>
      <c r="N497" s="1" t="s">
        <v>2446</v>
      </c>
      <c r="O497" s="1">
        <f t="shared" si="54"/>
        <v>1</v>
      </c>
      <c r="P497" s="1"/>
      <c r="Q497" s="1">
        <f t="shared" si="59"/>
        <v>1</v>
      </c>
      <c r="R497" s="1">
        <f>IF(Q497=1,COUNTIF($Q$5:Q497,1),"")</f>
        <v>347</v>
      </c>
    </row>
    <row r="498" spans="1:18">
      <c r="A498" s="1"/>
      <c r="B498" s="1"/>
      <c r="C498" s="1"/>
      <c r="D498" s="1"/>
      <c r="E498" s="1"/>
      <c r="F498" s="1"/>
      <c r="G498" s="1"/>
      <c r="H498" s="1"/>
      <c r="I498" s="1"/>
      <c r="J498" s="1"/>
      <c r="K498" s="1"/>
      <c r="L498" s="1"/>
      <c r="M498" s="1"/>
      <c r="N498" s="1"/>
      <c r="O498" s="1" t="str">
        <f t="shared" si="54"/>
        <v/>
      </c>
      <c r="P498" s="1"/>
      <c r="Q498" s="1"/>
      <c r="R498" s="1"/>
    </row>
    <row r="499" spans="1:18">
      <c r="A499" s="1"/>
      <c r="B499" s="1"/>
      <c r="C499" s="1"/>
      <c r="D499" s="1"/>
      <c r="E499" s="1"/>
      <c r="F499" s="1"/>
      <c r="G499" s="1"/>
      <c r="H499" s="1"/>
      <c r="I499" s="1"/>
      <c r="J499" s="1"/>
      <c r="K499" s="1"/>
      <c r="L499" s="1"/>
      <c r="M499" s="1"/>
      <c r="N499" s="1"/>
      <c r="O499" s="1" t="str">
        <f t="shared" si="54"/>
        <v/>
      </c>
      <c r="P499" s="1"/>
      <c r="Q499" s="1"/>
      <c r="R499" s="1"/>
    </row>
    <row r="500" spans="1:18">
      <c r="A500" s="1"/>
      <c r="B500" s="1"/>
      <c r="C500" s="1"/>
      <c r="D500" s="1"/>
      <c r="E500" s="1"/>
      <c r="F500" s="1"/>
      <c r="G500" s="1"/>
      <c r="H500" s="1"/>
      <c r="I500" s="1"/>
      <c r="J500" s="1"/>
      <c r="K500" s="1"/>
      <c r="L500" s="1"/>
      <c r="M500" s="1"/>
      <c r="N500" s="1"/>
      <c r="O500" s="1" t="str">
        <f t="shared" si="54"/>
        <v/>
      </c>
      <c r="P500" s="1"/>
      <c r="Q500" s="1"/>
      <c r="R500" s="1"/>
    </row>
    <row r="501" spans="1:18">
      <c r="A501" s="1"/>
      <c r="B501" s="1"/>
      <c r="C501" s="1"/>
      <c r="D501" s="1"/>
      <c r="E501" s="1"/>
      <c r="F501" s="1"/>
      <c r="G501" s="1"/>
      <c r="H501" s="1"/>
      <c r="I501" s="1"/>
      <c r="J501" s="1"/>
      <c r="K501" s="1"/>
      <c r="L501" s="1"/>
      <c r="M501" s="1"/>
      <c r="N501" s="1"/>
      <c r="O501" s="1" t="str">
        <f t="shared" si="54"/>
        <v/>
      </c>
      <c r="P501" s="1"/>
      <c r="Q501" s="1"/>
      <c r="R501" s="1"/>
    </row>
    <row r="502" spans="1:18">
      <c r="A502" s="1" t="s">
        <v>2447</v>
      </c>
      <c r="B502" s="1" t="s">
        <v>1848</v>
      </c>
      <c r="C502" s="1">
        <v>2</v>
      </c>
      <c r="D502" s="1" t="s">
        <v>2448</v>
      </c>
      <c r="E502" s="1" t="s">
        <v>1070</v>
      </c>
      <c r="F502" s="1">
        <f>F503*'01_入力仕様'!D256</f>
        <v>0</v>
      </c>
      <c r="G502" s="1" t="s">
        <v>229</v>
      </c>
      <c r="H502" s="1">
        <f t="shared" ref="H502:H543" si="60">ABS(K502)*$F$5</f>
        <v>0</v>
      </c>
      <c r="I502" s="1" t="s">
        <v>2449</v>
      </c>
      <c r="J502" s="1">
        <f>IFERROR(F502/F174,0)</f>
        <v>0</v>
      </c>
      <c r="K502" s="1">
        <f>K174*J502</f>
        <v>0</v>
      </c>
      <c r="L502" s="1" t="str">
        <f t="shared" ref="L502:L527" si="61">IF(K502&gt;0,"増加→総重量増",IF(K502&lt;0,"増加→総重量減","中立"))</f>
        <v>中立</v>
      </c>
      <c r="M502" s="1" t="s">
        <v>1474</v>
      </c>
      <c r="N502" s="1"/>
      <c r="O502" s="1">
        <f t="shared" si="54"/>
        <v>0</v>
      </c>
      <c r="P502" s="1"/>
      <c r="Q502" s="1">
        <f t="shared" ref="Q502:Q543" si="62">IF(E502="","",--(MATCH(E502,$E$5:$E$560,0)=ROW()-4))</f>
        <v>1</v>
      </c>
      <c r="R502" s="1">
        <f>IF(Q502=1,COUNTIF($Q$5:Q502,1),"")</f>
        <v>348</v>
      </c>
    </row>
    <row r="503" spans="1:18">
      <c r="A503" s="1" t="s">
        <v>2450</v>
      </c>
      <c r="B503" s="1" t="s">
        <v>2447</v>
      </c>
      <c r="C503" s="1">
        <v>3</v>
      </c>
      <c r="D503" s="1" t="s">
        <v>1061</v>
      </c>
      <c r="E503" s="1" t="s">
        <v>1062</v>
      </c>
      <c r="F503" s="1">
        <f>'01_入力仕様'!D254</f>
        <v>0</v>
      </c>
      <c r="G503" s="1" t="s">
        <v>415</v>
      </c>
      <c r="H503" s="1">
        <f t="shared" si="60"/>
        <v>3.5000000000000003E-2</v>
      </c>
      <c r="I503" s="1" t="s">
        <v>1482</v>
      </c>
      <c r="J503" s="1">
        <f>0</f>
        <v>0</v>
      </c>
      <c r="K503" s="1">
        <f>'01_入力仕様'!D256/$F$5</f>
        <v>2.8139399703196438E-3</v>
      </c>
      <c r="L503" s="1" t="str">
        <f t="shared" si="61"/>
        <v>増加→総重量増</v>
      </c>
      <c r="M503" s="1" t="s">
        <v>1474</v>
      </c>
      <c r="N503" s="1" t="s">
        <v>2451</v>
      </c>
      <c r="O503" s="1">
        <f t="shared" si="54"/>
        <v>1</v>
      </c>
      <c r="P503" s="1"/>
      <c r="Q503" s="1">
        <f t="shared" si="62"/>
        <v>1</v>
      </c>
      <c r="R503" s="1">
        <f>IF(Q503=1,COUNTIF($Q$5:Q503,1),"")</f>
        <v>349</v>
      </c>
    </row>
    <row r="504" spans="1:18">
      <c r="A504" s="1" t="s">
        <v>2452</v>
      </c>
      <c r="B504" s="1" t="s">
        <v>1553</v>
      </c>
      <c r="C504" s="1">
        <v>4</v>
      </c>
      <c r="D504" s="1" t="s">
        <v>2453</v>
      </c>
      <c r="E504" s="1" t="s">
        <v>2454</v>
      </c>
      <c r="F504" s="1">
        <f>F505*'01_入力仕様'!D257</f>
        <v>0</v>
      </c>
      <c r="G504" s="1" t="s">
        <v>984</v>
      </c>
      <c r="H504" s="1">
        <f t="shared" si="60"/>
        <v>0</v>
      </c>
      <c r="I504" s="1" t="s">
        <v>2406</v>
      </c>
      <c r="J504" s="1">
        <f>IFERROR(F504/(F38+F444+F471+F479+F488+F504+F516+F534+F569+F595+F675),0)</f>
        <v>0</v>
      </c>
      <c r="K504" s="1">
        <f>K36*J504</f>
        <v>0</v>
      </c>
      <c r="L504" s="1" t="str">
        <f t="shared" si="61"/>
        <v>中立</v>
      </c>
      <c r="M504" s="1" t="s">
        <v>1474</v>
      </c>
      <c r="N504" s="1"/>
      <c r="O504" s="1">
        <f t="shared" si="54"/>
        <v>0</v>
      </c>
      <c r="P504" s="1"/>
      <c r="Q504" s="1">
        <f t="shared" si="62"/>
        <v>1</v>
      </c>
      <c r="R504" s="1">
        <f>IF(Q504=1,COUNTIF($Q$5:Q504,1),"")</f>
        <v>350</v>
      </c>
    </row>
    <row r="505" spans="1:18">
      <c r="A505" s="1" t="s">
        <v>2455</v>
      </c>
      <c r="B505" s="1" t="s">
        <v>2452</v>
      </c>
      <c r="C505" s="1">
        <v>5</v>
      </c>
      <c r="D505" s="1" t="s">
        <v>1061</v>
      </c>
      <c r="E505" s="1" t="s">
        <v>1062</v>
      </c>
      <c r="F505" s="1">
        <f>'01_入力仕様'!D254</f>
        <v>0</v>
      </c>
      <c r="G505" s="1" t="s">
        <v>415</v>
      </c>
      <c r="H505" s="1">
        <f t="shared" si="60"/>
        <v>4.2082914259807458E-3</v>
      </c>
      <c r="I505" s="1" t="s">
        <v>1482</v>
      </c>
      <c r="J505" s="1">
        <f>0</f>
        <v>0</v>
      </c>
      <c r="K505" s="1">
        <f>K36*'01_入力仕様'!D257/(F38+F444+F471+F479+F488+0.000000000001)</f>
        <v>3.3833941286630484E-4</v>
      </c>
      <c r="L505" s="1" t="str">
        <f t="shared" si="61"/>
        <v>増加→総重量増</v>
      </c>
      <c r="M505" s="1" t="s">
        <v>1474</v>
      </c>
      <c r="N505" s="1" t="s">
        <v>2456</v>
      </c>
      <c r="O505" s="1">
        <f t="shared" si="54"/>
        <v>1</v>
      </c>
      <c r="P505" s="1"/>
      <c r="Q505" s="1">
        <f t="shared" si="62"/>
        <v>0</v>
      </c>
      <c r="R505" s="1" t="str">
        <f>IF(Q505=1,COUNTIF($Q$5:Q505,1),"")</f>
        <v/>
      </c>
    </row>
    <row r="506" spans="1:18" ht="28.5">
      <c r="A506" s="1" t="s">
        <v>2457</v>
      </c>
      <c r="B506" s="1" t="s">
        <v>1756</v>
      </c>
      <c r="C506" s="1">
        <v>2</v>
      </c>
      <c r="D506" s="1" t="s">
        <v>2458</v>
      </c>
      <c r="E506" s="1" t="s">
        <v>1082</v>
      </c>
      <c r="F506" s="1">
        <f>'01_入力仕様'!D261*F507/800*(1-F508*'01_入力仕様'!D259)*(1-F513*'01_入力仕様'!D264)</f>
        <v>0.18</v>
      </c>
      <c r="G506" s="1" t="s">
        <v>229</v>
      </c>
      <c r="H506" s="1">
        <f t="shared" si="60"/>
        <v>0.18000000000000002</v>
      </c>
      <c r="I506" s="1" t="s">
        <v>2459</v>
      </c>
      <c r="J506" s="1">
        <f>IFERROR(F506/F129,0)</f>
        <v>7.6494912069435136E-2</v>
      </c>
      <c r="K506" s="1">
        <f>K129*J506</f>
        <v>1.4471691275929597E-2</v>
      </c>
      <c r="L506" s="1" t="str">
        <f t="shared" si="61"/>
        <v>増加→総重量増</v>
      </c>
      <c r="M506" s="1" t="s">
        <v>1474</v>
      </c>
      <c r="N506" s="1"/>
      <c r="O506" s="1">
        <f t="shared" si="54"/>
        <v>0</v>
      </c>
      <c r="P506" s="1"/>
      <c r="Q506" s="1">
        <f t="shared" si="62"/>
        <v>1</v>
      </c>
      <c r="R506" s="1">
        <f>IF(Q506=1,COUNTIF($Q$5:Q506,1),"")</f>
        <v>351</v>
      </c>
    </row>
    <row r="507" spans="1:18">
      <c r="A507" s="1" t="s">
        <v>2460</v>
      </c>
      <c r="B507" s="1" t="s">
        <v>2457</v>
      </c>
      <c r="C507" s="1">
        <v>3</v>
      </c>
      <c r="D507" s="1" t="s">
        <v>71</v>
      </c>
      <c r="E507" s="1" t="s">
        <v>72</v>
      </c>
      <c r="F507" s="1">
        <f>'01_入力仕様'!D6</f>
        <v>800</v>
      </c>
      <c r="G507" s="1" t="s">
        <v>73</v>
      </c>
      <c r="H507" s="1">
        <f t="shared" si="60"/>
        <v>0.18000000000000002</v>
      </c>
      <c r="I507" s="1" t="s">
        <v>1482</v>
      </c>
      <c r="J507" s="1">
        <f>1</f>
        <v>1</v>
      </c>
      <c r="K507" s="1">
        <f>K506*J507</f>
        <v>1.4471691275929597E-2</v>
      </c>
      <c r="L507" s="1" t="str">
        <f t="shared" si="61"/>
        <v>増加→総重量増</v>
      </c>
      <c r="M507" s="1" t="s">
        <v>1474</v>
      </c>
      <c r="N507" s="1"/>
      <c r="O507" s="1">
        <f t="shared" si="54"/>
        <v>1</v>
      </c>
      <c r="P507" s="1"/>
      <c r="Q507" s="1">
        <f t="shared" si="62"/>
        <v>0</v>
      </c>
      <c r="R507" s="1" t="str">
        <f>IF(Q507=1,COUNTIF($Q$5:Q507,1),"")</f>
        <v/>
      </c>
    </row>
    <row r="508" spans="1:18">
      <c r="A508" s="1" t="s">
        <v>2461</v>
      </c>
      <c r="B508" s="1" t="s">
        <v>2457</v>
      </c>
      <c r="C508" s="1">
        <v>3</v>
      </c>
      <c r="D508" s="1" t="s">
        <v>1076</v>
      </c>
      <c r="E508" s="1" t="s">
        <v>1077</v>
      </c>
      <c r="F508" s="1">
        <f>'01_入力仕様'!D258</f>
        <v>0</v>
      </c>
      <c r="G508" s="1" t="s">
        <v>415</v>
      </c>
      <c r="H508" s="1">
        <f t="shared" si="60"/>
        <v>5.3999999999999999E-2</v>
      </c>
      <c r="I508" s="1" t="s">
        <v>1482</v>
      </c>
      <c r="J508" s="1">
        <f>0</f>
        <v>0</v>
      </c>
      <c r="K508" s="1">
        <f>-K506*'01_入力仕様'!D259</f>
        <v>-4.3415073827788786E-3</v>
      </c>
      <c r="L508" s="1" t="str">
        <f t="shared" si="61"/>
        <v>増加→総重量減</v>
      </c>
      <c r="M508" s="1" t="s">
        <v>1474</v>
      </c>
      <c r="N508" s="1" t="s">
        <v>2462</v>
      </c>
      <c r="O508" s="1">
        <f t="shared" si="54"/>
        <v>1</v>
      </c>
      <c r="P508" s="1"/>
      <c r="Q508" s="1">
        <f t="shared" si="62"/>
        <v>1</v>
      </c>
      <c r="R508" s="1">
        <f>IF(Q508=1,COUNTIF($Q$5:Q508,1),"")</f>
        <v>352</v>
      </c>
    </row>
    <row r="509" spans="1:18">
      <c r="A509" s="1" t="s">
        <v>2463</v>
      </c>
      <c r="B509" s="1" t="s">
        <v>1756</v>
      </c>
      <c r="C509" s="1">
        <v>2</v>
      </c>
      <c r="D509" s="1" t="s">
        <v>1084</v>
      </c>
      <c r="E509" s="1" t="s">
        <v>2464</v>
      </c>
      <c r="F509" s="1">
        <f>F510*'01_入力仕様'!D260</f>
        <v>0</v>
      </c>
      <c r="G509" s="1" t="s">
        <v>229</v>
      </c>
      <c r="H509" s="1">
        <f t="shared" si="60"/>
        <v>0</v>
      </c>
      <c r="I509" s="1" t="s">
        <v>2465</v>
      </c>
      <c r="J509" s="1">
        <f>IFERROR(F509/F129,0)</f>
        <v>0</v>
      </c>
      <c r="K509" s="1">
        <f>K129*J509</f>
        <v>0</v>
      </c>
      <c r="L509" s="1" t="str">
        <f t="shared" si="61"/>
        <v>中立</v>
      </c>
      <c r="M509" s="1" t="s">
        <v>1474</v>
      </c>
      <c r="N509" s="1"/>
      <c r="O509" s="1">
        <f t="shared" si="54"/>
        <v>0</v>
      </c>
      <c r="P509" s="1"/>
      <c r="Q509" s="1">
        <f t="shared" si="62"/>
        <v>1</v>
      </c>
      <c r="R509" s="1">
        <f>IF(Q509=1,COUNTIF($Q$5:Q509,1),"")</f>
        <v>353</v>
      </c>
    </row>
    <row r="510" spans="1:18">
      <c r="A510" s="1" t="s">
        <v>2466</v>
      </c>
      <c r="B510" s="1" t="s">
        <v>2463</v>
      </c>
      <c r="C510" s="1">
        <v>3</v>
      </c>
      <c r="D510" s="1" t="s">
        <v>1076</v>
      </c>
      <c r="E510" s="1" t="s">
        <v>1077</v>
      </c>
      <c r="F510" s="1">
        <f>'01_入力仕様'!D258</f>
        <v>0</v>
      </c>
      <c r="G510" s="1" t="s">
        <v>415</v>
      </c>
      <c r="H510" s="1">
        <f t="shared" si="60"/>
        <v>6.0000000000000005E-2</v>
      </c>
      <c r="I510" s="1" t="s">
        <v>1482</v>
      </c>
      <c r="J510" s="1">
        <f>0</f>
        <v>0</v>
      </c>
      <c r="K510" s="1">
        <f>'01_入力仕様'!D260/$F$5</f>
        <v>4.823897091976532E-3</v>
      </c>
      <c r="L510" s="1" t="str">
        <f t="shared" si="61"/>
        <v>増加→総重量増</v>
      </c>
      <c r="M510" s="1" t="s">
        <v>1474</v>
      </c>
      <c r="N510" s="1" t="s">
        <v>2451</v>
      </c>
      <c r="O510" s="1">
        <f t="shared" si="54"/>
        <v>1</v>
      </c>
      <c r="P510" s="1"/>
      <c r="Q510" s="1">
        <f t="shared" si="62"/>
        <v>0</v>
      </c>
      <c r="R510" s="1" t="str">
        <f>IF(Q510=1,COUNTIF($Q$5:Q510,1),"")</f>
        <v/>
      </c>
    </row>
    <row r="511" spans="1:18">
      <c r="A511" s="1" t="s">
        <v>2467</v>
      </c>
      <c r="B511" s="1" t="s">
        <v>1756</v>
      </c>
      <c r="C511" s="1">
        <v>2</v>
      </c>
      <c r="D511" s="1" t="s">
        <v>1095</v>
      </c>
      <c r="E511" s="1" t="s">
        <v>1097</v>
      </c>
      <c r="F511" s="1">
        <f>F512*'01_入力仕様'!D263</f>
        <v>0</v>
      </c>
      <c r="G511" s="1" t="s">
        <v>229</v>
      </c>
      <c r="H511" s="1">
        <f t="shared" si="60"/>
        <v>0</v>
      </c>
      <c r="I511" s="1" t="s">
        <v>2468</v>
      </c>
      <c r="J511" s="1">
        <f>IFERROR(F511/F129,0)</f>
        <v>0</v>
      </c>
      <c r="K511" s="1">
        <f>K129*J511</f>
        <v>0</v>
      </c>
      <c r="L511" s="1" t="str">
        <f t="shared" si="61"/>
        <v>中立</v>
      </c>
      <c r="M511" s="1" t="s">
        <v>1474</v>
      </c>
      <c r="N511" s="1"/>
      <c r="O511" s="1">
        <f t="shared" si="54"/>
        <v>0</v>
      </c>
      <c r="P511" s="1"/>
      <c r="Q511" s="1">
        <f t="shared" si="62"/>
        <v>1</v>
      </c>
      <c r="R511" s="1">
        <f>IF(Q511=1,COUNTIF($Q$5:Q511,1),"")</f>
        <v>354</v>
      </c>
    </row>
    <row r="512" spans="1:18">
      <c r="A512" s="1" t="s">
        <v>2469</v>
      </c>
      <c r="B512" s="1" t="s">
        <v>2467</v>
      </c>
      <c r="C512" s="1">
        <v>3</v>
      </c>
      <c r="D512" s="1" t="s">
        <v>1091</v>
      </c>
      <c r="E512" s="1" t="s">
        <v>1092</v>
      </c>
      <c r="F512" s="1">
        <f>'01_入力仕様'!D262</f>
        <v>0</v>
      </c>
      <c r="G512" s="1" t="s">
        <v>415</v>
      </c>
      <c r="H512" s="1">
        <f t="shared" si="60"/>
        <v>0.21999999999999997</v>
      </c>
      <c r="I512" s="1" t="s">
        <v>1482</v>
      </c>
      <c r="J512" s="1">
        <f>0</f>
        <v>0</v>
      </c>
      <c r="K512" s="1">
        <f>'01_入力仕様'!D263/$F$5</f>
        <v>1.7687622670580615E-2</v>
      </c>
      <c r="L512" s="1" t="str">
        <f t="shared" si="61"/>
        <v>増加→総重量増</v>
      </c>
      <c r="M512" s="1" t="s">
        <v>1474</v>
      </c>
      <c r="N512" s="1" t="s">
        <v>2451</v>
      </c>
      <c r="O512" s="1">
        <f t="shared" si="54"/>
        <v>1</v>
      </c>
      <c r="P512" s="1"/>
      <c r="Q512" s="1">
        <f t="shared" si="62"/>
        <v>1</v>
      </c>
      <c r="R512" s="1">
        <f>IF(Q512=1,COUNTIF($Q$5:Q512,1),"")</f>
        <v>355</v>
      </c>
    </row>
    <row r="513" spans="1:18">
      <c r="A513" s="1" t="s">
        <v>2470</v>
      </c>
      <c r="B513" s="1" t="s">
        <v>2457</v>
      </c>
      <c r="C513" s="1">
        <v>3</v>
      </c>
      <c r="D513" s="1" t="s">
        <v>1091</v>
      </c>
      <c r="E513" s="1" t="s">
        <v>1092</v>
      </c>
      <c r="F513" s="1">
        <f>'01_入力仕様'!D262</f>
        <v>0</v>
      </c>
      <c r="G513" s="1" t="s">
        <v>415</v>
      </c>
      <c r="H513" s="1">
        <f t="shared" si="60"/>
        <v>8.1000000000000016E-2</v>
      </c>
      <c r="I513" s="1" t="s">
        <v>1482</v>
      </c>
      <c r="J513" s="1">
        <f>0</f>
        <v>0</v>
      </c>
      <c r="K513" s="1">
        <f>-K506*'01_入力仕様'!D264</f>
        <v>-6.5122610741683191E-3</v>
      </c>
      <c r="L513" s="1" t="str">
        <f t="shared" si="61"/>
        <v>増加→総重量減</v>
      </c>
      <c r="M513" s="1" t="s">
        <v>1474</v>
      </c>
      <c r="N513" s="1" t="s">
        <v>2462</v>
      </c>
      <c r="O513" s="1">
        <f t="shared" si="54"/>
        <v>1</v>
      </c>
      <c r="P513" s="1"/>
      <c r="Q513" s="1">
        <f t="shared" si="62"/>
        <v>0</v>
      </c>
      <c r="R513" s="1" t="str">
        <f>IF(Q513=1,COUNTIF($Q$5:Q513,1),"")</f>
        <v/>
      </c>
    </row>
    <row r="514" spans="1:18">
      <c r="A514" s="1" t="s">
        <v>2471</v>
      </c>
      <c r="B514" s="1" t="s">
        <v>1550</v>
      </c>
      <c r="C514" s="1">
        <v>3</v>
      </c>
      <c r="D514" s="1" t="s">
        <v>1102</v>
      </c>
      <c r="E514" s="1" t="s">
        <v>2472</v>
      </c>
      <c r="F514" s="1">
        <f>1+F515*'01_入力仕様'!D265</f>
        <v>1</v>
      </c>
      <c r="G514" s="1" t="s">
        <v>86</v>
      </c>
      <c r="H514" s="1">
        <f t="shared" si="60"/>
        <v>1.6887823087049829E-2</v>
      </c>
      <c r="I514" s="1" t="s">
        <v>2473</v>
      </c>
      <c r="J514" s="1">
        <f>1</f>
        <v>1</v>
      </c>
      <c r="K514" s="1">
        <f>K35*J514</f>
        <v>1.3577520113238967E-3</v>
      </c>
      <c r="L514" s="1" t="str">
        <f t="shared" si="61"/>
        <v>増加→総重量増</v>
      </c>
      <c r="M514" s="1" t="s">
        <v>1474</v>
      </c>
      <c r="N514" s="1"/>
      <c r="O514" s="1">
        <f t="shared" si="54"/>
        <v>0</v>
      </c>
      <c r="P514" s="1"/>
      <c r="Q514" s="1">
        <f t="shared" si="62"/>
        <v>1</v>
      </c>
      <c r="R514" s="1">
        <f>IF(Q514=1,COUNTIF($Q$5:Q514,1),"")</f>
        <v>356</v>
      </c>
    </row>
    <row r="515" spans="1:18">
      <c r="A515" s="1" t="s">
        <v>2474</v>
      </c>
      <c r="B515" s="1" t="s">
        <v>2471</v>
      </c>
      <c r="C515" s="1">
        <v>4</v>
      </c>
      <c r="D515" s="1" t="s">
        <v>1091</v>
      </c>
      <c r="E515" s="1" t="s">
        <v>1092</v>
      </c>
      <c r="F515" s="1">
        <f>'01_入力仕様'!D262</f>
        <v>0</v>
      </c>
      <c r="G515" s="1" t="s">
        <v>415</v>
      </c>
      <c r="H515" s="1">
        <f t="shared" si="60"/>
        <v>1.3510258469639862E-3</v>
      </c>
      <c r="I515" s="1" t="s">
        <v>1482</v>
      </c>
      <c r="J515" s="1">
        <f>0</f>
        <v>0</v>
      </c>
      <c r="K515" s="1">
        <f>K514*'01_入力仕様'!D265</f>
        <v>1.0862016090591174E-4</v>
      </c>
      <c r="L515" s="1" t="str">
        <f t="shared" si="61"/>
        <v>増加→総重量増</v>
      </c>
      <c r="M515" s="1" t="s">
        <v>1474</v>
      </c>
      <c r="N515" s="1" t="s">
        <v>2475</v>
      </c>
      <c r="O515" s="1">
        <f t="shared" si="54"/>
        <v>1</v>
      </c>
      <c r="P515" s="1"/>
      <c r="Q515" s="1">
        <f t="shared" si="62"/>
        <v>0</v>
      </c>
      <c r="R515" s="1" t="str">
        <f>IF(Q515=1,COUNTIF($Q$5:Q515,1),"")</f>
        <v/>
      </c>
    </row>
    <row r="516" spans="1:18">
      <c r="A516" s="1" t="s">
        <v>2476</v>
      </c>
      <c r="B516" s="1" t="s">
        <v>1553</v>
      </c>
      <c r="C516" s="1">
        <v>4</v>
      </c>
      <c r="D516" s="1" t="s">
        <v>2477</v>
      </c>
      <c r="E516" s="1" t="s">
        <v>2478</v>
      </c>
      <c r="F516" s="1">
        <f>F332*(1/F517-1)</f>
        <v>5.3104390243902427E-2</v>
      </c>
      <c r="G516" s="1" t="s">
        <v>984</v>
      </c>
      <c r="H516" s="1">
        <f t="shared" si="60"/>
        <v>1.3836621920357487E-6</v>
      </c>
      <c r="I516" s="1" t="s">
        <v>2479</v>
      </c>
      <c r="J516" s="1">
        <f>IFERROR(F516/(F38+F444+F471+F479+F488+F504+F516+F534+F569+F595+F675),0)</f>
        <v>8.1932537124739842E-5</v>
      </c>
      <c r="K516" s="1">
        <f>K36*J516</f>
        <v>1.1124406707398535E-7</v>
      </c>
      <c r="L516" s="1" t="str">
        <f t="shared" si="61"/>
        <v>増加→総重量増</v>
      </c>
      <c r="M516" s="1" t="s">
        <v>1474</v>
      </c>
      <c r="N516" s="1"/>
      <c r="O516" s="1">
        <f t="shared" si="54"/>
        <v>0</v>
      </c>
      <c r="P516" s="1"/>
      <c r="Q516" s="1">
        <f t="shared" si="62"/>
        <v>1</v>
      </c>
      <c r="R516" s="1">
        <f>IF(Q516=1,COUNTIF($Q$5:Q516,1),"")</f>
        <v>357</v>
      </c>
    </row>
    <row r="517" spans="1:18">
      <c r="A517" s="1" t="s">
        <v>2480</v>
      </c>
      <c r="B517" s="1" t="s">
        <v>2476</v>
      </c>
      <c r="C517" s="1">
        <v>5</v>
      </c>
      <c r="D517" s="1" t="s">
        <v>1106</v>
      </c>
      <c r="E517" s="1" t="s">
        <v>1107</v>
      </c>
      <c r="F517" s="1">
        <f>'01_入力仕様'!D266</f>
        <v>0.82</v>
      </c>
      <c r="G517" s="1" t="s">
        <v>86</v>
      </c>
      <c r="H517" s="1">
        <f t="shared" si="60"/>
        <v>7.6870121779763798E-6</v>
      </c>
      <c r="I517" s="1" t="s">
        <v>1482</v>
      </c>
      <c r="J517" s="1">
        <f>-1/(1-'01_入力仕様'!D266)</f>
        <v>-5.5555555555555545</v>
      </c>
      <c r="K517" s="1">
        <f>K516*J517</f>
        <v>-6.1802259485547412E-7</v>
      </c>
      <c r="L517" s="1" t="str">
        <f t="shared" si="61"/>
        <v>増加→総重量減</v>
      </c>
      <c r="M517" s="1" t="s">
        <v>1474</v>
      </c>
      <c r="N517" s="1"/>
      <c r="O517" s="1">
        <f t="shared" ref="O517:O580" si="63">IF($A517="","",--(COUNTIF($B$5:$B$679,$A517)=0))</f>
        <v>1</v>
      </c>
      <c r="P517" s="1"/>
      <c r="Q517" s="1">
        <f t="shared" si="62"/>
        <v>1</v>
      </c>
      <c r="R517" s="1">
        <f>IF(Q517=1,COUNTIF($Q$5:Q517,1),"")</f>
        <v>358</v>
      </c>
    </row>
    <row r="518" spans="1:18">
      <c r="A518" s="1" t="s">
        <v>2481</v>
      </c>
      <c r="B518" s="1" t="s">
        <v>1848</v>
      </c>
      <c r="C518" s="1">
        <v>2</v>
      </c>
      <c r="D518" s="1" t="s">
        <v>2482</v>
      </c>
      <c r="E518" s="1" t="s">
        <v>1112</v>
      </c>
      <c r="F518" s="1">
        <f>'01_入力仕様'!D267*F332/F519</f>
        <v>5.900487804878049E-3</v>
      </c>
      <c r="G518" s="1" t="s">
        <v>229</v>
      </c>
      <c r="H518" s="1">
        <f t="shared" si="60"/>
        <v>5.900487804878049E-3</v>
      </c>
      <c r="I518" s="1" t="s">
        <v>2483</v>
      </c>
      <c r="J518" s="1">
        <f>IFERROR(F518/F174,0)</f>
        <v>1.0548677016602516E-2</v>
      </c>
      <c r="K518" s="1">
        <f>K174*J518</f>
        <v>4.7438909938657018E-4</v>
      </c>
      <c r="L518" s="1" t="str">
        <f t="shared" si="61"/>
        <v>増加→総重量増</v>
      </c>
      <c r="M518" s="1" t="s">
        <v>1474</v>
      </c>
      <c r="N518" s="1"/>
      <c r="O518" s="1">
        <f t="shared" si="63"/>
        <v>0</v>
      </c>
      <c r="P518" s="1"/>
      <c r="Q518" s="1">
        <f t="shared" si="62"/>
        <v>1</v>
      </c>
      <c r="R518" s="1">
        <f>IF(Q518=1,COUNTIF($Q$5:Q518,1),"")</f>
        <v>359</v>
      </c>
    </row>
    <row r="519" spans="1:18">
      <c r="A519" s="1" t="s">
        <v>2484</v>
      </c>
      <c r="B519" s="1" t="s">
        <v>2481</v>
      </c>
      <c r="C519" s="1">
        <v>3</v>
      </c>
      <c r="D519" s="1" t="s">
        <v>1106</v>
      </c>
      <c r="E519" s="1" t="s">
        <v>1107</v>
      </c>
      <c r="F519" s="1">
        <f>'01_入力仕様'!D266</f>
        <v>0.82</v>
      </c>
      <c r="G519" s="1" t="s">
        <v>86</v>
      </c>
      <c r="H519" s="1">
        <f t="shared" si="60"/>
        <v>5.900487804878049E-3</v>
      </c>
      <c r="I519" s="1" t="s">
        <v>1482</v>
      </c>
      <c r="J519" s="1">
        <f>-1</f>
        <v>-1</v>
      </c>
      <c r="K519" s="1">
        <f>K518*J519</f>
        <v>-4.7438909938657018E-4</v>
      </c>
      <c r="L519" s="1" t="str">
        <f t="shared" si="61"/>
        <v>増加→総重量減</v>
      </c>
      <c r="M519" s="1" t="s">
        <v>1474</v>
      </c>
      <c r="N519" s="1"/>
      <c r="O519" s="1">
        <f t="shared" si="63"/>
        <v>1</v>
      </c>
      <c r="P519" s="1"/>
      <c r="Q519" s="1">
        <f t="shared" si="62"/>
        <v>0</v>
      </c>
      <c r="R519" s="1" t="str">
        <f>IF(Q519=1,COUNTIF($Q$5:Q519,1),"")</f>
        <v/>
      </c>
    </row>
    <row r="520" spans="1:18">
      <c r="A520" s="1" t="s">
        <v>2485</v>
      </c>
      <c r="B520" s="1" t="s">
        <v>1854</v>
      </c>
      <c r="C520" s="1">
        <v>2</v>
      </c>
      <c r="D520" s="1" t="s">
        <v>1119</v>
      </c>
      <c r="E520" s="1" t="s">
        <v>1121</v>
      </c>
      <c r="F520" s="1">
        <f>F521*'01_入力仕様'!D269</f>
        <v>0.1</v>
      </c>
      <c r="G520" s="1" t="s">
        <v>229</v>
      </c>
      <c r="H520" s="1">
        <f t="shared" si="60"/>
        <v>0.1</v>
      </c>
      <c r="I520" s="1" t="s">
        <v>2486</v>
      </c>
      <c r="J520" s="1">
        <f>IFERROR(F520/F177,0)</f>
        <v>9.330799853278357E-2</v>
      </c>
      <c r="K520" s="1">
        <f>K177*J520</f>
        <v>8.0398284866275531E-3</v>
      </c>
      <c r="L520" s="1" t="str">
        <f t="shared" si="61"/>
        <v>増加→総重量増</v>
      </c>
      <c r="M520" s="1" t="s">
        <v>1474</v>
      </c>
      <c r="N520" s="1"/>
      <c r="O520" s="1">
        <f t="shared" si="63"/>
        <v>0</v>
      </c>
      <c r="P520" s="1"/>
      <c r="Q520" s="1">
        <f t="shared" si="62"/>
        <v>1</v>
      </c>
      <c r="R520" s="1">
        <f>IF(Q520=1,COUNTIF($Q$5:Q520,1),"")</f>
        <v>360</v>
      </c>
    </row>
    <row r="521" spans="1:18">
      <c r="A521" s="1" t="s">
        <v>2487</v>
      </c>
      <c r="B521" s="1" t="s">
        <v>2485</v>
      </c>
      <c r="C521" s="1">
        <v>3</v>
      </c>
      <c r="D521" s="1" t="s">
        <v>1115</v>
      </c>
      <c r="E521" s="1" t="s">
        <v>1116</v>
      </c>
      <c r="F521" s="1">
        <f>'01_入力仕様'!D268</f>
        <v>1</v>
      </c>
      <c r="G521" s="1" t="s">
        <v>415</v>
      </c>
      <c r="H521" s="1">
        <f t="shared" si="60"/>
        <v>0.1</v>
      </c>
      <c r="I521" s="1" t="s">
        <v>1482</v>
      </c>
      <c r="J521" s="1">
        <f>0</f>
        <v>0</v>
      </c>
      <c r="K521" s="1">
        <f>'01_入力仕様'!D269/$F$5</f>
        <v>8.0398284866275531E-3</v>
      </c>
      <c r="L521" s="1" t="str">
        <f t="shared" si="61"/>
        <v>増加→総重量増</v>
      </c>
      <c r="M521" s="1" t="s">
        <v>1474</v>
      </c>
      <c r="N521" s="1" t="s">
        <v>2451</v>
      </c>
      <c r="O521" s="1">
        <f t="shared" si="63"/>
        <v>1</v>
      </c>
      <c r="P521" s="1"/>
      <c r="Q521" s="1">
        <f t="shared" si="62"/>
        <v>1</v>
      </c>
      <c r="R521" s="1">
        <f>IF(Q521=1,COUNTIF($Q$5:Q521,1),"")</f>
        <v>361</v>
      </c>
    </row>
    <row r="522" spans="1:18">
      <c r="A522" s="1" t="s">
        <v>2488</v>
      </c>
      <c r="B522" s="1" t="s">
        <v>1854</v>
      </c>
      <c r="C522" s="1">
        <v>2</v>
      </c>
      <c r="D522" s="1" t="s">
        <v>2489</v>
      </c>
      <c r="E522" s="1" t="s">
        <v>1125</v>
      </c>
      <c r="F522" s="1">
        <f>'01_入力仕様'!D271*(1-F523*'01_入力仕様'!D270)</f>
        <v>0.27999999999999997</v>
      </c>
      <c r="G522" s="1" t="s">
        <v>229</v>
      </c>
      <c r="H522" s="1">
        <f t="shared" si="60"/>
        <v>0.27999999999999997</v>
      </c>
      <c r="I522" s="1" t="s">
        <v>2490</v>
      </c>
      <c r="J522" s="1">
        <f>IFERROR(F522/F177,0)</f>
        <v>0.26126239589179395</v>
      </c>
      <c r="K522" s="1">
        <f>K177*J522</f>
        <v>2.2511519762557147E-2</v>
      </c>
      <c r="L522" s="1" t="str">
        <f t="shared" si="61"/>
        <v>増加→総重量増</v>
      </c>
      <c r="M522" s="1" t="s">
        <v>1474</v>
      </c>
      <c r="N522" s="1"/>
      <c r="O522" s="1">
        <f t="shared" si="63"/>
        <v>0</v>
      </c>
      <c r="P522" s="1"/>
      <c r="Q522" s="1">
        <f t="shared" si="62"/>
        <v>1</v>
      </c>
      <c r="R522" s="1">
        <f>IF(Q522=1,COUNTIF($Q$5:Q522,1),"")</f>
        <v>362</v>
      </c>
    </row>
    <row r="523" spans="1:18">
      <c r="A523" s="1" t="s">
        <v>2491</v>
      </c>
      <c r="B523" s="1" t="s">
        <v>2488</v>
      </c>
      <c r="C523" s="1">
        <v>3</v>
      </c>
      <c r="D523" s="1" t="s">
        <v>1115</v>
      </c>
      <c r="E523" s="1" t="s">
        <v>1116</v>
      </c>
      <c r="F523" s="1">
        <f>'01_入力仕様'!D268</f>
        <v>1</v>
      </c>
      <c r="G523" s="1" t="s">
        <v>415</v>
      </c>
      <c r="H523" s="1">
        <f t="shared" si="60"/>
        <v>6.9999999999999993E-2</v>
      </c>
      <c r="I523" s="1" t="s">
        <v>1482</v>
      </c>
      <c r="J523" s="1">
        <f>0</f>
        <v>0</v>
      </c>
      <c r="K523" s="1">
        <f>-'01_入力仕様'!D271*'01_入力仕様'!D270/$F$5</f>
        <v>-5.6278799406392866E-3</v>
      </c>
      <c r="L523" s="1" t="str">
        <f t="shared" si="61"/>
        <v>増加→総重量減</v>
      </c>
      <c r="M523" s="1" t="s">
        <v>1474</v>
      </c>
      <c r="N523" s="1" t="s">
        <v>2492</v>
      </c>
      <c r="O523" s="1">
        <f t="shared" si="63"/>
        <v>1</v>
      </c>
      <c r="P523" s="1"/>
      <c r="Q523" s="1">
        <f t="shared" si="62"/>
        <v>0</v>
      </c>
      <c r="R523" s="1" t="str">
        <f>IF(Q523=1,COUNTIF($Q$5:Q523,1),"")</f>
        <v/>
      </c>
    </row>
    <row r="524" spans="1:18" ht="28.5">
      <c r="A524" s="1" t="s">
        <v>2493</v>
      </c>
      <c r="B524" s="1" t="s">
        <v>1854</v>
      </c>
      <c r="C524" s="1">
        <v>2</v>
      </c>
      <c r="D524" s="1" t="s">
        <v>2494</v>
      </c>
      <c r="E524" s="1" t="s">
        <v>2495</v>
      </c>
      <c r="F524" s="1">
        <f>F525+F532</f>
        <v>0.19171948356458662</v>
      </c>
      <c r="G524" s="1" t="s">
        <v>229</v>
      </c>
      <c r="H524" s="1">
        <f t="shared" si="60"/>
        <v>0.19171948356458665</v>
      </c>
      <c r="I524" s="1" t="s">
        <v>2496</v>
      </c>
      <c r="J524" s="1">
        <f>IFERROR(F524/F177,0)</f>
        <v>0.17888961291150474</v>
      </c>
      <c r="K524" s="1">
        <f>K177*J524</f>
        <v>1.5413917654040868E-2</v>
      </c>
      <c r="L524" s="1" t="str">
        <f t="shared" si="61"/>
        <v>増加→総重量増</v>
      </c>
      <c r="M524" s="1" t="s">
        <v>1474</v>
      </c>
      <c r="N524" s="1"/>
      <c r="O524" s="1">
        <f t="shared" si="63"/>
        <v>0</v>
      </c>
      <c r="P524" s="1"/>
      <c r="Q524" s="1">
        <f t="shared" si="62"/>
        <v>1</v>
      </c>
      <c r="R524" s="1">
        <f>IF(Q524=1,COUNTIF($Q$5:Q524,1),"")</f>
        <v>363</v>
      </c>
    </row>
    <row r="525" spans="1:18" ht="28.5">
      <c r="A525" s="1" t="s">
        <v>2497</v>
      </c>
      <c r="B525" s="1" t="s">
        <v>2493</v>
      </c>
      <c r="C525" s="1">
        <v>3</v>
      </c>
      <c r="D525" s="1" t="s">
        <v>2498</v>
      </c>
      <c r="E525" s="1" t="s">
        <v>1150</v>
      </c>
      <c r="F525" s="1">
        <f>'01_入力仕様'!D280*F530*((1-F531)+F531*'01_入力仕様'!D278)</f>
        <v>0.19171948356458662</v>
      </c>
      <c r="G525" s="1" t="s">
        <v>229</v>
      </c>
      <c r="H525" s="1">
        <f t="shared" si="60"/>
        <v>0.19171948356458665</v>
      </c>
      <c r="I525" s="1" t="s">
        <v>2499</v>
      </c>
      <c r="J525" s="1">
        <f>F525/F524</f>
        <v>1</v>
      </c>
      <c r="K525" s="1">
        <f>K524*J525</f>
        <v>1.5413917654040868E-2</v>
      </c>
      <c r="L525" s="1" t="str">
        <f t="shared" si="61"/>
        <v>増加→総重量増</v>
      </c>
      <c r="M525" s="1" t="s">
        <v>1474</v>
      </c>
      <c r="N525" s="1"/>
      <c r="O525" s="1">
        <f t="shared" si="63"/>
        <v>0</v>
      </c>
      <c r="P525" s="1"/>
      <c r="Q525" s="1">
        <f t="shared" si="62"/>
        <v>1</v>
      </c>
      <c r="R525" s="1">
        <f>IF(Q525=1,COUNTIF($Q$5:Q525,1),"")</f>
        <v>364</v>
      </c>
    </row>
    <row r="526" spans="1:18" ht="42.75">
      <c r="A526" s="1" t="s">
        <v>2500</v>
      </c>
      <c r="B526" s="1" t="s">
        <v>2501</v>
      </c>
      <c r="C526" s="1">
        <v>5</v>
      </c>
      <c r="D526" s="1" t="s">
        <v>2502</v>
      </c>
      <c r="E526" s="1" t="s">
        <v>1142</v>
      </c>
      <c r="F526" s="1">
        <f>F528/(F527*LN('01_入力仕様'!D6/F529))</f>
        <v>1168.3736876150028</v>
      </c>
      <c r="G526" s="1" t="s">
        <v>1015</v>
      </c>
      <c r="H526" s="1">
        <f t="shared" si="60"/>
        <v>0.19171948356458665</v>
      </c>
      <c r="I526" s="1" t="s">
        <v>2503</v>
      </c>
      <c r="J526" s="1">
        <f>-1</f>
        <v>-1</v>
      </c>
      <c r="K526" s="1">
        <f>K530*J526</f>
        <v>-1.5413917654040868E-2</v>
      </c>
      <c r="L526" s="1" t="str">
        <f t="shared" si="61"/>
        <v>増加→総重量減</v>
      </c>
      <c r="M526" s="1" t="s">
        <v>1474</v>
      </c>
      <c r="N526" s="1" t="s">
        <v>2504</v>
      </c>
      <c r="O526" s="1">
        <f t="shared" si="63"/>
        <v>0</v>
      </c>
      <c r="P526" s="1"/>
      <c r="Q526" s="1">
        <f t="shared" si="62"/>
        <v>1</v>
      </c>
      <c r="R526" s="1">
        <f>IF(Q526=1,COUNTIF($Q$5:Q526,1),"")</f>
        <v>365</v>
      </c>
    </row>
    <row r="527" spans="1:18">
      <c r="A527" s="1" t="s">
        <v>2505</v>
      </c>
      <c r="B527" s="1" t="s">
        <v>2500</v>
      </c>
      <c r="C527" s="1">
        <v>6</v>
      </c>
      <c r="D527" s="1" t="s">
        <v>2506</v>
      </c>
      <c r="E527" s="1" t="s">
        <v>2507</v>
      </c>
      <c r="F527" s="1">
        <f>F98/1000</f>
        <v>1.6521279407877342E-3</v>
      </c>
      <c r="G527" s="1" t="s">
        <v>762</v>
      </c>
      <c r="H527" s="1">
        <f t="shared" si="60"/>
        <v>0</v>
      </c>
      <c r="I527" s="1" t="s">
        <v>2508</v>
      </c>
      <c r="J527" s="1">
        <f>-1</f>
        <v>-1</v>
      </c>
      <c r="K527" s="1">
        <f>0</f>
        <v>0</v>
      </c>
      <c r="L527" s="1" t="str">
        <f t="shared" si="61"/>
        <v>中立</v>
      </c>
      <c r="M527" s="1" t="s">
        <v>1474</v>
      </c>
      <c r="N527" s="1"/>
      <c r="O527" s="1">
        <f t="shared" si="63"/>
        <v>1</v>
      </c>
      <c r="P527" s="1"/>
      <c r="Q527" s="1">
        <f t="shared" si="62"/>
        <v>1</v>
      </c>
      <c r="R527" s="1">
        <f>IF(Q527=1,COUNTIF($Q$5:Q527,1),"")</f>
        <v>366</v>
      </c>
    </row>
    <row r="528" spans="1:18">
      <c r="A528" s="1" t="s">
        <v>2509</v>
      </c>
      <c r="B528" s="1" t="s">
        <v>2500</v>
      </c>
      <c r="C528" s="1">
        <v>6</v>
      </c>
      <c r="D528" s="1" t="s">
        <v>2510</v>
      </c>
      <c r="E528" s="1" t="s">
        <v>1141</v>
      </c>
      <c r="F528" s="1">
        <f>'01_入力仕様'!D275</f>
        <v>5</v>
      </c>
      <c r="G528" s="1" t="s">
        <v>109</v>
      </c>
      <c r="H528" s="1">
        <f t="shared" si="60"/>
        <v>0</v>
      </c>
      <c r="I528" s="1" t="s">
        <v>1482</v>
      </c>
      <c r="J528" s="1">
        <f>0</f>
        <v>0</v>
      </c>
      <c r="K528" s="1">
        <f>0</f>
        <v>0</v>
      </c>
      <c r="L528" s="1" t="s">
        <v>1581</v>
      </c>
      <c r="M528" s="1" t="s">
        <v>1582</v>
      </c>
      <c r="N528" s="1" t="s">
        <v>2511</v>
      </c>
      <c r="O528" s="1">
        <f t="shared" si="63"/>
        <v>1</v>
      </c>
      <c r="P528" s="1"/>
      <c r="Q528" s="1">
        <f t="shared" si="62"/>
        <v>1</v>
      </c>
      <c r="R528" s="1">
        <f>IF(Q528=1,COUNTIF($Q$5:Q528,1),"")</f>
        <v>367</v>
      </c>
    </row>
    <row r="529" spans="1:18">
      <c r="A529" s="1" t="s">
        <v>2512</v>
      </c>
      <c r="B529" s="1" t="s">
        <v>2500</v>
      </c>
      <c r="C529" s="1">
        <v>6</v>
      </c>
      <c r="D529" s="1" t="s">
        <v>2513</v>
      </c>
      <c r="E529" s="1" t="s">
        <v>1144</v>
      </c>
      <c r="F529" s="1">
        <f>'01_入力仕様'!D276</f>
        <v>60</v>
      </c>
      <c r="G529" s="1" t="s">
        <v>73</v>
      </c>
      <c r="H529" s="1">
        <f t="shared" si="60"/>
        <v>0</v>
      </c>
      <c r="I529" s="1" t="s">
        <v>1482</v>
      </c>
      <c r="J529" s="1">
        <f>0</f>
        <v>0</v>
      </c>
      <c r="K529" s="1">
        <f>0</f>
        <v>0</v>
      </c>
      <c r="L529" s="1" t="s">
        <v>1581</v>
      </c>
      <c r="M529" s="1" t="s">
        <v>1582</v>
      </c>
      <c r="N529" s="1" t="s">
        <v>2511</v>
      </c>
      <c r="O529" s="1">
        <f t="shared" si="63"/>
        <v>1</v>
      </c>
      <c r="P529" s="1"/>
      <c r="Q529" s="1">
        <f t="shared" si="62"/>
        <v>1</v>
      </c>
      <c r="R529" s="1">
        <f>IF(Q529=1,COUNTIF($Q$5:Q529,1),"")</f>
        <v>368</v>
      </c>
    </row>
    <row r="530" spans="1:18">
      <c r="A530" s="1" t="s">
        <v>2501</v>
      </c>
      <c r="B530" s="1" t="s">
        <v>2497</v>
      </c>
      <c r="C530" s="1">
        <v>4</v>
      </c>
      <c r="D530" s="1" t="s">
        <v>2514</v>
      </c>
      <c r="E530" s="1" t="s">
        <v>2515</v>
      </c>
      <c r="F530" s="1">
        <f>'01_入力仕様'!D6^2/F526</f>
        <v>547.7699530416761</v>
      </c>
      <c r="G530" s="1" t="s">
        <v>984</v>
      </c>
      <c r="H530" s="1">
        <f t="shared" si="60"/>
        <v>0.19171948356458665</v>
      </c>
      <c r="I530" s="1" t="s">
        <v>2516</v>
      </c>
      <c r="J530" s="1">
        <f>1</f>
        <v>1</v>
      </c>
      <c r="K530" s="1">
        <f>K525*J530</f>
        <v>1.5413917654040868E-2</v>
      </c>
      <c r="L530" s="1" t="str">
        <f t="shared" ref="L530:L543" si="64">IF(K530&gt;0,"増加→総重量増",IF(K530&lt;0,"増加→総重量減","中立"))</f>
        <v>増加→総重量増</v>
      </c>
      <c r="M530" s="1" t="s">
        <v>1474</v>
      </c>
      <c r="N530" s="1"/>
      <c r="O530" s="1">
        <f t="shared" si="63"/>
        <v>0</v>
      </c>
      <c r="P530" s="1"/>
      <c r="Q530" s="1">
        <f t="shared" si="62"/>
        <v>1</v>
      </c>
      <c r="R530" s="1">
        <f>IF(Q530=1,COUNTIF($Q$5:Q530,1),"")</f>
        <v>369</v>
      </c>
    </row>
    <row r="531" spans="1:18">
      <c r="A531" s="1" t="s">
        <v>2517</v>
      </c>
      <c r="B531" s="1" t="s">
        <v>2497</v>
      </c>
      <c r="C531" s="1">
        <v>4</v>
      </c>
      <c r="D531" s="1" t="s">
        <v>2518</v>
      </c>
      <c r="E531" s="1" t="s">
        <v>1210</v>
      </c>
      <c r="F531" s="1">
        <f>'01_入力仕様'!D293</f>
        <v>0</v>
      </c>
      <c r="G531" s="1" t="s">
        <v>415</v>
      </c>
      <c r="H531" s="1">
        <f t="shared" si="60"/>
        <v>0.12461766431698129</v>
      </c>
      <c r="I531" s="1" t="s">
        <v>1482</v>
      </c>
      <c r="J531" s="1">
        <f>0</f>
        <v>0</v>
      </c>
      <c r="K531" s="1">
        <f>('01_入力仕様'!D280*F530*('01_入力仕様'!D278-1))/$F$5</f>
        <v>-1.0019046475126562E-2</v>
      </c>
      <c r="L531" s="1" t="str">
        <f t="shared" si="64"/>
        <v>増加→総重量減</v>
      </c>
      <c r="M531" s="1" t="s">
        <v>1474</v>
      </c>
      <c r="N531" s="1" t="s">
        <v>2519</v>
      </c>
      <c r="O531" s="1">
        <f t="shared" si="63"/>
        <v>1</v>
      </c>
      <c r="P531" s="1"/>
      <c r="Q531" s="1">
        <f t="shared" si="62"/>
        <v>1</v>
      </c>
      <c r="R531" s="1">
        <f>IF(Q531=1,COUNTIF($Q$5:Q531,1),"")</f>
        <v>370</v>
      </c>
    </row>
    <row r="532" spans="1:18">
      <c r="A532" s="1" t="s">
        <v>2520</v>
      </c>
      <c r="B532" s="1" t="s">
        <v>2493</v>
      </c>
      <c r="C532" s="1">
        <v>3</v>
      </c>
      <c r="D532" s="1" t="s">
        <v>1159</v>
      </c>
      <c r="E532" s="1" t="s">
        <v>1161</v>
      </c>
      <c r="F532" s="1">
        <f>F533*'01_入力仕様'!D281</f>
        <v>0</v>
      </c>
      <c r="G532" s="1" t="s">
        <v>229</v>
      </c>
      <c r="H532" s="1">
        <f t="shared" si="60"/>
        <v>0</v>
      </c>
      <c r="I532" s="1" t="s">
        <v>2521</v>
      </c>
      <c r="J532" s="1">
        <f>F532/F524</f>
        <v>0</v>
      </c>
      <c r="K532" s="1">
        <f>K524*J532</f>
        <v>0</v>
      </c>
      <c r="L532" s="1" t="str">
        <f t="shared" si="64"/>
        <v>中立</v>
      </c>
      <c r="M532" s="1" t="s">
        <v>1474</v>
      </c>
      <c r="N532" s="1"/>
      <c r="O532" s="1">
        <f t="shared" si="63"/>
        <v>0</v>
      </c>
      <c r="P532" s="1"/>
      <c r="Q532" s="1">
        <f t="shared" si="62"/>
        <v>1</v>
      </c>
      <c r="R532" s="1">
        <f>IF(Q532=1,COUNTIF($Q$5:Q532,1),"")</f>
        <v>371</v>
      </c>
    </row>
    <row r="533" spans="1:18">
      <c r="A533" s="1" t="s">
        <v>2522</v>
      </c>
      <c r="B533" s="1" t="s">
        <v>2520</v>
      </c>
      <c r="C533" s="1">
        <v>4</v>
      </c>
      <c r="D533" s="1" t="s">
        <v>2518</v>
      </c>
      <c r="E533" s="1" t="s">
        <v>1210</v>
      </c>
      <c r="F533" s="1">
        <f>'01_入力仕様'!D293</f>
        <v>0</v>
      </c>
      <c r="G533" s="1" t="s">
        <v>415</v>
      </c>
      <c r="H533" s="1">
        <f t="shared" si="60"/>
        <v>0.05</v>
      </c>
      <c r="I533" s="1" t="s">
        <v>1482</v>
      </c>
      <c r="J533" s="1">
        <f>0</f>
        <v>0</v>
      </c>
      <c r="K533" s="1">
        <f>'01_入力仕様'!D281/$F$5</f>
        <v>4.0199142433137765E-3</v>
      </c>
      <c r="L533" s="1" t="str">
        <f t="shared" si="64"/>
        <v>増加→総重量増</v>
      </c>
      <c r="M533" s="1" t="s">
        <v>1474</v>
      </c>
      <c r="N533" s="1" t="s">
        <v>2523</v>
      </c>
      <c r="O533" s="1">
        <f t="shared" si="63"/>
        <v>1</v>
      </c>
      <c r="P533" s="1"/>
      <c r="Q533" s="1">
        <f t="shared" si="62"/>
        <v>0</v>
      </c>
      <c r="R533" s="1" t="str">
        <f>IF(Q533=1,COUNTIF($Q$5:Q533,1),"")</f>
        <v/>
      </c>
    </row>
    <row r="534" spans="1:18">
      <c r="A534" s="1" t="s">
        <v>2524</v>
      </c>
      <c r="B534" s="1" t="s">
        <v>1553</v>
      </c>
      <c r="C534" s="1">
        <v>4</v>
      </c>
      <c r="D534" s="1" t="s">
        <v>2525</v>
      </c>
      <c r="E534" s="1" t="s">
        <v>1154</v>
      </c>
      <c r="F534" s="1">
        <f>F530*((1-F535)+F535*'01_入力仕様'!D279)</f>
        <v>547.7699530416761</v>
      </c>
      <c r="G534" s="1" t="s">
        <v>984</v>
      </c>
      <c r="H534" s="1">
        <f t="shared" si="60"/>
        <v>1.4272427768700196E-2</v>
      </c>
      <c r="I534" s="1" t="s">
        <v>2526</v>
      </c>
      <c r="J534" s="1">
        <f>IFERROR(F534/(F38+F444+F471+F479+F488+F504+F516+F534+F569+F595+F675),0)</f>
        <v>0.84513129342554461</v>
      </c>
      <c r="K534" s="1">
        <f>K36*J534</f>
        <v>1.1474787134812996E-3</v>
      </c>
      <c r="L534" s="1" t="str">
        <f t="shared" si="64"/>
        <v>増加→総重量増</v>
      </c>
      <c r="M534" s="1" t="s">
        <v>1474</v>
      </c>
      <c r="N534" s="1"/>
      <c r="O534" s="1">
        <f t="shared" si="63"/>
        <v>0</v>
      </c>
      <c r="P534" s="1"/>
      <c r="Q534" s="1">
        <f t="shared" si="62"/>
        <v>1</v>
      </c>
      <c r="R534" s="1">
        <f>IF(Q534=1,COUNTIF($Q$5:Q534,1),"")</f>
        <v>372</v>
      </c>
    </row>
    <row r="535" spans="1:18">
      <c r="A535" s="1" t="s">
        <v>2527</v>
      </c>
      <c r="B535" s="1" t="s">
        <v>2524</v>
      </c>
      <c r="C535" s="1">
        <v>5</v>
      </c>
      <c r="D535" s="1" t="s">
        <v>2518</v>
      </c>
      <c r="E535" s="1" t="s">
        <v>1210</v>
      </c>
      <c r="F535" s="1">
        <f>'01_入力仕様'!D293</f>
        <v>0</v>
      </c>
      <c r="G535" s="1" t="s">
        <v>415</v>
      </c>
      <c r="H535" s="1">
        <f t="shared" si="60"/>
        <v>1.3986979213326192E-2</v>
      </c>
      <c r="I535" s="1" t="s">
        <v>1482</v>
      </c>
      <c r="J535" s="1">
        <f>0</f>
        <v>0</v>
      </c>
      <c r="K535" s="1">
        <f>(F35/F36)*'01_入力仕様'!D51*((F530*('01_入力仕様'!D279-1)))/$F$5</f>
        <v>-1.1245291392116736E-3</v>
      </c>
      <c r="L535" s="1" t="str">
        <f t="shared" si="64"/>
        <v>増加→総重量減</v>
      </c>
      <c r="M535" s="1" t="s">
        <v>1474</v>
      </c>
      <c r="N535" s="1" t="s">
        <v>2528</v>
      </c>
      <c r="O535" s="1">
        <f t="shared" si="63"/>
        <v>1</v>
      </c>
      <c r="P535" s="1"/>
      <c r="Q535" s="1">
        <f t="shared" si="62"/>
        <v>0</v>
      </c>
      <c r="R535" s="1" t="str">
        <f>IF(Q535=1,COUNTIF($Q$5:Q535,1),"")</f>
        <v/>
      </c>
    </row>
    <row r="536" spans="1:18">
      <c r="A536" s="1" t="s">
        <v>2529</v>
      </c>
      <c r="B536" s="1" t="s">
        <v>1550</v>
      </c>
      <c r="C536" s="1">
        <v>3</v>
      </c>
      <c r="D536" s="1" t="s">
        <v>2530</v>
      </c>
      <c r="E536" s="1" t="s">
        <v>2531</v>
      </c>
      <c r="F536" s="1">
        <f>1-F537*'01_入力仕様'!D282</f>
        <v>1</v>
      </c>
      <c r="G536" s="1" t="s">
        <v>86</v>
      </c>
      <c r="H536" s="1">
        <f t="shared" si="60"/>
        <v>1.6887823087049829E-2</v>
      </c>
      <c r="I536" s="1" t="s">
        <v>2532</v>
      </c>
      <c r="J536" s="1">
        <f>1</f>
        <v>1</v>
      </c>
      <c r="K536" s="1">
        <f>K35*J536</f>
        <v>1.3577520113238967E-3</v>
      </c>
      <c r="L536" s="1" t="str">
        <f t="shared" si="64"/>
        <v>増加→総重量増</v>
      </c>
      <c r="M536" s="1" t="s">
        <v>1474</v>
      </c>
      <c r="N536" s="1"/>
      <c r="O536" s="1">
        <f t="shared" si="63"/>
        <v>0</v>
      </c>
      <c r="P536" s="1"/>
      <c r="Q536" s="1">
        <f t="shared" si="62"/>
        <v>1</v>
      </c>
      <c r="R536" s="1">
        <f>IF(Q536=1,COUNTIF($Q$5:Q536,1),"")</f>
        <v>373</v>
      </c>
    </row>
    <row r="537" spans="1:18">
      <c r="A537" s="1" t="s">
        <v>2533</v>
      </c>
      <c r="B537" s="1" t="s">
        <v>2529</v>
      </c>
      <c r="C537" s="1">
        <v>4</v>
      </c>
      <c r="D537" s="1" t="s">
        <v>1213</v>
      </c>
      <c r="E537" s="1" t="s">
        <v>1214</v>
      </c>
      <c r="F537" s="1">
        <f>'01_入力仕様'!D294</f>
        <v>0</v>
      </c>
      <c r="G537" s="1" t="s">
        <v>415</v>
      </c>
      <c r="H537" s="1">
        <f t="shared" si="60"/>
        <v>5.0663469261149488E-3</v>
      </c>
      <c r="I537" s="1" t="s">
        <v>1482</v>
      </c>
      <c r="J537" s="1">
        <f>0</f>
        <v>0</v>
      </c>
      <c r="K537" s="1">
        <f>-K35*'01_入力仕様'!D282</f>
        <v>-4.0732560339716903E-4</v>
      </c>
      <c r="L537" s="1" t="str">
        <f t="shared" si="64"/>
        <v>増加→総重量減</v>
      </c>
      <c r="M537" s="1" t="s">
        <v>1474</v>
      </c>
      <c r="N537" s="1" t="s">
        <v>2534</v>
      </c>
      <c r="O537" s="1">
        <f t="shared" si="63"/>
        <v>1</v>
      </c>
      <c r="P537" s="1"/>
      <c r="Q537" s="1">
        <f t="shared" si="62"/>
        <v>1</v>
      </c>
      <c r="R537" s="1">
        <f>IF(Q537=1,COUNTIF($Q$5:Q537,1),"")</f>
        <v>374</v>
      </c>
    </row>
    <row r="538" spans="1:18">
      <c r="A538" s="1" t="s">
        <v>2535</v>
      </c>
      <c r="B538" s="1" t="s">
        <v>1508</v>
      </c>
      <c r="C538" s="1">
        <v>7</v>
      </c>
      <c r="D538" s="1" t="s">
        <v>2536</v>
      </c>
      <c r="E538" s="1" t="s">
        <v>2537</v>
      </c>
      <c r="F538" s="1">
        <f>1+F539*'01_入力仕様'!D283</f>
        <v>1</v>
      </c>
      <c r="G538" s="1" t="s">
        <v>86</v>
      </c>
      <c r="H538" s="1">
        <f t="shared" si="60"/>
        <v>8.1977091525751067E-4</v>
      </c>
      <c r="I538" s="1" t="s">
        <v>2538</v>
      </c>
      <c r="J538" s="1">
        <f>1</f>
        <v>1</v>
      </c>
      <c r="K538" s="1">
        <f>K17*J538</f>
        <v>-6.5908175569960757E-5</v>
      </c>
      <c r="L538" s="1" t="str">
        <f t="shared" si="64"/>
        <v>増加→総重量減</v>
      </c>
      <c r="M538" s="1" t="s">
        <v>1474</v>
      </c>
      <c r="N538" s="1"/>
      <c r="O538" s="1">
        <f t="shared" si="63"/>
        <v>0</v>
      </c>
      <c r="P538" s="1"/>
      <c r="Q538" s="1">
        <f t="shared" si="62"/>
        <v>1</v>
      </c>
      <c r="R538" s="1">
        <f>IF(Q538=1,COUNTIF($Q$5:Q538,1),"")</f>
        <v>375</v>
      </c>
    </row>
    <row r="539" spans="1:18">
      <c r="A539" s="1" t="s">
        <v>2539</v>
      </c>
      <c r="B539" s="1" t="s">
        <v>2535</v>
      </c>
      <c r="C539" s="1">
        <v>8</v>
      </c>
      <c r="D539" s="1" t="s">
        <v>1213</v>
      </c>
      <c r="E539" s="1" t="s">
        <v>1214</v>
      </c>
      <c r="F539" s="1">
        <f>'01_入力仕様'!D294</f>
        <v>0</v>
      </c>
      <c r="G539" s="1" t="s">
        <v>415</v>
      </c>
      <c r="H539" s="1">
        <f t="shared" si="60"/>
        <v>1.229656372886266E-4</v>
      </c>
      <c r="I539" s="1" t="s">
        <v>1482</v>
      </c>
      <c r="J539" s="1">
        <f>0</f>
        <v>0</v>
      </c>
      <c r="K539" s="1">
        <f>-K17*'01_入力仕様'!D283</f>
        <v>9.8862263354941139E-6</v>
      </c>
      <c r="L539" s="1" t="str">
        <f t="shared" si="64"/>
        <v>増加→総重量増</v>
      </c>
      <c r="M539" s="1" t="s">
        <v>1474</v>
      </c>
      <c r="N539" s="1" t="s">
        <v>2540</v>
      </c>
      <c r="O539" s="1">
        <f t="shared" si="63"/>
        <v>1</v>
      </c>
      <c r="P539" s="1"/>
      <c r="Q539" s="1">
        <f t="shared" si="62"/>
        <v>0</v>
      </c>
      <c r="R539" s="1" t="str">
        <f>IF(Q539=1,COUNTIF($Q$5:Q539,1),"")</f>
        <v/>
      </c>
    </row>
    <row r="540" spans="1:18">
      <c r="A540" s="1" t="s">
        <v>2541</v>
      </c>
      <c r="B540" s="1" t="s">
        <v>1547</v>
      </c>
      <c r="C540" s="1">
        <v>2</v>
      </c>
      <c r="D540" s="1" t="s">
        <v>1172</v>
      </c>
      <c r="E540" s="1" t="s">
        <v>1174</v>
      </c>
      <c r="F540" s="1">
        <f>F541*'01_入力仕様'!D284</f>
        <v>0</v>
      </c>
      <c r="G540" s="1" t="s">
        <v>229</v>
      </c>
      <c r="H540" s="1">
        <f t="shared" si="60"/>
        <v>0</v>
      </c>
      <c r="I540" s="1" t="s">
        <v>2542</v>
      </c>
      <c r="J540" s="1">
        <f>IFERROR(F540/F34,0)</f>
        <v>0</v>
      </c>
      <c r="K540" s="1">
        <f>K34*J540</f>
        <v>0</v>
      </c>
      <c r="L540" s="1" t="str">
        <f t="shared" si="64"/>
        <v>中立</v>
      </c>
      <c r="M540" s="1" t="s">
        <v>1474</v>
      </c>
      <c r="N540" s="1"/>
      <c r="O540" s="1">
        <f t="shared" si="63"/>
        <v>0</v>
      </c>
      <c r="P540" s="1"/>
      <c r="Q540" s="1">
        <f t="shared" si="62"/>
        <v>1</v>
      </c>
      <c r="R540" s="1">
        <f>IF(Q540=1,COUNTIF($Q$5:Q540,1),"")</f>
        <v>376</v>
      </c>
    </row>
    <row r="541" spans="1:18">
      <c r="A541" s="1" t="s">
        <v>2543</v>
      </c>
      <c r="B541" s="1" t="s">
        <v>2541</v>
      </c>
      <c r="C541" s="1">
        <v>3</v>
      </c>
      <c r="D541" s="1" t="s">
        <v>1213</v>
      </c>
      <c r="E541" s="1" t="s">
        <v>1214</v>
      </c>
      <c r="F541" s="1">
        <f>'01_入力仕様'!D294</f>
        <v>0</v>
      </c>
      <c r="G541" s="1" t="s">
        <v>415</v>
      </c>
      <c r="H541" s="1">
        <f t="shared" si="60"/>
        <v>0.08</v>
      </c>
      <c r="I541" s="1" t="s">
        <v>1482</v>
      </c>
      <c r="J541" s="1">
        <f>0</f>
        <v>0</v>
      </c>
      <c r="K541" s="1">
        <f>'01_入力仕様'!D284/$F$5</f>
        <v>6.431862789302043E-3</v>
      </c>
      <c r="L541" s="1" t="str">
        <f t="shared" si="64"/>
        <v>増加→総重量増</v>
      </c>
      <c r="M541" s="1" t="s">
        <v>1474</v>
      </c>
      <c r="N541" s="1" t="s">
        <v>2544</v>
      </c>
      <c r="O541" s="1">
        <f t="shared" si="63"/>
        <v>1</v>
      </c>
      <c r="P541" s="1"/>
      <c r="Q541" s="1">
        <f t="shared" si="62"/>
        <v>0</v>
      </c>
      <c r="R541" s="1" t="str">
        <f>IF(Q541=1,COUNTIF($Q$5:Q541,1),"")</f>
        <v/>
      </c>
    </row>
    <row r="542" spans="1:18">
      <c r="A542" s="1" t="s">
        <v>2545</v>
      </c>
      <c r="B542" s="1" t="s">
        <v>2374</v>
      </c>
      <c r="C542" s="1">
        <v>8</v>
      </c>
      <c r="D542" s="1" t="s">
        <v>925</v>
      </c>
      <c r="E542" s="1" t="s">
        <v>926</v>
      </c>
      <c r="F542" s="1">
        <f>'01_入力仕様'!D219</f>
        <v>3.5000000000000001E-3</v>
      </c>
      <c r="G542" s="1" t="s">
        <v>927</v>
      </c>
      <c r="H542" s="1">
        <f t="shared" si="60"/>
        <v>2.2221826980851924E-5</v>
      </c>
      <c r="I542" s="1" t="s">
        <v>1482</v>
      </c>
      <c r="J542" s="1">
        <f>'01_入力仕様'!D219*('01_入力仕様'!D216-'01_入力仕様'!D217)/F461</f>
        <v>8.0459770114942541E-2</v>
      </c>
      <c r="K542" s="1">
        <f>K461*J542</f>
        <v>1.7865967758556204E-6</v>
      </c>
      <c r="L542" s="1" t="str">
        <f t="shared" si="64"/>
        <v>増加→総重量増</v>
      </c>
      <c r="M542" s="1" t="s">
        <v>1474</v>
      </c>
      <c r="N542" s="1"/>
      <c r="O542" s="1">
        <f t="shared" si="63"/>
        <v>1</v>
      </c>
      <c r="P542" s="1"/>
      <c r="Q542" s="1">
        <f t="shared" si="62"/>
        <v>1</v>
      </c>
      <c r="R542" s="1">
        <f>IF(Q542=1,COUNTIF($Q$5:Q542,1),"")</f>
        <v>377</v>
      </c>
    </row>
    <row r="543" spans="1:18">
      <c r="A543" s="1" t="s">
        <v>2546</v>
      </c>
      <c r="B543" s="1" t="s">
        <v>2374</v>
      </c>
      <c r="C543" s="1">
        <v>8</v>
      </c>
      <c r="D543" s="1" t="s">
        <v>2547</v>
      </c>
      <c r="E543" s="1" t="s">
        <v>921</v>
      </c>
      <c r="F543" s="1">
        <f>'01_入力仕様'!D217</f>
        <v>125</v>
      </c>
      <c r="G543" s="1" t="s">
        <v>918</v>
      </c>
      <c r="H543" s="1">
        <f t="shared" si="60"/>
        <v>1.1110913490425961E-4</v>
      </c>
      <c r="I543" s="1" t="s">
        <v>1482</v>
      </c>
      <c r="J543" s="1">
        <f>-'01_入力仕様'!D217*'01_入力仕様'!D219/F461</f>
        <v>-0.40229885057471265</v>
      </c>
      <c r="K543" s="1">
        <f>K461*J543</f>
        <v>-8.9329838792781016E-6</v>
      </c>
      <c r="L543" s="1" t="str">
        <f t="shared" si="64"/>
        <v>増加→総重量減</v>
      </c>
      <c r="M543" s="1" t="s">
        <v>1474</v>
      </c>
      <c r="N543" s="1"/>
      <c r="O543" s="1">
        <f t="shared" si="63"/>
        <v>1</v>
      </c>
      <c r="P543" s="1"/>
      <c r="Q543" s="1">
        <f t="shared" si="62"/>
        <v>1</v>
      </c>
      <c r="R543" s="1">
        <f>IF(Q543=1,COUNTIF($Q$5:Q543,1),"")</f>
        <v>378</v>
      </c>
    </row>
    <row r="544" spans="1:18">
      <c r="A544" s="1"/>
      <c r="B544" s="1"/>
      <c r="C544" s="1"/>
      <c r="D544" s="1"/>
      <c r="E544" s="1"/>
      <c r="F544" s="1"/>
      <c r="G544" s="1"/>
      <c r="H544" s="1"/>
      <c r="I544" s="1"/>
      <c r="J544" s="1"/>
      <c r="K544" s="1"/>
      <c r="L544" s="1"/>
      <c r="M544" s="1"/>
      <c r="N544" s="1"/>
      <c r="O544" s="1" t="str">
        <f t="shared" si="63"/>
        <v/>
      </c>
      <c r="P544" s="1"/>
      <c r="Q544" s="1"/>
      <c r="R544" s="1"/>
    </row>
    <row r="545" spans="1:18">
      <c r="A545" s="1" t="s">
        <v>2548</v>
      </c>
      <c r="B545" s="1" t="s">
        <v>2549</v>
      </c>
      <c r="C545" s="1">
        <v>9</v>
      </c>
      <c r="D545" s="1" t="s">
        <v>1130</v>
      </c>
      <c r="E545" s="1" t="s">
        <v>1131</v>
      </c>
      <c r="F545" s="1">
        <f>'01_入力仕様'!D272</f>
        <v>2</v>
      </c>
      <c r="G545" s="1" t="s">
        <v>262</v>
      </c>
      <c r="H545" s="1">
        <f>ABS(K545)*F5</f>
        <v>0</v>
      </c>
      <c r="I545" s="1" t="s">
        <v>1482</v>
      </c>
      <c r="J545" s="1">
        <v>1</v>
      </c>
      <c r="K545" s="1">
        <f>K546*J545</f>
        <v>0</v>
      </c>
      <c r="L545" s="1" t="str">
        <f t="shared" ref="L545:L552" si="65">IF(K545&gt;0,"増加→総重量増",IF(K545&lt;0,"増加→総重量減","中立"))</f>
        <v>中立</v>
      </c>
      <c r="M545" s="1" t="s">
        <v>57</v>
      </c>
      <c r="N545" s="1" t="s">
        <v>2550</v>
      </c>
      <c r="O545" s="1">
        <f t="shared" si="63"/>
        <v>1</v>
      </c>
      <c r="P545" s="1"/>
      <c r="Q545" s="1">
        <f t="shared" ref="Q545:Q560" si="66">IF(E545="","",--(MATCH(E545,$E$5:$E$560,0)=ROW()-4))</f>
        <v>1</v>
      </c>
      <c r="R545" s="1">
        <f>IF(Q545=1,COUNTIF($Q$5:Q545,1),"")</f>
        <v>379</v>
      </c>
    </row>
    <row r="546" spans="1:18">
      <c r="A546" s="1" t="s">
        <v>2549</v>
      </c>
      <c r="B546" s="1" t="s">
        <v>2551</v>
      </c>
      <c r="C546" s="1">
        <v>8</v>
      </c>
      <c r="D546" s="1" t="s">
        <v>2552</v>
      </c>
      <c r="E546" s="1" t="s">
        <v>2553</v>
      </c>
      <c r="F546" s="1">
        <f>'01_入力仕様'!D285*F545</f>
        <v>3E-10</v>
      </c>
      <c r="G546" s="1" t="s">
        <v>762</v>
      </c>
      <c r="H546" s="1">
        <f>ABS(K546)*F5</f>
        <v>0</v>
      </c>
      <c r="I546" s="1" t="s">
        <v>2554</v>
      </c>
      <c r="J546" s="1">
        <v>1</v>
      </c>
      <c r="K546" s="1">
        <f>K369*J546</f>
        <v>0</v>
      </c>
      <c r="L546" s="1" t="str">
        <f t="shared" si="65"/>
        <v>中立</v>
      </c>
      <c r="M546" s="1" t="s">
        <v>1474</v>
      </c>
      <c r="N546" s="1"/>
      <c r="O546" s="1">
        <f t="shared" si="63"/>
        <v>0</v>
      </c>
      <c r="P546" s="1"/>
      <c r="Q546" s="1">
        <f t="shared" si="66"/>
        <v>1</v>
      </c>
      <c r="R546" s="1">
        <f>IF(Q546=1,COUNTIF($Q$5:Q546,1),"")</f>
        <v>380</v>
      </c>
    </row>
    <row r="547" spans="1:18">
      <c r="A547" s="1" t="s">
        <v>2551</v>
      </c>
      <c r="B547" s="1" t="s">
        <v>2212</v>
      </c>
      <c r="C547" s="1">
        <v>7</v>
      </c>
      <c r="D547" s="1" t="s">
        <v>2555</v>
      </c>
      <c r="E547" s="1" t="s">
        <v>2556</v>
      </c>
      <c r="F547" s="1">
        <f>F546*F313</f>
        <v>4.8</v>
      </c>
      <c r="G547" s="1" t="s">
        <v>808</v>
      </c>
      <c r="H547" s="1">
        <f>ABS(K547)*$F$5</f>
        <v>0</v>
      </c>
      <c r="I547" s="1" t="s">
        <v>2557</v>
      </c>
      <c r="J547" s="1">
        <f>1</f>
        <v>1</v>
      </c>
      <c r="K547" s="1">
        <f>0</f>
        <v>0</v>
      </c>
      <c r="L547" s="1" t="str">
        <f t="shared" si="65"/>
        <v>中立</v>
      </c>
      <c r="M547" s="1" t="s">
        <v>1474</v>
      </c>
      <c r="N547" s="1"/>
      <c r="O547" s="1">
        <f t="shared" si="63"/>
        <v>0</v>
      </c>
      <c r="P547" s="1"/>
      <c r="Q547" s="1">
        <f t="shared" si="66"/>
        <v>1</v>
      </c>
      <c r="R547" s="1">
        <f>IF(Q547=1,COUNTIF($Q$5:Q547,1),"")</f>
        <v>381</v>
      </c>
    </row>
    <row r="548" spans="1:18">
      <c r="A548" s="1" t="s">
        <v>2558</v>
      </c>
      <c r="B548" s="1" t="s">
        <v>2087</v>
      </c>
      <c r="C548" s="1">
        <v>3</v>
      </c>
      <c r="D548" s="1" t="s">
        <v>2559</v>
      </c>
      <c r="E548" s="1" t="s">
        <v>2560</v>
      </c>
      <c r="F548" s="1">
        <f>MAX(0.5,(F549/'01_入力仕様'!D286)^'01_入力仕様'!D288)</f>
        <v>1</v>
      </c>
      <c r="G548" s="1" t="s">
        <v>86</v>
      </c>
      <c r="H548" s="1">
        <f>ABS(K548)*F5</f>
        <v>0</v>
      </c>
      <c r="I548" s="1" t="s">
        <v>2561</v>
      </c>
      <c r="J548" s="1">
        <v>1</v>
      </c>
      <c r="K548" s="1">
        <f>K312*J548</f>
        <v>0</v>
      </c>
      <c r="L548" s="1" t="str">
        <f t="shared" si="65"/>
        <v>中立</v>
      </c>
      <c r="M548" s="1" t="s">
        <v>1474</v>
      </c>
      <c r="N548" s="1"/>
      <c r="O548" s="1">
        <f t="shared" si="63"/>
        <v>0</v>
      </c>
      <c r="P548" s="1"/>
      <c r="Q548" s="1">
        <f t="shared" si="66"/>
        <v>1</v>
      </c>
      <c r="R548" s="1">
        <f>IF(Q548=1,COUNTIF($Q$5:Q548,1),"")</f>
        <v>382</v>
      </c>
    </row>
    <row r="549" spans="1:18" ht="28.5">
      <c r="A549" s="1" t="s">
        <v>2562</v>
      </c>
      <c r="B549" s="1" t="s">
        <v>2558</v>
      </c>
      <c r="C549" s="1">
        <v>4</v>
      </c>
      <c r="D549" s="1" t="s">
        <v>1130</v>
      </c>
      <c r="E549" s="1" t="s">
        <v>1131</v>
      </c>
      <c r="F549" s="1">
        <f>'01_入力仕様'!D272</f>
        <v>2</v>
      </c>
      <c r="G549" s="1" t="s">
        <v>262</v>
      </c>
      <c r="H549" s="1">
        <f>ABS(K549)*F5</f>
        <v>0</v>
      </c>
      <c r="I549" s="1" t="s">
        <v>1482</v>
      </c>
      <c r="J549" s="1">
        <f>IF((F549/'01_入力仕様'!D286)^'01_入力仕様'!D288&gt;0.5,'01_入力仕様'!D288,0)</f>
        <v>0.5</v>
      </c>
      <c r="K549" s="1">
        <f>K548*J549</f>
        <v>0</v>
      </c>
      <c r="L549" s="1" t="str">
        <f t="shared" si="65"/>
        <v>中立</v>
      </c>
      <c r="M549" s="1" t="s">
        <v>57</v>
      </c>
      <c r="N549" s="1" t="s">
        <v>2563</v>
      </c>
      <c r="O549" s="1">
        <f t="shared" si="63"/>
        <v>1</v>
      </c>
      <c r="P549" s="1"/>
      <c r="Q549" s="1">
        <f t="shared" si="66"/>
        <v>0</v>
      </c>
      <c r="R549" s="1" t="str">
        <f>IF(Q549=1,COUNTIF($Q$5:Q549,1),"")</f>
        <v/>
      </c>
    </row>
    <row r="550" spans="1:18">
      <c r="A550" s="1" t="s">
        <v>2564</v>
      </c>
      <c r="B550" s="1" t="s">
        <v>1649</v>
      </c>
      <c r="C550" s="1">
        <v>7</v>
      </c>
      <c r="D550" s="1" t="s">
        <v>2565</v>
      </c>
      <c r="E550" s="1" t="s">
        <v>2566</v>
      </c>
      <c r="F550" s="1">
        <f>MAX(F551,IF('07_システム要求'!D17=1,20000,0),F552,F555)</f>
        <v>16000</v>
      </c>
      <c r="G550" s="1" t="s">
        <v>96</v>
      </c>
      <c r="H550" s="1">
        <f t="shared" ref="H550:H560" si="67">ABS(K550)*$F$5</f>
        <v>4.6121749387180254E-4</v>
      </c>
      <c r="I550" s="1" t="s">
        <v>2567</v>
      </c>
      <c r="J550" s="1">
        <f>1</f>
        <v>1</v>
      </c>
      <c r="K550" s="1">
        <f>K81</f>
        <v>3.7081095457614869E-5</v>
      </c>
      <c r="L550" s="1" t="str">
        <f t="shared" si="65"/>
        <v>増加→総重量増</v>
      </c>
      <c r="M550" s="1" t="s">
        <v>1474</v>
      </c>
      <c r="N550" s="1"/>
      <c r="O550" s="1">
        <f t="shared" si="63"/>
        <v>0</v>
      </c>
      <c r="P550" s="1"/>
      <c r="Q550" s="1">
        <f t="shared" si="66"/>
        <v>1</v>
      </c>
      <c r="R550" s="1">
        <f>IF(Q550=1,COUNTIF($Q$5:Q550,1),"")</f>
        <v>383</v>
      </c>
    </row>
    <row r="551" spans="1:18">
      <c r="A551" s="1" t="s">
        <v>2568</v>
      </c>
      <c r="B551" s="1" t="s">
        <v>2564</v>
      </c>
      <c r="C551" s="1">
        <v>8</v>
      </c>
      <c r="D551" s="1" t="s">
        <v>2569</v>
      </c>
      <c r="E551" s="1" t="s">
        <v>2570</v>
      </c>
      <c r="F551" s="1">
        <f>'07_システム要求'!M9*'07_システム要求'!D16</f>
        <v>16000</v>
      </c>
      <c r="G551" s="1" t="s">
        <v>96</v>
      </c>
      <c r="H551" s="1">
        <f t="shared" si="67"/>
        <v>4.6121749387180254E-4</v>
      </c>
      <c r="I551" s="1" t="s">
        <v>2571</v>
      </c>
      <c r="J551" s="1">
        <f>IF(ABS('07_システム要求'!M10-'07_システム要求'!M9*'07_システム要求'!D16)&lt;0.000001,1,0)</f>
        <v>1</v>
      </c>
      <c r="K551" s="1">
        <f>K550*J551</f>
        <v>3.7081095457614869E-5</v>
      </c>
      <c r="L551" s="1" t="str">
        <f t="shared" si="65"/>
        <v>増加→総重量増</v>
      </c>
      <c r="M551" s="1" t="s">
        <v>1474</v>
      </c>
      <c r="N551" s="1"/>
      <c r="O551" s="1">
        <f t="shared" si="63"/>
        <v>1</v>
      </c>
      <c r="P551" s="1"/>
      <c r="Q551" s="1">
        <f t="shared" si="66"/>
        <v>1</v>
      </c>
      <c r="R551" s="1">
        <f>IF(Q551=1,COUNTIF($Q$5:Q551,1),"")</f>
        <v>384</v>
      </c>
    </row>
    <row r="552" spans="1:18">
      <c r="A552" s="1" t="s">
        <v>2572</v>
      </c>
      <c r="B552" s="1" t="s">
        <v>2564</v>
      </c>
      <c r="C552" s="1">
        <v>8</v>
      </c>
      <c r="D552" s="1" t="s">
        <v>2573</v>
      </c>
      <c r="E552" s="1" t="s">
        <v>1194</v>
      </c>
      <c r="F552" s="1">
        <f>'01_入力仕様'!D289*'07_システム要求'!D13/(F553*F554*SQRT(2)*'07_システム要求'!M11)</f>
        <v>12898.313131283991</v>
      </c>
      <c r="G552" s="1" t="s">
        <v>96</v>
      </c>
      <c r="H552" s="1">
        <f t="shared" si="67"/>
        <v>0</v>
      </c>
      <c r="I552" s="1" t="s">
        <v>2574</v>
      </c>
      <c r="J552" s="1">
        <f>IF(ABS('07_システム要求'!M10-'07_システム要求'!M22)&lt;0.000001,1,0)</f>
        <v>0</v>
      </c>
      <c r="K552" s="1">
        <f>K550*J552</f>
        <v>0</v>
      </c>
      <c r="L552" s="1" t="str">
        <f t="shared" si="65"/>
        <v>中立</v>
      </c>
      <c r="M552" s="1" t="s">
        <v>1474</v>
      </c>
      <c r="N552" s="1"/>
      <c r="O552" s="1">
        <f t="shared" si="63"/>
        <v>0</v>
      </c>
      <c r="P552" s="1"/>
      <c r="Q552" s="1">
        <f t="shared" si="66"/>
        <v>1</v>
      </c>
      <c r="R552" s="1">
        <f>IF(Q552=1,COUNTIF($Q$5:Q552,1),"")</f>
        <v>385</v>
      </c>
    </row>
    <row r="553" spans="1:18">
      <c r="A553" s="1" t="s">
        <v>2575</v>
      </c>
      <c r="B553" s="1" t="s">
        <v>2572</v>
      </c>
      <c r="C553" s="1">
        <v>9</v>
      </c>
      <c r="D553" s="1" t="s">
        <v>1136</v>
      </c>
      <c r="E553" s="1" t="s">
        <v>1137</v>
      </c>
      <c r="F553" s="1">
        <f>'01_入力仕様'!D273</f>
        <v>0.1</v>
      </c>
      <c r="G553" s="1" t="s">
        <v>86</v>
      </c>
      <c r="H553" s="1">
        <f t="shared" si="67"/>
        <v>0</v>
      </c>
      <c r="I553" s="1" t="s">
        <v>1482</v>
      </c>
      <c r="J553" s="1">
        <f>-1</f>
        <v>-1</v>
      </c>
      <c r="K553" s="1">
        <f>K552*J553</f>
        <v>0</v>
      </c>
      <c r="L553" s="1" t="str">
        <f>IF(K553&gt;0,"要求増→総重量増",IF(K553&lt;0,"要求増→総重量減","中立"))</f>
        <v>中立</v>
      </c>
      <c r="M553" s="1" t="s">
        <v>57</v>
      </c>
      <c r="N553" s="1" t="s">
        <v>2550</v>
      </c>
      <c r="O553" s="1">
        <f t="shared" si="63"/>
        <v>1</v>
      </c>
      <c r="P553" s="1"/>
      <c r="Q553" s="1">
        <f t="shared" si="66"/>
        <v>1</v>
      </c>
      <c r="R553" s="1">
        <f>IF(Q553=1,COUNTIF($Q$5:Q553,1),"")</f>
        <v>386</v>
      </c>
    </row>
    <row r="554" spans="1:18">
      <c r="A554" s="1" t="s">
        <v>2576</v>
      </c>
      <c r="B554" s="1" t="s">
        <v>2572</v>
      </c>
      <c r="C554" s="1">
        <v>9</v>
      </c>
      <c r="D554" s="1" t="s">
        <v>1138</v>
      </c>
      <c r="E554" s="1" t="s">
        <v>1139</v>
      </c>
      <c r="F554" s="1">
        <f>'01_入力仕様'!D274</f>
        <v>3.5E-4</v>
      </c>
      <c r="G554" s="1" t="s">
        <v>741</v>
      </c>
      <c r="H554" s="1">
        <f t="shared" si="67"/>
        <v>0</v>
      </c>
      <c r="I554" s="1" t="s">
        <v>1482</v>
      </c>
      <c r="J554" s="1">
        <f>-1</f>
        <v>-1</v>
      </c>
      <c r="K554" s="1">
        <f>K552*J554</f>
        <v>0</v>
      </c>
      <c r="L554" s="1" t="s">
        <v>1581</v>
      </c>
      <c r="M554" s="1" t="s">
        <v>57</v>
      </c>
      <c r="N554" s="1" t="s">
        <v>2550</v>
      </c>
      <c r="O554" s="1">
        <f t="shared" si="63"/>
        <v>1</v>
      </c>
      <c r="P554" s="1"/>
      <c r="Q554" s="1">
        <f t="shared" si="66"/>
        <v>1</v>
      </c>
      <c r="R554" s="1">
        <f>IF(Q554=1,COUNTIF($Q$5:Q554,1),"")</f>
        <v>387</v>
      </c>
    </row>
    <row r="555" spans="1:18">
      <c r="A555" s="1" t="s">
        <v>2577</v>
      </c>
      <c r="B555" s="1" t="s">
        <v>2564</v>
      </c>
      <c r="C555" s="1">
        <v>8</v>
      </c>
      <c r="D555" s="1" t="s">
        <v>2578</v>
      </c>
      <c r="E555" s="1" t="s">
        <v>1198</v>
      </c>
      <c r="F555" s="1">
        <f>'01_入力仕様'!D290*F556</f>
        <v>10000</v>
      </c>
      <c r="G555" s="1" t="s">
        <v>96</v>
      </c>
      <c r="H555" s="1">
        <f t="shared" si="67"/>
        <v>0</v>
      </c>
      <c r="I555" s="1" t="s">
        <v>2579</v>
      </c>
      <c r="J555" s="1">
        <f>IF(ABS('07_システム要求'!M10-'07_システム要求'!M23)&lt;0.000001,1,0)</f>
        <v>0</v>
      </c>
      <c r="K555" s="1">
        <f>K550*J555</f>
        <v>0</v>
      </c>
      <c r="L555" s="1" t="str">
        <f>IF(K555&gt;0,"増加→総重量増",IF(K555&lt;0,"増加→総重量減","中立"))</f>
        <v>中立</v>
      </c>
      <c r="M555" s="1" t="s">
        <v>1474</v>
      </c>
      <c r="N555" s="1"/>
      <c r="O555" s="1">
        <f t="shared" si="63"/>
        <v>0</v>
      </c>
      <c r="P555" s="1"/>
      <c r="Q555" s="1">
        <f t="shared" si="66"/>
        <v>1</v>
      </c>
      <c r="R555" s="1">
        <f>IF(Q555=1,COUNTIF($Q$5:Q555,1),"")</f>
        <v>388</v>
      </c>
    </row>
    <row r="556" spans="1:18">
      <c r="A556" s="1" t="s">
        <v>2580</v>
      </c>
      <c r="B556" s="1" t="s">
        <v>2577</v>
      </c>
      <c r="C556" s="1">
        <v>9</v>
      </c>
      <c r="D556" s="1" t="s">
        <v>1145</v>
      </c>
      <c r="E556" s="1" t="s">
        <v>1146</v>
      </c>
      <c r="F556" s="1">
        <f>'01_入力仕様'!D277</f>
        <v>1000</v>
      </c>
      <c r="G556" s="1" t="s">
        <v>96</v>
      </c>
      <c r="H556" s="1">
        <f t="shared" si="67"/>
        <v>0</v>
      </c>
      <c r="I556" s="1" t="s">
        <v>1482</v>
      </c>
      <c r="J556" s="1">
        <f>1</f>
        <v>1</v>
      </c>
      <c r="K556" s="1">
        <f>K555</f>
        <v>0</v>
      </c>
      <c r="L556" s="1" t="s">
        <v>1581</v>
      </c>
      <c r="M556" s="1" t="s">
        <v>57</v>
      </c>
      <c r="N556" s="1" t="s">
        <v>2550</v>
      </c>
      <c r="O556" s="1">
        <f t="shared" si="63"/>
        <v>1</v>
      </c>
      <c r="P556" s="1"/>
      <c r="Q556" s="1">
        <f t="shared" si="66"/>
        <v>1</v>
      </c>
      <c r="R556" s="1">
        <f>IF(Q556=1,COUNTIF($Q$5:Q556,1),"")</f>
        <v>389</v>
      </c>
    </row>
    <row r="557" spans="1:18">
      <c r="A557" s="1" t="s">
        <v>2581</v>
      </c>
      <c r="B557" s="1" t="s">
        <v>1621</v>
      </c>
      <c r="C557" s="1">
        <v>6</v>
      </c>
      <c r="D557" s="1" t="s">
        <v>2582</v>
      </c>
      <c r="E557" s="1" t="s">
        <v>2583</v>
      </c>
      <c r="F557" s="1">
        <f>1-F558*'01_入力仕様'!D291</f>
        <v>1</v>
      </c>
      <c r="G557" s="1" t="s">
        <v>86</v>
      </c>
      <c r="H557" s="1">
        <f t="shared" si="67"/>
        <v>4.6121749387180254E-4</v>
      </c>
      <c r="I557" s="1" t="s">
        <v>2584</v>
      </c>
      <c r="J557" s="1">
        <f>1</f>
        <v>1</v>
      </c>
      <c r="K557" s="1">
        <f>K68*J557</f>
        <v>3.7081095457614869E-5</v>
      </c>
      <c r="L557" s="1" t="str">
        <f>IF(K557&gt;0,"増加→総重量増",IF(K557&lt;0,"増加→総重量減","中立"))</f>
        <v>増加→総重量増</v>
      </c>
      <c r="M557" s="1" t="s">
        <v>1474</v>
      </c>
      <c r="N557" s="1"/>
      <c r="O557" s="1">
        <f t="shared" si="63"/>
        <v>0</v>
      </c>
      <c r="P557" s="1"/>
      <c r="Q557" s="1">
        <f t="shared" si="66"/>
        <v>1</v>
      </c>
      <c r="R557" s="1">
        <f>IF(Q557=1,COUNTIF($Q$5:Q557,1),"")</f>
        <v>390</v>
      </c>
    </row>
    <row r="558" spans="1:18">
      <c r="A558" s="1" t="s">
        <v>2585</v>
      </c>
      <c r="B558" s="1" t="s">
        <v>2581</v>
      </c>
      <c r="C558" s="1">
        <v>7</v>
      </c>
      <c r="D558" s="1" t="s">
        <v>1216</v>
      </c>
      <c r="E558" s="1" t="s">
        <v>1217</v>
      </c>
      <c r="F558" s="1">
        <f>'01_入力仕様'!D295</f>
        <v>0</v>
      </c>
      <c r="G558" s="1" t="s">
        <v>415</v>
      </c>
      <c r="H558" s="1">
        <f t="shared" si="67"/>
        <v>4.6121749387180254E-5</v>
      </c>
      <c r="I558" s="1" t="s">
        <v>1482</v>
      </c>
      <c r="J558" s="1">
        <f>0</f>
        <v>0</v>
      </c>
      <c r="K558" s="1">
        <f>-K68*'01_入力仕様'!D291</f>
        <v>-3.7081095457614872E-6</v>
      </c>
      <c r="L558" s="1" t="str">
        <f>IF(K558&gt;0,"増加→総重量増",IF(K558&lt;0,"増加→総重量減","中立"))</f>
        <v>増加→総重量減</v>
      </c>
      <c r="M558" s="1" t="s">
        <v>1474</v>
      </c>
      <c r="N558" s="1" t="s">
        <v>2586</v>
      </c>
      <c r="O558" s="1">
        <f t="shared" si="63"/>
        <v>1</v>
      </c>
      <c r="P558" s="1"/>
      <c r="Q558" s="1">
        <f t="shared" si="66"/>
        <v>1</v>
      </c>
      <c r="R558" s="1">
        <f>IF(Q558=1,COUNTIF($Q$5:Q558,1),"")</f>
        <v>391</v>
      </c>
    </row>
    <row r="559" spans="1:18">
      <c r="A559" s="1" t="s">
        <v>2587</v>
      </c>
      <c r="B559" s="1" t="s">
        <v>1848</v>
      </c>
      <c r="C559" s="1">
        <v>2</v>
      </c>
      <c r="D559" s="1" t="s">
        <v>1204</v>
      </c>
      <c r="E559" s="1" t="s">
        <v>1206</v>
      </c>
      <c r="F559" s="1">
        <f>F560*'01_入力仕様'!D292</f>
        <v>0</v>
      </c>
      <c r="G559" s="1" t="s">
        <v>229</v>
      </c>
      <c r="H559" s="1">
        <f t="shared" si="67"/>
        <v>0</v>
      </c>
      <c r="I559" s="1" t="s">
        <v>2588</v>
      </c>
      <c r="J559" s="1">
        <f>IFERROR(F559/F174,0)</f>
        <v>0</v>
      </c>
      <c r="K559" s="1">
        <f>K174*J559</f>
        <v>0</v>
      </c>
      <c r="L559" s="1" t="str">
        <f>IF(K559&gt;0,"増加→総重量増",IF(K559&lt;0,"増加→総重量減","中立"))</f>
        <v>中立</v>
      </c>
      <c r="M559" s="1" t="s">
        <v>1474</v>
      </c>
      <c r="N559" s="1"/>
      <c r="O559" s="1">
        <f t="shared" si="63"/>
        <v>0</v>
      </c>
      <c r="P559" s="1"/>
      <c r="Q559" s="1">
        <f t="shared" si="66"/>
        <v>1</v>
      </c>
      <c r="R559" s="1">
        <f>IF(Q559=1,COUNTIF($Q$5:Q559,1),"")</f>
        <v>392</v>
      </c>
    </row>
    <row r="560" spans="1:18">
      <c r="A560" s="1" t="s">
        <v>2589</v>
      </c>
      <c r="B560" s="1" t="s">
        <v>2587</v>
      </c>
      <c r="C560" s="1">
        <v>3</v>
      </c>
      <c r="D560" s="1" t="s">
        <v>1216</v>
      </c>
      <c r="E560" s="1" t="s">
        <v>1217</v>
      </c>
      <c r="F560" s="1">
        <f>'01_入力仕様'!D295</f>
        <v>0</v>
      </c>
      <c r="G560" s="1" t="s">
        <v>415</v>
      </c>
      <c r="H560" s="1">
        <f t="shared" si="67"/>
        <v>0.02</v>
      </c>
      <c r="I560" s="1" t="s">
        <v>1482</v>
      </c>
      <c r="J560" s="1">
        <f>0</f>
        <v>0</v>
      </c>
      <c r="K560" s="1">
        <f>'01_入力仕様'!D292/$F$5</f>
        <v>1.6079656973255107E-3</v>
      </c>
      <c r="L560" s="1" t="str">
        <f>IF(K560&gt;0,"増加→総重量増",IF(K560&lt;0,"増加→総重量減","中立"))</f>
        <v>増加→総重量増</v>
      </c>
      <c r="M560" s="1" t="s">
        <v>1474</v>
      </c>
      <c r="N560" s="1" t="s">
        <v>2590</v>
      </c>
      <c r="O560" s="1">
        <f t="shared" si="63"/>
        <v>1</v>
      </c>
      <c r="P560" s="1"/>
      <c r="Q560" s="1">
        <f t="shared" si="66"/>
        <v>0</v>
      </c>
      <c r="R560" s="1" t="str">
        <f>IF(Q560=1,COUNTIF($Q$5:Q560,1),"")</f>
        <v/>
      </c>
    </row>
    <row r="561" spans="1:18" ht="57">
      <c r="A561" s="1" t="s">
        <v>2591</v>
      </c>
      <c r="B561" s="1" t="s">
        <v>1470</v>
      </c>
      <c r="C561" s="1">
        <v>1</v>
      </c>
      <c r="D561" s="1" t="s">
        <v>2592</v>
      </c>
      <c r="E561" s="1" t="s">
        <v>2593</v>
      </c>
      <c r="F561" s="1">
        <f>F562*(F563+F567)+F571</f>
        <v>0</v>
      </c>
      <c r="G561" s="1" t="s">
        <v>229</v>
      </c>
      <c r="H561" s="1"/>
      <c r="I561" s="1" t="s">
        <v>2594</v>
      </c>
      <c r="J561" s="1">
        <f>IF($F$5=0,0,F561/$F$5)</f>
        <v>0</v>
      </c>
      <c r="K561" s="1">
        <f>K5*J561</f>
        <v>0</v>
      </c>
      <c r="L561" s="1"/>
      <c r="M561" s="1" t="s">
        <v>2595</v>
      </c>
      <c r="N561" s="1" t="s">
        <v>2596</v>
      </c>
      <c r="O561" s="1">
        <f t="shared" si="63"/>
        <v>0</v>
      </c>
      <c r="P561" s="1"/>
      <c r="Q561" s="1">
        <f>IF(E561="","",--(MATCH(E561,$E$5:E561,0)=ROWS($E$5:E561)))</f>
        <v>1</v>
      </c>
      <c r="R561" s="1">
        <f>IF(Q561=1,MAX($R$5:R560)+1,"")</f>
        <v>393</v>
      </c>
    </row>
    <row r="562" spans="1:18" ht="57">
      <c r="A562" s="1" t="s">
        <v>2597</v>
      </c>
      <c r="B562" s="1" t="s">
        <v>2591</v>
      </c>
      <c r="C562" s="1">
        <v>2</v>
      </c>
      <c r="D562" s="1" t="s">
        <v>2598</v>
      </c>
      <c r="E562" s="1" t="s">
        <v>1226</v>
      </c>
      <c r="F562" s="1">
        <f>'01_入力仕様'!D297</f>
        <v>0</v>
      </c>
      <c r="G562" s="1" t="s">
        <v>415</v>
      </c>
      <c r="H562" s="1"/>
      <c r="I562" s="1" t="s">
        <v>1482</v>
      </c>
      <c r="J562" s="1">
        <f>0</f>
        <v>0</v>
      </c>
      <c r="K562" s="1">
        <f>K561*J562</f>
        <v>0</v>
      </c>
      <c r="L562" s="1"/>
      <c r="M562" s="1" t="s">
        <v>2595</v>
      </c>
      <c r="N562" s="1" t="s">
        <v>2599</v>
      </c>
      <c r="O562" s="1">
        <f t="shared" si="63"/>
        <v>1</v>
      </c>
      <c r="P562" s="1"/>
      <c r="Q562" s="1">
        <f>IF(E562="","",--(MATCH(E562,$E$5:E562,0)=ROWS($E$5:E562)))</f>
        <v>1</v>
      </c>
      <c r="R562" s="1">
        <f>IF(Q562=1,MAX($R$5:R561)+1,"")</f>
        <v>394</v>
      </c>
    </row>
    <row r="563" spans="1:18" ht="42.75">
      <c r="A563" s="1" t="s">
        <v>2600</v>
      </c>
      <c r="B563" s="1" t="s">
        <v>2591</v>
      </c>
      <c r="C563" s="1">
        <v>2</v>
      </c>
      <c r="D563" s="1" t="s">
        <v>2601</v>
      </c>
      <c r="E563" s="1" t="s">
        <v>1240</v>
      </c>
      <c r="F563" s="1">
        <f>F564*F566</f>
        <v>0.6</v>
      </c>
      <c r="G563" s="1" t="s">
        <v>229</v>
      </c>
      <c r="H563" s="1"/>
      <c r="I563" s="1" t="s">
        <v>2602</v>
      </c>
      <c r="J563" s="1">
        <f>IF(F561=0,0,F562*F563/F561)</f>
        <v>0</v>
      </c>
      <c r="K563" s="1">
        <f>K561*J563</f>
        <v>0</v>
      </c>
      <c r="L563" s="1"/>
      <c r="M563" s="1" t="s">
        <v>2595</v>
      </c>
      <c r="N563" s="1" t="s">
        <v>2603</v>
      </c>
      <c r="O563" s="1">
        <f t="shared" si="63"/>
        <v>0</v>
      </c>
      <c r="P563" s="1"/>
      <c r="Q563" s="1">
        <f>IF(E563="","",--(MATCH(E563,$E$5:E563,0)=ROWS($E$5:E563)))</f>
        <v>1</v>
      </c>
      <c r="R563" s="1">
        <f>IF(Q563=1,MAX($R$5:R562)+1,"")</f>
        <v>395</v>
      </c>
    </row>
    <row r="564" spans="1:18" ht="28.5">
      <c r="A564" s="1" t="s">
        <v>2604</v>
      </c>
      <c r="B564" s="1" t="s">
        <v>2600</v>
      </c>
      <c r="C564" s="1">
        <v>3</v>
      </c>
      <c r="D564" s="1" t="s">
        <v>2605</v>
      </c>
      <c r="E564" s="1" t="s">
        <v>2606</v>
      </c>
      <c r="F564" s="1">
        <f>F565</f>
        <v>4</v>
      </c>
      <c r="G564" s="1" t="s">
        <v>114</v>
      </c>
      <c r="H564" s="1"/>
      <c r="I564" s="1" t="s">
        <v>2607</v>
      </c>
      <c r="J564" s="1">
        <f>1</f>
        <v>1</v>
      </c>
      <c r="K564" s="1">
        <f>K563*J564</f>
        <v>0</v>
      </c>
      <c r="L564" s="1"/>
      <c r="M564" s="1" t="s">
        <v>2595</v>
      </c>
      <c r="N564" s="1" t="s">
        <v>2608</v>
      </c>
      <c r="O564" s="1">
        <f t="shared" si="63"/>
        <v>0</v>
      </c>
      <c r="P564" s="1"/>
      <c r="Q564" s="1">
        <f>IF(E564="","",--(MATCH(E564,$E$5:E564,0)=ROWS($E$5:E564)))</f>
        <v>1</v>
      </c>
      <c r="R564" s="1">
        <f>IF(Q564=1,MAX($R$5:R563)+1,"")</f>
        <v>396</v>
      </c>
    </row>
    <row r="565" spans="1:18">
      <c r="A565" s="1" t="s">
        <v>2609</v>
      </c>
      <c r="B565" s="1" t="s">
        <v>2604</v>
      </c>
      <c r="C565" s="1">
        <v>4</v>
      </c>
      <c r="D565" s="1" t="s">
        <v>1250</v>
      </c>
      <c r="E565" s="1" t="s">
        <v>1251</v>
      </c>
      <c r="F565" s="1">
        <f>'01_入力仕様'!D303</f>
        <v>4</v>
      </c>
      <c r="G565" s="1" t="s">
        <v>114</v>
      </c>
      <c r="H565" s="1"/>
      <c r="I565" s="1" t="s">
        <v>1482</v>
      </c>
      <c r="J565" s="1">
        <f>1</f>
        <v>1</v>
      </c>
      <c r="K565" s="1">
        <f>K564*J565</f>
        <v>0</v>
      </c>
      <c r="L565" s="1"/>
      <c r="M565" s="1" t="s">
        <v>2595</v>
      </c>
      <c r="N565" s="1"/>
      <c r="O565" s="1">
        <f t="shared" si="63"/>
        <v>1</v>
      </c>
      <c r="P565" s="1"/>
      <c r="Q565" s="1">
        <f>IF(E565="","",--(MATCH(E565,$E$5:E565,0)=ROWS($E$5:E565)))</f>
        <v>1</v>
      </c>
      <c r="R565" s="1">
        <f>IF(Q565=1,MAX($R$5:R564)+1,"")</f>
        <v>397</v>
      </c>
    </row>
    <row r="566" spans="1:18" ht="28.5">
      <c r="A566" s="1" t="s">
        <v>2610</v>
      </c>
      <c r="B566" s="1" t="s">
        <v>2600</v>
      </c>
      <c r="C566" s="1">
        <v>3</v>
      </c>
      <c r="D566" s="1" t="s">
        <v>1238</v>
      </c>
      <c r="E566" s="1" t="s">
        <v>1239</v>
      </c>
      <c r="F566" s="1">
        <f>'01_入力仕様'!D300</f>
        <v>0.15</v>
      </c>
      <c r="G566" s="1" t="s">
        <v>229</v>
      </c>
      <c r="H566" s="1"/>
      <c r="I566" s="1" t="s">
        <v>1482</v>
      </c>
      <c r="J566" s="1">
        <f>1</f>
        <v>1</v>
      </c>
      <c r="K566" s="1">
        <f>K563*J566</f>
        <v>0</v>
      </c>
      <c r="L566" s="1"/>
      <c r="M566" s="1" t="s">
        <v>2595</v>
      </c>
      <c r="N566" s="1"/>
      <c r="O566" s="1">
        <f t="shared" si="63"/>
        <v>1</v>
      </c>
      <c r="P566" s="1"/>
      <c r="Q566" s="1">
        <f>IF(E566="","",--(MATCH(E566,$E$5:E566,0)=ROWS($E$5:E566)))</f>
        <v>1</v>
      </c>
      <c r="R566" s="1">
        <f>IF(Q566=1,MAX($R$5:R565)+1,"")</f>
        <v>398</v>
      </c>
    </row>
    <row r="567" spans="1:18" ht="42.75">
      <c r="A567" s="1" t="s">
        <v>2611</v>
      </c>
      <c r="B567" s="1" t="s">
        <v>2591</v>
      </c>
      <c r="C567" s="1">
        <v>2</v>
      </c>
      <c r="D567" s="1" t="s">
        <v>2612</v>
      </c>
      <c r="E567" s="1" t="s">
        <v>1244</v>
      </c>
      <c r="F567" s="1">
        <f>F568</f>
        <v>0.15</v>
      </c>
      <c r="G567" s="1" t="s">
        <v>229</v>
      </c>
      <c r="H567" s="1"/>
      <c r="I567" s="1" t="s">
        <v>2613</v>
      </c>
      <c r="J567" s="1">
        <f>IF(F561=0,0,F562*F567/F561)</f>
        <v>0</v>
      </c>
      <c r="K567" s="1">
        <f>K561*J567</f>
        <v>0</v>
      </c>
      <c r="L567" s="1"/>
      <c r="M567" s="1" t="s">
        <v>2595</v>
      </c>
      <c r="N567" s="1" t="s">
        <v>2614</v>
      </c>
      <c r="O567" s="1">
        <f t="shared" si="63"/>
        <v>0</v>
      </c>
      <c r="P567" s="1"/>
      <c r="Q567" s="1">
        <f>IF(E567="","",--(MATCH(E567,$E$5:E567,0)=ROWS($E$5:E567)))</f>
        <v>1</v>
      </c>
      <c r="R567" s="1">
        <f>IF(Q567=1,MAX($R$5:R566)+1,"")</f>
        <v>399</v>
      </c>
    </row>
    <row r="568" spans="1:18">
      <c r="A568" s="1" t="s">
        <v>2615</v>
      </c>
      <c r="B568" s="1" t="s">
        <v>2611</v>
      </c>
      <c r="C568" s="1">
        <v>3</v>
      </c>
      <c r="D568" s="1" t="s">
        <v>2616</v>
      </c>
      <c r="E568" s="1" t="s">
        <v>1243</v>
      </c>
      <c r="F568" s="1">
        <f>'01_入力仕様'!D301</f>
        <v>0.15</v>
      </c>
      <c r="G568" s="1" t="s">
        <v>229</v>
      </c>
      <c r="H568" s="1"/>
      <c r="I568" s="1" t="s">
        <v>1482</v>
      </c>
      <c r="J568" s="1">
        <f>1</f>
        <v>1</v>
      </c>
      <c r="K568" s="1">
        <f>K567*J568</f>
        <v>0</v>
      </c>
      <c r="L568" s="1"/>
      <c r="M568" s="1" t="s">
        <v>2595</v>
      </c>
      <c r="N568" s="1"/>
      <c r="O568" s="1">
        <f t="shared" si="63"/>
        <v>1</v>
      </c>
      <c r="P568" s="1"/>
      <c r="Q568" s="1">
        <f>1</f>
        <v>1</v>
      </c>
      <c r="R568" s="1">
        <f>IF(Q568=1,MAX($R$5:R567)+1,"")</f>
        <v>400</v>
      </c>
    </row>
    <row r="569" spans="1:18" ht="57">
      <c r="A569" s="1" t="s">
        <v>2617</v>
      </c>
      <c r="B569" s="1" t="s">
        <v>1553</v>
      </c>
      <c r="C569" s="1">
        <v>4</v>
      </c>
      <c r="D569" s="1" t="s">
        <v>2618</v>
      </c>
      <c r="E569" s="1" t="s">
        <v>1248</v>
      </c>
      <c r="F569" s="1">
        <f>'01_入力仕様'!D297*'01_入力仕様'!D5*1000*(1/F570-1)</f>
        <v>0</v>
      </c>
      <c r="G569" s="1" t="s">
        <v>984</v>
      </c>
      <c r="H569" s="1"/>
      <c r="I569" s="1" t="s">
        <v>2619</v>
      </c>
      <c r="J569" s="1">
        <f>IFERROR(F569/(F38+F444+F471+F479+F488+F504+F516+F534+F569+F595+F675),0)</f>
        <v>0</v>
      </c>
      <c r="K569" s="1">
        <f>K36*J569</f>
        <v>0</v>
      </c>
      <c r="L569" s="1"/>
      <c r="M569" s="1" t="s">
        <v>2595</v>
      </c>
      <c r="N569" s="1" t="s">
        <v>2620</v>
      </c>
      <c r="O569" s="1">
        <f t="shared" si="63"/>
        <v>0</v>
      </c>
      <c r="P569" s="1"/>
      <c r="Q569" s="1">
        <f>IF(E569="","",--(MATCH(E569,$E$5:E569,0)=ROWS($E$5:E569)))</f>
        <v>1</v>
      </c>
      <c r="R569" s="1">
        <f>IF(Q569=1,MAX($R$5:R568)+1,"")</f>
        <v>401</v>
      </c>
    </row>
    <row r="570" spans="1:18">
      <c r="A570" s="1" t="s">
        <v>2621</v>
      </c>
      <c r="B570" s="1" t="s">
        <v>2617</v>
      </c>
      <c r="C570" s="1">
        <v>5</v>
      </c>
      <c r="D570" s="1" t="s">
        <v>1246</v>
      </c>
      <c r="E570" s="1" t="s">
        <v>1247</v>
      </c>
      <c r="F570" s="1">
        <f>'01_入力仕様'!D302</f>
        <v>0.98</v>
      </c>
      <c r="G570" s="1" t="s">
        <v>86</v>
      </c>
      <c r="H570" s="1">
        <f>ABS(K570)*$F$5</f>
        <v>0</v>
      </c>
      <c r="I570" s="1" t="s">
        <v>1482</v>
      </c>
      <c r="J570" s="1">
        <f>IF(F569=0,0,-1/(1-F570))</f>
        <v>0</v>
      </c>
      <c r="K570" s="1">
        <f>K569*J570</f>
        <v>0</v>
      </c>
      <c r="L570" s="1" t="str">
        <f>IF(K570&gt;0,"増加→総重量増",IF(K570&lt;0,"増加→総重量減","中立"))</f>
        <v>中立</v>
      </c>
      <c r="M570" s="1" t="s">
        <v>1474</v>
      </c>
      <c r="N570" s="1"/>
      <c r="O570" s="1">
        <f t="shared" si="63"/>
        <v>1</v>
      </c>
      <c r="P570" s="1"/>
      <c r="Q570" s="1">
        <f>IF(E570="","",--(MATCH(E570,$E$5:E570,0)=ROWS($E$5:E570)))</f>
        <v>1</v>
      </c>
      <c r="R570" s="1">
        <f>IF(Q570=1,MAX($R$5:R569)+1,"")</f>
        <v>402</v>
      </c>
    </row>
    <row r="571" spans="1:18" ht="42.75">
      <c r="A571" s="1" t="s">
        <v>2622</v>
      </c>
      <c r="B571" s="1" t="s">
        <v>2591</v>
      </c>
      <c r="C571" s="1">
        <v>2</v>
      </c>
      <c r="D571" s="1" t="s">
        <v>2623</v>
      </c>
      <c r="E571" s="1" t="s">
        <v>2624</v>
      </c>
      <c r="F571" s="1">
        <f>F572*((1-F582)*F575+F582*(F583+F585+F589+F591))</f>
        <v>0</v>
      </c>
      <c r="G571" s="1" t="s">
        <v>229</v>
      </c>
      <c r="H571" s="1"/>
      <c r="I571" s="1" t="s">
        <v>2625</v>
      </c>
      <c r="J571" s="1">
        <f>IF(F561=0,0,F571/F561)</f>
        <v>0</v>
      </c>
      <c r="K571" s="1">
        <f>K561*J571</f>
        <v>0</v>
      </c>
      <c r="L571" s="1"/>
      <c r="M571" s="1" t="s">
        <v>2595</v>
      </c>
      <c r="N571" s="1" t="s">
        <v>2626</v>
      </c>
      <c r="O571" s="1">
        <f t="shared" si="63"/>
        <v>0</v>
      </c>
      <c r="P571" s="1"/>
      <c r="Q571" s="1">
        <f>IF(E571="","",--(MATCH(E571,$E$5:E571,0)=ROWS($E$5:E571)))</f>
        <v>1</v>
      </c>
      <c r="R571" s="1">
        <f>IF(Q571=1,MAX($R$5:R570)+1,"")</f>
        <v>403</v>
      </c>
    </row>
    <row r="572" spans="1:18" ht="57">
      <c r="A572" s="1" t="s">
        <v>2627</v>
      </c>
      <c r="B572" s="1" t="s">
        <v>2622</v>
      </c>
      <c r="C572" s="1">
        <v>3</v>
      </c>
      <c r="D572" s="1" t="s">
        <v>2628</v>
      </c>
      <c r="E572" s="1" t="s">
        <v>2629</v>
      </c>
      <c r="F572" s="1">
        <f>MAX(F574,F671)</f>
        <v>0</v>
      </c>
      <c r="G572" s="1" t="s">
        <v>415</v>
      </c>
      <c r="H572" s="1"/>
      <c r="I572" s="1" t="s">
        <v>2630</v>
      </c>
      <c r="J572" s="1">
        <f>0</f>
        <v>0</v>
      </c>
      <c r="K572" s="1">
        <f>K571*J572</f>
        <v>0</v>
      </c>
      <c r="L572" s="1"/>
      <c r="M572" s="1" t="s">
        <v>2595</v>
      </c>
      <c r="N572" s="1" t="s">
        <v>2631</v>
      </c>
      <c r="O572" s="1">
        <f t="shared" si="63"/>
        <v>0</v>
      </c>
      <c r="P572" s="1"/>
      <c r="Q572" s="1">
        <f>IF(E572="","",--(MATCH(E572,$E$5:E572,0)=ROWS($E$5:E572)))</f>
        <v>1</v>
      </c>
      <c r="R572" s="1">
        <f>IF(Q572=1,MAX($R$5:R571)+1,"")</f>
        <v>404</v>
      </c>
    </row>
    <row r="573" spans="1:18">
      <c r="A573" s="1"/>
      <c r="B573" s="1"/>
      <c r="C573" s="1"/>
      <c r="D573" s="1"/>
      <c r="E573" s="1"/>
      <c r="F573" s="1"/>
      <c r="G573" s="1"/>
      <c r="H573" s="1"/>
      <c r="I573" s="1"/>
      <c r="J573" s="1"/>
      <c r="K573" s="1"/>
      <c r="L573" s="1"/>
      <c r="M573" s="1"/>
      <c r="N573" s="1"/>
      <c r="O573" s="1" t="str">
        <f t="shared" si="63"/>
        <v/>
      </c>
      <c r="P573" s="1"/>
      <c r="Q573" s="1"/>
      <c r="R573" s="1"/>
    </row>
    <row r="574" spans="1:18" ht="42.75">
      <c r="A574" s="1" t="s">
        <v>2632</v>
      </c>
      <c r="B574" s="1" t="s">
        <v>2627</v>
      </c>
      <c r="C574" s="1">
        <v>4</v>
      </c>
      <c r="D574" s="1" t="s">
        <v>2633</v>
      </c>
      <c r="E574" s="1" t="s">
        <v>1221</v>
      </c>
      <c r="F574" s="1">
        <f>'01_入力仕様'!D296</f>
        <v>0</v>
      </c>
      <c r="G574" s="1" t="s">
        <v>415</v>
      </c>
      <c r="H574" s="1">
        <f>IF('01_入力仕様'!D297=0,((1-'01_入力仕様'!D298)*(0.5*('01_入力仕様'!D304*(1-'01_入力仕様'!D299*'01_入力仕様'!D305))*F580^2*'01_入力仕様'!D306)+'01_入力仕様'!D298*((0.5*('01_入力仕様'!D304*(1-'01_入力仕様'!D299*'01_入力仕様'!D305))*F580^2*'01_入力仕様'!D306)*(1-'01_入力仕様'!D307)+'01_入力仕様'!D308+'01_入力仕様'!D310+'01_入力仕様'!D311)),0)</f>
        <v>0.80541237113402087</v>
      </c>
      <c r="I574" s="1" t="s">
        <v>1482</v>
      </c>
      <c r="J574" s="1">
        <v>0</v>
      </c>
      <c r="K574" s="1">
        <f>IFERROR(H574/F5,0)</f>
        <v>6.4753773249255436E-2</v>
      </c>
      <c r="L574" s="1" t="s">
        <v>2634</v>
      </c>
      <c r="M574" s="1" t="s">
        <v>1474</v>
      </c>
      <c r="N574" s="1" t="s">
        <v>2635</v>
      </c>
      <c r="O574" s="1">
        <f t="shared" si="63"/>
        <v>1</v>
      </c>
      <c r="P574" s="1"/>
      <c r="Q574" s="1">
        <f>IF(E574="","",--(MATCH(E574,$E$5:E574,0)=ROWS($E$5:E574)))</f>
        <v>1</v>
      </c>
      <c r="R574" s="1">
        <f>IF(Q574=1,MAX($R$5:R573)+1,"")</f>
        <v>405</v>
      </c>
    </row>
    <row r="575" spans="1:18">
      <c r="A575" s="1" t="s">
        <v>2636</v>
      </c>
      <c r="B575" s="1" t="s">
        <v>2622</v>
      </c>
      <c r="C575" s="1">
        <v>3</v>
      </c>
      <c r="D575" s="1" t="s">
        <v>2637</v>
      </c>
      <c r="E575" s="1" t="s">
        <v>1263</v>
      </c>
      <c r="F575" s="1">
        <f>0.5*F576*F580^2*F581</f>
        <v>0</v>
      </c>
      <c r="G575" s="1" t="s">
        <v>229</v>
      </c>
      <c r="H575" s="1">
        <f t="shared" ref="H575:H601" si="68">ABS(K575)*$F$5</f>
        <v>0</v>
      </c>
      <c r="I575" s="1" t="s">
        <v>2638</v>
      </c>
      <c r="J575" s="1">
        <f>IF(F571=0,0,F572*(1-F582)*F575/F571)</f>
        <v>0</v>
      </c>
      <c r="K575" s="1">
        <f>K571*J575</f>
        <v>0</v>
      </c>
      <c r="L575" s="1" t="str">
        <f t="shared" ref="L575:L601" si="69">IF(K575&gt;0,"増加→総重量増",IF(K575&lt;0,"増加→総重量減","中立"))</f>
        <v>中立</v>
      </c>
      <c r="M575" s="1" t="s">
        <v>1474</v>
      </c>
      <c r="N575" s="1"/>
      <c r="O575" s="1">
        <f t="shared" si="63"/>
        <v>0</v>
      </c>
      <c r="P575" s="1"/>
      <c r="Q575" s="1">
        <f>IF(E575="","",--(MATCH(E575,$E$5:E575,0)=ROWS($E$5:E575)))</f>
        <v>1</v>
      </c>
      <c r="R575" s="1">
        <f>IF(Q575=1,MAX($R$5:R574)+1,"")</f>
        <v>406</v>
      </c>
    </row>
    <row r="576" spans="1:18" ht="28.5">
      <c r="A576" s="1" t="s">
        <v>2639</v>
      </c>
      <c r="B576" s="1" t="s">
        <v>2636</v>
      </c>
      <c r="C576" s="1">
        <v>4</v>
      </c>
      <c r="D576" s="1" t="s">
        <v>2640</v>
      </c>
      <c r="E576" s="1" t="s">
        <v>1255</v>
      </c>
      <c r="F576" s="1">
        <f>F572*F577*(1-F578*F579)</f>
        <v>0</v>
      </c>
      <c r="G576" s="1" t="s">
        <v>741</v>
      </c>
      <c r="H576" s="1">
        <f t="shared" si="68"/>
        <v>0</v>
      </c>
      <c r="I576" s="1" t="s">
        <v>2641</v>
      </c>
      <c r="J576" s="1">
        <f>1</f>
        <v>1</v>
      </c>
      <c r="K576" s="1">
        <f>K575*J576</f>
        <v>0</v>
      </c>
      <c r="L576" s="1" t="str">
        <f t="shared" si="69"/>
        <v>中立</v>
      </c>
      <c r="M576" s="1" t="s">
        <v>1474</v>
      </c>
      <c r="N576" s="1"/>
      <c r="O576" s="1">
        <f t="shared" si="63"/>
        <v>0</v>
      </c>
      <c r="P576" s="1"/>
      <c r="Q576" s="1">
        <f>IF(E576="","",--(MATCH(E576,$E$5:E576,0)=ROWS($E$5:E576)))</f>
        <v>1</v>
      </c>
      <c r="R576" s="1">
        <f>IF(Q576=1,MAX($R$5:R575)+1,"")</f>
        <v>407</v>
      </c>
    </row>
    <row r="577" spans="1:18" ht="28.5">
      <c r="A577" s="1" t="s">
        <v>2642</v>
      </c>
      <c r="B577" s="1" t="s">
        <v>2639</v>
      </c>
      <c r="C577" s="1">
        <v>5</v>
      </c>
      <c r="D577" s="1" t="s">
        <v>2643</v>
      </c>
      <c r="E577" s="1" t="s">
        <v>1254</v>
      </c>
      <c r="F577" s="1">
        <f>'01_入力仕様'!D304</f>
        <v>1.9399999999999999E-3</v>
      </c>
      <c r="G577" s="1" t="s">
        <v>741</v>
      </c>
      <c r="H577" s="1">
        <f t="shared" si="68"/>
        <v>0</v>
      </c>
      <c r="I577" s="1" t="s">
        <v>1482</v>
      </c>
      <c r="J577" s="1">
        <f>1</f>
        <v>1</v>
      </c>
      <c r="K577" s="1">
        <f>K576*J577</f>
        <v>0</v>
      </c>
      <c r="L577" s="1" t="str">
        <f t="shared" si="69"/>
        <v>中立</v>
      </c>
      <c r="M577" s="1" t="s">
        <v>1474</v>
      </c>
      <c r="N577" s="1"/>
      <c r="O577" s="1">
        <f t="shared" si="63"/>
        <v>1</v>
      </c>
      <c r="P577" s="1"/>
      <c r="Q577" s="1">
        <f>IF(E577="","",--(MATCH(E577,$E$5:E577,0)=ROWS($E$5:E577)))</f>
        <v>1</v>
      </c>
      <c r="R577" s="1">
        <f>IF(Q577=1,MAX($R$5:R576)+1,"")</f>
        <v>408</v>
      </c>
    </row>
    <row r="578" spans="1:18">
      <c r="A578" s="1" t="s">
        <v>2644</v>
      </c>
      <c r="B578" s="1" t="s">
        <v>2639</v>
      </c>
      <c r="C578" s="1">
        <v>5</v>
      </c>
      <c r="D578" s="1" t="s">
        <v>2645</v>
      </c>
      <c r="E578" s="1" t="s">
        <v>1235</v>
      </c>
      <c r="F578" s="1">
        <f>'01_入力仕様'!D299</f>
        <v>0</v>
      </c>
      <c r="G578" s="1" t="s">
        <v>415</v>
      </c>
      <c r="H578" s="1">
        <f t="shared" si="68"/>
        <v>0</v>
      </c>
      <c r="I578" s="1" t="s">
        <v>1482</v>
      </c>
      <c r="J578" s="1">
        <f>0</f>
        <v>0</v>
      </c>
      <c r="K578" s="1">
        <f>K576*J578</f>
        <v>0</v>
      </c>
      <c r="L578" s="1" t="str">
        <f t="shared" si="69"/>
        <v>中立</v>
      </c>
      <c r="M578" s="1" t="s">
        <v>1474</v>
      </c>
      <c r="N578" s="1"/>
      <c r="O578" s="1">
        <f t="shared" si="63"/>
        <v>1</v>
      </c>
      <c r="P578" s="1"/>
      <c r="Q578" s="1">
        <f>IF(E578="","",--(MATCH(E578,$E$5:E578,0)=ROWS($E$5:E578)))</f>
        <v>1</v>
      </c>
      <c r="R578" s="1">
        <f>IF(Q578=1,MAX($R$5:R577)+1,"")</f>
        <v>409</v>
      </c>
    </row>
    <row r="579" spans="1:18">
      <c r="A579" s="1" t="s">
        <v>2646</v>
      </c>
      <c r="B579" s="1" t="s">
        <v>2639</v>
      </c>
      <c r="C579" s="1">
        <v>5</v>
      </c>
      <c r="D579" s="1" t="s">
        <v>1257</v>
      </c>
      <c r="E579" s="1" t="s">
        <v>1258</v>
      </c>
      <c r="F579" s="1">
        <f>'01_入力仕様'!D305</f>
        <v>0.7</v>
      </c>
      <c r="G579" s="1" t="s">
        <v>86</v>
      </c>
      <c r="H579" s="1">
        <f t="shared" si="68"/>
        <v>0</v>
      </c>
      <c r="I579" s="1" t="s">
        <v>1482</v>
      </c>
      <c r="J579" s="1">
        <f>IF('01_入力仕様'!D299=0,0,-'01_入力仕様'!D299*F579/(1-'01_入力仕様'!D299*F579))</f>
        <v>0</v>
      </c>
      <c r="K579" s="1">
        <f>K576*J579</f>
        <v>0</v>
      </c>
      <c r="L579" s="1" t="str">
        <f t="shared" si="69"/>
        <v>中立</v>
      </c>
      <c r="M579" s="1" t="s">
        <v>1474</v>
      </c>
      <c r="N579" s="1"/>
      <c r="O579" s="1">
        <f t="shared" si="63"/>
        <v>1</v>
      </c>
      <c r="P579" s="1"/>
      <c r="Q579" s="1">
        <f>IF(E579="","",--(MATCH(E579,$E$5:E579,0)=ROWS($E$5:E579)))</f>
        <v>1</v>
      </c>
      <c r="R579" s="1">
        <f>IF(Q579=1,MAX($R$5:R578)+1,"")</f>
        <v>410</v>
      </c>
    </row>
    <row r="580" spans="1:18">
      <c r="A580" s="1" t="s">
        <v>2647</v>
      </c>
      <c r="B580" s="1" t="s">
        <v>2636</v>
      </c>
      <c r="C580" s="1">
        <v>4</v>
      </c>
      <c r="D580" s="1" t="s">
        <v>1732</v>
      </c>
      <c r="E580" s="1" t="s">
        <v>1733</v>
      </c>
      <c r="F580" s="1">
        <f>'01_入力仕様'!D5*1000/('01_入力仕様'!D6*'01_入力仕様'!D9)</f>
        <v>128.86597938144331</v>
      </c>
      <c r="G580" s="1" t="s">
        <v>808</v>
      </c>
      <c r="H580" s="1">
        <f t="shared" si="68"/>
        <v>0</v>
      </c>
      <c r="I580" s="1" t="s">
        <v>2648</v>
      </c>
      <c r="J580" s="1">
        <f>2</f>
        <v>2</v>
      </c>
      <c r="K580" s="1">
        <f>K575*J580</f>
        <v>0</v>
      </c>
      <c r="L580" s="1" t="str">
        <f t="shared" si="69"/>
        <v>中立</v>
      </c>
      <c r="M580" s="1" t="s">
        <v>1474</v>
      </c>
      <c r="N580" s="1"/>
      <c r="O580" s="1">
        <f t="shared" si="63"/>
        <v>1</v>
      </c>
      <c r="P580" s="1"/>
      <c r="Q580" s="1">
        <f>IF(E580="","",--(MATCH(E580,$E$5:E580,0)=ROWS($E$5:E580)))</f>
        <v>0</v>
      </c>
      <c r="R580" s="1" t="str">
        <f>IF(Q580=1,MAX($R$5:R579)+1,"")</f>
        <v/>
      </c>
    </row>
    <row r="581" spans="1:18">
      <c r="A581" s="1" t="s">
        <v>2649</v>
      </c>
      <c r="B581" s="1" t="s">
        <v>2636</v>
      </c>
      <c r="C581" s="1">
        <v>4</v>
      </c>
      <c r="D581" s="1" t="s">
        <v>1260</v>
      </c>
      <c r="E581" s="1" t="s">
        <v>1261</v>
      </c>
      <c r="F581" s="1">
        <f>'01_入力仕様'!D306</f>
        <v>0.05</v>
      </c>
      <c r="G581" s="1" t="s">
        <v>1262</v>
      </c>
      <c r="H581" s="1">
        <f t="shared" si="68"/>
        <v>0</v>
      </c>
      <c r="I581" s="1" t="s">
        <v>1482</v>
      </c>
      <c r="J581" s="1">
        <f>1</f>
        <v>1</v>
      </c>
      <c r="K581" s="1">
        <f>K575*J581</f>
        <v>0</v>
      </c>
      <c r="L581" s="1" t="str">
        <f t="shared" si="69"/>
        <v>中立</v>
      </c>
      <c r="M581" s="1" t="s">
        <v>1474</v>
      </c>
      <c r="N581" s="1"/>
      <c r="O581" s="1">
        <f t="shared" ref="O581:O644" si="70">IF($A581="","",--(COUNTIF($B$5:$B$679,$A581)=0))</f>
        <v>1</v>
      </c>
      <c r="P581" s="1"/>
      <c r="Q581" s="1">
        <f>IF(E581="","",--(MATCH(E581,$E$5:E581,0)=ROWS($E$5:E581)))</f>
        <v>1</v>
      </c>
      <c r="R581" s="1">
        <f>IF(Q581=1,MAX($R$5:R580)+1,"")</f>
        <v>411</v>
      </c>
    </row>
    <row r="582" spans="1:18">
      <c r="A582" s="1" t="s">
        <v>2650</v>
      </c>
      <c r="B582" s="1" t="s">
        <v>2622</v>
      </c>
      <c r="C582" s="1">
        <v>3</v>
      </c>
      <c r="D582" s="1" t="s">
        <v>2651</v>
      </c>
      <c r="E582" s="1" t="s">
        <v>1231</v>
      </c>
      <c r="F582" s="1">
        <f>'01_入力仕様'!D298</f>
        <v>0</v>
      </c>
      <c r="G582" s="1" t="s">
        <v>415</v>
      </c>
      <c r="H582" s="1">
        <f t="shared" si="68"/>
        <v>0</v>
      </c>
      <c r="I582" s="1" t="s">
        <v>1482</v>
      </c>
      <c r="J582" s="1">
        <f>0</f>
        <v>0</v>
      </c>
      <c r="K582" s="1">
        <f>K571*J582</f>
        <v>0</v>
      </c>
      <c r="L582" s="1" t="str">
        <f t="shared" si="69"/>
        <v>中立</v>
      </c>
      <c r="M582" s="1" t="s">
        <v>1474</v>
      </c>
      <c r="N582" s="1" t="s">
        <v>1233</v>
      </c>
      <c r="O582" s="1">
        <f t="shared" si="70"/>
        <v>1</v>
      </c>
      <c r="P582" s="1"/>
      <c r="Q582" s="1">
        <f>IF(E582="","",--(MATCH(E582,$E$5:E582,0)=ROWS($E$5:E582)))</f>
        <v>1</v>
      </c>
      <c r="R582" s="1">
        <f>IF(Q582=1,MAX($R$5:R581)+1,"")</f>
        <v>412</v>
      </c>
    </row>
    <row r="583" spans="1:18" ht="28.5">
      <c r="A583" s="1" t="s">
        <v>2652</v>
      </c>
      <c r="B583" s="1" t="s">
        <v>2622</v>
      </c>
      <c r="C583" s="1">
        <v>3</v>
      </c>
      <c r="D583" s="1" t="s">
        <v>2653</v>
      </c>
      <c r="E583" s="1" t="s">
        <v>1267</v>
      </c>
      <c r="F583" s="1">
        <f>F575*(1-F584)</f>
        <v>0</v>
      </c>
      <c r="G583" s="1" t="s">
        <v>229</v>
      </c>
      <c r="H583" s="1">
        <f t="shared" si="68"/>
        <v>0</v>
      </c>
      <c r="I583" s="1" t="s">
        <v>2654</v>
      </c>
      <c r="J583" s="1">
        <f>IF(F571=0,0,F572*F582*F583/F571)</f>
        <v>0</v>
      </c>
      <c r="K583" s="1">
        <f>K571*J583</f>
        <v>0</v>
      </c>
      <c r="L583" s="1" t="str">
        <f t="shared" si="69"/>
        <v>中立</v>
      </c>
      <c r="M583" s="1" t="s">
        <v>1474</v>
      </c>
      <c r="N583" s="1"/>
      <c r="O583" s="1">
        <f t="shared" si="70"/>
        <v>0</v>
      </c>
      <c r="P583" s="1"/>
      <c r="Q583" s="1">
        <f>IF(E583="","",--(MATCH(E583,$E$5:E583,0)=ROWS($E$5:E583)))</f>
        <v>1</v>
      </c>
      <c r="R583" s="1">
        <f>IF(Q583=1,MAX($R$5:R582)+1,"")</f>
        <v>413</v>
      </c>
    </row>
    <row r="584" spans="1:18">
      <c r="A584" s="1" t="s">
        <v>2655</v>
      </c>
      <c r="B584" s="1" t="s">
        <v>2652</v>
      </c>
      <c r="C584" s="1">
        <v>4</v>
      </c>
      <c r="D584" s="1" t="s">
        <v>1265</v>
      </c>
      <c r="E584" s="1" t="s">
        <v>1266</v>
      </c>
      <c r="F584" s="1">
        <f>'01_入力仕様'!D307</f>
        <v>0.8</v>
      </c>
      <c r="G584" s="1" t="s">
        <v>86</v>
      </c>
      <c r="H584" s="1">
        <f t="shared" si="68"/>
        <v>0</v>
      </c>
      <c r="I584" s="1" t="s">
        <v>1482</v>
      </c>
      <c r="J584" s="1">
        <f>IF(F583=0,0,-F584/(1-F584))</f>
        <v>0</v>
      </c>
      <c r="K584" s="1">
        <f>K583*J584</f>
        <v>0</v>
      </c>
      <c r="L584" s="1" t="str">
        <f t="shared" si="69"/>
        <v>中立</v>
      </c>
      <c r="M584" s="1" t="s">
        <v>1474</v>
      </c>
      <c r="N584" s="1"/>
      <c r="O584" s="1">
        <f t="shared" si="70"/>
        <v>1</v>
      </c>
      <c r="P584" s="1"/>
      <c r="Q584" s="1">
        <f>IF(E584="","",--(MATCH(E584,$E$5:E584,0)=ROWS($E$5:E584)))</f>
        <v>1</v>
      </c>
      <c r="R584" s="1">
        <f>IF(Q584=1,MAX($R$5:R583)+1,"")</f>
        <v>414</v>
      </c>
    </row>
    <row r="585" spans="1:18">
      <c r="A585" s="1" t="s">
        <v>2656</v>
      </c>
      <c r="B585" s="1" t="s">
        <v>2622</v>
      </c>
      <c r="C585" s="1">
        <v>3</v>
      </c>
      <c r="D585" s="1" t="s">
        <v>2657</v>
      </c>
      <c r="E585" s="1" t="s">
        <v>1272</v>
      </c>
      <c r="F585" s="1">
        <f>F586</f>
        <v>6.4</v>
      </c>
      <c r="G585" s="1" t="s">
        <v>229</v>
      </c>
      <c r="H585" s="1">
        <f t="shared" si="68"/>
        <v>0</v>
      </c>
      <c r="I585" s="1" t="s">
        <v>1482</v>
      </c>
      <c r="J585" s="1">
        <f>IF(F571=0,0,F572*F582*F585/F571)</f>
        <v>0</v>
      </c>
      <c r="K585" s="1">
        <f>K571*J585</f>
        <v>0</v>
      </c>
      <c r="L585" s="1" t="str">
        <f t="shared" si="69"/>
        <v>中立</v>
      </c>
      <c r="M585" s="1" t="s">
        <v>1474</v>
      </c>
      <c r="N585" s="1"/>
      <c r="O585" s="1">
        <f t="shared" si="70"/>
        <v>0</v>
      </c>
      <c r="P585" s="1"/>
      <c r="Q585" s="1">
        <f>IF(E585="","",--(MATCH(E585,$E$5:E585,0)=ROWS($E$5:E585)))</f>
        <v>1</v>
      </c>
      <c r="R585" s="1">
        <f>IF(Q585=1,MAX($R$5:R584)+1,"")</f>
        <v>415</v>
      </c>
    </row>
    <row r="586" spans="1:18">
      <c r="A586" s="1" t="s">
        <v>2658</v>
      </c>
      <c r="B586" s="1" t="s">
        <v>2656</v>
      </c>
      <c r="C586" s="1">
        <v>4</v>
      </c>
      <c r="D586" s="1" t="s">
        <v>2659</v>
      </c>
      <c r="E586" s="1" t="s">
        <v>1271</v>
      </c>
      <c r="F586" s="1">
        <f>'01_入力仕様'!D308</f>
        <v>6.4</v>
      </c>
      <c r="G586" s="1" t="s">
        <v>229</v>
      </c>
      <c r="H586" s="1">
        <f t="shared" si="68"/>
        <v>0</v>
      </c>
      <c r="I586" s="1" t="s">
        <v>1482</v>
      </c>
      <c r="J586" s="1">
        <f>1</f>
        <v>1</v>
      </c>
      <c r="K586" s="1">
        <f>K585*J586</f>
        <v>0</v>
      </c>
      <c r="L586" s="1" t="str">
        <f t="shared" si="69"/>
        <v>中立</v>
      </c>
      <c r="M586" s="1" t="s">
        <v>1474</v>
      </c>
      <c r="N586" s="1"/>
      <c r="O586" s="1">
        <f t="shared" si="70"/>
        <v>1</v>
      </c>
      <c r="P586" s="1"/>
      <c r="Q586" s="1">
        <f>IF(E586="","",--(MATCH(E586,$E$5:E586,0)=ROWS($E$5:E586)))</f>
        <v>1</v>
      </c>
      <c r="R586" s="1">
        <f>IF(Q586=1,MAX($R$5:R585)+1,"")</f>
        <v>416</v>
      </c>
    </row>
    <row r="587" spans="1:18" ht="28.5">
      <c r="A587" s="1" t="s">
        <v>2660</v>
      </c>
      <c r="B587" s="1" t="s">
        <v>2661</v>
      </c>
      <c r="C587" s="1">
        <v>5</v>
      </c>
      <c r="D587" s="1" t="s">
        <v>2662</v>
      </c>
      <c r="E587" s="1" t="s">
        <v>2629</v>
      </c>
      <c r="F587" s="1">
        <f>MAX('01_入力仕様'!D296,'01_入力仕様'!D297)</f>
        <v>0</v>
      </c>
      <c r="G587" s="1" t="s">
        <v>415</v>
      </c>
      <c r="H587" s="1">
        <f t="shared" si="68"/>
        <v>0</v>
      </c>
      <c r="I587" s="1" t="s">
        <v>2630</v>
      </c>
      <c r="J587" s="1">
        <f>0</f>
        <v>0</v>
      </c>
      <c r="K587" s="1">
        <f>K595*J587</f>
        <v>0</v>
      </c>
      <c r="L587" s="1" t="str">
        <f t="shared" si="69"/>
        <v>中立</v>
      </c>
      <c r="M587" s="1" t="s">
        <v>1474</v>
      </c>
      <c r="N587" s="1" t="s">
        <v>2663</v>
      </c>
      <c r="O587" s="1">
        <f t="shared" si="70"/>
        <v>1</v>
      </c>
      <c r="P587" s="1"/>
      <c r="Q587" s="1">
        <f>IF(E587="","",--(MATCH(E587,$E$5:E587,0)=ROWS($E$5:E587)))</f>
        <v>0</v>
      </c>
      <c r="R587" s="1" t="str">
        <f>IF(Q587=1,MAX($R$5:R586)+1,"")</f>
        <v/>
      </c>
    </row>
    <row r="588" spans="1:18" ht="28.5">
      <c r="A588" s="1" t="s">
        <v>2664</v>
      </c>
      <c r="B588" s="1" t="s">
        <v>2661</v>
      </c>
      <c r="C588" s="1">
        <v>5</v>
      </c>
      <c r="D588" s="1" t="s">
        <v>2665</v>
      </c>
      <c r="E588" s="1" t="s">
        <v>1231</v>
      </c>
      <c r="F588" s="1">
        <f>'01_入力仕様'!D298</f>
        <v>0</v>
      </c>
      <c r="G588" s="1" t="s">
        <v>415</v>
      </c>
      <c r="H588" s="1">
        <f t="shared" si="68"/>
        <v>0</v>
      </c>
      <c r="I588" s="1" t="s">
        <v>1482</v>
      </c>
      <c r="J588" s="1">
        <f>0</f>
        <v>0</v>
      </c>
      <c r="K588" s="1">
        <f>K595*J588</f>
        <v>0</v>
      </c>
      <c r="L588" s="1" t="str">
        <f t="shared" si="69"/>
        <v>中立</v>
      </c>
      <c r="M588" s="1" t="s">
        <v>1474</v>
      </c>
      <c r="N588" s="1" t="s">
        <v>2666</v>
      </c>
      <c r="O588" s="1">
        <f t="shared" si="70"/>
        <v>1</v>
      </c>
      <c r="P588" s="1"/>
      <c r="Q588" s="1">
        <f>IF(E588="","",--(MATCH(E588,$E$5:E588,0)=ROWS($E$5:E588)))</f>
        <v>0</v>
      </c>
      <c r="R588" s="1" t="str">
        <f>IF(Q588=1,MAX($R$5:R587)+1,"")</f>
        <v/>
      </c>
    </row>
    <row r="589" spans="1:18">
      <c r="A589" s="1" t="s">
        <v>2667</v>
      </c>
      <c r="B589" s="1" t="s">
        <v>2622</v>
      </c>
      <c r="C589" s="1">
        <v>3</v>
      </c>
      <c r="D589" s="1" t="s">
        <v>2668</v>
      </c>
      <c r="E589" s="1" t="s">
        <v>1279</v>
      </c>
      <c r="F589" s="1">
        <f>F590</f>
        <v>0.5</v>
      </c>
      <c r="G589" s="1" t="s">
        <v>229</v>
      </c>
      <c r="H589" s="1">
        <f t="shared" si="68"/>
        <v>0</v>
      </c>
      <c r="I589" s="1" t="s">
        <v>1482</v>
      </c>
      <c r="J589" s="1">
        <f>IF(F571=0,0,F572*F582*F589/F571)</f>
        <v>0</v>
      </c>
      <c r="K589" s="1">
        <f>K571*J589</f>
        <v>0</v>
      </c>
      <c r="L589" s="1" t="str">
        <f t="shared" si="69"/>
        <v>中立</v>
      </c>
      <c r="M589" s="1" t="s">
        <v>1474</v>
      </c>
      <c r="N589" s="1"/>
      <c r="O589" s="1">
        <f t="shared" si="70"/>
        <v>0</v>
      </c>
      <c r="P589" s="1"/>
      <c r="Q589" s="1">
        <f>IF(E589="","",--(MATCH(E589,$E$5:E589,0)=ROWS($E$5:E589)))</f>
        <v>1</v>
      </c>
      <c r="R589" s="1">
        <f>IF(Q589=1,MAX($R$5:R588)+1,"")</f>
        <v>417</v>
      </c>
    </row>
    <row r="590" spans="1:18">
      <c r="A590" s="1" t="s">
        <v>2669</v>
      </c>
      <c r="B590" s="1" t="s">
        <v>2667</v>
      </c>
      <c r="C590" s="1">
        <v>4</v>
      </c>
      <c r="D590" s="1" t="s">
        <v>2670</v>
      </c>
      <c r="E590" s="1" t="s">
        <v>1278</v>
      </c>
      <c r="F590" s="1">
        <f>'01_入力仕様'!D310</f>
        <v>0.5</v>
      </c>
      <c r="G590" s="1" t="s">
        <v>229</v>
      </c>
      <c r="H590" s="1">
        <f t="shared" si="68"/>
        <v>0</v>
      </c>
      <c r="I590" s="1" t="s">
        <v>1482</v>
      </c>
      <c r="J590" s="1">
        <f>1</f>
        <v>1</v>
      </c>
      <c r="K590" s="1">
        <f>K589*J590</f>
        <v>0</v>
      </c>
      <c r="L590" s="1" t="str">
        <f t="shared" si="69"/>
        <v>中立</v>
      </c>
      <c r="M590" s="1" t="s">
        <v>1474</v>
      </c>
      <c r="N590" s="1"/>
      <c r="O590" s="1">
        <f t="shared" si="70"/>
        <v>1</v>
      </c>
      <c r="P590" s="1"/>
      <c r="Q590" s="1">
        <f>IF(E590="","",--(MATCH(E590,$E$5:E590,0)=ROWS($E$5:E590)))</f>
        <v>1</v>
      </c>
      <c r="R590" s="1">
        <f>IF(Q590=1,MAX($R$5:R589)+1,"")</f>
        <v>418</v>
      </c>
    </row>
    <row r="591" spans="1:18">
      <c r="A591" s="1" t="s">
        <v>2671</v>
      </c>
      <c r="B591" s="1" t="s">
        <v>2622</v>
      </c>
      <c r="C591" s="1">
        <v>3</v>
      </c>
      <c r="D591" s="1" t="s">
        <v>2672</v>
      </c>
      <c r="E591" s="1" t="s">
        <v>1282</v>
      </c>
      <c r="F591" s="1">
        <f>F592</f>
        <v>0.5</v>
      </c>
      <c r="G591" s="1" t="s">
        <v>229</v>
      </c>
      <c r="H591" s="1">
        <f t="shared" si="68"/>
        <v>0</v>
      </c>
      <c r="I591" s="1" t="s">
        <v>1482</v>
      </c>
      <c r="J591" s="1">
        <f>IF(F571=0,0,F572*F582*F591/F571)</f>
        <v>0</v>
      </c>
      <c r="K591" s="1">
        <f>K571*J591</f>
        <v>0</v>
      </c>
      <c r="L591" s="1" t="str">
        <f t="shared" si="69"/>
        <v>中立</v>
      </c>
      <c r="M591" s="1" t="s">
        <v>1474</v>
      </c>
      <c r="N591" s="1"/>
      <c r="O591" s="1">
        <f t="shared" si="70"/>
        <v>0</v>
      </c>
      <c r="P591" s="1"/>
      <c r="Q591" s="1">
        <f>IF(E591="","",--(MATCH(E591,$E$5:E591,0)=ROWS($E$5:E591)))</f>
        <v>1</v>
      </c>
      <c r="R591" s="1">
        <f>IF(Q591=1,MAX($R$5:R590)+1,"")</f>
        <v>419</v>
      </c>
    </row>
    <row r="592" spans="1:18">
      <c r="A592" s="1" t="s">
        <v>2673</v>
      </c>
      <c r="B592" s="1" t="s">
        <v>2671</v>
      </c>
      <c r="C592" s="1">
        <v>4</v>
      </c>
      <c r="D592" s="1" t="s">
        <v>2674</v>
      </c>
      <c r="E592" s="1" t="s">
        <v>1281</v>
      </c>
      <c r="F592" s="1">
        <f>'01_入力仕様'!D311</f>
        <v>0.5</v>
      </c>
      <c r="G592" s="1" t="s">
        <v>229</v>
      </c>
      <c r="H592" s="1">
        <f t="shared" si="68"/>
        <v>0</v>
      </c>
      <c r="I592" s="1" t="s">
        <v>1482</v>
      </c>
      <c r="J592" s="1">
        <f>1</f>
        <v>1</v>
      </c>
      <c r="K592" s="1">
        <f>K591*J592</f>
        <v>0</v>
      </c>
      <c r="L592" s="1" t="str">
        <f t="shared" si="69"/>
        <v>中立</v>
      </c>
      <c r="M592" s="1" t="s">
        <v>1474</v>
      </c>
      <c r="N592" s="1"/>
      <c r="O592" s="1">
        <f t="shared" si="70"/>
        <v>1</v>
      </c>
      <c r="P592" s="1"/>
      <c r="Q592" s="1">
        <f>IF(E592="","",--(MATCH(E592,$E$5:E592,0)=ROWS($E$5:E592)))</f>
        <v>1</v>
      </c>
      <c r="R592" s="1">
        <f>IF(Q592=1,MAX($R$5:R591)+1,"")</f>
        <v>420</v>
      </c>
    </row>
    <row r="593" spans="1:18" ht="71.25">
      <c r="A593" s="1" t="s">
        <v>2675</v>
      </c>
      <c r="B593" s="1" t="s">
        <v>2661</v>
      </c>
      <c r="C593" s="1">
        <v>5</v>
      </c>
      <c r="D593" s="1" t="s">
        <v>2676</v>
      </c>
      <c r="E593" s="1" t="s">
        <v>1285</v>
      </c>
      <c r="F593" s="1">
        <f>F594*IFERROR(F597/MAX('01_入力仕様'!D353,0.000000000001),0)</f>
        <v>0</v>
      </c>
      <c r="G593" s="1" t="s">
        <v>984</v>
      </c>
      <c r="H593" s="1">
        <f t="shared" si="68"/>
        <v>0</v>
      </c>
      <c r="I593" s="1" t="s">
        <v>2677</v>
      </c>
      <c r="J593" s="1">
        <f>IF(F595=0,0,F587*F588*F593/F595)</f>
        <v>0</v>
      </c>
      <c r="K593" s="1">
        <f>K595*J593</f>
        <v>0</v>
      </c>
      <c r="L593" s="1" t="str">
        <f t="shared" si="69"/>
        <v>中立</v>
      </c>
      <c r="M593" s="1" t="s">
        <v>1474</v>
      </c>
      <c r="N593" s="1" t="s">
        <v>2678</v>
      </c>
      <c r="O593" s="1">
        <f t="shared" si="70"/>
        <v>0</v>
      </c>
      <c r="P593" s="1"/>
      <c r="Q593" s="1">
        <f>IF(E593="","",--(MATCH(E593,$E$5:E593,0)=ROWS($E$5:E593)))</f>
        <v>1</v>
      </c>
      <c r="R593" s="1">
        <f>IF(Q593=1,MAX($R$5:R592)+1,"")</f>
        <v>421</v>
      </c>
    </row>
    <row r="594" spans="1:18">
      <c r="A594" s="1" t="s">
        <v>2679</v>
      </c>
      <c r="B594" s="1" t="s">
        <v>2675</v>
      </c>
      <c r="C594" s="1">
        <v>6</v>
      </c>
      <c r="D594" s="1" t="s">
        <v>1283</v>
      </c>
      <c r="E594" s="1" t="s">
        <v>1284</v>
      </c>
      <c r="F594" s="1">
        <f>'01_入力仕様'!D312</f>
        <v>20</v>
      </c>
      <c r="G594" s="1" t="s">
        <v>984</v>
      </c>
      <c r="H594" s="1">
        <f t="shared" si="68"/>
        <v>0</v>
      </c>
      <c r="I594" s="1" t="s">
        <v>1482</v>
      </c>
      <c r="J594" s="1">
        <f>IF(F593=0,0,1)</f>
        <v>0</v>
      </c>
      <c r="K594" s="1">
        <f>K593*J594</f>
        <v>0</v>
      </c>
      <c r="L594" s="1" t="str">
        <f t="shared" si="69"/>
        <v>中立</v>
      </c>
      <c r="M594" s="1" t="s">
        <v>1474</v>
      </c>
      <c r="N594" s="1"/>
      <c r="O594" s="1">
        <f t="shared" si="70"/>
        <v>1</v>
      </c>
      <c r="P594" s="1"/>
      <c r="Q594" s="1">
        <f>IF(E594="","",--(MATCH(E594,$E$5:E594,0)=ROWS($E$5:E594)))</f>
        <v>1</v>
      </c>
      <c r="R594" s="1">
        <f>IF(Q594=1,MAX($R$5:R593)+1,"")</f>
        <v>422</v>
      </c>
    </row>
    <row r="595" spans="1:18" ht="42.75">
      <c r="A595" s="1" t="s">
        <v>2661</v>
      </c>
      <c r="B595" s="1" t="s">
        <v>1553</v>
      </c>
      <c r="C595" s="1">
        <v>4</v>
      </c>
      <c r="D595" s="1" t="s">
        <v>2680</v>
      </c>
      <c r="E595" s="1" t="s">
        <v>1289</v>
      </c>
      <c r="F595" s="1">
        <f>F587*((1-F588)*F678^2*F596+F588*F593)</f>
        <v>0</v>
      </c>
      <c r="G595" s="1" t="s">
        <v>984</v>
      </c>
      <c r="H595" s="1">
        <f t="shared" si="68"/>
        <v>0</v>
      </c>
      <c r="I595" s="1" t="s">
        <v>2681</v>
      </c>
      <c r="J595" s="1">
        <f>IFERROR(F595/(F38+F444+F471+F479+F488+F504+F516+F534+F569+F595+F675),0)</f>
        <v>0</v>
      </c>
      <c r="K595" s="1">
        <f>K36*J595</f>
        <v>0</v>
      </c>
      <c r="L595" s="1" t="str">
        <f t="shared" si="69"/>
        <v>中立</v>
      </c>
      <c r="M595" s="1" t="s">
        <v>1474</v>
      </c>
      <c r="N595" s="1" t="s">
        <v>2682</v>
      </c>
      <c r="O595" s="1">
        <f t="shared" si="70"/>
        <v>0</v>
      </c>
      <c r="P595" s="1"/>
      <c r="Q595" s="1">
        <f>IF(E595="","",--(MATCH(E595,$E$5:E595,0)=ROWS($E$5:E595)))</f>
        <v>1</v>
      </c>
      <c r="R595" s="1">
        <f>IF(Q595=1,MAX($R$5:R594)+1,"")</f>
        <v>423</v>
      </c>
    </row>
    <row r="596" spans="1:18">
      <c r="A596" s="1" t="s">
        <v>2683</v>
      </c>
      <c r="B596" s="1" t="s">
        <v>2661</v>
      </c>
      <c r="C596" s="1">
        <v>5</v>
      </c>
      <c r="D596" s="1" t="s">
        <v>1287</v>
      </c>
      <c r="E596" s="1" t="s">
        <v>1288</v>
      </c>
      <c r="F596" s="1">
        <f>'01_入力仕様'!D313</f>
        <v>2E-3</v>
      </c>
      <c r="G596" s="1" t="s">
        <v>1015</v>
      </c>
      <c r="H596" s="1">
        <f t="shared" si="68"/>
        <v>0</v>
      </c>
      <c r="I596" s="1" t="s">
        <v>1482</v>
      </c>
      <c r="J596" s="1">
        <f>IF(F595=0,0,F587*(1-F588)*F678^2*F596/F595)</f>
        <v>0</v>
      </c>
      <c r="K596" s="1">
        <f>K595*J596</f>
        <v>0</v>
      </c>
      <c r="L596" s="1" t="str">
        <f t="shared" si="69"/>
        <v>中立</v>
      </c>
      <c r="M596" s="1" t="s">
        <v>1474</v>
      </c>
      <c r="N596" s="1"/>
      <c r="O596" s="1">
        <f t="shared" si="70"/>
        <v>1</v>
      </c>
      <c r="P596" s="1"/>
      <c r="Q596" s="1">
        <f>IF(E596="","",--(MATCH(E596,$E$5:E596,0)=ROWS($E$5:E596)))</f>
        <v>1</v>
      </c>
      <c r="R596" s="1">
        <f>IF(Q596=1,MAX($R$5:R595)+1,"")</f>
        <v>424</v>
      </c>
    </row>
    <row r="597" spans="1:18" ht="57">
      <c r="A597" s="1" t="s">
        <v>2684</v>
      </c>
      <c r="B597" s="1" t="s">
        <v>2675</v>
      </c>
      <c r="C597" s="1">
        <v>6</v>
      </c>
      <c r="D597" s="1" t="s">
        <v>2685</v>
      </c>
      <c r="E597" s="1" t="s">
        <v>1293</v>
      </c>
      <c r="F597" s="1">
        <f>MAX('01_入力仕様'!D296,'01_入力仕様'!D297)*F679*F598*(1-'01_入力仕様'!D299*F599)</f>
        <v>0</v>
      </c>
      <c r="G597" s="1" t="s">
        <v>808</v>
      </c>
      <c r="H597" s="1">
        <f t="shared" si="68"/>
        <v>0</v>
      </c>
      <c r="I597" s="1" t="s">
        <v>2686</v>
      </c>
      <c r="J597" s="1">
        <f>IF(F593=0,0,1)</f>
        <v>0</v>
      </c>
      <c r="K597" s="1">
        <f>K593*J597</f>
        <v>0</v>
      </c>
      <c r="L597" s="1" t="str">
        <f t="shared" si="69"/>
        <v>中立</v>
      </c>
      <c r="M597" s="1" t="s">
        <v>1474</v>
      </c>
      <c r="N597" s="1" t="s">
        <v>2687</v>
      </c>
      <c r="O597" s="1">
        <f t="shared" si="70"/>
        <v>0</v>
      </c>
      <c r="P597" s="1"/>
      <c r="Q597" s="1">
        <f>IF(E597="","",--(MATCH(E597,$E$5:E597,0)=ROWS($E$5:E597)))</f>
        <v>1</v>
      </c>
      <c r="R597" s="1">
        <f>IF(Q597=1,MAX($R$5:R596)+1,"")</f>
        <v>425</v>
      </c>
    </row>
    <row r="598" spans="1:18">
      <c r="A598" s="1" t="s">
        <v>2688</v>
      </c>
      <c r="B598" s="1" t="s">
        <v>2684</v>
      </c>
      <c r="C598" s="1">
        <v>7</v>
      </c>
      <c r="D598" s="1" t="s">
        <v>1291</v>
      </c>
      <c r="E598" s="1" t="s">
        <v>1292</v>
      </c>
      <c r="F598" s="1">
        <f>'01_入力仕様'!D314</f>
        <v>0.05</v>
      </c>
      <c r="G598" s="1" t="s">
        <v>86</v>
      </c>
      <c r="H598" s="1">
        <f t="shared" si="68"/>
        <v>0</v>
      </c>
      <c r="I598" s="1" t="s">
        <v>1482</v>
      </c>
      <c r="J598" s="1">
        <f>IF(F597=0,0,1)</f>
        <v>0</v>
      </c>
      <c r="K598" s="1">
        <f>K597*J598</f>
        <v>0</v>
      </c>
      <c r="L598" s="1" t="str">
        <f t="shared" si="69"/>
        <v>中立</v>
      </c>
      <c r="M598" s="1" t="s">
        <v>1474</v>
      </c>
      <c r="N598" s="1"/>
      <c r="O598" s="1">
        <f t="shared" si="70"/>
        <v>1</v>
      </c>
      <c r="P598" s="1"/>
      <c r="Q598" s="1">
        <f>IF(E598="","",--(MATCH(E598,$E$5:E598,0)=ROWS($E$5:E598)))</f>
        <v>1</v>
      </c>
      <c r="R598" s="1">
        <f>IF(Q598=1,MAX($R$5:R597)+1,"")</f>
        <v>426</v>
      </c>
    </row>
    <row r="599" spans="1:18">
      <c r="A599" s="1" t="s">
        <v>2689</v>
      </c>
      <c r="B599" s="1" t="s">
        <v>2684</v>
      </c>
      <c r="C599" s="1">
        <v>7</v>
      </c>
      <c r="D599" s="1" t="s">
        <v>2690</v>
      </c>
      <c r="E599" s="1" t="s">
        <v>1296</v>
      </c>
      <c r="F599" s="1">
        <f>'01_入力仕様'!D315</f>
        <v>0.8</v>
      </c>
      <c r="G599" s="1" t="s">
        <v>86</v>
      </c>
      <c r="H599" s="1">
        <f t="shared" si="68"/>
        <v>0</v>
      </c>
      <c r="I599" s="1" t="s">
        <v>1482</v>
      </c>
      <c r="J599" s="1">
        <f>IF(OR(F597=0,1-'01_入力仕様'!D299*F599=0),0,-'01_入力仕様'!D299*F599/(1-'01_入力仕様'!D299*F599))</f>
        <v>0</v>
      </c>
      <c r="K599" s="1">
        <f>K597*J599</f>
        <v>0</v>
      </c>
      <c r="L599" s="1" t="str">
        <f t="shared" si="69"/>
        <v>中立</v>
      </c>
      <c r="M599" s="1" t="s">
        <v>1474</v>
      </c>
      <c r="N599" s="1"/>
      <c r="O599" s="1">
        <f t="shared" si="70"/>
        <v>1</v>
      </c>
      <c r="P599" s="1"/>
      <c r="Q599" s="1">
        <f>IF(E599="","",--(MATCH(E599,$E$5:E599,0)=ROWS($E$5:E599)))</f>
        <v>1</v>
      </c>
      <c r="R599" s="1">
        <f>IF(Q599=1,MAX($R$5:R598)+1,"")</f>
        <v>427</v>
      </c>
    </row>
    <row r="600" spans="1:18" ht="42.75">
      <c r="A600" s="1" t="s">
        <v>2691</v>
      </c>
      <c r="B600" s="1" t="s">
        <v>1470</v>
      </c>
      <c r="C600" s="1">
        <v>1</v>
      </c>
      <c r="D600" s="1" t="s">
        <v>1298</v>
      </c>
      <c r="E600" s="1" t="s">
        <v>1300</v>
      </c>
      <c r="F600" s="1">
        <f>'01_入力仕様'!D299*F601</f>
        <v>0</v>
      </c>
      <c r="G600" s="1" t="s">
        <v>229</v>
      </c>
      <c r="H600" s="1">
        <f t="shared" si="68"/>
        <v>0</v>
      </c>
      <c r="I600" s="1" t="s">
        <v>2692</v>
      </c>
      <c r="J600" s="1">
        <f>IFERROR(F600/F5,0)</f>
        <v>0</v>
      </c>
      <c r="K600" s="1">
        <f>K5*J600</f>
        <v>0</v>
      </c>
      <c r="L600" s="1" t="str">
        <f t="shared" si="69"/>
        <v>中立</v>
      </c>
      <c r="M600" s="1" t="s">
        <v>1474</v>
      </c>
      <c r="N600" s="1" t="s">
        <v>2693</v>
      </c>
      <c r="O600" s="1">
        <f t="shared" si="70"/>
        <v>0</v>
      </c>
      <c r="P600" s="1"/>
      <c r="Q600" s="1">
        <f>IF(E600="","",--(MATCH(E600,$E$5:E600,0)=ROWS($E$5:E600)))</f>
        <v>1</v>
      </c>
      <c r="R600" s="1">
        <f>IF(Q600=1,MAX($R$5:R599)+1,"")</f>
        <v>428</v>
      </c>
    </row>
    <row r="601" spans="1:18">
      <c r="A601" s="1" t="s">
        <v>2694</v>
      </c>
      <c r="B601" s="1" t="s">
        <v>2691</v>
      </c>
      <c r="C601" s="1">
        <v>2</v>
      </c>
      <c r="D601" s="1" t="s">
        <v>2695</v>
      </c>
      <c r="E601" s="1" t="s">
        <v>1299</v>
      </c>
      <c r="F601" s="1">
        <f>'01_入力仕様'!D316</f>
        <v>0.3</v>
      </c>
      <c r="G601" s="1" t="s">
        <v>229</v>
      </c>
      <c r="H601" s="1">
        <f t="shared" si="68"/>
        <v>0</v>
      </c>
      <c r="I601" s="1" t="s">
        <v>1482</v>
      </c>
      <c r="J601" s="1">
        <f>1</f>
        <v>1</v>
      </c>
      <c r="K601" s="1">
        <f>K600*J601</f>
        <v>0</v>
      </c>
      <c r="L601" s="1" t="str">
        <f t="shared" si="69"/>
        <v>中立</v>
      </c>
      <c r="M601" s="1" t="s">
        <v>1474</v>
      </c>
      <c r="N601" s="1"/>
      <c r="O601" s="1">
        <f t="shared" si="70"/>
        <v>1</v>
      </c>
      <c r="P601" s="1"/>
      <c r="Q601" s="1">
        <f>1</f>
        <v>1</v>
      </c>
      <c r="R601" s="1">
        <f>IF(Q601=1,MAX($R$5:R600)+1,"")</f>
        <v>429</v>
      </c>
    </row>
    <row r="602" spans="1:18">
      <c r="A602" s="1"/>
      <c r="B602" s="1"/>
      <c r="C602" s="1"/>
      <c r="D602" s="1"/>
      <c r="E602" s="1"/>
      <c r="F602" s="1"/>
      <c r="G602" s="1"/>
      <c r="H602" s="1"/>
      <c r="I602" s="1"/>
      <c r="J602" s="1"/>
      <c r="K602" s="1"/>
      <c r="L602" s="1"/>
      <c r="M602" s="1"/>
      <c r="N602" s="1"/>
      <c r="O602" s="1" t="str">
        <f t="shared" si="70"/>
        <v/>
      </c>
      <c r="P602" s="1"/>
      <c r="Q602" s="1"/>
      <c r="R602" s="1"/>
    </row>
    <row r="603" spans="1:18">
      <c r="A603" s="1"/>
      <c r="B603" s="1"/>
      <c r="C603" s="1"/>
      <c r="D603" s="1"/>
      <c r="E603" s="1"/>
      <c r="F603" s="1"/>
      <c r="G603" s="1"/>
      <c r="H603" s="1"/>
      <c r="I603" s="1"/>
      <c r="J603" s="1"/>
      <c r="K603" s="1"/>
      <c r="L603" s="1"/>
      <c r="M603" s="1"/>
      <c r="N603" s="1"/>
      <c r="O603" s="1" t="str">
        <f t="shared" si="70"/>
        <v/>
      </c>
      <c r="P603" s="1"/>
      <c r="Q603" s="1"/>
      <c r="R603" s="1"/>
    </row>
    <row r="604" spans="1:18">
      <c r="A604" s="1"/>
      <c r="B604" s="1"/>
      <c r="C604" s="1"/>
      <c r="D604" s="1"/>
      <c r="E604" s="1"/>
      <c r="F604" s="1"/>
      <c r="G604" s="1"/>
      <c r="H604" s="1"/>
      <c r="I604" s="1"/>
      <c r="J604" s="1"/>
      <c r="K604" s="1"/>
      <c r="L604" s="1"/>
      <c r="M604" s="1"/>
      <c r="N604" s="1"/>
      <c r="O604" s="1" t="str">
        <f t="shared" si="70"/>
        <v/>
      </c>
      <c r="P604" s="1"/>
      <c r="Q604" s="1"/>
      <c r="R604" s="1"/>
    </row>
    <row r="605" spans="1:18">
      <c r="A605" s="1"/>
      <c r="B605" s="1"/>
      <c r="C605" s="1"/>
      <c r="D605" s="1"/>
      <c r="E605" s="1"/>
      <c r="F605" s="1"/>
      <c r="G605" s="1"/>
      <c r="H605" s="1"/>
      <c r="I605" s="1"/>
      <c r="J605" s="1"/>
      <c r="K605" s="1"/>
      <c r="L605" s="1"/>
      <c r="M605" s="1"/>
      <c r="N605" s="1"/>
      <c r="O605" s="1" t="str">
        <f t="shared" si="70"/>
        <v/>
      </c>
      <c r="P605" s="1"/>
      <c r="Q605" s="1"/>
      <c r="R605" s="1"/>
    </row>
    <row r="606" spans="1:18">
      <c r="A606" s="1"/>
      <c r="B606" s="1"/>
      <c r="C606" s="1"/>
      <c r="D606" s="1"/>
      <c r="E606" s="1"/>
      <c r="F606" s="1"/>
      <c r="G606" s="1"/>
      <c r="H606" s="1"/>
      <c r="I606" s="1"/>
      <c r="J606" s="1"/>
      <c r="K606" s="1"/>
      <c r="L606" s="1"/>
      <c r="M606" s="1"/>
      <c r="N606" s="1"/>
      <c r="O606" s="1" t="str">
        <f t="shared" si="70"/>
        <v/>
      </c>
      <c r="P606" s="1"/>
      <c r="Q606" s="1"/>
      <c r="R606" s="1"/>
    </row>
    <row r="607" spans="1:18">
      <c r="A607" s="1"/>
      <c r="B607" s="1"/>
      <c r="C607" s="1"/>
      <c r="D607" s="1"/>
      <c r="E607" s="1"/>
      <c r="F607" s="1"/>
      <c r="G607" s="1"/>
      <c r="H607" s="1"/>
      <c r="I607" s="1"/>
      <c r="J607" s="1"/>
      <c r="K607" s="1"/>
      <c r="L607" s="1"/>
      <c r="M607" s="1"/>
      <c r="N607" s="1"/>
      <c r="O607" s="1" t="str">
        <f t="shared" si="70"/>
        <v/>
      </c>
      <c r="P607" s="1"/>
      <c r="Q607" s="1"/>
      <c r="R607" s="1"/>
    </row>
    <row r="608" spans="1:18">
      <c r="A608" s="1"/>
      <c r="B608" s="1"/>
      <c r="C608" s="1"/>
      <c r="D608" s="1"/>
      <c r="E608" s="1"/>
      <c r="F608" s="1"/>
      <c r="G608" s="1"/>
      <c r="H608" s="1"/>
      <c r="I608" s="1"/>
      <c r="J608" s="1"/>
      <c r="K608" s="1"/>
      <c r="L608" s="1"/>
      <c r="M608" s="1"/>
      <c r="N608" s="1"/>
      <c r="O608" s="1" t="str">
        <f t="shared" si="70"/>
        <v/>
      </c>
      <c r="P608" s="1"/>
      <c r="Q608" s="1"/>
      <c r="R608" s="1"/>
    </row>
    <row r="609" spans="1:18">
      <c r="A609" s="1"/>
      <c r="B609" s="1"/>
      <c r="C609" s="1"/>
      <c r="D609" s="1"/>
      <c r="E609" s="1"/>
      <c r="F609" s="1"/>
      <c r="G609" s="1"/>
      <c r="H609" s="1"/>
      <c r="I609" s="1"/>
      <c r="J609" s="1"/>
      <c r="K609" s="1"/>
      <c r="L609" s="1"/>
      <c r="M609" s="1"/>
      <c r="N609" s="1"/>
      <c r="O609" s="1" t="str">
        <f t="shared" si="70"/>
        <v/>
      </c>
      <c r="P609" s="1"/>
      <c r="Q609" s="1"/>
      <c r="R609" s="1"/>
    </row>
    <row r="610" spans="1:18">
      <c r="A610" s="1"/>
      <c r="B610" s="1"/>
      <c r="C610" s="1"/>
      <c r="D610" s="1"/>
      <c r="E610" s="1"/>
      <c r="F610" s="1"/>
      <c r="G610" s="1"/>
      <c r="H610" s="1"/>
      <c r="I610" s="1"/>
      <c r="J610" s="1"/>
      <c r="K610" s="1"/>
      <c r="L610" s="1"/>
      <c r="M610" s="1"/>
      <c r="N610" s="1"/>
      <c r="O610" s="1" t="str">
        <f t="shared" si="70"/>
        <v/>
      </c>
      <c r="P610" s="1"/>
      <c r="Q610" s="1"/>
      <c r="R610" s="1"/>
    </row>
    <row r="611" spans="1:18">
      <c r="A611" s="1"/>
      <c r="B611" s="1"/>
      <c r="C611" s="1"/>
      <c r="D611" s="1"/>
      <c r="E611" s="1"/>
      <c r="F611" s="1"/>
      <c r="G611" s="1"/>
      <c r="H611" s="1"/>
      <c r="I611" s="1"/>
      <c r="J611" s="1"/>
      <c r="K611" s="1"/>
      <c r="L611" s="1"/>
      <c r="M611" s="1"/>
      <c r="N611" s="1"/>
      <c r="O611" s="1" t="str">
        <f t="shared" si="70"/>
        <v/>
      </c>
      <c r="P611" s="1"/>
      <c r="Q611" s="1"/>
      <c r="R611" s="1"/>
    </row>
    <row r="612" spans="1:18">
      <c r="A612" s="1"/>
      <c r="B612" s="1"/>
      <c r="C612" s="1"/>
      <c r="D612" s="1"/>
      <c r="E612" s="1"/>
      <c r="F612" s="1"/>
      <c r="G612" s="1"/>
      <c r="H612" s="1"/>
      <c r="I612" s="1"/>
      <c r="J612" s="1"/>
      <c r="K612" s="1"/>
      <c r="L612" s="1"/>
      <c r="M612" s="1"/>
      <c r="N612" s="1"/>
      <c r="O612" s="1" t="str">
        <f t="shared" si="70"/>
        <v/>
      </c>
      <c r="P612" s="1"/>
      <c r="Q612" s="1"/>
      <c r="R612" s="1"/>
    </row>
    <row r="613" spans="1:18">
      <c r="A613" s="1"/>
      <c r="B613" s="1"/>
      <c r="C613" s="1"/>
      <c r="D613" s="1"/>
      <c r="E613" s="1"/>
      <c r="F613" s="1"/>
      <c r="G613" s="1"/>
      <c r="H613" s="1"/>
      <c r="I613" s="1"/>
      <c r="J613" s="1"/>
      <c r="K613" s="1"/>
      <c r="L613" s="1"/>
      <c r="M613" s="1"/>
      <c r="N613" s="1"/>
      <c r="O613" s="1" t="str">
        <f t="shared" si="70"/>
        <v/>
      </c>
      <c r="P613" s="1"/>
      <c r="Q613" s="1"/>
      <c r="R613" s="1"/>
    </row>
    <row r="614" spans="1:18">
      <c r="A614" s="1"/>
      <c r="B614" s="1"/>
      <c r="C614" s="1"/>
      <c r="D614" s="1"/>
      <c r="E614" s="1"/>
      <c r="F614" s="1"/>
      <c r="G614" s="1"/>
      <c r="H614" s="1"/>
      <c r="I614" s="1"/>
      <c r="J614" s="1"/>
      <c r="K614" s="1"/>
      <c r="L614" s="1"/>
      <c r="M614" s="1"/>
      <c r="N614" s="1"/>
      <c r="O614" s="1" t="str">
        <f t="shared" si="70"/>
        <v/>
      </c>
      <c r="P614" s="1"/>
      <c r="Q614" s="1"/>
      <c r="R614" s="1"/>
    </row>
    <row r="615" spans="1:18">
      <c r="A615" s="1"/>
      <c r="B615" s="1"/>
      <c r="C615" s="1"/>
      <c r="D615" s="1"/>
      <c r="E615" s="1"/>
      <c r="F615" s="1"/>
      <c r="G615" s="1"/>
      <c r="H615" s="1"/>
      <c r="I615" s="1"/>
      <c r="J615" s="1"/>
      <c r="K615" s="1"/>
      <c r="L615" s="1"/>
      <c r="M615" s="1"/>
      <c r="N615" s="1"/>
      <c r="O615" s="1" t="str">
        <f t="shared" si="70"/>
        <v/>
      </c>
      <c r="P615" s="1"/>
      <c r="Q615" s="1"/>
      <c r="R615" s="1"/>
    </row>
    <row r="616" spans="1:18">
      <c r="A616" s="1"/>
      <c r="B616" s="1"/>
      <c r="C616" s="1"/>
      <c r="D616" s="1"/>
      <c r="E616" s="1"/>
      <c r="F616" s="1"/>
      <c r="G616" s="1"/>
      <c r="H616" s="1"/>
      <c r="I616" s="1"/>
      <c r="J616" s="1"/>
      <c r="K616" s="1"/>
      <c r="L616" s="1"/>
      <c r="M616" s="1"/>
      <c r="N616" s="1"/>
      <c r="O616" s="1" t="str">
        <f t="shared" si="70"/>
        <v/>
      </c>
      <c r="P616" s="1"/>
      <c r="Q616" s="1"/>
      <c r="R616" s="1"/>
    </row>
    <row r="617" spans="1:18">
      <c r="A617" s="1"/>
      <c r="B617" s="1"/>
      <c r="C617" s="1"/>
      <c r="D617" s="1"/>
      <c r="E617" s="1"/>
      <c r="F617" s="1"/>
      <c r="G617" s="1"/>
      <c r="H617" s="1"/>
      <c r="I617" s="1"/>
      <c r="J617" s="1"/>
      <c r="K617" s="1"/>
      <c r="L617" s="1"/>
      <c r="M617" s="1"/>
      <c r="N617" s="1"/>
      <c r="O617" s="1" t="str">
        <f t="shared" si="70"/>
        <v/>
      </c>
      <c r="P617" s="1"/>
      <c r="Q617" s="1"/>
      <c r="R617" s="1"/>
    </row>
    <row r="618" spans="1:18">
      <c r="A618" s="1"/>
      <c r="B618" s="1"/>
      <c r="C618" s="1"/>
      <c r="D618" s="1"/>
      <c r="E618" s="1"/>
      <c r="F618" s="1"/>
      <c r="G618" s="1"/>
      <c r="H618" s="1"/>
      <c r="I618" s="1"/>
      <c r="J618" s="1"/>
      <c r="K618" s="1"/>
      <c r="L618" s="1"/>
      <c r="M618" s="1"/>
      <c r="N618" s="1"/>
      <c r="O618" s="1" t="str">
        <f t="shared" si="70"/>
        <v/>
      </c>
      <c r="P618" s="1"/>
      <c r="Q618" s="1"/>
      <c r="R618" s="1"/>
    </row>
    <row r="619" spans="1:18">
      <c r="A619" s="1"/>
      <c r="B619" s="1"/>
      <c r="C619" s="1"/>
      <c r="D619" s="1"/>
      <c r="E619" s="1"/>
      <c r="F619" s="1"/>
      <c r="G619" s="1"/>
      <c r="H619" s="1"/>
      <c r="I619" s="1"/>
      <c r="J619" s="1"/>
      <c r="K619" s="1"/>
      <c r="L619" s="1"/>
      <c r="M619" s="1"/>
      <c r="N619" s="1"/>
      <c r="O619" s="1" t="str">
        <f t="shared" si="70"/>
        <v/>
      </c>
      <c r="P619" s="1"/>
      <c r="Q619" s="1"/>
      <c r="R619" s="1"/>
    </row>
    <row r="620" spans="1:18" ht="71.25">
      <c r="A620" s="1" t="s">
        <v>2696</v>
      </c>
      <c r="B620" s="1" t="s">
        <v>2697</v>
      </c>
      <c r="C620" s="1">
        <v>7</v>
      </c>
      <c r="D620" s="1" t="s">
        <v>2698</v>
      </c>
      <c r="E620" s="1" t="s">
        <v>771</v>
      </c>
      <c r="F620" s="1">
        <f>'01_入力仕様'!D179</f>
        <v>0</v>
      </c>
      <c r="G620" s="1" t="s">
        <v>415</v>
      </c>
      <c r="H620" s="1">
        <f>ABS(K620)*$F$5</f>
        <v>3.7393441089378206E-2</v>
      </c>
      <c r="I620" s="1" t="s">
        <v>1482</v>
      </c>
      <c r="J620" s="1">
        <f>0</f>
        <v>0</v>
      </c>
      <c r="K620" s="1">
        <f>K667*F621</f>
        <v>3.0063685288341216E-3</v>
      </c>
      <c r="L620" s="1" t="s">
        <v>2699</v>
      </c>
      <c r="M620" s="1" t="s">
        <v>1474</v>
      </c>
      <c r="N620" s="1" t="s">
        <v>2700</v>
      </c>
      <c r="O620" s="1">
        <f t="shared" si="70"/>
        <v>1</v>
      </c>
      <c r="P620" s="1"/>
      <c r="Q620" s="1">
        <f>IF($A620="","",IF($E620="","",--(COUNTIF($E$5:$E620,$E620)=1)))</f>
        <v>0</v>
      </c>
      <c r="R620" s="1" t="str">
        <f>IF($A620="","",IF($Q620=1,COUNTIF($Q$5:$Q620,1),""))</f>
        <v/>
      </c>
    </row>
    <row r="621" spans="1:18" ht="57">
      <c r="A621" s="1" t="s">
        <v>2701</v>
      </c>
      <c r="B621" s="1" t="s">
        <v>2697</v>
      </c>
      <c r="C621" s="1">
        <v>7</v>
      </c>
      <c r="D621" s="1" t="s">
        <v>2702</v>
      </c>
      <c r="E621" s="1" t="s">
        <v>779</v>
      </c>
      <c r="F621" s="1">
        <f>'01_入力仕様'!D181</f>
        <v>0.3</v>
      </c>
      <c r="G621" s="1" t="s">
        <v>86</v>
      </c>
      <c r="H621" s="1">
        <f>ABS(K621)*$F$5</f>
        <v>0</v>
      </c>
      <c r="I621" s="1" t="s">
        <v>1482</v>
      </c>
      <c r="J621" s="1">
        <f>IF(F667=0,0,F620*F621/F667)</f>
        <v>0</v>
      </c>
      <c r="K621" s="1">
        <f>K667*J621</f>
        <v>0</v>
      </c>
      <c r="L621" s="1" t="s">
        <v>2703</v>
      </c>
      <c r="M621" s="1" t="s">
        <v>1474</v>
      </c>
      <c r="N621" s="1" t="s">
        <v>2704</v>
      </c>
      <c r="O621" s="1">
        <f t="shared" si="70"/>
        <v>1</v>
      </c>
      <c r="P621" s="1"/>
      <c r="Q621" s="1">
        <f>IF($A621="","",IF($E621="","",--(COUNTIF($E$5:$E621,$E621)=1)))</f>
        <v>0</v>
      </c>
      <c r="R621" s="1" t="str">
        <f>IF($A621="","",IF($Q621=1,COUNTIF($Q$5:$Q621,1),""))</f>
        <v/>
      </c>
    </row>
    <row r="622" spans="1:18">
      <c r="A622" s="1"/>
      <c r="B622" s="1"/>
      <c r="C622" s="1"/>
      <c r="D622" s="1"/>
      <c r="E622" s="1"/>
      <c r="F622" s="1"/>
      <c r="G622" s="1"/>
      <c r="H622" s="1"/>
      <c r="I622" s="1"/>
      <c r="J622" s="1"/>
      <c r="K622" s="1"/>
      <c r="L622" s="1"/>
      <c r="M622" s="1"/>
      <c r="N622" s="1"/>
      <c r="O622" s="1" t="str">
        <f t="shared" si="70"/>
        <v/>
      </c>
      <c r="P622" s="1"/>
      <c r="Q622" s="1" t="str">
        <f>IF($A622="","",IF($E622="","",--(COUNTIF($E$5:$E622,$E622)=1)))</f>
        <v/>
      </c>
      <c r="R622" s="1" t="str">
        <f>IF($A622="","",IF($Q622=1,COUNTIF($Q$5:$Q622,1),""))</f>
        <v/>
      </c>
    </row>
    <row r="623" spans="1:18">
      <c r="A623" s="1"/>
      <c r="B623" s="1"/>
      <c r="C623" s="1"/>
      <c r="D623" s="1"/>
      <c r="E623" s="1"/>
      <c r="F623" s="1"/>
      <c r="G623" s="1"/>
      <c r="H623" s="1"/>
      <c r="I623" s="1"/>
      <c r="J623" s="1"/>
      <c r="K623" s="1"/>
      <c r="L623" s="1"/>
      <c r="M623" s="1"/>
      <c r="N623" s="1"/>
      <c r="O623" s="1" t="str">
        <f t="shared" si="70"/>
        <v/>
      </c>
      <c r="P623" s="1"/>
      <c r="Q623" s="1" t="str">
        <f>IF($A623="","",IF($E623="","",--(COUNTIF($E$5:$E623,$E623)=1)))</f>
        <v/>
      </c>
      <c r="R623" s="1" t="str">
        <f>IF($A623="","",IF($Q623=1,COUNTIF($Q$5:$Q623,1),""))</f>
        <v/>
      </c>
    </row>
    <row r="624" spans="1:18" ht="57">
      <c r="A624" s="1" t="s">
        <v>2705</v>
      </c>
      <c r="B624" s="1" t="s">
        <v>2201</v>
      </c>
      <c r="C624" s="1">
        <v>6</v>
      </c>
      <c r="D624" s="1" t="s">
        <v>770</v>
      </c>
      <c r="E624" s="1" t="s">
        <v>771</v>
      </c>
      <c r="F624" s="1">
        <f>'01_入力仕様'!D179</f>
        <v>0</v>
      </c>
      <c r="G624" s="1" t="s">
        <v>415</v>
      </c>
      <c r="H624" s="1">
        <f>ABS(K624)*$F$5</f>
        <v>7.0112702042584102E-2</v>
      </c>
      <c r="I624" s="1" t="s">
        <v>1482</v>
      </c>
      <c r="J624" s="1">
        <f>0</f>
        <v>0</v>
      </c>
      <c r="K624" s="1">
        <f>K366*F367</f>
        <v>5.636940991563975E-3</v>
      </c>
      <c r="L624" s="1" t="s">
        <v>2706</v>
      </c>
      <c r="M624" s="1" t="s">
        <v>1474</v>
      </c>
      <c r="N624" s="1" t="s">
        <v>2707</v>
      </c>
      <c r="O624" s="1">
        <f t="shared" si="70"/>
        <v>1</v>
      </c>
      <c r="P624" s="1"/>
      <c r="Q624" s="1">
        <f>IF($A624="","",IF($E624="","",--(COUNTIF($E$5:$E624,$E624)=1)))</f>
        <v>0</v>
      </c>
      <c r="R624" s="1" t="str">
        <f>IF($A624="","",IF($Q624=1,COUNTIF($Q$5:$Q624,1),""))</f>
        <v/>
      </c>
    </row>
    <row r="625" spans="1:18" ht="71.25">
      <c r="A625" s="1" t="s">
        <v>2708</v>
      </c>
      <c r="B625" s="1" t="s">
        <v>2208</v>
      </c>
      <c r="C625" s="1">
        <v>3</v>
      </c>
      <c r="D625" s="1" t="s">
        <v>2709</v>
      </c>
      <c r="E625" s="1" t="s">
        <v>991</v>
      </c>
      <c r="F625" s="1">
        <f>F627*F628*(F670/MAX(1,('01_入力仕様'!D285*'01_入力仕様'!D286*('01_入力仕様'!D195/'01_入力仕様'!D153))/'01_入力仕様'!D320))^F630</f>
        <v>0</v>
      </c>
      <c r="G625" s="1" t="s">
        <v>229</v>
      </c>
      <c r="H625" s="1">
        <f>F625</f>
        <v>0</v>
      </c>
      <c r="I625" s="1" t="s">
        <v>2710</v>
      </c>
      <c r="J625" s="1">
        <f>IFERROR(F625/F368,0)</f>
        <v>0</v>
      </c>
      <c r="K625" s="1">
        <f>IFERROR(F625/F5,0)</f>
        <v>0</v>
      </c>
      <c r="L625" s="1" t="s">
        <v>1627</v>
      </c>
      <c r="M625" s="1" t="s">
        <v>1474</v>
      </c>
      <c r="N625" s="1" t="s">
        <v>2711</v>
      </c>
      <c r="O625" s="1">
        <f t="shared" si="70"/>
        <v>0</v>
      </c>
      <c r="P625" s="1"/>
      <c r="Q625" s="1">
        <f>IF($A625="","",IF($E625="","",--(COUNTIF($E$5:$E625,$E625)=1)))</f>
        <v>1</v>
      </c>
      <c r="R625" s="1">
        <f>IF($A625="","",IF($Q625=1,COUNTIF($Q$5:$Q625,1),""))</f>
        <v>430</v>
      </c>
    </row>
    <row r="626" spans="1:18">
      <c r="A626" s="1"/>
      <c r="B626" s="1"/>
      <c r="C626" s="1"/>
      <c r="D626" s="1"/>
      <c r="E626" s="1"/>
      <c r="F626" s="1"/>
      <c r="G626" s="1"/>
      <c r="H626" s="1"/>
      <c r="I626" s="1"/>
      <c r="J626" s="1"/>
      <c r="K626" s="1"/>
      <c r="L626" s="1"/>
      <c r="M626" s="1"/>
      <c r="N626" s="1"/>
      <c r="O626" s="1" t="str">
        <f t="shared" si="70"/>
        <v/>
      </c>
      <c r="P626" s="1"/>
      <c r="Q626" s="1" t="str">
        <f>IF($A626="","",IF($E626="","",--(COUNTIF($E$5:$E626,$E626)=1)))</f>
        <v/>
      </c>
      <c r="R626" s="1" t="str">
        <f>IF($A626="","",IF($Q626=1,COUNTIF($Q$5:$Q626,1),""))</f>
        <v/>
      </c>
    </row>
    <row r="627" spans="1:18" ht="28.5">
      <c r="A627" s="1" t="s">
        <v>2712</v>
      </c>
      <c r="B627" s="1" t="s">
        <v>2708</v>
      </c>
      <c r="C627" s="1">
        <v>4</v>
      </c>
      <c r="D627" s="1" t="s">
        <v>1327</v>
      </c>
      <c r="E627" s="1" t="s">
        <v>1328</v>
      </c>
      <c r="F627" s="1">
        <f>'01_入力仕様'!D324</f>
        <v>0</v>
      </c>
      <c r="G627" s="1" t="s">
        <v>415</v>
      </c>
      <c r="H627" s="1">
        <v>0</v>
      </c>
      <c r="I627" s="1" t="s">
        <v>1482</v>
      </c>
      <c r="J627" s="1">
        <v>0</v>
      </c>
      <c r="K627" s="1">
        <f>K625*J627</f>
        <v>0</v>
      </c>
      <c r="L627" s="1" t="s">
        <v>2713</v>
      </c>
      <c r="M627" s="1" t="s">
        <v>1474</v>
      </c>
      <c r="N627" s="1" t="s">
        <v>2714</v>
      </c>
      <c r="O627" s="1">
        <f t="shared" si="70"/>
        <v>1</v>
      </c>
      <c r="P627" s="1"/>
      <c r="Q627" s="1">
        <f>IF($A627="","",IF($E627="","",--(COUNTIF($E$5:$E627,$E627)=1)))</f>
        <v>1</v>
      </c>
      <c r="R627" s="1">
        <f>IF($A627="","",IF($Q627=1,COUNTIF($Q$5:$Q627,1),""))</f>
        <v>431</v>
      </c>
    </row>
    <row r="628" spans="1:18">
      <c r="A628" s="1" t="s">
        <v>2715</v>
      </c>
      <c r="B628" s="1" t="s">
        <v>2708</v>
      </c>
      <c r="C628" s="1">
        <v>4</v>
      </c>
      <c r="D628" s="1" t="s">
        <v>2716</v>
      </c>
      <c r="E628" s="1" t="s">
        <v>990</v>
      </c>
      <c r="F628" s="1">
        <f>'01_入力仕様'!D236</f>
        <v>0.08</v>
      </c>
      <c r="G628" s="1" t="s">
        <v>229</v>
      </c>
      <c r="H628" s="1">
        <v>0</v>
      </c>
      <c r="I628" s="1" t="s">
        <v>1482</v>
      </c>
      <c r="J628" s="1">
        <v>0</v>
      </c>
      <c r="K628" s="1">
        <f>K625*J628</f>
        <v>0</v>
      </c>
      <c r="L628" s="1" t="s">
        <v>2717</v>
      </c>
      <c r="M628" s="1" t="s">
        <v>1474</v>
      </c>
      <c r="N628" s="1" t="s">
        <v>2718</v>
      </c>
      <c r="O628" s="1">
        <f t="shared" si="70"/>
        <v>1</v>
      </c>
      <c r="P628" s="1"/>
      <c r="Q628" s="1">
        <f>IF($A628="","",IF($E628="","",--(COUNTIF($E$5:$E628,$E628)=1)))</f>
        <v>1</v>
      </c>
      <c r="R628" s="1">
        <f>IF($A628="","",IF($Q628=1,COUNTIF($Q$5:$Q628,1),""))</f>
        <v>432</v>
      </c>
    </row>
    <row r="629" spans="1:18">
      <c r="A629" s="1"/>
      <c r="B629" s="1"/>
      <c r="C629" s="1"/>
      <c r="D629" s="1"/>
      <c r="E629" s="1"/>
      <c r="F629" s="1"/>
      <c r="G629" s="1"/>
      <c r="H629" s="1"/>
      <c r="I629" s="1"/>
      <c r="J629" s="1"/>
      <c r="K629" s="1"/>
      <c r="L629" s="1"/>
      <c r="M629" s="1"/>
      <c r="N629" s="1"/>
      <c r="O629" s="1" t="str">
        <f t="shared" si="70"/>
        <v/>
      </c>
      <c r="P629" s="1"/>
      <c r="Q629" s="1" t="str">
        <f>IF($A629="","",IF($E629="","",--(COUNTIF($E$5:$E629,$E629)=1)))</f>
        <v/>
      </c>
      <c r="R629" s="1" t="str">
        <f>IF($A629="","",IF($Q629=1,COUNTIF($Q$5:$Q629,1),""))</f>
        <v/>
      </c>
    </row>
    <row r="630" spans="1:18">
      <c r="A630" s="1" t="s">
        <v>2719</v>
      </c>
      <c r="B630" s="1" t="s">
        <v>2708</v>
      </c>
      <c r="C630" s="1">
        <v>4</v>
      </c>
      <c r="D630" s="1" t="s">
        <v>996</v>
      </c>
      <c r="E630" s="1" t="s">
        <v>997</v>
      </c>
      <c r="F630" s="1">
        <f>'01_入力仕様'!D238</f>
        <v>0.3</v>
      </c>
      <c r="G630" s="1" t="s">
        <v>86</v>
      </c>
      <c r="H630" s="1">
        <v>0</v>
      </c>
      <c r="I630" s="1" t="s">
        <v>1482</v>
      </c>
      <c r="J630" s="1">
        <v>0</v>
      </c>
      <c r="K630" s="1">
        <f>K625*J630</f>
        <v>0</v>
      </c>
      <c r="L630" s="1" t="s">
        <v>2717</v>
      </c>
      <c r="M630" s="1" t="s">
        <v>1474</v>
      </c>
      <c r="N630" s="1" t="s">
        <v>2720</v>
      </c>
      <c r="O630" s="1">
        <f t="shared" si="70"/>
        <v>1</v>
      </c>
      <c r="P630" s="1"/>
      <c r="Q630" s="1">
        <f>IF($A630="","",IF($E630="","",--(COUNTIF($E$5:$E630,$E630)=1)))</f>
        <v>1</v>
      </c>
      <c r="R630" s="1">
        <f>IF($A630="","",IF($Q630=1,COUNTIF($Q$5:$Q630,1),""))</f>
        <v>433</v>
      </c>
    </row>
    <row r="631" spans="1:18">
      <c r="A631" s="1" t="s">
        <v>2721</v>
      </c>
      <c r="B631" s="1" t="s">
        <v>2092</v>
      </c>
      <c r="C631" s="1">
        <v>4</v>
      </c>
      <c r="D631" s="1" t="s">
        <v>2633</v>
      </c>
      <c r="E631" s="1" t="s">
        <v>1221</v>
      </c>
      <c r="F631" s="1">
        <f>'01_入力仕様'!D296</f>
        <v>0</v>
      </c>
      <c r="G631" s="1" t="s">
        <v>415</v>
      </c>
      <c r="H631" s="1">
        <v>0</v>
      </c>
      <c r="I631" s="1" t="s">
        <v>1482</v>
      </c>
      <c r="J631" s="1">
        <v>0</v>
      </c>
      <c r="K631" s="1">
        <f>K313*J631</f>
        <v>0</v>
      </c>
      <c r="L631" s="1" t="s">
        <v>2722</v>
      </c>
      <c r="M631" s="1" t="s">
        <v>1474</v>
      </c>
      <c r="N631" s="1" t="s">
        <v>2723</v>
      </c>
      <c r="O631" s="1">
        <f t="shared" si="70"/>
        <v>1</v>
      </c>
      <c r="P631" s="1"/>
      <c r="Q631" s="1">
        <f>IF($A631="","",IF($E631="","",--(COUNTIF($E$5:$E631,$E631)=1)))</f>
        <v>0</v>
      </c>
      <c r="R631" s="1" t="str">
        <f>IF($A631="","",IF($Q631=1,COUNTIF($Q$5:$Q631,1),""))</f>
        <v/>
      </c>
    </row>
    <row r="632" spans="1:18">
      <c r="A632" s="1" t="s">
        <v>2724</v>
      </c>
      <c r="B632" s="1" t="s">
        <v>2092</v>
      </c>
      <c r="C632" s="1">
        <v>4</v>
      </c>
      <c r="D632" s="1" t="s">
        <v>1309</v>
      </c>
      <c r="E632" s="1" t="s">
        <v>1310</v>
      </c>
      <c r="F632" s="1">
        <f>'01_入力仕様'!D319</f>
        <v>0.2</v>
      </c>
      <c r="G632" s="1" t="s">
        <v>86</v>
      </c>
      <c r="H632" s="1">
        <v>0</v>
      </c>
      <c r="I632" s="1" t="s">
        <v>1482</v>
      </c>
      <c r="J632" s="1">
        <v>0</v>
      </c>
      <c r="K632" s="1">
        <f>K313*J632</f>
        <v>0</v>
      </c>
      <c r="L632" s="1" t="s">
        <v>2717</v>
      </c>
      <c r="M632" s="1" t="s">
        <v>1474</v>
      </c>
      <c r="N632" s="1" t="s">
        <v>2725</v>
      </c>
      <c r="O632" s="1">
        <f t="shared" si="70"/>
        <v>1</v>
      </c>
      <c r="P632" s="1"/>
      <c r="Q632" s="1">
        <f>IF($A632="","",IF($E632="","",--(COUNTIF($E$5:$E632,$E632)=1)))</f>
        <v>1</v>
      </c>
      <c r="R632" s="1">
        <f>IF($A632="","",IF($Q632=1,COUNTIF($Q$5:$Q632,1),""))</f>
        <v>434</v>
      </c>
    </row>
    <row r="633" spans="1:18">
      <c r="A633" s="1" t="s">
        <v>2726</v>
      </c>
      <c r="B633" s="1" t="s">
        <v>2212</v>
      </c>
      <c r="C633" s="1">
        <v>7</v>
      </c>
      <c r="D633" s="1" t="s">
        <v>1318</v>
      </c>
      <c r="E633" s="1" t="s">
        <v>1319</v>
      </c>
      <c r="F633" s="1">
        <f>'01_入力仕様'!D321</f>
        <v>16000</v>
      </c>
      <c r="G633" s="1" t="s">
        <v>96</v>
      </c>
      <c r="H633" s="1">
        <v>0</v>
      </c>
      <c r="I633" s="1" t="s">
        <v>1482</v>
      </c>
      <c r="J633" s="1">
        <f>-F634</f>
        <v>-0.5</v>
      </c>
      <c r="K633" s="1">
        <f>K369*J633</f>
        <v>0</v>
      </c>
      <c r="L633" s="1" t="s">
        <v>2717</v>
      </c>
      <c r="M633" s="1" t="s">
        <v>1474</v>
      </c>
      <c r="N633" s="1"/>
      <c r="O633" s="1">
        <f t="shared" si="70"/>
        <v>1</v>
      </c>
      <c r="P633" s="1"/>
      <c r="Q633" s="1">
        <f>IF($A633="","",IF($E633="","",--(COUNTIF($E$5:$E633,$E633)=1)))</f>
        <v>1</v>
      </c>
      <c r="R633" s="1">
        <f>IF($A633="","",IF($Q633=1,COUNTIF($Q$5:$Q633,1),""))</f>
        <v>435</v>
      </c>
    </row>
    <row r="634" spans="1:18">
      <c r="A634" s="1" t="s">
        <v>2727</v>
      </c>
      <c r="B634" s="1" t="s">
        <v>2212</v>
      </c>
      <c r="C634" s="1">
        <v>7</v>
      </c>
      <c r="D634" s="1" t="s">
        <v>1321</v>
      </c>
      <c r="E634" s="1" t="s">
        <v>1322</v>
      </c>
      <c r="F634" s="1">
        <f>'01_入力仕様'!D322</f>
        <v>0.5</v>
      </c>
      <c r="G634" s="1" t="s">
        <v>86</v>
      </c>
      <c r="H634" s="1">
        <v>0</v>
      </c>
      <c r="I634" s="1" t="s">
        <v>1482</v>
      </c>
      <c r="J634" s="1">
        <v>0</v>
      </c>
      <c r="K634" s="1">
        <f>K369*J634</f>
        <v>0</v>
      </c>
      <c r="L634" s="1" t="s">
        <v>2717</v>
      </c>
      <c r="M634" s="1" t="s">
        <v>1474</v>
      </c>
      <c r="N634" s="1" t="s">
        <v>2728</v>
      </c>
      <c r="O634" s="1">
        <f t="shared" si="70"/>
        <v>1</v>
      </c>
      <c r="P634" s="1"/>
      <c r="Q634" s="1">
        <f>IF($A634="","",IF($E634="","",--(COUNTIF($E$5:$E634,$E634)=1)))</f>
        <v>1</v>
      </c>
      <c r="R634" s="1">
        <f>IF($A634="","",IF($Q634=1,COUNTIF($Q$5:$Q634,1),""))</f>
        <v>436</v>
      </c>
    </row>
    <row r="635" spans="1:18" ht="57">
      <c r="A635" s="1" t="s">
        <v>2729</v>
      </c>
      <c r="B635" s="1" t="s">
        <v>2411</v>
      </c>
      <c r="C635" s="1">
        <v>4</v>
      </c>
      <c r="D635" s="1" t="s">
        <v>2730</v>
      </c>
      <c r="E635" s="1" t="s">
        <v>2731</v>
      </c>
      <c r="F635" s="1">
        <f>'01_入力仕様'!D235*'01_入力仕様'!D184*(F668/MAX(1,('01_入力仕様'!D285*'01_入力仕様'!D286*('01_入力仕様'!D195/'01_入力仕様'!D153))/'01_入力仕様'!D320))^'01_入力仕様'!D323*(1-'01_入力仕様'!D324*'01_入力仕様'!D237)*'01_入力仕様'!D325</f>
        <v>0</v>
      </c>
      <c r="G635" s="1" t="s">
        <v>229</v>
      </c>
      <c r="H635" s="1">
        <f>F635</f>
        <v>0</v>
      </c>
      <c r="I635" s="1" t="s">
        <v>2732</v>
      </c>
      <c r="J635" s="1">
        <f>IFERROR(F635/F482,0)</f>
        <v>0</v>
      </c>
      <c r="K635" s="1">
        <f>K482*J635</f>
        <v>0</v>
      </c>
      <c r="L635" s="1" t="s">
        <v>1627</v>
      </c>
      <c r="M635" s="1" t="s">
        <v>1474</v>
      </c>
      <c r="N635" s="1" t="s">
        <v>2733</v>
      </c>
      <c r="O635" s="1">
        <f t="shared" si="70"/>
        <v>0</v>
      </c>
      <c r="P635" s="1"/>
      <c r="Q635" s="1">
        <f>IF($A635="","",IF($E635="","",--(COUNTIF($E$5:$E635,$E635)=1)))</f>
        <v>1</v>
      </c>
      <c r="R635" s="1">
        <f>IF($A635="","",IF($Q635=1,COUNTIF($Q$5:$Q635,1),""))</f>
        <v>437</v>
      </c>
    </row>
    <row r="636" spans="1:18" ht="57">
      <c r="A636" s="1" t="s">
        <v>2734</v>
      </c>
      <c r="B636" s="1" t="s">
        <v>2411</v>
      </c>
      <c r="C636" s="1">
        <v>4</v>
      </c>
      <c r="D636" s="1" t="s">
        <v>2735</v>
      </c>
      <c r="E636" s="1" t="s">
        <v>2736</v>
      </c>
      <c r="F636" s="1">
        <f>'01_入力仕様'!D235*'01_入力仕様'!D184*(F669/MAX(1,('01_入力仕様'!D285*'01_入力仕様'!D286*('01_入力仕様'!D195/'01_入力仕様'!D153))/'01_入力仕様'!D320))^'01_入力仕様'!D323*(1-'01_入力仕様'!D324*'01_入力仕様'!D237)*(1-'01_入力仕様'!D325)</f>
        <v>0</v>
      </c>
      <c r="G636" s="1" t="s">
        <v>229</v>
      </c>
      <c r="H636" s="1">
        <f>F636</f>
        <v>0</v>
      </c>
      <c r="I636" s="1" t="s">
        <v>2737</v>
      </c>
      <c r="J636" s="1">
        <f>IFERROR(F636/F482,0)</f>
        <v>0</v>
      </c>
      <c r="K636" s="1">
        <f>K482*J636</f>
        <v>0</v>
      </c>
      <c r="L636" s="1" t="s">
        <v>1627</v>
      </c>
      <c r="M636" s="1" t="s">
        <v>1474</v>
      </c>
      <c r="N636" s="1" t="s">
        <v>2733</v>
      </c>
      <c r="O636" s="1">
        <f t="shared" si="70"/>
        <v>0</v>
      </c>
      <c r="P636" s="1"/>
      <c r="Q636" s="1">
        <f>IF($A636="","",IF($E636="","",--(COUNTIF($E$5:$E636,$E636)=1)))</f>
        <v>1</v>
      </c>
      <c r="R636" s="1">
        <f>IF($A636="","",IF($Q636=1,COUNTIF($Q$5:$Q636,1),""))</f>
        <v>438</v>
      </c>
    </row>
    <row r="637" spans="1:18">
      <c r="A637" s="1"/>
      <c r="B637" s="1"/>
      <c r="C637" s="1"/>
      <c r="D637" s="1"/>
      <c r="E637" s="1"/>
      <c r="F637" s="1"/>
      <c r="G637" s="1"/>
      <c r="H637" s="1"/>
      <c r="I637" s="1"/>
      <c r="J637" s="1"/>
      <c r="K637" s="1"/>
      <c r="L637" s="1"/>
      <c r="M637" s="1"/>
      <c r="N637" s="1"/>
      <c r="O637" s="1" t="str">
        <f t="shared" si="70"/>
        <v/>
      </c>
      <c r="P637" s="1"/>
      <c r="Q637" s="1" t="str">
        <f>IF($A637="","",IF($E637="","",--(COUNTIF($E$5:$E637,$E637)=1)))</f>
        <v/>
      </c>
      <c r="R637" s="1" t="str">
        <f>IF($A637="","",IF($Q637=1,COUNTIF($Q$5:$Q637,1),""))</f>
        <v/>
      </c>
    </row>
    <row r="638" spans="1:18">
      <c r="A638" s="1"/>
      <c r="B638" s="1"/>
      <c r="C638" s="1"/>
      <c r="D638" s="1"/>
      <c r="E638" s="1"/>
      <c r="F638" s="1"/>
      <c r="G638" s="1"/>
      <c r="H638" s="1"/>
      <c r="I638" s="1"/>
      <c r="J638" s="1"/>
      <c r="K638" s="1"/>
      <c r="L638" s="1"/>
      <c r="M638" s="1"/>
      <c r="N638" s="1"/>
      <c r="O638" s="1" t="str">
        <f t="shared" si="70"/>
        <v/>
      </c>
      <c r="P638" s="1"/>
      <c r="Q638" s="1" t="str">
        <f>IF($A638="","",IF($E638="","",--(COUNTIF($E$5:$E638,$E638)=1)))</f>
        <v/>
      </c>
      <c r="R638" s="1" t="str">
        <f>IF($A638="","",IF($Q638=1,COUNTIF($Q$5:$Q638,1),""))</f>
        <v/>
      </c>
    </row>
    <row r="639" spans="1:18">
      <c r="A639" s="1" t="s">
        <v>2738</v>
      </c>
      <c r="B639" s="1" t="s">
        <v>2092</v>
      </c>
      <c r="C639" s="1">
        <v>4</v>
      </c>
      <c r="D639" s="1" t="s">
        <v>2073</v>
      </c>
      <c r="E639" s="1" t="s">
        <v>669</v>
      </c>
      <c r="F639" s="1">
        <f>F305</f>
        <v>4.9999999999999998E-8</v>
      </c>
      <c r="G639" s="1" t="s">
        <v>109</v>
      </c>
      <c r="H639" s="1">
        <f>ABS(K639)*F5</f>
        <v>0</v>
      </c>
      <c r="I639" s="1" t="s">
        <v>2286</v>
      </c>
      <c r="J639" s="1">
        <f>IF(F305&lt;F302,-1,0)</f>
        <v>0</v>
      </c>
      <c r="K639" s="1">
        <f>K313*J639</f>
        <v>0</v>
      </c>
      <c r="L639" s="1" t="str">
        <f>IF(K639&gt;0,"増加→総重量増",IF(K639&lt;0,"増加→総重量減","中立"))</f>
        <v>中立</v>
      </c>
      <c r="M639" s="1" t="s">
        <v>1474</v>
      </c>
      <c r="N639" s="1" t="s">
        <v>2739</v>
      </c>
      <c r="O639" s="1">
        <f t="shared" si="70"/>
        <v>1</v>
      </c>
      <c r="P639" s="1"/>
      <c r="Q639" s="1">
        <f>IF($A639="","",IF($E639="","",--(COUNTIF($E$5:$E639,$E639)=1)))</f>
        <v>0</v>
      </c>
      <c r="R639" s="1" t="str">
        <f>IF($A639="","",IF($Q639=1,COUNTIF($Q$5:$Q639,1),""))</f>
        <v/>
      </c>
    </row>
    <row r="640" spans="1:18">
      <c r="A640" s="1"/>
      <c r="B640" s="1"/>
      <c r="C640" s="1"/>
      <c r="D640" s="1"/>
      <c r="E640" s="1"/>
      <c r="F640" s="1"/>
      <c r="G640" s="1"/>
      <c r="H640" s="1"/>
      <c r="I640" s="1"/>
      <c r="J640" s="1"/>
      <c r="K640" s="1"/>
      <c r="L640" s="1"/>
      <c r="M640" s="1"/>
      <c r="N640" s="1"/>
      <c r="O640" s="1" t="str">
        <f t="shared" si="70"/>
        <v/>
      </c>
      <c r="P640" s="1"/>
      <c r="Q640" s="1" t="str">
        <f>IF($A640="","",IF($E640="","",--(COUNTIF($E$5:$E640,$E640)=1)))</f>
        <v/>
      </c>
      <c r="R640" s="1" t="str">
        <f>IF($A640="","",IF($Q640=1,COUNTIF($Q$5:$Q640,1),""))</f>
        <v/>
      </c>
    </row>
    <row r="641" spans="1:18">
      <c r="A641" s="1"/>
      <c r="B641" s="1"/>
      <c r="C641" s="1"/>
      <c r="D641" s="1"/>
      <c r="E641" s="1"/>
      <c r="F641" s="1"/>
      <c r="G641" s="1"/>
      <c r="H641" s="1"/>
      <c r="I641" s="1"/>
      <c r="J641" s="1"/>
      <c r="K641" s="1"/>
      <c r="L641" s="1"/>
      <c r="M641" s="1"/>
      <c r="N641" s="1"/>
      <c r="O641" s="1" t="str">
        <f t="shared" si="70"/>
        <v/>
      </c>
      <c r="P641" s="1"/>
      <c r="Q641" s="1" t="str">
        <f>IF($A641="","",IF($E641="","",--(COUNTIF($E$5:$E641,$E641)=1)))</f>
        <v/>
      </c>
      <c r="R641" s="1" t="str">
        <f>IF($A641="","",IF($Q641=1,COUNTIF($Q$5:$Q641,1),""))</f>
        <v/>
      </c>
    </row>
    <row r="642" spans="1:18" ht="42.75">
      <c r="A642" s="1" t="s">
        <v>2740</v>
      </c>
      <c r="B642" s="1" t="s">
        <v>2072</v>
      </c>
      <c r="C642" s="1">
        <v>9</v>
      </c>
      <c r="D642" s="1" t="s">
        <v>2741</v>
      </c>
      <c r="E642" s="1" t="s">
        <v>2742</v>
      </c>
      <c r="F642" s="1">
        <f>'01_入力仕様'!D152</f>
        <v>4</v>
      </c>
      <c r="G642" s="1" t="s">
        <v>653</v>
      </c>
      <c r="H642" s="1"/>
      <c r="I642" s="1" t="s">
        <v>2743</v>
      </c>
      <c r="J642" s="1">
        <f>-1</f>
        <v>-1</v>
      </c>
      <c r="K642" s="1">
        <f>K305*J642</f>
        <v>-1.8540547728807434E-5</v>
      </c>
      <c r="L642" s="1"/>
      <c r="M642" s="1" t="s">
        <v>2595</v>
      </c>
      <c r="N642" s="1" t="s">
        <v>2744</v>
      </c>
      <c r="O642" s="1">
        <f t="shared" si="70"/>
        <v>1</v>
      </c>
      <c r="P642" s="1"/>
      <c r="Q642" s="1">
        <f>IF($A642="","",IF($E642="","",--(COUNTIF($E$5:$E642,$E642)=1)))</f>
        <v>1</v>
      </c>
      <c r="R642" s="1">
        <f>IF($A642="","",IF($Q642=1,COUNTIF($Q$5:$Q642,1),""))</f>
        <v>439</v>
      </c>
    </row>
    <row r="643" spans="1:18" ht="28.5">
      <c r="A643" s="1" t="s">
        <v>2745</v>
      </c>
      <c r="B643" s="1" t="s">
        <v>2128</v>
      </c>
      <c r="C643" s="1">
        <v>6</v>
      </c>
      <c r="D643" s="1" t="s">
        <v>577</v>
      </c>
      <c r="E643" s="1" t="s">
        <v>578</v>
      </c>
      <c r="F643" s="1">
        <f>'01_入力仕様'!D131</f>
        <v>6</v>
      </c>
      <c r="G643" s="1" t="s">
        <v>114</v>
      </c>
      <c r="H643" s="1">
        <f>ABS(K643)*F5</f>
        <v>6.3033499859406333E-6</v>
      </c>
      <c r="I643" s="1" t="s">
        <v>1482</v>
      </c>
      <c r="J643" s="1">
        <v>1</v>
      </c>
      <c r="K643" s="1">
        <f>K332*J643</f>
        <v>5.067785277814889E-7</v>
      </c>
      <c r="L643" s="1" t="str">
        <f t="shared" ref="L643:L648" si="71">IF(K643&gt;0,"増加→総重量増",IF(K643&lt;0,"増加→総重量減","中立"))</f>
        <v>増加→総重量増</v>
      </c>
      <c r="M643" s="1" t="s">
        <v>1474</v>
      </c>
      <c r="N643" s="1" t="s">
        <v>2746</v>
      </c>
      <c r="O643" s="1">
        <f t="shared" si="70"/>
        <v>1</v>
      </c>
      <c r="P643" s="1"/>
      <c r="Q643" s="1">
        <f>IF($A643="","",IF($E643="","",--(COUNTIF($E$5:$E643,$E643)=1)))</f>
        <v>0</v>
      </c>
      <c r="R643" s="1" t="str">
        <f>IF($A643="","",IF($Q643=1,COUNTIF($Q$5:$Q643,1),""))</f>
        <v/>
      </c>
    </row>
    <row r="644" spans="1:18">
      <c r="A644" s="1" t="s">
        <v>2747</v>
      </c>
      <c r="B644" s="1" t="s">
        <v>1561</v>
      </c>
      <c r="C644" s="1">
        <v>6</v>
      </c>
      <c r="D644" s="1" t="s">
        <v>1353</v>
      </c>
      <c r="E644" s="1" t="s">
        <v>1354</v>
      </c>
      <c r="F644" s="1">
        <f>'01_入力仕様'!D330</f>
        <v>3</v>
      </c>
      <c r="G644" s="1" t="s">
        <v>86</v>
      </c>
      <c r="H644" s="1">
        <f>ABS(K644)*F5</f>
        <v>2.7618556390487389E-4</v>
      </c>
      <c r="I644" s="1" t="s">
        <v>1357</v>
      </c>
      <c r="J644" s="1">
        <f>IF(F39=0,0,('01_入力仕様'!D330*'01_入力仕様'!D332^2*F44)/F39)</f>
        <v>1</v>
      </c>
      <c r="K644" s="1">
        <f>K39*J644</f>
        <v>2.2204845642776994E-5</v>
      </c>
      <c r="L644" s="1" t="str">
        <f t="shared" si="71"/>
        <v>増加→総重量増</v>
      </c>
      <c r="M644" s="1" t="s">
        <v>1474</v>
      </c>
      <c r="N644" s="1" t="s">
        <v>2748</v>
      </c>
      <c r="O644" s="1">
        <f t="shared" si="70"/>
        <v>1</v>
      </c>
      <c r="P644" s="1"/>
      <c r="Q644" s="1">
        <f>IF($A644="","",IF($E644="","",--(COUNTIF($E$5:$E644,$E644)=1)))</f>
        <v>1</v>
      </c>
      <c r="R644" s="1">
        <f>IF($A644="","",IF($Q644=1,COUNTIF($Q$5:$Q644,1),""))</f>
        <v>440</v>
      </c>
    </row>
    <row r="645" spans="1:18">
      <c r="A645" s="1" t="s">
        <v>2749</v>
      </c>
      <c r="B645" s="1" t="s">
        <v>1561</v>
      </c>
      <c r="C645" s="1">
        <v>6</v>
      </c>
      <c r="D645" s="1" t="s">
        <v>1358</v>
      </c>
      <c r="E645" s="1" t="s">
        <v>1359</v>
      </c>
      <c r="F645" s="1">
        <f>F648*'01_入力仕様'!D329</f>
        <v>0</v>
      </c>
      <c r="G645" s="1" t="s">
        <v>86</v>
      </c>
      <c r="H645" s="1">
        <f>ABS(K645)*F5</f>
        <v>0</v>
      </c>
      <c r="I645" s="1" t="s">
        <v>1361</v>
      </c>
      <c r="J645" s="1">
        <f>IF(F39=0,0,('01_入力仕様'!D331*'01_入力仕様'!D332*'01_入力仕様'!D327)/F39)</f>
        <v>0</v>
      </c>
      <c r="K645" s="1">
        <f>K39*J645</f>
        <v>0</v>
      </c>
      <c r="L645" s="1" t="str">
        <f t="shared" si="71"/>
        <v>中立</v>
      </c>
      <c r="M645" s="1" t="s">
        <v>1474</v>
      </c>
      <c r="N645" s="1" t="s">
        <v>2750</v>
      </c>
      <c r="O645" s="1">
        <f t="shared" ref="O645:O679" si="72">IF($A645="","",--(COUNTIF($B$5:$B$679,$A645)=0))</f>
        <v>0</v>
      </c>
      <c r="P645" s="1"/>
      <c r="Q645" s="1">
        <f>IF($A645="","",IF($E645="","",--(COUNTIF($E$5:$E645,$E645)=1)))</f>
        <v>1</v>
      </c>
      <c r="R645" s="1">
        <f>IF($A645="","",IF($Q645=1,COUNTIF($Q$5:$Q645,1),""))</f>
        <v>441</v>
      </c>
    </row>
    <row r="646" spans="1:18">
      <c r="A646" s="1" t="s">
        <v>2751</v>
      </c>
      <c r="B646" s="1" t="s">
        <v>1561</v>
      </c>
      <c r="C646" s="1">
        <v>6</v>
      </c>
      <c r="D646" s="1" t="s">
        <v>1362</v>
      </c>
      <c r="E646" s="1" t="s">
        <v>1363</v>
      </c>
      <c r="F646" s="1">
        <f>'01_入力仕様'!D332</f>
        <v>156.63327975844433</v>
      </c>
      <c r="G646" s="1" t="s">
        <v>808</v>
      </c>
      <c r="H646" s="1">
        <f>ABS(K646)*F5</f>
        <v>5.5237112780974777E-4</v>
      </c>
      <c r="I646" s="1" t="s">
        <v>2752</v>
      </c>
      <c r="J646" s="1">
        <f>IF(F39=0,0,(2*'01_入力仕様'!D330*'01_入力仕様'!D332^2*F44+'01_入力仕様'!D331*'01_入力仕様'!D332*'01_入力仕様'!D327)/F39)</f>
        <v>2</v>
      </c>
      <c r="K646" s="1">
        <f>K39*J646</f>
        <v>4.4409691285553988E-5</v>
      </c>
      <c r="L646" s="1" t="str">
        <f t="shared" si="71"/>
        <v>増加→総重量増</v>
      </c>
      <c r="M646" s="1" t="s">
        <v>1474</v>
      </c>
      <c r="N646" s="1" t="s">
        <v>2753</v>
      </c>
      <c r="O646" s="1">
        <f t="shared" si="72"/>
        <v>1</v>
      </c>
      <c r="P646" s="1"/>
      <c r="Q646" s="1">
        <f>IF($A646="","",IF($E646="","",--(COUNTIF($E$5:$E646,$E646)=1)))</f>
        <v>1</v>
      </c>
      <c r="R646" s="1">
        <f>IF($A646="","",IF($Q646=1,COUNTIF($Q$5:$Q646,1),""))</f>
        <v>442</v>
      </c>
    </row>
    <row r="647" spans="1:18">
      <c r="A647" s="1" t="s">
        <v>2754</v>
      </c>
      <c r="B647" s="1" t="s">
        <v>1561</v>
      </c>
      <c r="C647" s="1">
        <v>6</v>
      </c>
      <c r="D647" s="1" t="s">
        <v>1340</v>
      </c>
      <c r="E647" s="1" t="s">
        <v>1341</v>
      </c>
      <c r="F647" s="1">
        <f>'01_入力仕様'!D327</f>
        <v>1.7</v>
      </c>
      <c r="G647" s="1" t="s">
        <v>73</v>
      </c>
      <c r="H647" s="1">
        <f>ABS(K647)*F5</f>
        <v>0</v>
      </c>
      <c r="I647" s="1" t="s">
        <v>1482</v>
      </c>
      <c r="J647" s="1">
        <f>IF(F39=0,0,('01_入力仕様'!D331*'01_入力仕様'!D332*'01_入力仕様'!D327)/F39)</f>
        <v>0</v>
      </c>
      <c r="K647" s="1">
        <f>K39*J647</f>
        <v>0</v>
      </c>
      <c r="L647" s="1" t="str">
        <f t="shared" si="71"/>
        <v>中立</v>
      </c>
      <c r="M647" s="1" t="s">
        <v>1474</v>
      </c>
      <c r="N647" s="1" t="s">
        <v>2755</v>
      </c>
      <c r="O647" s="1">
        <f t="shared" si="72"/>
        <v>1</v>
      </c>
      <c r="P647" s="1"/>
      <c r="Q647" s="1">
        <f>IF($A647="","",IF($E647="","",--(COUNTIF($E$5:$E647,$E647)=1)))</f>
        <v>1</v>
      </c>
      <c r="R647" s="1">
        <f>IF($A647="","",IF($Q647=1,COUNTIF($Q$5:$Q647,1),""))</f>
        <v>443</v>
      </c>
    </row>
    <row r="648" spans="1:18">
      <c r="A648" s="1" t="s">
        <v>2756</v>
      </c>
      <c r="B648" s="1" t="s">
        <v>2749</v>
      </c>
      <c r="C648" s="1">
        <v>7</v>
      </c>
      <c r="D648" s="1" t="s">
        <v>1335</v>
      </c>
      <c r="E648" s="1" t="s">
        <v>1336</v>
      </c>
      <c r="F648" s="1">
        <f>'01_入力仕様'!D326</f>
        <v>0</v>
      </c>
      <c r="G648" s="1" t="s">
        <v>114</v>
      </c>
      <c r="H648" s="1">
        <f>ABS(K648)*F5</f>
        <v>0</v>
      </c>
      <c r="I648" s="1" t="s">
        <v>1482</v>
      </c>
      <c r="J648" s="1">
        <f>IFERROR(F648/F645,0)</f>
        <v>0</v>
      </c>
      <c r="K648" s="1">
        <f>K645*J648</f>
        <v>0</v>
      </c>
      <c r="L648" s="1" t="str">
        <f t="shared" si="71"/>
        <v>中立</v>
      </c>
      <c r="M648" s="1" t="s">
        <v>1474</v>
      </c>
      <c r="N648" s="1" t="s">
        <v>2757</v>
      </c>
      <c r="O648" s="1">
        <f t="shared" si="72"/>
        <v>1</v>
      </c>
      <c r="P648" s="1"/>
      <c r="Q648" s="1">
        <f>IF($A648="","",IF($E648="","",--(COUNTIF($E$5:$E648,$E648)=1)))</f>
        <v>1</v>
      </c>
      <c r="R648" s="1">
        <f>IF($A648="","",IF($Q648=1,COUNTIF($Q$5:$Q648,1),""))</f>
        <v>444</v>
      </c>
    </row>
    <row r="649" spans="1:18">
      <c r="A649" s="1" t="s">
        <v>2758</v>
      </c>
      <c r="B649" s="1" t="s">
        <v>1561</v>
      </c>
      <c r="C649" s="1">
        <v>6</v>
      </c>
      <c r="D649" s="1" t="s">
        <v>1371</v>
      </c>
      <c r="E649" s="1" t="s">
        <v>1372</v>
      </c>
      <c r="F649" s="1">
        <f>'01_入力仕様'!D334</f>
        <v>0</v>
      </c>
      <c r="G649" s="1" t="s">
        <v>415</v>
      </c>
      <c r="H649" s="1"/>
      <c r="I649" s="1" t="s">
        <v>1374</v>
      </c>
      <c r="J649" s="1">
        <v>0</v>
      </c>
      <c r="K649" s="1">
        <f>K39*J649</f>
        <v>0</v>
      </c>
      <c r="L649" s="1"/>
      <c r="M649" s="1" t="s">
        <v>418</v>
      </c>
      <c r="N649" s="1" t="s">
        <v>2759</v>
      </c>
      <c r="O649" s="1">
        <f t="shared" si="72"/>
        <v>1</v>
      </c>
      <c r="P649" s="1"/>
      <c r="Q649" s="1">
        <f>IF($A649="","",IF($E649="","",--(COUNTIF($E$5:$E649,$E649)=1)))</f>
        <v>1</v>
      </c>
      <c r="R649" s="1">
        <f>IF($A649="","",IF($Q649=1,COUNTIF($Q$5:$Q649,1),""))</f>
        <v>445</v>
      </c>
    </row>
    <row r="650" spans="1:18">
      <c r="A650" s="1" t="s">
        <v>2760</v>
      </c>
      <c r="B650" s="1" t="s">
        <v>1561</v>
      </c>
      <c r="C650" s="1">
        <v>6</v>
      </c>
      <c r="D650" s="1" t="s">
        <v>1390</v>
      </c>
      <c r="E650" s="1" t="s">
        <v>1384</v>
      </c>
      <c r="F650" s="1">
        <f>F44*F651*F652</f>
        <v>7.2008206296653282E-5</v>
      </c>
      <c r="G650" s="1" t="s">
        <v>653</v>
      </c>
      <c r="H650" s="1">
        <f>ABS(K650)*F5</f>
        <v>0</v>
      </c>
      <c r="I650" s="1" t="s">
        <v>2761</v>
      </c>
      <c r="J650" s="1">
        <f>IF('01_入力仕様'!D334=1,IF(F39=0,0,'01_入力仕様'!D330*'01_入力仕様'!D332^2*F650/F39),0)</f>
        <v>0</v>
      </c>
      <c r="K650" s="1">
        <f>K39*J650</f>
        <v>0</v>
      </c>
      <c r="L650" s="1" t="str">
        <f t="shared" ref="L650:L657" si="73">IF(K650&gt;0,"増加→総重量増",IF(K650&lt;0,"増加→総重量減","中立"))</f>
        <v>中立</v>
      </c>
      <c r="M650" s="1" t="s">
        <v>1474</v>
      </c>
      <c r="N650" s="1" t="s">
        <v>2762</v>
      </c>
      <c r="O650" s="1">
        <f t="shared" si="72"/>
        <v>0</v>
      </c>
      <c r="P650" s="1"/>
      <c r="Q650" s="1">
        <f>IF($A650="","",IF($E650="","",--(COUNTIF($E$5:$E650,$E650)=1)))</f>
        <v>1</v>
      </c>
      <c r="R650" s="1">
        <f>IF($A650="","",IF($Q650=1,COUNTIF($Q$5:$Q650,1),""))</f>
        <v>446</v>
      </c>
    </row>
    <row r="651" spans="1:18">
      <c r="A651" s="1" t="s">
        <v>2763</v>
      </c>
      <c r="B651" s="1" t="s">
        <v>2760</v>
      </c>
      <c r="C651" s="1">
        <v>7</v>
      </c>
      <c r="D651" s="1" t="s">
        <v>1382</v>
      </c>
      <c r="E651" s="1" t="s">
        <v>1383</v>
      </c>
      <c r="F651" s="1">
        <f>'01_入力仕様'!D336</f>
        <v>0.5</v>
      </c>
      <c r="G651" s="1" t="s">
        <v>86</v>
      </c>
      <c r="H651" s="1">
        <f>ABS(K651)*F5</f>
        <v>0</v>
      </c>
      <c r="I651" s="1" t="s">
        <v>1482</v>
      </c>
      <c r="J651" s="1">
        <v>1</v>
      </c>
      <c r="K651" s="1">
        <f>K650*J651</f>
        <v>0</v>
      </c>
      <c r="L651" s="1" t="str">
        <f t="shared" si="73"/>
        <v>中立</v>
      </c>
      <c r="M651" s="1" t="s">
        <v>1385</v>
      </c>
      <c r="N651" s="1" t="s">
        <v>2764</v>
      </c>
      <c r="O651" s="1">
        <f t="shared" si="72"/>
        <v>1</v>
      </c>
      <c r="P651" s="1"/>
      <c r="Q651" s="1">
        <f>IF($A651="","",IF($E651="","",--(COUNTIF($E$5:$E651,$E651)=1)))</f>
        <v>1</v>
      </c>
      <c r="R651" s="1">
        <f>IF($A651="","",IF($Q651=1,COUNTIF($Q$5:$Q651,1),""))</f>
        <v>447</v>
      </c>
    </row>
    <row r="652" spans="1:18">
      <c r="A652" s="1" t="s">
        <v>2765</v>
      </c>
      <c r="B652" s="1" t="s">
        <v>2760</v>
      </c>
      <c r="C652" s="1">
        <v>7</v>
      </c>
      <c r="D652" s="1" t="s">
        <v>1387</v>
      </c>
      <c r="E652" s="1" t="s">
        <v>1388</v>
      </c>
      <c r="F652" s="1">
        <f>'01_入力仕様'!D337</f>
        <v>1</v>
      </c>
      <c r="G652" s="1" t="s">
        <v>86</v>
      </c>
      <c r="H652" s="1">
        <f>ABS(K652)*F5</f>
        <v>0</v>
      </c>
      <c r="I652" s="1" t="s">
        <v>1482</v>
      </c>
      <c r="J652" s="1">
        <v>1</v>
      </c>
      <c r="K652" s="1">
        <f>K650*J652</f>
        <v>0</v>
      </c>
      <c r="L652" s="1" t="str">
        <f t="shared" si="73"/>
        <v>中立</v>
      </c>
      <c r="M652" s="1" t="s">
        <v>1385</v>
      </c>
      <c r="N652" s="1" t="s">
        <v>2766</v>
      </c>
      <c r="O652" s="1">
        <f t="shared" si="72"/>
        <v>1</v>
      </c>
      <c r="P652" s="1"/>
      <c r="Q652" s="1">
        <f>IF($A652="","",IF($E652="","",--(COUNTIF($E$5:$E652,$E652)=1)))</f>
        <v>1</v>
      </c>
      <c r="R652" s="1">
        <f>IF($A652="","",IF($Q652=1,COUNTIF($Q$5:$Q652,1),""))</f>
        <v>448</v>
      </c>
    </row>
    <row r="653" spans="1:18">
      <c r="A653" s="1" t="s">
        <v>2767</v>
      </c>
      <c r="B653" s="1" t="s">
        <v>1621</v>
      </c>
      <c r="C653" s="1">
        <v>6</v>
      </c>
      <c r="D653" s="1" t="s">
        <v>1408</v>
      </c>
      <c r="E653" s="1" t="s">
        <v>1405</v>
      </c>
      <c r="F653" s="1">
        <f>IF(F655+F656+F657&gt;0,F655+F656+F657,F68*F654)</f>
        <v>8.8506695936554429</v>
      </c>
      <c r="G653" s="1" t="s">
        <v>1396</v>
      </c>
      <c r="H653" s="1">
        <f>ABS(K653)*F5</f>
        <v>0</v>
      </c>
      <c r="I653" s="1" t="s">
        <v>2768</v>
      </c>
      <c r="J653" s="1">
        <f>IF('01_入力仕様'!D334=1,1,0)</f>
        <v>0</v>
      </c>
      <c r="K653" s="1">
        <f>K68*J653</f>
        <v>0</v>
      </c>
      <c r="L653" s="1" t="str">
        <f t="shared" si="73"/>
        <v>中立</v>
      </c>
      <c r="M653" s="1" t="s">
        <v>1385</v>
      </c>
      <c r="N653" s="1" t="s">
        <v>2769</v>
      </c>
      <c r="O653" s="1">
        <f t="shared" si="72"/>
        <v>0</v>
      </c>
      <c r="P653" s="1"/>
      <c r="Q653" s="1">
        <f>IF($A653="","",IF($E653="","",--(COUNTIF($E$5:$E653,$E653)=1)))</f>
        <v>1</v>
      </c>
      <c r="R653" s="1">
        <f>IF($A653="","",IF($Q653=1,COUNTIF($Q$5:$Q653,1),""))</f>
        <v>449</v>
      </c>
    </row>
    <row r="654" spans="1:18">
      <c r="A654" s="1" t="s">
        <v>2770</v>
      </c>
      <c r="B654" s="1" t="s">
        <v>2767</v>
      </c>
      <c r="C654" s="1">
        <v>7</v>
      </c>
      <c r="D654" s="1" t="s">
        <v>1403</v>
      </c>
      <c r="E654" s="1" t="s">
        <v>1404</v>
      </c>
      <c r="F654" s="1">
        <f>'01_入力仕様'!D342</f>
        <v>0.5</v>
      </c>
      <c r="G654" s="1" t="s">
        <v>86</v>
      </c>
      <c r="H654" s="1">
        <f>ABS(K654)*F5</f>
        <v>0</v>
      </c>
      <c r="I654" s="1" t="s">
        <v>1482</v>
      </c>
      <c r="J654" s="1">
        <f>IF(F655+F656+F657&gt;0,0,1)</f>
        <v>1</v>
      </c>
      <c r="K654" s="1">
        <f>K653*J654</f>
        <v>0</v>
      </c>
      <c r="L654" s="1" t="str">
        <f t="shared" si="73"/>
        <v>中立</v>
      </c>
      <c r="M654" s="1" t="s">
        <v>1385</v>
      </c>
      <c r="N654" s="1" t="s">
        <v>2771</v>
      </c>
      <c r="O654" s="1">
        <f t="shared" si="72"/>
        <v>1</v>
      </c>
      <c r="P654" s="1"/>
      <c r="Q654" s="1">
        <f>IF($A654="","",IF($E654="","",--(COUNTIF($E$5:$E654,$E654)=1)))</f>
        <v>1</v>
      </c>
      <c r="R654" s="1">
        <f>IF($A654="","",IF($Q654=1,COUNTIF($Q$5:$Q654,1),""))</f>
        <v>450</v>
      </c>
    </row>
    <row r="655" spans="1:18">
      <c r="A655" s="1" t="s">
        <v>2772</v>
      </c>
      <c r="B655" s="1" t="s">
        <v>2767</v>
      </c>
      <c r="C655" s="1">
        <v>7</v>
      </c>
      <c r="D655" s="1" t="s">
        <v>2773</v>
      </c>
      <c r="E655" s="1" t="s">
        <v>1395</v>
      </c>
      <c r="F655" s="1">
        <f>'01_入力仕様'!D339</f>
        <v>0</v>
      </c>
      <c r="G655" s="1" t="s">
        <v>1396</v>
      </c>
      <c r="H655" s="1">
        <f>ABS(K655)*F5</f>
        <v>0</v>
      </c>
      <c r="I655" s="1" t="s">
        <v>1482</v>
      </c>
      <c r="J655" s="1">
        <f>IF(AND('01_入力仕様'!D334=1,SUM('01_入力仕様'!D339:D341)&gt;0),IF(F653=0,0,'01_入力仕様'!D339/F653),0)</f>
        <v>0</v>
      </c>
      <c r="K655" s="1">
        <f>K653*J655</f>
        <v>0</v>
      </c>
      <c r="L655" s="1" t="str">
        <f t="shared" si="73"/>
        <v>中立</v>
      </c>
      <c r="M655" s="1" t="s">
        <v>1385</v>
      </c>
      <c r="N655" s="1" t="s">
        <v>2774</v>
      </c>
      <c r="O655" s="1">
        <f t="shared" si="72"/>
        <v>1</v>
      </c>
      <c r="P655" s="1"/>
      <c r="Q655" s="1">
        <f>IF($A655="","",IF($E655="","",--(COUNTIF($E$5:$E655,$E655)=1)))</f>
        <v>1</v>
      </c>
      <c r="R655" s="1">
        <f>IF($A655="","",IF($Q655=1,COUNTIF($Q$5:$Q655,1),""))</f>
        <v>451</v>
      </c>
    </row>
    <row r="656" spans="1:18">
      <c r="A656" s="1" t="s">
        <v>2775</v>
      </c>
      <c r="B656" s="1" t="s">
        <v>2767</v>
      </c>
      <c r="C656" s="1">
        <v>7</v>
      </c>
      <c r="D656" s="1" t="s">
        <v>2776</v>
      </c>
      <c r="E656" s="1" t="s">
        <v>1400</v>
      </c>
      <c r="F656" s="1">
        <f>'01_入力仕様'!D340</f>
        <v>0</v>
      </c>
      <c r="G656" s="1" t="s">
        <v>1396</v>
      </c>
      <c r="H656" s="1">
        <f>ABS(K656)*F5</f>
        <v>0</v>
      </c>
      <c r="I656" s="1" t="s">
        <v>1482</v>
      </c>
      <c r="J656" s="1">
        <f>IF(AND('01_入力仕様'!D334=1,SUM('01_入力仕様'!D339:D341)&gt;0),IF(F653=0,0,'01_入力仕様'!D340/F653),0)</f>
        <v>0</v>
      </c>
      <c r="K656" s="1">
        <f>K653*J656</f>
        <v>0</v>
      </c>
      <c r="L656" s="1" t="str">
        <f t="shared" si="73"/>
        <v>中立</v>
      </c>
      <c r="M656" s="1" t="s">
        <v>1385</v>
      </c>
      <c r="N656" s="1" t="s">
        <v>2774</v>
      </c>
      <c r="O656" s="1">
        <f t="shared" si="72"/>
        <v>1</v>
      </c>
      <c r="P656" s="1"/>
      <c r="Q656" s="1">
        <f>IF($A656="","",IF($E656="","",--(COUNTIF($E$5:$E656,$E656)=1)))</f>
        <v>1</v>
      </c>
      <c r="R656" s="1">
        <f>IF($A656="","",IF($Q656=1,COUNTIF($Q$5:$Q656,1),""))</f>
        <v>452</v>
      </c>
    </row>
    <row r="657" spans="1:18">
      <c r="A657" s="1" t="s">
        <v>2777</v>
      </c>
      <c r="B657" s="1" t="s">
        <v>2767</v>
      </c>
      <c r="C657" s="1">
        <v>7</v>
      </c>
      <c r="D657" s="1" t="s">
        <v>2778</v>
      </c>
      <c r="E657" s="1" t="s">
        <v>1402</v>
      </c>
      <c r="F657" s="1">
        <f>'01_入力仕様'!D341</f>
        <v>0</v>
      </c>
      <c r="G657" s="1" t="s">
        <v>1396</v>
      </c>
      <c r="H657" s="1">
        <f>ABS(K657)*F5</f>
        <v>0</v>
      </c>
      <c r="I657" s="1" t="s">
        <v>1482</v>
      </c>
      <c r="J657" s="1">
        <f>IF(AND('01_入力仕様'!D334=1,SUM('01_入力仕様'!D339:D341)&gt;0),IF(F653=0,0,'01_入力仕様'!D341/F653),0)</f>
        <v>0</v>
      </c>
      <c r="K657" s="1">
        <f>K653*J657</f>
        <v>0</v>
      </c>
      <c r="L657" s="1" t="str">
        <f t="shared" si="73"/>
        <v>中立</v>
      </c>
      <c r="M657" s="1" t="s">
        <v>1385</v>
      </c>
      <c r="N657" s="1" t="s">
        <v>2774</v>
      </c>
      <c r="O657" s="1">
        <f t="shared" si="72"/>
        <v>1</v>
      </c>
      <c r="P657" s="1"/>
      <c r="Q657" s="1">
        <f>IF($A657="","",IF($E657="","",--(COUNTIF($E$5:$E657,$E657)=1)))</f>
        <v>1</v>
      </c>
      <c r="R657" s="1">
        <f>IF($A657="","",IF($Q657=1,COUNTIF($Q$5:$Q657,1),""))</f>
        <v>453</v>
      </c>
    </row>
    <row r="658" spans="1:18" ht="28.5">
      <c r="A658" s="1" t="s">
        <v>2779</v>
      </c>
      <c r="B658" s="1" t="s">
        <v>2021</v>
      </c>
      <c r="C658" s="1">
        <v>3</v>
      </c>
      <c r="D658" s="1" t="s">
        <v>2780</v>
      </c>
      <c r="E658" s="1" t="s">
        <v>1378</v>
      </c>
      <c r="F658" s="1">
        <f>'01_入力仕様'!D335</f>
        <v>0</v>
      </c>
      <c r="G658" s="1" t="s">
        <v>415</v>
      </c>
      <c r="H658" s="1"/>
      <c r="I658" s="1" t="s">
        <v>1482</v>
      </c>
      <c r="J658" s="1">
        <v>0</v>
      </c>
      <c r="K658" s="1">
        <f>K275*J658</f>
        <v>0</v>
      </c>
      <c r="L658" s="1"/>
      <c r="M658" s="1" t="s">
        <v>418</v>
      </c>
      <c r="N658" s="1" t="s">
        <v>2781</v>
      </c>
      <c r="O658" s="1">
        <f t="shared" si="72"/>
        <v>1</v>
      </c>
      <c r="P658" s="1"/>
      <c r="Q658" s="1">
        <f>IF($A658="","",IF($E658="","",--(COUNTIF($E$5:$E658,$E658)=1)))</f>
        <v>1</v>
      </c>
      <c r="R658" s="1">
        <f>IF($A658="","",IF($Q658=1,COUNTIF($Q$5:$Q658,1),""))</f>
        <v>454</v>
      </c>
    </row>
    <row r="659" spans="1:18">
      <c r="A659" s="1" t="s">
        <v>2782</v>
      </c>
      <c r="B659" s="1" t="s">
        <v>2021</v>
      </c>
      <c r="C659" s="1">
        <v>3</v>
      </c>
      <c r="D659" s="1" t="s">
        <v>2783</v>
      </c>
      <c r="E659" s="1" t="s">
        <v>1418</v>
      </c>
      <c r="F659" s="1">
        <f>'01_入力仕様'!D345</f>
        <v>0.05</v>
      </c>
      <c r="G659" s="1" t="s">
        <v>229</v>
      </c>
      <c r="H659" s="1">
        <f>ABS(K659)*F5</f>
        <v>0</v>
      </c>
      <c r="I659" s="1" t="s">
        <v>1482</v>
      </c>
      <c r="J659" s="1">
        <f>IF(AND('01_入力仕様'!D334=1,'01_入力仕様'!D335=1),IF(F275=0,0,F659/F275),0)</f>
        <v>0</v>
      </c>
      <c r="K659" s="1">
        <f>K275*J659</f>
        <v>0</v>
      </c>
      <c r="L659" s="1" t="str">
        <f>IF(K659&gt;0,"増加→総重量増",IF(K659&lt;0,"増加→総重量減","中立"))</f>
        <v>中立</v>
      </c>
      <c r="M659" s="1" t="s">
        <v>1385</v>
      </c>
      <c r="N659" s="1" t="s">
        <v>2784</v>
      </c>
      <c r="O659" s="1">
        <f t="shared" si="72"/>
        <v>1</v>
      </c>
      <c r="P659" s="1"/>
      <c r="Q659" s="1">
        <f>IF($A659="","",IF($E659="","",--(COUNTIF($E$5:$E659,$E659)=1)))</f>
        <v>1</v>
      </c>
      <c r="R659" s="1">
        <f>IF($A659="","",IF($Q659=1,COUNTIF($Q$5:$Q659,1),""))</f>
        <v>455</v>
      </c>
    </row>
    <row r="660" spans="1:18">
      <c r="A660" s="1" t="s">
        <v>2785</v>
      </c>
      <c r="B660" s="1" t="s">
        <v>1558</v>
      </c>
      <c r="C660" s="1">
        <v>5</v>
      </c>
      <c r="D660" s="1" t="s">
        <v>2786</v>
      </c>
      <c r="E660" s="1" t="s">
        <v>1422</v>
      </c>
      <c r="F660" s="1">
        <f>'01_入力仕様'!D346</f>
        <v>2</v>
      </c>
      <c r="G660" s="1" t="s">
        <v>984</v>
      </c>
      <c r="H660" s="1">
        <f>ABS(K660)*F5</f>
        <v>0</v>
      </c>
      <c r="I660" s="1" t="s">
        <v>1482</v>
      </c>
      <c r="J660" s="1">
        <f>IF(AND('01_入力仕様'!D334=1,'01_入力仕様'!D335=1),IF(F38=0,0,F660/F38),0)</f>
        <v>0</v>
      </c>
      <c r="K660" s="1">
        <f>K38*J660</f>
        <v>0</v>
      </c>
      <c r="L660" s="1" t="str">
        <f>IF(K660&gt;0,"増加→総重量増",IF(K660&lt;0,"増加→総重量減","中立"))</f>
        <v>中立</v>
      </c>
      <c r="M660" s="1" t="s">
        <v>1385</v>
      </c>
      <c r="N660" s="1" t="s">
        <v>2787</v>
      </c>
      <c r="O660" s="1">
        <f t="shared" si="72"/>
        <v>1</v>
      </c>
      <c r="P660" s="1"/>
      <c r="Q660" s="1">
        <f>IF($A660="","",IF($E660="","",--(COUNTIF($E$5:$E660,$E660)=1)))</f>
        <v>1</v>
      </c>
      <c r="R660" s="1">
        <f>IF($A660="","",IF($Q660=1,COUNTIF($Q$5:$Q660,1),""))</f>
        <v>456</v>
      </c>
    </row>
    <row r="661" spans="1:18" ht="57">
      <c r="A661" s="1" t="s">
        <v>2788</v>
      </c>
      <c r="B661" s="1" t="s">
        <v>2024</v>
      </c>
      <c r="C661" s="1">
        <v>4</v>
      </c>
      <c r="D661" s="1" t="s">
        <v>1412</v>
      </c>
      <c r="E661" s="1" t="s">
        <v>1413</v>
      </c>
      <c r="F661" s="1">
        <f>'01_入力仕様'!D344</f>
        <v>2</v>
      </c>
      <c r="G661" s="1" t="s">
        <v>1414</v>
      </c>
      <c r="H661" s="1">
        <f>ABS(K661)*F5</f>
        <v>0</v>
      </c>
      <c r="I661" s="1" t="s">
        <v>2789</v>
      </c>
      <c r="J661" s="1">
        <f>IF('01_入力仕様'!D334=1,1,0)</f>
        <v>0</v>
      </c>
      <c r="K661" s="1">
        <f>IF('01_入力仕様'!D334=1,SUMIFS($K$5:$K$679,$E$5:$E$679,"N_gate"),0)</f>
        <v>0</v>
      </c>
      <c r="L661" s="1" t="str">
        <f>IF(K661&gt;0,"増加→総重量増",IF(K661&lt;0,"増加→総重量減","中立"))</f>
        <v>中立</v>
      </c>
      <c r="M661" s="1" t="s">
        <v>1385</v>
      </c>
      <c r="N661" s="1" t="s">
        <v>2790</v>
      </c>
      <c r="O661" s="1">
        <f t="shared" si="72"/>
        <v>1</v>
      </c>
      <c r="P661" s="1"/>
      <c r="Q661" s="1">
        <f>IF($A661="","",IF($E661="","",--(COUNTIF($E$5:$E661,$E661)=1)))</f>
        <v>1</v>
      </c>
      <c r="R661" s="1">
        <f>IF($A661="","",IF($Q661=1,COUNTIF($Q$5:$Q661,1),""))</f>
        <v>457</v>
      </c>
    </row>
    <row r="662" spans="1:18">
      <c r="A662" s="1"/>
      <c r="B662" s="1"/>
      <c r="C662" s="1"/>
      <c r="D662" s="1"/>
      <c r="E662" s="1"/>
      <c r="F662" s="1"/>
      <c r="G662" s="1"/>
      <c r="H662" s="1"/>
      <c r="I662" s="1"/>
      <c r="J662" s="1"/>
      <c r="K662" s="1"/>
      <c r="L662" s="1"/>
      <c r="M662" s="1"/>
      <c r="N662" s="1"/>
      <c r="O662" s="1" t="str">
        <f t="shared" si="72"/>
        <v/>
      </c>
      <c r="P662" s="1"/>
      <c r="Q662" s="1" t="str">
        <f>IF($A662="","",IF($E662="","",--(COUNTIF($E$5:$E662,$E662)=1)))</f>
        <v/>
      </c>
      <c r="R662" s="1" t="str">
        <f>IF($A662="","",IF($Q662=1,COUNTIF($Q$5:$Q662,1),""))</f>
        <v/>
      </c>
    </row>
    <row r="663" spans="1:18">
      <c r="A663" s="1"/>
      <c r="B663" s="1"/>
      <c r="C663" s="1"/>
      <c r="D663" s="1"/>
      <c r="E663" s="1"/>
      <c r="F663" s="1"/>
      <c r="G663" s="1"/>
      <c r="H663" s="1"/>
      <c r="I663" s="1"/>
      <c r="J663" s="1"/>
      <c r="K663" s="1"/>
      <c r="L663" s="1"/>
      <c r="M663" s="1"/>
      <c r="N663" s="1"/>
      <c r="O663" s="1" t="str">
        <f t="shared" si="72"/>
        <v/>
      </c>
      <c r="P663" s="1"/>
      <c r="Q663" s="1" t="str">
        <f>IF($A663="","",IF($E663="","",--(COUNTIF($E$5:$E663,$E663)=1)))</f>
        <v/>
      </c>
      <c r="R663" s="1" t="str">
        <f>IF($A663="","",IF($Q663=1,COUNTIF($Q$5:$Q663,1),""))</f>
        <v/>
      </c>
    </row>
    <row r="664" spans="1:18">
      <c r="A664" s="1"/>
      <c r="B664" s="1"/>
      <c r="C664" s="1"/>
      <c r="D664" s="1"/>
      <c r="E664" s="1"/>
      <c r="F664" s="1"/>
      <c r="G664" s="1"/>
      <c r="H664" s="1"/>
      <c r="I664" s="1"/>
      <c r="J664" s="1"/>
      <c r="K664" s="1"/>
      <c r="L664" s="1"/>
      <c r="M664" s="1"/>
      <c r="N664" s="1"/>
      <c r="O664" s="1" t="str">
        <f t="shared" si="72"/>
        <v/>
      </c>
      <c r="P664" s="1"/>
      <c r="Q664" s="1" t="str">
        <f>IF($A664="","",IF($E664="","",--(COUNTIF($E$5:$E664,$E664)=1)))</f>
        <v/>
      </c>
      <c r="R664" s="1" t="str">
        <f>IF($A664="","",IF($Q664=1,COUNTIF($Q$5:$Q664,1),""))</f>
        <v/>
      </c>
    </row>
    <row r="665" spans="1:18">
      <c r="A665" s="1"/>
      <c r="B665" s="1"/>
      <c r="C665" s="1"/>
      <c r="D665" s="1"/>
      <c r="E665" s="1"/>
      <c r="F665" s="1"/>
      <c r="G665" s="1"/>
      <c r="H665" s="1"/>
      <c r="I665" s="1"/>
      <c r="J665" s="1"/>
      <c r="K665" s="1"/>
      <c r="L665" s="1"/>
      <c r="M665" s="1"/>
      <c r="N665" s="1"/>
      <c r="O665" s="1" t="str">
        <f t="shared" si="72"/>
        <v/>
      </c>
      <c r="P665" s="1"/>
      <c r="Q665" s="1" t="str">
        <f>IF($A665="","",IF($E665="","",--(COUNTIF($E$5:$E665,$E665)=1)))</f>
        <v/>
      </c>
      <c r="R665" s="1" t="str">
        <f>IF($A665="","",IF($Q665=1,COUNTIF($Q$5:$Q665,1),""))</f>
        <v/>
      </c>
    </row>
    <row r="666" spans="1:18">
      <c r="A666" s="1" t="s">
        <v>2791</v>
      </c>
      <c r="B666" s="1" t="s">
        <v>2024</v>
      </c>
      <c r="C666" s="1">
        <v>4</v>
      </c>
      <c r="D666" s="1" t="s">
        <v>1434</v>
      </c>
      <c r="E666" s="1" t="s">
        <v>1435</v>
      </c>
      <c r="F666" s="1">
        <f>'01_入力仕様'!D349</f>
        <v>0</v>
      </c>
      <c r="G666" s="1" t="s">
        <v>114</v>
      </c>
      <c r="H666" s="1">
        <v>0</v>
      </c>
      <c r="I666" s="1" t="s">
        <v>2792</v>
      </c>
      <c r="J666" s="1">
        <v>0</v>
      </c>
      <c r="K666" s="1">
        <f>0</f>
        <v>0</v>
      </c>
      <c r="L666" s="1" t="s">
        <v>2793</v>
      </c>
      <c r="M666" s="1" t="s">
        <v>1347</v>
      </c>
      <c r="N666" s="1" t="s">
        <v>2794</v>
      </c>
      <c r="O666" s="1">
        <f t="shared" si="72"/>
        <v>1</v>
      </c>
      <c r="P666" s="1"/>
      <c r="Q666" s="1">
        <f>IF($A666="","",IF($E666="","",--(COUNTIF($E$5:$E666,$E666)=1)))</f>
        <v>1</v>
      </c>
      <c r="R666" s="1">
        <f>IF($A666="","",IF($Q666=1,COUNTIF($Q$5:$Q666,1),""))</f>
        <v>458</v>
      </c>
    </row>
    <row r="667" spans="1:18">
      <c r="A667" t="s">
        <v>2697</v>
      </c>
      <c r="B667" t="s">
        <v>1829</v>
      </c>
      <c r="C667">
        <v>6</v>
      </c>
      <c r="D667" t="s">
        <v>2795</v>
      </c>
      <c r="E667" t="s">
        <v>2796</v>
      </c>
      <c r="F667">
        <f>1+F620*F621</f>
        <v>1</v>
      </c>
      <c r="G667" t="s">
        <v>86</v>
      </c>
      <c r="H667">
        <f>ABS(K667)*$F$5</f>
        <v>0.12464480363126069</v>
      </c>
      <c r="I667" t="s">
        <v>2797</v>
      </c>
      <c r="J667">
        <f>1</f>
        <v>1</v>
      </c>
      <c r="K667">
        <f>K161*J667</f>
        <v>1.0021228429447072E-2</v>
      </c>
      <c r="L667" t="s">
        <v>2798</v>
      </c>
      <c r="M667" t="s">
        <v>1474</v>
      </c>
      <c r="N667" t="s">
        <v>2799</v>
      </c>
      <c r="O667">
        <f t="shared" si="72"/>
        <v>0</v>
      </c>
      <c r="Q667">
        <f>IF($A667="","",IF($E667="","",--(COUNTIF($E$5:$E667,$E667)=1)))</f>
        <v>1</v>
      </c>
      <c r="R667">
        <f>IF($A667="","",IF($Q667=1,COUNTIF($Q$5:$Q667,1),""))</f>
        <v>459</v>
      </c>
    </row>
    <row r="668" spans="1:18">
      <c r="A668" t="s">
        <v>2213</v>
      </c>
      <c r="B668" t="s">
        <v>2729</v>
      </c>
      <c r="C668">
        <v>5</v>
      </c>
      <c r="D668" t="s">
        <v>2800</v>
      </c>
      <c r="E668" t="s">
        <v>2801</v>
      </c>
      <c r="F668">
        <f>MAX(1,F369/'01_入力仕様'!D320)</f>
        <v>9.6</v>
      </c>
      <c r="G668" t="s">
        <v>86</v>
      </c>
      <c r="H668">
        <f>ABS(K668)*$F$5</f>
        <v>0</v>
      </c>
      <c r="I668" t="s">
        <v>2802</v>
      </c>
      <c r="J668">
        <f>'01_入力仕様'!D323</f>
        <v>0.5</v>
      </c>
      <c r="K668">
        <f>K635*J668</f>
        <v>0</v>
      </c>
      <c r="L668" t="s">
        <v>2803</v>
      </c>
      <c r="M668" t="s">
        <v>1474</v>
      </c>
      <c r="N668" t="s">
        <v>2804</v>
      </c>
      <c r="O668">
        <f t="shared" si="72"/>
        <v>0</v>
      </c>
      <c r="Q668">
        <f>IF($A668="","",IF($E668="","",--(COUNTIF($E$5:$E668,$E668)=1)))</f>
        <v>1</v>
      </c>
      <c r="R668">
        <f>IF($A668="","",IF($Q668=1,COUNTIF($Q$5:$Q668,1),""))</f>
        <v>460</v>
      </c>
    </row>
    <row r="669" spans="1:18">
      <c r="A669" t="s">
        <v>2805</v>
      </c>
      <c r="B669" t="s">
        <v>2734</v>
      </c>
      <c r="C669">
        <v>5</v>
      </c>
      <c r="D669" t="s">
        <v>2806</v>
      </c>
      <c r="E669" t="s">
        <v>2807</v>
      </c>
      <c r="F669">
        <f>MAX(1,(('01_入力仕様'!D285*'01_入力仕様'!D272)*MAX('01_入力仕様'!D6/('01_入力仕様'!D153*'01_入力仕様'!D150/'01_入力仕様'!D152),'01_入力仕様'!D6/('01_入力仕様'!D154*'01_入力仕様'!D151/'01_入力仕様'!D152))*(1-'01_入力仕様'!D296*(1-'01_入力仕様'!D319))*('01_入力仕様'!D10/'01_入力仕様'!D321)^'01_入力仕様'!D322*(1-'01_入力仕様'!D182*'01_入力仕様'!D185))/'01_入力仕様'!D320)</f>
        <v>9.6</v>
      </c>
      <c r="G669" t="s">
        <v>86</v>
      </c>
      <c r="H669">
        <f>ABS(K669)*$F$5</f>
        <v>0</v>
      </c>
      <c r="I669" t="s">
        <v>2808</v>
      </c>
      <c r="J669">
        <f>'01_入力仕様'!D323</f>
        <v>0.5</v>
      </c>
      <c r="K669">
        <f>K636*J669</f>
        <v>0</v>
      </c>
      <c r="L669" t="s">
        <v>2809</v>
      </c>
      <c r="M669" t="s">
        <v>1474</v>
      </c>
      <c r="N669" t="s">
        <v>2810</v>
      </c>
      <c r="O669">
        <f t="shared" si="72"/>
        <v>1</v>
      </c>
      <c r="Q669">
        <f>IF($A669="","",IF($E669="","",--(COUNTIF($E$5:$E669,$E669)=1)))</f>
        <v>1</v>
      </c>
      <c r="R669">
        <f>IF($A669="","",IF($Q669=1,COUNTIF($Q$5:$Q669,1),""))</f>
        <v>461</v>
      </c>
    </row>
    <row r="670" spans="1:18">
      <c r="A670" t="s">
        <v>2811</v>
      </c>
      <c r="B670" t="s">
        <v>2708</v>
      </c>
      <c r="C670">
        <v>4</v>
      </c>
      <c r="D670" t="s">
        <v>2812</v>
      </c>
      <c r="E670" t="s">
        <v>2813</v>
      </c>
      <c r="F670">
        <f>MAX(1,(('01_入力仕様'!D285*'01_入力仕様'!D272)*MAX('01_入力仕様'!D6/('01_入力仕様'!D153*'01_入力仕様'!D150/'01_入力仕様'!D152),'01_入力仕様'!D6/('01_入力仕様'!D154*'01_入力仕様'!D151/'01_入力仕様'!D152))*(1-'01_入力仕様'!D296*(1-'01_入力仕様'!D319))*('01_入力仕様'!D10/'01_入力仕様'!D321)^'01_入力仕様'!D322*(1-'01_入力仕様'!D182*'01_入力仕様'!D185))/'01_入力仕様'!D320)</f>
        <v>9.6</v>
      </c>
      <c r="G670" t="s">
        <v>86</v>
      </c>
      <c r="H670">
        <f>ABS(K670)*$F$5</f>
        <v>0</v>
      </c>
      <c r="I670" t="s">
        <v>2814</v>
      </c>
      <c r="J670">
        <f>'01_入力仕様'!D238</f>
        <v>0.3</v>
      </c>
      <c r="K670">
        <f>K625*J670</f>
        <v>0</v>
      </c>
      <c r="L670" t="s">
        <v>2815</v>
      </c>
      <c r="M670" t="s">
        <v>1474</v>
      </c>
      <c r="N670" t="s">
        <v>2810</v>
      </c>
      <c r="O670">
        <f t="shared" si="72"/>
        <v>1</v>
      </c>
      <c r="Q670">
        <f>IF($A670="","",IF($E670="","",--(COUNTIF($E$5:$E670,$E670)=1)))</f>
        <v>1</v>
      </c>
      <c r="R670">
        <f>IF($A670="","",IF($Q670=1,COUNTIF($Q$5:$Q670,1),""))</f>
        <v>462</v>
      </c>
    </row>
    <row r="671" spans="1:18">
      <c r="A671" t="s">
        <v>2816</v>
      </c>
      <c r="B671" t="s">
        <v>2627</v>
      </c>
      <c r="C671">
        <v>4</v>
      </c>
      <c r="D671" t="s">
        <v>2817</v>
      </c>
      <c r="E671" t="s">
        <v>2818</v>
      </c>
      <c r="F671">
        <f>'01_入力仕様'!D297</f>
        <v>0</v>
      </c>
      <c r="G671" t="s">
        <v>415</v>
      </c>
      <c r="I671" t="s">
        <v>1482</v>
      </c>
      <c r="J671">
        <f>0</f>
        <v>0</v>
      </c>
      <c r="K671">
        <f>K572*J671</f>
        <v>0</v>
      </c>
      <c r="M671" t="s">
        <v>2595</v>
      </c>
      <c r="N671" t="s">
        <v>2819</v>
      </c>
      <c r="O671">
        <f t="shared" si="72"/>
        <v>1</v>
      </c>
      <c r="Q671">
        <f>IF($A671="","",IF($E671="","",--(COUNTIF($E$5:$E671,$E671)=1)))</f>
        <v>1</v>
      </c>
      <c r="R671">
        <f>IF($A671="","",IF($Q671=1,COUNTIF($Q$5:$Q671,1),""))</f>
        <v>463</v>
      </c>
    </row>
    <row r="672" spans="1:18">
      <c r="A672" t="s">
        <v>2820</v>
      </c>
      <c r="B672" t="s">
        <v>1787</v>
      </c>
      <c r="C672">
        <v>3</v>
      </c>
      <c r="D672" t="s">
        <v>2821</v>
      </c>
      <c r="E672" t="s">
        <v>1445</v>
      </c>
      <c r="F672">
        <f>F673*F674</f>
        <v>0</v>
      </c>
      <c r="G672" t="s">
        <v>229</v>
      </c>
      <c r="H672">
        <f t="shared" ref="H672:H679" si="74">ABS(K672)*$F$5</f>
        <v>0</v>
      </c>
      <c r="I672" t="s">
        <v>2822</v>
      </c>
      <c r="J672">
        <f>IFERROR(F672/F365,0)</f>
        <v>0</v>
      </c>
      <c r="K672">
        <f>K365*J672</f>
        <v>0</v>
      </c>
      <c r="L672" t="str">
        <f t="shared" ref="L672:L679" si="75">IF(K672&gt;0,"増加→総重量増",IF(K672&lt;0,"増加→総重量減","中立"))</f>
        <v>中立</v>
      </c>
      <c r="M672" t="s">
        <v>1474</v>
      </c>
      <c r="N672" t="s">
        <v>2823</v>
      </c>
      <c r="O672">
        <f t="shared" si="72"/>
        <v>0</v>
      </c>
      <c r="Q672">
        <f>IF(E672="","",--(MATCH(E672,$E$5:E672,0)=ROWS($E$5:E672)))</f>
        <v>1</v>
      </c>
      <c r="R672">
        <f>IF(Q672=1,MAX($R$5:R671)+1,"")</f>
        <v>464</v>
      </c>
    </row>
    <row r="673" spans="1:18">
      <c r="A673" t="s">
        <v>2824</v>
      </c>
      <c r="B673" t="s">
        <v>2820</v>
      </c>
      <c r="C673">
        <v>4</v>
      </c>
      <c r="D673" t="s">
        <v>1439</v>
      </c>
      <c r="E673" t="s">
        <v>1440</v>
      </c>
      <c r="F673">
        <f>'01_入力仕様'!D350</f>
        <v>0</v>
      </c>
      <c r="G673" t="s">
        <v>415</v>
      </c>
      <c r="H673">
        <f t="shared" si="74"/>
        <v>0</v>
      </c>
      <c r="I673" t="s">
        <v>1482</v>
      </c>
      <c r="J673">
        <f>0</f>
        <v>0</v>
      </c>
      <c r="K673">
        <f>K672*J673</f>
        <v>0</v>
      </c>
      <c r="L673" t="str">
        <f t="shared" si="75"/>
        <v>中立</v>
      </c>
      <c r="M673" t="s">
        <v>1474</v>
      </c>
      <c r="N673" t="s">
        <v>2825</v>
      </c>
      <c r="O673">
        <f t="shared" si="72"/>
        <v>1</v>
      </c>
      <c r="Q673">
        <f>IF(E673="","",--(MATCH(E673,$E$5:E673,0)=ROWS($E$5:E673)))</f>
        <v>1</v>
      </c>
      <c r="R673">
        <f>IF(Q673=1,MAX($R$5:R672)+1,"")</f>
        <v>465</v>
      </c>
    </row>
    <row r="674" spans="1:18">
      <c r="A674" t="s">
        <v>2826</v>
      </c>
      <c r="B674" t="s">
        <v>2820</v>
      </c>
      <c r="C674">
        <v>4</v>
      </c>
      <c r="D674" t="s">
        <v>1443</v>
      </c>
      <c r="E674" t="s">
        <v>1444</v>
      </c>
      <c r="F674">
        <f>'01_入力仕様'!D351</f>
        <v>0.05</v>
      </c>
      <c r="G674" t="s">
        <v>229</v>
      </c>
      <c r="H674">
        <f t="shared" si="74"/>
        <v>0</v>
      </c>
      <c r="I674" t="s">
        <v>1482</v>
      </c>
      <c r="J674">
        <f>IF(F673=1,1,0)</f>
        <v>0</v>
      </c>
      <c r="K674">
        <f>K672*J674</f>
        <v>0</v>
      </c>
      <c r="L674" t="str">
        <f t="shared" si="75"/>
        <v>中立</v>
      </c>
      <c r="M674" t="s">
        <v>1474</v>
      </c>
      <c r="N674" t="s">
        <v>2827</v>
      </c>
      <c r="O674">
        <f t="shared" si="72"/>
        <v>1</v>
      </c>
      <c r="Q674">
        <f>IF(E674="","",--(MATCH(E674,$E$5:E674,0)=ROWS($E$5:E674)))</f>
        <v>1</v>
      </c>
      <c r="R674">
        <f>IF(Q674=1,MAX($R$5:R673)+1,"")</f>
        <v>466</v>
      </c>
    </row>
    <row r="675" spans="1:18">
      <c r="A675" t="s">
        <v>2828</v>
      </c>
      <c r="B675" t="s">
        <v>1553</v>
      </c>
      <c r="C675">
        <v>4</v>
      </c>
      <c r="D675" t="s">
        <v>2829</v>
      </c>
      <c r="E675" t="s">
        <v>1449</v>
      </c>
      <c r="F675">
        <f>F676*F677</f>
        <v>0</v>
      </c>
      <c r="G675" t="s">
        <v>984</v>
      </c>
      <c r="H675">
        <f t="shared" si="74"/>
        <v>0</v>
      </c>
      <c r="I675" t="s">
        <v>2830</v>
      </c>
      <c r="J675">
        <f>IFERROR(F675/(F38+F444+F471+F479+F488+F504+F516+F534+F569+F595+F675),0)</f>
        <v>0</v>
      </c>
      <c r="K675">
        <f>K36*J675</f>
        <v>0</v>
      </c>
      <c r="L675" t="str">
        <f t="shared" si="75"/>
        <v>中立</v>
      </c>
      <c r="M675" t="s">
        <v>1474</v>
      </c>
      <c r="N675" t="s">
        <v>2831</v>
      </c>
      <c r="O675">
        <f t="shared" si="72"/>
        <v>0</v>
      </c>
      <c r="Q675">
        <f>IF(E675="","",--(MATCH(E675,$E$5:E675,0)=ROWS($E$5:E675)))</f>
        <v>1</v>
      </c>
      <c r="R675">
        <f>IF(Q675=1,MAX($R$5:R674)+1,"")</f>
        <v>467</v>
      </c>
    </row>
    <row r="676" spans="1:18">
      <c r="A676" t="s">
        <v>2832</v>
      </c>
      <c r="B676" t="s">
        <v>2828</v>
      </c>
      <c r="C676">
        <v>5</v>
      </c>
      <c r="D676" t="s">
        <v>2833</v>
      </c>
      <c r="E676" t="s">
        <v>1440</v>
      </c>
      <c r="F676">
        <f>'01_入力仕様'!D350</f>
        <v>0</v>
      </c>
      <c r="G676" t="s">
        <v>415</v>
      </c>
      <c r="H676">
        <f t="shared" si="74"/>
        <v>0</v>
      </c>
      <c r="I676" t="s">
        <v>1482</v>
      </c>
      <c r="J676">
        <f>0</f>
        <v>0</v>
      </c>
      <c r="K676">
        <f>K675*J676</f>
        <v>0</v>
      </c>
      <c r="L676" t="str">
        <f t="shared" si="75"/>
        <v>中立</v>
      </c>
      <c r="M676" t="s">
        <v>1474</v>
      </c>
      <c r="N676" t="s">
        <v>2834</v>
      </c>
      <c r="O676">
        <f t="shared" si="72"/>
        <v>1</v>
      </c>
      <c r="Q676">
        <f>IF(E676="","",--(MATCH(E676,$E$5:E676,0)=ROWS($E$5:E676)))</f>
        <v>0</v>
      </c>
      <c r="R676" t="str">
        <f>IF(Q676=1,MAX($R$5:R675)+1,"")</f>
        <v/>
      </c>
    </row>
    <row r="677" spans="1:18">
      <c r="A677" t="s">
        <v>2835</v>
      </c>
      <c r="B677" t="s">
        <v>2828</v>
      </c>
      <c r="C677">
        <v>5</v>
      </c>
      <c r="D677" t="s">
        <v>1447</v>
      </c>
      <c r="E677" t="s">
        <v>1448</v>
      </c>
      <c r="F677">
        <f>'01_入力仕様'!D352</f>
        <v>50</v>
      </c>
      <c r="G677" t="s">
        <v>984</v>
      </c>
      <c r="H677">
        <f t="shared" si="74"/>
        <v>0</v>
      </c>
      <c r="I677" t="s">
        <v>1482</v>
      </c>
      <c r="J677">
        <f>IF(F676=1,1,0)</f>
        <v>0</v>
      </c>
      <c r="K677">
        <f>K675*J677</f>
        <v>0</v>
      </c>
      <c r="L677" t="str">
        <f t="shared" si="75"/>
        <v>中立</v>
      </c>
      <c r="M677" t="s">
        <v>1474</v>
      </c>
      <c r="N677" t="s">
        <v>2836</v>
      </c>
      <c r="O677">
        <f t="shared" si="72"/>
        <v>1</v>
      </c>
      <c r="Q677">
        <f>IF(E677="","",--(MATCH(E677,$E$5:E677,0)=ROWS($E$5:E677)))</f>
        <v>1</v>
      </c>
      <c r="R677">
        <f>IF(Q677=1,MAX($R$5:R676)+1,"")</f>
        <v>468</v>
      </c>
    </row>
    <row r="678" spans="1:18">
      <c r="A678" t="s">
        <v>2837</v>
      </c>
      <c r="B678" t="s">
        <v>2661</v>
      </c>
      <c r="C678">
        <v>5</v>
      </c>
      <c r="D678" t="s">
        <v>2838</v>
      </c>
      <c r="E678" t="s">
        <v>1733</v>
      </c>
      <c r="F678">
        <f>'01_入力仕様'!D5*1000/('01_入力仕様'!D6*'01_入力仕様'!D9)</f>
        <v>128.86597938144331</v>
      </c>
      <c r="G678" t="s">
        <v>808</v>
      </c>
      <c r="H678">
        <f t="shared" si="74"/>
        <v>0</v>
      </c>
      <c r="I678" t="s">
        <v>2648</v>
      </c>
      <c r="J678">
        <f>IF(F595=0,0,2*F587*(1-F588)*F678^2*F596/F595)</f>
        <v>0</v>
      </c>
      <c r="K678">
        <f>K595*J678</f>
        <v>0</v>
      </c>
      <c r="L678" t="str">
        <f t="shared" si="75"/>
        <v>中立</v>
      </c>
      <c r="M678" t="s">
        <v>1474</v>
      </c>
      <c r="N678" t="s">
        <v>2839</v>
      </c>
      <c r="O678">
        <f t="shared" si="72"/>
        <v>1</v>
      </c>
      <c r="Q678">
        <f>IF(E678="","",--(MATCH(E678,$E$5:E678,0)=ROWS($E$5:E678)))</f>
        <v>0</v>
      </c>
      <c r="R678" t="str">
        <f>IF(Q678=1,MAX($R$5:R677)+1,"")</f>
        <v/>
      </c>
    </row>
    <row r="679" spans="1:18">
      <c r="A679" t="s">
        <v>2840</v>
      </c>
      <c r="B679" t="s">
        <v>2684</v>
      </c>
      <c r="C679">
        <v>7</v>
      </c>
      <c r="D679" t="s">
        <v>2841</v>
      </c>
      <c r="E679" t="s">
        <v>1733</v>
      </c>
      <c r="F679">
        <f>'01_入力仕様'!D5*1000/('01_入力仕様'!D6*'01_入力仕様'!D9)</f>
        <v>128.86597938144331</v>
      </c>
      <c r="G679" t="s">
        <v>808</v>
      </c>
      <c r="H679">
        <f t="shared" si="74"/>
        <v>0</v>
      </c>
      <c r="I679" t="s">
        <v>2648</v>
      </c>
      <c r="J679">
        <f>IF(F597=0,0,1)</f>
        <v>0</v>
      </c>
      <c r="K679">
        <f>K597*J679</f>
        <v>0</v>
      </c>
      <c r="L679" t="str">
        <f t="shared" si="75"/>
        <v>中立</v>
      </c>
      <c r="M679" t="s">
        <v>1474</v>
      </c>
      <c r="N679" t="s">
        <v>2842</v>
      </c>
      <c r="O679">
        <f t="shared" si="72"/>
        <v>1</v>
      </c>
      <c r="Q679">
        <f>IF(E679="","",--(MATCH(E679,$E$5:E679,0)=ROWS($E$5:E679)))</f>
        <v>0</v>
      </c>
      <c r="R679" t="str">
        <f>IF(Q679=1,MAX($R$5:R678)+1,"")</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04"/>
  <sheetViews>
    <sheetView workbookViewId="0"/>
  </sheetViews>
  <sheetFormatPr defaultRowHeight="14.25"/>
  <cols>
    <col min="1" max="1" width="28" customWidth="1"/>
    <col min="2" max="4" width="16" customWidth="1"/>
    <col min="5" max="6" width="14" customWidth="1"/>
    <col min="7" max="7" width="11" customWidth="1"/>
    <col min="8" max="12" width="3" customWidth="1"/>
  </cols>
  <sheetData>
    <row r="1" spans="1:12" ht="20.25">
      <c r="A1" s="2" t="s">
        <v>2843</v>
      </c>
      <c r="B1" s="2"/>
      <c r="C1" s="2"/>
      <c r="D1" s="2"/>
      <c r="E1" s="2"/>
      <c r="F1" s="2"/>
      <c r="G1" s="2"/>
      <c r="H1" s="2"/>
      <c r="I1" s="2"/>
      <c r="J1" s="2"/>
      <c r="K1" s="2"/>
      <c r="L1" s="2"/>
    </row>
    <row r="2" spans="1:12">
      <c r="A2" t="s">
        <v>2844</v>
      </c>
    </row>
    <row r="10" spans="1:12" ht="30">
      <c r="A10" s="3" t="s">
        <v>50</v>
      </c>
      <c r="B10" s="3" t="s">
        <v>2845</v>
      </c>
      <c r="C10" s="3" t="s">
        <v>2846</v>
      </c>
      <c r="D10" s="3" t="s">
        <v>2847</v>
      </c>
      <c r="E10" s="3" t="s">
        <v>2848</v>
      </c>
      <c r="F10" s="3" t="s">
        <v>2849</v>
      </c>
      <c r="G10" s="5" t="s">
        <v>2850</v>
      </c>
      <c r="H10" s="4"/>
      <c r="I10" s="4"/>
      <c r="J10" s="4"/>
      <c r="K10" s="4"/>
      <c r="L10" s="4"/>
    </row>
    <row r="11" spans="1:12">
      <c r="A11" s="1" t="str">
        <f>IFERROR(INDEX('02_ツリー'!$E$5:$E$679,MATCH(ROW()-10,'02_ツリー'!$R$5:$R$679,0)),"")</f>
        <v>M_inv</v>
      </c>
      <c r="B11" s="1">
        <f>IF($A11="","",SUMIFS('02_ツリー'!$K$5:$K$679,'02_ツリー'!$E$5:$E$679,$A11,'02_ツリー'!$K$5:$K$679,"&gt;0"))</f>
        <v>1</v>
      </c>
      <c r="C11" s="1">
        <f>IF($A11="","",SUMIFS('02_ツリー'!$K$5:$K$679,'02_ツリー'!$E$5:$E$679,$A11,'02_ツリー'!$K$5:$K$679,"&lt;0"))</f>
        <v>0</v>
      </c>
      <c r="D11" s="1">
        <f t="shared" ref="D11:D74" si="0">IF($A11="","",B11+C11)</f>
        <v>1</v>
      </c>
      <c r="E11" s="1">
        <f>IF($A11="","",--(COUNTIFS('02_ツリー'!$E$5:$E$679,$A11,'02_ツリー'!$O$5:$O$679,0)=0))</f>
        <v>0</v>
      </c>
      <c r="F11" s="1">
        <f t="shared" ref="F11:F74" si="1">IF($A11="","",--AND(B11&gt;0,C11&lt;0))</f>
        <v>0</v>
      </c>
      <c r="G11" s="1">
        <f t="shared" ref="G11:G74" si="2">IF($A11="","",--(LEFT(A11,7)="Enable_"))</f>
        <v>0</v>
      </c>
      <c r="H11" s="1"/>
      <c r="I11" s="1"/>
      <c r="J11" s="1"/>
      <c r="K11" s="1"/>
      <c r="L11" s="1"/>
    </row>
    <row r="12" spans="1:12">
      <c r="A12" s="1" t="str">
        <f>IFERROR(INDEX('02_ツリー'!$E$5:$E$679,MATCH(ROW()-10,'02_ツリー'!$R$5:$R$679,0)),"")</f>
        <v>M_semi</v>
      </c>
      <c r="B12" s="1">
        <f>IF($A12="","",SUMIFS('02_ツリー'!$K$5:$K$679,'02_ツリー'!$E$5:$E$679,$A12,'02_ツリー'!$K$5:$K$679,"&gt;0"))</f>
        <v>0.13241079840277842</v>
      </c>
      <c r="C12" s="1">
        <f>IF($A12="","",SUMIFS('02_ツリー'!$K$5:$K$679,'02_ツリー'!$E$5:$E$679,$A12,'02_ツリー'!$K$5:$K$679,"&lt;0"))</f>
        <v>0</v>
      </c>
      <c r="D12" s="1">
        <f t="shared" si="0"/>
        <v>0.13241079840277842</v>
      </c>
      <c r="E12" s="1">
        <f>IF($A12="","",--(COUNTIFS('02_ツリー'!$E$5:$E$679,$A12,'02_ツリー'!$O$5:$O$679,0)=0))</f>
        <v>0</v>
      </c>
      <c r="F12" s="1">
        <f t="shared" si="1"/>
        <v>0</v>
      </c>
      <c r="G12" s="1">
        <f t="shared" si="2"/>
        <v>0</v>
      </c>
      <c r="H12" s="1"/>
      <c r="I12" s="1"/>
      <c r="J12" s="1"/>
      <c r="K12" s="1"/>
      <c r="L12" s="1"/>
    </row>
    <row r="13" spans="1:12">
      <c r="A13" s="1" t="str">
        <f>IFERROR(INDEX('02_ツリー'!$E$5:$E$679,MATCH(ROW()-10,'02_ツリー'!$R$5:$R$679,0)),"")</f>
        <v>N_power_device_total</v>
      </c>
      <c r="B13" s="1">
        <f>IF($A13="","",SUMIFS('02_ツリー'!$K$5:$K$679,'02_ツリー'!$E$5:$E$679,$A13,'02_ツリー'!$K$5:$K$679,"&gt;0"))</f>
        <v>0.13241079840277842</v>
      </c>
      <c r="C13" s="1">
        <f>IF($A13="","",SUMIFS('02_ツリー'!$K$5:$K$679,'02_ツリー'!$E$5:$E$679,$A13,'02_ツリー'!$K$5:$K$679,"&lt;0"))</f>
        <v>0</v>
      </c>
      <c r="D13" s="1">
        <f t="shared" si="0"/>
        <v>0.13241079840277842</v>
      </c>
      <c r="E13" s="1">
        <f>IF($A13="","",--(COUNTIFS('02_ツリー'!$E$5:$E$679,$A13,'02_ツリー'!$O$5:$O$679,0)=0))</f>
        <v>1</v>
      </c>
      <c r="F13" s="1">
        <f t="shared" si="1"/>
        <v>0</v>
      </c>
      <c r="G13" s="1">
        <f t="shared" si="2"/>
        <v>0</v>
      </c>
      <c r="H13" s="1"/>
      <c r="I13" s="1"/>
      <c r="J13" s="1"/>
      <c r="K13" s="1"/>
      <c r="L13" s="1"/>
    </row>
    <row r="14" spans="1:12">
      <c r="A14" s="1" t="str">
        <f>IFERROR(INDEX('02_ツリー'!$E$5:$E$679,MATCH(ROW()-10,'02_ツリー'!$R$5:$R$679,0)),"")</f>
        <v>m_mod</v>
      </c>
      <c r="B14" s="1">
        <f>IF($A14="","",SUMIFS('02_ツリー'!$K$5:$K$679,'02_ツリー'!$E$5:$E$679,$A14,'02_ツリー'!$K$5:$K$679,"&gt;0"))</f>
        <v>8.1759878937024827E-2</v>
      </c>
      <c r="C14" s="1">
        <f>IF($A14="","",SUMIFS('02_ツリー'!$K$5:$K$679,'02_ツリー'!$E$5:$E$679,$A14,'02_ツリー'!$K$5:$K$679,"&lt;0"))</f>
        <v>0</v>
      </c>
      <c r="D14" s="1">
        <f t="shared" si="0"/>
        <v>8.1759878937024827E-2</v>
      </c>
      <c r="E14" s="1">
        <f>IF($A14="","",--(COUNTIFS('02_ツリー'!$E$5:$E$679,$A14,'02_ツリー'!$O$5:$O$679,0)=0))</f>
        <v>0</v>
      </c>
      <c r="F14" s="1">
        <f t="shared" si="1"/>
        <v>0</v>
      </c>
      <c r="G14" s="1">
        <f t="shared" si="2"/>
        <v>0</v>
      </c>
      <c r="H14" s="1"/>
      <c r="I14" s="1"/>
      <c r="J14" s="1"/>
      <c r="K14" s="1"/>
      <c r="L14" s="1"/>
    </row>
    <row r="15" spans="1:12">
      <c r="A15" s="1" t="str">
        <f>IFERROR(INDEX('02_ツリー'!$E$5:$E$679,MATCH(ROW()-10,'02_ツリー'!$R$5:$R$679,0)),"")</f>
        <v>m_chip_mod</v>
      </c>
      <c r="B15" s="1">
        <f>IF($A15="","",SUMIFS('02_ツリー'!$K$5:$K$679,'02_ツリー'!$E$5:$E$679,$A15,'02_ツリー'!$K$5:$K$679,"&gt;0"))</f>
        <v>6.5908175569960757E-5</v>
      </c>
      <c r="C15" s="1">
        <f>IF($A15="","",SUMIFS('02_ツリー'!$K$5:$K$679,'02_ツリー'!$E$5:$E$679,$A15,'02_ツリー'!$K$5:$K$679,"&lt;0"))</f>
        <v>0</v>
      </c>
      <c r="D15" s="1">
        <f t="shared" si="0"/>
        <v>6.5908175569960757E-5</v>
      </c>
      <c r="E15" s="1">
        <f>IF($A15="","",--(COUNTIFS('02_ツリー'!$E$5:$E$679,$A15,'02_ツリー'!$O$5:$O$679,0)=0))</f>
        <v>0</v>
      </c>
      <c r="F15" s="1">
        <f t="shared" si="1"/>
        <v>0</v>
      </c>
      <c r="G15" s="1">
        <f t="shared" si="2"/>
        <v>0</v>
      </c>
      <c r="H15" s="1"/>
      <c r="I15" s="1"/>
      <c r="J15" s="1"/>
      <c r="K15" s="1"/>
      <c r="L15" s="1"/>
    </row>
    <row r="16" spans="1:12">
      <c r="A16" s="1" t="str">
        <f>IFERROR(INDEX('02_ツリー'!$E$5:$E$679,MATCH(ROW()-10,'02_ツリー'!$R$5:$R$679,0)),"")</f>
        <v>N_chip_mod</v>
      </c>
      <c r="B16" s="1">
        <f>IF($A16="","",SUMIFS('02_ツリー'!$K$5:$K$679,'02_ツリー'!$E$5:$E$679,$A16,'02_ツリー'!$K$5:$K$679,"&gt;0"))</f>
        <v>6.5908175569960757E-5</v>
      </c>
      <c r="C16" s="1">
        <f>IF($A16="","",SUMIFS('02_ツリー'!$K$5:$K$679,'02_ツリー'!$E$5:$E$679,$A16,'02_ツリー'!$K$5:$K$679,"&lt;0"))</f>
        <v>0</v>
      </c>
      <c r="D16" s="1">
        <f t="shared" si="0"/>
        <v>6.5908175569960757E-5</v>
      </c>
      <c r="E16" s="1">
        <f>IF($A16="","",--(COUNTIFS('02_ツリー'!$E$5:$E$679,$A16,'02_ツリー'!$O$5:$O$679,0)=0))</f>
        <v>0</v>
      </c>
      <c r="F16" s="1">
        <f t="shared" si="1"/>
        <v>0</v>
      </c>
      <c r="G16" s="1">
        <f t="shared" si="2"/>
        <v>0</v>
      </c>
      <c r="H16" s="1"/>
      <c r="I16" s="1"/>
      <c r="J16" s="1"/>
      <c r="K16" s="1"/>
      <c r="L16" s="1"/>
    </row>
    <row r="17" spans="1:12">
      <c r="A17" s="1" t="str">
        <f>IFERROR(INDEX('02_ツリー'!$E$5:$E$679,MATCH(ROW()-10,'02_ツリー'!$R$5:$R$679,0)),"")</f>
        <v>k_chip</v>
      </c>
      <c r="B17" s="1">
        <f>IF($A17="","",SUMIFS('02_ツリー'!$K$5:$K$679,'02_ツリー'!$E$5:$E$679,$A17,'02_ツリー'!$K$5:$K$679,"&gt;0"))</f>
        <v>6.5908175569960757E-5</v>
      </c>
      <c r="C17" s="1">
        <f>IF($A17="","",SUMIFS('02_ツリー'!$K$5:$K$679,'02_ツリー'!$E$5:$E$679,$A17,'02_ツリー'!$K$5:$K$679,"&lt;0"))</f>
        <v>0</v>
      </c>
      <c r="D17" s="1">
        <f t="shared" si="0"/>
        <v>6.5908175569960757E-5</v>
      </c>
      <c r="E17" s="1">
        <f>IF($A17="","",--(COUNTIFS('02_ツリー'!$E$5:$E$679,$A17,'02_ツリー'!$O$5:$O$679,0)=0))</f>
        <v>1</v>
      </c>
      <c r="F17" s="1">
        <f t="shared" si="1"/>
        <v>0</v>
      </c>
      <c r="G17" s="1">
        <f t="shared" si="2"/>
        <v>0</v>
      </c>
      <c r="H17" s="1"/>
      <c r="I17" s="1"/>
      <c r="J17" s="1"/>
      <c r="K17" s="1"/>
      <c r="L17" s="1"/>
    </row>
    <row r="18" spans="1:12">
      <c r="A18" s="1" t="str">
        <f>IFERROR(INDEX('02_ツリー'!$E$5:$E$679,MATCH(ROW()-10,'02_ツリー'!$R$5:$R$679,0)),"")</f>
        <v>I_phase</v>
      </c>
      <c r="B18" s="1">
        <f>IF($A18="","",SUMIFS('02_ツリー'!$K$5:$K$679,'02_ツリー'!$E$5:$E$679,$A18,'02_ツリー'!$K$5:$K$679,"&gt;0"))</f>
        <v>4.7694862378364719E-2</v>
      </c>
      <c r="C18" s="1">
        <f>IF($A18="","",SUMIFS('02_ツリー'!$K$5:$K$679,'02_ツリー'!$E$5:$E$679,$A18,'02_ツリー'!$K$5:$K$679,"&lt;0"))</f>
        <v>-1.8791044272456571E-2</v>
      </c>
      <c r="D18" s="1">
        <f t="shared" si="0"/>
        <v>2.8903818105908148E-2</v>
      </c>
      <c r="E18" s="1">
        <f>IF($A18="","",--(COUNTIFS('02_ツリー'!$E$5:$E$679,$A18,'02_ツリー'!$O$5:$O$679,0)=0))</f>
        <v>0</v>
      </c>
      <c r="F18" s="1">
        <f t="shared" si="1"/>
        <v>1</v>
      </c>
      <c r="G18" s="1">
        <f t="shared" si="2"/>
        <v>0</v>
      </c>
      <c r="H18" s="1"/>
      <c r="I18" s="1"/>
      <c r="J18" s="1"/>
      <c r="K18" s="1"/>
      <c r="L18" s="1"/>
    </row>
    <row r="19" spans="1:12">
      <c r="A19" s="1" t="str">
        <f>IFERROR(INDEX('02_ツリー'!$E$5:$E$679,MATCH(ROW()-10,'02_ツリー'!$R$5:$R$679,0)),"")</f>
        <v>V_ll</v>
      </c>
      <c r="B19" s="1">
        <f>IF($A19="","",SUMIFS('02_ツリー'!$K$5:$K$679,'02_ツリー'!$E$5:$E$679,$A19,'02_ツリー'!$K$5:$K$679,"&gt;0"))</f>
        <v>1.8789803305213251E-2</v>
      </c>
      <c r="C19" s="1">
        <f>IF($A19="","",SUMIFS('02_ツリー'!$K$5:$K$679,'02_ツリー'!$E$5:$E$679,$A19,'02_ツリー'!$K$5:$K$679,"&lt;0"))</f>
        <v>-4.7666743215443536E-2</v>
      </c>
      <c r="D19" s="1">
        <f t="shared" si="0"/>
        <v>-2.8876939910230284E-2</v>
      </c>
      <c r="E19" s="1">
        <f>IF($A19="","",--(COUNTIFS('02_ツリー'!$E$5:$E$679,$A19,'02_ツリー'!$O$5:$O$679,0)=0))</f>
        <v>1</v>
      </c>
      <c r="F19" s="1">
        <f t="shared" si="1"/>
        <v>1</v>
      </c>
      <c r="G19" s="1">
        <f t="shared" si="2"/>
        <v>0</v>
      </c>
      <c r="H19" s="1"/>
      <c r="I19" s="1"/>
      <c r="J19" s="1"/>
      <c r="K19" s="1"/>
      <c r="L19" s="1"/>
    </row>
    <row r="20" spans="1:12">
      <c r="A20" s="1" t="str">
        <f>IFERROR(INDEX('02_ツリー'!$E$5:$E$679,MATCH(ROW()-10,'02_ツリー'!$R$5:$R$679,0)),"")</f>
        <v>PF</v>
      </c>
      <c r="B20" s="1">
        <f>IF($A20="","",SUMIFS('02_ツリー'!$K$5:$K$679,'02_ツリー'!$E$5:$E$679,$A20,'02_ツリー'!$K$5:$K$679,"&gt;0"))</f>
        <v>1.8789803305213251E-2</v>
      </c>
      <c r="C20" s="1">
        <f>IF($A20="","",SUMIFS('02_ツリー'!$K$5:$K$679,'02_ツリー'!$E$5:$E$679,$A20,'02_ツリー'!$K$5:$K$679,"&lt;0"))</f>
        <v>-4.7666743215443536E-2</v>
      </c>
      <c r="D20" s="1">
        <f t="shared" si="0"/>
        <v>-2.8876939910230284E-2</v>
      </c>
      <c r="E20" s="1">
        <f>IF($A20="","",--(COUNTIFS('02_ツリー'!$E$5:$E$679,$A20,'02_ツリー'!$O$5:$O$679,0)=0))</f>
        <v>1</v>
      </c>
      <c r="F20" s="1">
        <f t="shared" si="1"/>
        <v>1</v>
      </c>
      <c r="G20" s="1">
        <f t="shared" si="2"/>
        <v>0</v>
      </c>
      <c r="H20" s="1"/>
      <c r="I20" s="1"/>
      <c r="J20" s="1"/>
      <c r="K20" s="1"/>
      <c r="L20" s="1"/>
    </row>
    <row r="21" spans="1:12">
      <c r="A21" s="1" t="str">
        <f>IFERROR(INDEX('02_ツリー'!$E$5:$E$679,MATCH(ROW()-10,'02_ツリー'!$R$5:$R$679,0)),"")</f>
        <v>eta</v>
      </c>
      <c r="B21" s="1">
        <f>IF($A21="","",SUMIFS('02_ツリー'!$K$5:$K$679,'02_ツリー'!$E$5:$E$679,$A21,'02_ツリー'!$K$5:$K$679,"&gt;0"))</f>
        <v>1.8789803305213251E-2</v>
      </c>
      <c r="C21" s="1">
        <f>IF($A21="","",SUMIFS('02_ツリー'!$K$5:$K$679,'02_ツリー'!$E$5:$E$679,$A21,'02_ツリー'!$K$5:$K$679,"&lt;0"))</f>
        <v>-0.11339109782117739</v>
      </c>
      <c r="D21" s="1">
        <f t="shared" si="0"/>
        <v>-9.4601294515964135E-2</v>
      </c>
      <c r="E21" s="1">
        <f>IF($A21="","",--(COUNTIFS('02_ツリー'!$E$5:$E$679,$A21,'02_ツリー'!$O$5:$O$679,0)=0))</f>
        <v>1</v>
      </c>
      <c r="F21" s="1">
        <f t="shared" si="1"/>
        <v>1</v>
      </c>
      <c r="G21" s="1">
        <f t="shared" si="2"/>
        <v>0</v>
      </c>
      <c r="H21" s="1"/>
      <c r="I21" s="1"/>
      <c r="J21" s="1"/>
      <c r="K21" s="1"/>
      <c r="L21" s="1"/>
    </row>
    <row r="22" spans="1:12">
      <c r="A22" s="1" t="str">
        <f>IFERROR(INDEX('02_ツリー'!$E$5:$E$679,MATCH(ROW()-10,'02_ツリー'!$R$5:$R$679,0)),"")</f>
        <v>I_chip</v>
      </c>
      <c r="B22" s="1">
        <f>IF($A22="","",SUMIFS('02_ツリー'!$K$5:$K$679,'02_ツリー'!$E$5:$E$679,$A22,'02_ツリー'!$K$5:$K$679,"&gt;0"))</f>
        <v>0</v>
      </c>
      <c r="C22" s="1">
        <f>IF($A22="","",SUMIFS('02_ツリー'!$K$5:$K$679,'02_ツリー'!$E$5:$E$679,$A22,'02_ツリー'!$K$5:$K$679,"&lt;0"))</f>
        <v>-6.5908175569960757E-5</v>
      </c>
      <c r="D22" s="1">
        <f t="shared" si="0"/>
        <v>-6.5908175569960757E-5</v>
      </c>
      <c r="E22" s="1">
        <f>IF($A22="","",--(COUNTIFS('02_ツリー'!$E$5:$E$679,$A22,'02_ツリー'!$O$5:$O$679,0)=0))</f>
        <v>0</v>
      </c>
      <c r="F22" s="1">
        <f t="shared" si="1"/>
        <v>0</v>
      </c>
      <c r="G22" s="1">
        <f t="shared" si="2"/>
        <v>0</v>
      </c>
      <c r="H22" s="1"/>
      <c r="I22" s="1"/>
      <c r="J22" s="1"/>
      <c r="K22" s="1"/>
      <c r="L22" s="1"/>
    </row>
    <row r="23" spans="1:12">
      <c r="A23" s="1" t="str">
        <f>IFERROR(INDEX('02_ツリー'!$E$5:$E$679,MATCH(ROW()-10,'02_ツリー'!$R$5:$R$679,0)),"")</f>
        <v>J_chip_eff</v>
      </c>
      <c r="B23" s="1">
        <f>IF($A23="","",SUMIFS('02_ツリー'!$K$5:$K$679,'02_ツリー'!$E$5:$E$679,$A23,'02_ツリー'!$K$5:$K$679,"&gt;0"))</f>
        <v>0</v>
      </c>
      <c r="C23" s="1">
        <f>IF($A23="","",SUMIFS('02_ツリー'!$K$5:$K$679,'02_ツリー'!$E$5:$E$679,$A23,'02_ツリー'!$K$5:$K$679,"&lt;0"))</f>
        <v>-6.5908175569960757E-5</v>
      </c>
      <c r="D23" s="1">
        <f t="shared" si="0"/>
        <v>-6.5908175569960757E-5</v>
      </c>
      <c r="E23" s="1">
        <f>IF($A23="","",--(COUNTIFS('02_ツリー'!$E$5:$E$679,$A23,'02_ツリー'!$O$5:$O$679,0)=0))</f>
        <v>0</v>
      </c>
      <c r="F23" s="1">
        <f t="shared" si="1"/>
        <v>0</v>
      </c>
      <c r="G23" s="1">
        <f t="shared" si="2"/>
        <v>0</v>
      </c>
      <c r="H23" s="1"/>
      <c r="I23" s="1"/>
      <c r="J23" s="1"/>
      <c r="K23" s="1"/>
      <c r="L23" s="1"/>
    </row>
    <row r="24" spans="1:12">
      <c r="A24" s="1" t="str">
        <f>IFERROR(INDEX('02_ツリー'!$E$5:$E$679,MATCH(ROW()-10,'02_ツリー'!$R$5:$R$679,0)),"")</f>
        <v>A_active</v>
      </c>
      <c r="B24" s="1">
        <f>IF($A24="","",SUMIFS('02_ツリー'!$K$5:$K$679,'02_ツリー'!$E$5:$E$679,$A24,'02_ツリー'!$K$5:$K$679,"&gt;0"))</f>
        <v>0</v>
      </c>
      <c r="C24" s="1">
        <f>IF($A24="","",SUMIFS('02_ツリー'!$K$5:$K$679,'02_ツリー'!$E$5:$E$679,$A24,'02_ツリー'!$K$5:$K$679,"&lt;0"))</f>
        <v>-6.5908175569960757E-5</v>
      </c>
      <c r="D24" s="1">
        <f t="shared" si="0"/>
        <v>-6.5908175569960757E-5</v>
      </c>
      <c r="E24" s="1">
        <f>IF($A24="","",--(COUNTIFS('02_ツリー'!$E$5:$E$679,$A24,'02_ツリー'!$O$5:$O$679,0)=0))</f>
        <v>0</v>
      </c>
      <c r="F24" s="1">
        <f t="shared" si="1"/>
        <v>0</v>
      </c>
      <c r="G24" s="1">
        <f t="shared" si="2"/>
        <v>0</v>
      </c>
      <c r="H24" s="1"/>
      <c r="I24" s="1"/>
      <c r="J24" s="1"/>
      <c r="K24" s="1"/>
      <c r="L24" s="1"/>
    </row>
    <row r="25" spans="1:12">
      <c r="A25" s="1" t="str">
        <f>IFERROR(INDEX('02_ツリー'!$E$5:$E$679,MATCH(ROW()-10,'02_ツリー'!$R$5:$R$679,0)),"")</f>
        <v>k_active</v>
      </c>
      <c r="B25" s="1">
        <f>IF($A25="","",SUMIFS('02_ツリー'!$K$5:$K$679,'02_ツリー'!$E$5:$E$679,$A25,'02_ツリー'!$K$5:$K$679,"&gt;0"))</f>
        <v>0</v>
      </c>
      <c r="C25" s="1">
        <f>IF($A25="","",SUMIFS('02_ツリー'!$K$5:$K$679,'02_ツリー'!$E$5:$E$679,$A25,'02_ツリー'!$K$5:$K$679,"&lt;0"))</f>
        <v>-6.5908175569960757E-5</v>
      </c>
      <c r="D25" s="1">
        <f t="shared" si="0"/>
        <v>-6.5908175569960757E-5</v>
      </c>
      <c r="E25" s="1">
        <f>IF($A25="","",--(COUNTIFS('02_ツリー'!$E$5:$E$679,$A25,'02_ツリー'!$O$5:$O$679,0)=0))</f>
        <v>1</v>
      </c>
      <c r="F25" s="1">
        <f t="shared" si="1"/>
        <v>0</v>
      </c>
      <c r="G25" s="1">
        <f t="shared" si="2"/>
        <v>0</v>
      </c>
      <c r="H25" s="1"/>
      <c r="I25" s="1"/>
      <c r="J25" s="1"/>
      <c r="K25" s="1"/>
      <c r="L25" s="1"/>
    </row>
    <row r="26" spans="1:12">
      <c r="A26" s="1" t="str">
        <f>IFERROR(INDEX('02_ツリー'!$E$5:$E$679,MATCH(ROW()-10,'02_ツリー'!$R$5:$R$679,0)),"")</f>
        <v>A_chip</v>
      </c>
      <c r="B26" s="1">
        <f>IF($A26="","",SUMIFS('02_ツリー'!$K$5:$K$679,'02_ツリー'!$E$5:$E$679,$A26,'02_ツリー'!$K$5:$K$679,"&gt;0"))</f>
        <v>1.0298927102757563E-4</v>
      </c>
      <c r="C26" s="1">
        <f>IF($A26="","",SUMIFS('02_ツリー'!$K$5:$K$679,'02_ツリー'!$E$5:$E$679,$A26,'02_ツリー'!$K$5:$K$679,"&lt;0"))</f>
        <v>-8.8113021212737745E-5</v>
      </c>
      <c r="D26" s="1">
        <f t="shared" si="0"/>
        <v>1.4876249814837881E-5</v>
      </c>
      <c r="E26" s="1">
        <f>IF($A26="","",--(COUNTIFS('02_ツリー'!$E$5:$E$679,$A26,'02_ツリー'!$O$5:$O$679,0)=0))</f>
        <v>1</v>
      </c>
      <c r="F26" s="1">
        <f t="shared" si="1"/>
        <v>1</v>
      </c>
      <c r="G26" s="1">
        <f t="shared" si="2"/>
        <v>0</v>
      </c>
      <c r="H26" s="1"/>
      <c r="I26" s="1"/>
      <c r="J26" s="1"/>
      <c r="K26" s="1"/>
      <c r="L26" s="1"/>
    </row>
    <row r="27" spans="1:12">
      <c r="A27" s="1" t="str">
        <f>IFERROR(INDEX('02_ツリー'!$E$5:$E$679,MATCH(ROW()-10,'02_ツリー'!$R$5:$R$679,0)),"")</f>
        <v>m_chip</v>
      </c>
      <c r="B27" s="1">
        <f>IF($A27="","",SUMIFS('02_ツリー'!$K$5:$K$679,'02_ツリー'!$E$5:$E$679,$A27,'02_ツリー'!$K$5:$K$679,"&gt;0"))</f>
        <v>6.5908175569960757E-5</v>
      </c>
      <c r="C27" s="1">
        <f>IF($A27="","",SUMIFS('02_ツリー'!$K$5:$K$679,'02_ツリー'!$E$5:$E$679,$A27,'02_ツリー'!$K$5:$K$679,"&lt;0"))</f>
        <v>0</v>
      </c>
      <c r="D27" s="1">
        <f t="shared" si="0"/>
        <v>6.5908175569960757E-5</v>
      </c>
      <c r="E27" s="1">
        <f>IF($A27="","",--(COUNTIFS('02_ツリー'!$E$5:$E$679,$A27,'02_ツリー'!$O$5:$O$679,0)=0))</f>
        <v>0</v>
      </c>
      <c r="F27" s="1">
        <f t="shared" si="1"/>
        <v>0</v>
      </c>
      <c r="G27" s="1">
        <f t="shared" si="2"/>
        <v>0</v>
      </c>
      <c r="H27" s="1"/>
      <c r="I27" s="1"/>
      <c r="J27" s="1"/>
      <c r="K27" s="1"/>
      <c r="L27" s="1"/>
    </row>
    <row r="28" spans="1:12">
      <c r="A28" s="1" t="str">
        <f>IFERROR(INDEX('02_ツリー'!$E$5:$E$679,MATCH(ROW()-10,'02_ツリー'!$R$5:$R$679,0)),"")</f>
        <v>t_chip</v>
      </c>
      <c r="B28" s="1">
        <f>IF($A28="","",SUMIFS('02_ツリー'!$K$5:$K$679,'02_ツリー'!$E$5:$E$679,$A28,'02_ツリー'!$K$5:$K$679,"&gt;0"))</f>
        <v>6.5908175569960757E-5</v>
      </c>
      <c r="C28" s="1">
        <f>IF($A28="","",SUMIFS('02_ツリー'!$K$5:$K$679,'02_ツリー'!$E$5:$E$679,$A28,'02_ツリー'!$K$5:$K$679,"&lt;0"))</f>
        <v>0</v>
      </c>
      <c r="D28" s="1">
        <f t="shared" si="0"/>
        <v>6.5908175569960757E-5</v>
      </c>
      <c r="E28" s="1">
        <f>IF($A28="","",--(COUNTIFS('02_ツリー'!$E$5:$E$679,$A28,'02_ツリー'!$O$5:$O$679,0)=0))</f>
        <v>1</v>
      </c>
      <c r="F28" s="1">
        <f t="shared" si="1"/>
        <v>0</v>
      </c>
      <c r="G28" s="1">
        <f t="shared" si="2"/>
        <v>0</v>
      </c>
      <c r="H28" s="1"/>
      <c r="I28" s="1"/>
      <c r="J28" s="1"/>
      <c r="K28" s="1"/>
      <c r="L28" s="1"/>
    </row>
    <row r="29" spans="1:12">
      <c r="A29" s="1" t="str">
        <f>IFERROR(INDEX('02_ツリー'!$E$5:$E$679,MATCH(ROW()-10,'02_ツリー'!$R$5:$R$679,0)),"")</f>
        <v>rho_chip</v>
      </c>
      <c r="B29" s="1">
        <f>IF($A29="","",SUMIFS('02_ツリー'!$K$5:$K$679,'02_ツリー'!$E$5:$E$679,$A29,'02_ツリー'!$K$5:$K$679,"&gt;0"))</f>
        <v>6.5908175569960757E-5</v>
      </c>
      <c r="C29" s="1">
        <f>IF($A29="","",SUMIFS('02_ツリー'!$K$5:$K$679,'02_ツリー'!$E$5:$E$679,$A29,'02_ツリー'!$K$5:$K$679,"&lt;0"))</f>
        <v>0</v>
      </c>
      <c r="D29" s="1">
        <f t="shared" si="0"/>
        <v>6.5908175569960757E-5</v>
      </c>
      <c r="E29" s="1">
        <f>IF($A29="","",--(COUNTIFS('02_ツリー'!$E$5:$E$679,$A29,'02_ツリー'!$O$5:$O$679,0)=0))</f>
        <v>1</v>
      </c>
      <c r="F29" s="1">
        <f t="shared" si="1"/>
        <v>0</v>
      </c>
      <c r="G29" s="1">
        <f t="shared" si="2"/>
        <v>0</v>
      </c>
      <c r="H29" s="1"/>
      <c r="I29" s="1"/>
      <c r="J29" s="1"/>
      <c r="K29" s="1"/>
      <c r="L29" s="1"/>
    </row>
    <row r="30" spans="1:12">
      <c r="A30" s="1" t="str">
        <f>IFERROR(INDEX('02_ツリー'!$E$5:$E$679,MATCH(ROW()-10,'02_ツリー'!$R$5:$R$679,0)),"")</f>
        <v>m_dbc</v>
      </c>
      <c r="B30" s="1">
        <f>IF($A30="","",SUMIFS('02_ツリー'!$K$5:$K$679,'02_ツリー'!$E$5:$E$679,$A30,'02_ツリー'!$K$5:$K$679,"&gt;0"))</f>
        <v>1.3005535289382622E-2</v>
      </c>
      <c r="C30" s="1">
        <f>IF($A30="","",SUMIFS('02_ツリー'!$K$5:$K$679,'02_ツリー'!$E$5:$E$679,$A30,'02_ツリー'!$K$5:$K$679,"&lt;0"))</f>
        <v>0</v>
      </c>
      <c r="D30" s="1">
        <f t="shared" si="0"/>
        <v>1.3005535289382622E-2</v>
      </c>
      <c r="E30" s="1">
        <f>IF($A30="","",--(COUNTIFS('02_ツリー'!$E$5:$E$679,$A30,'02_ツリー'!$O$5:$O$679,0)=0))</f>
        <v>0</v>
      </c>
      <c r="F30" s="1">
        <f t="shared" si="1"/>
        <v>0</v>
      </c>
      <c r="G30" s="1">
        <f t="shared" si="2"/>
        <v>0</v>
      </c>
      <c r="H30" s="1"/>
      <c r="I30" s="1"/>
      <c r="J30" s="1"/>
      <c r="K30" s="1"/>
      <c r="L30" s="1"/>
    </row>
    <row r="31" spans="1:12">
      <c r="A31" s="1" t="str">
        <f>IFERROR(INDEX('02_ツリー'!$E$5:$E$679,MATCH(ROW()-10,'02_ツリー'!$R$5:$R$679,0)),"")</f>
        <v>A_dbc</v>
      </c>
      <c r="B31" s="1">
        <f>IF($A31="","",SUMIFS('02_ツリー'!$K$5:$K$679,'02_ツリー'!$E$5:$E$679,$A31,'02_ツリー'!$K$5:$K$679,"&gt;0"))</f>
        <v>1.3005535289382622E-2</v>
      </c>
      <c r="C31" s="1">
        <f>IF($A31="","",SUMIFS('02_ツリー'!$K$5:$K$679,'02_ツリー'!$E$5:$E$679,$A31,'02_ツリー'!$K$5:$K$679,"&lt;0"))</f>
        <v>0</v>
      </c>
      <c r="D31" s="1">
        <f t="shared" si="0"/>
        <v>1.3005535289382622E-2</v>
      </c>
      <c r="E31" s="1">
        <f>IF($A31="","",--(COUNTIFS('02_ツリー'!$E$5:$E$679,$A31,'02_ツリー'!$O$5:$O$679,0)=0))</f>
        <v>0</v>
      </c>
      <c r="F31" s="1">
        <f t="shared" si="1"/>
        <v>0</v>
      </c>
      <c r="G31" s="1">
        <f t="shared" si="2"/>
        <v>0</v>
      </c>
      <c r="H31" s="1"/>
      <c r="I31" s="1"/>
      <c r="J31" s="1"/>
      <c r="K31" s="1"/>
      <c r="L31" s="1"/>
    </row>
    <row r="32" spans="1:12">
      <c r="A32" s="1" t="str">
        <f>IFERROR(INDEX('02_ツリー'!$E$5:$E$679,MATCH(ROW()-10,'02_ツリー'!$R$5:$R$679,0)),"")</f>
        <v>t_dbc</v>
      </c>
      <c r="B32" s="1">
        <f>IF($A32="","",SUMIFS('02_ツリー'!$K$5:$K$679,'02_ツリー'!$E$5:$E$679,$A32,'02_ツリー'!$K$5:$K$679,"&gt;0"))</f>
        <v>1.3005535289382622E-2</v>
      </c>
      <c r="C32" s="1">
        <f>IF($A32="","",SUMIFS('02_ツリー'!$K$5:$K$679,'02_ツリー'!$E$5:$E$679,$A32,'02_ツリー'!$K$5:$K$679,"&lt;0"))</f>
        <v>-1.3005535289382622E-2</v>
      </c>
      <c r="D32" s="1">
        <f t="shared" si="0"/>
        <v>0</v>
      </c>
      <c r="E32" s="1">
        <f>IF($A32="","",--(COUNTIFS('02_ツリー'!$E$5:$E$679,$A32,'02_ツリー'!$O$5:$O$679,0)=0))</f>
        <v>0</v>
      </c>
      <c r="F32" s="1">
        <f t="shared" si="1"/>
        <v>1</v>
      </c>
      <c r="G32" s="1">
        <f t="shared" si="2"/>
        <v>0</v>
      </c>
      <c r="H32" s="1"/>
      <c r="I32" s="1"/>
      <c r="J32" s="1"/>
      <c r="K32" s="1"/>
      <c r="L32" s="1"/>
    </row>
    <row r="33" spans="1:12">
      <c r="A33" s="1" t="str">
        <f>IFERROR(INDEX('02_ツリー'!$E$5:$E$679,MATCH(ROW()-10,'02_ツリー'!$R$5:$R$679,0)),"")</f>
        <v>rho_dbc</v>
      </c>
      <c r="B33" s="1">
        <f>IF($A33="","",SUMIFS('02_ツリー'!$K$5:$K$679,'02_ツリー'!$E$5:$E$679,$A33,'02_ツリー'!$K$5:$K$679,"&gt;0"))</f>
        <v>1.3005535289382622E-2</v>
      </c>
      <c r="C33" s="1">
        <f>IF($A33="","",SUMIFS('02_ツリー'!$K$5:$K$679,'02_ツリー'!$E$5:$E$679,$A33,'02_ツリー'!$K$5:$K$679,"&lt;0"))</f>
        <v>0</v>
      </c>
      <c r="D33" s="1">
        <f t="shared" si="0"/>
        <v>1.3005535289382622E-2</v>
      </c>
      <c r="E33" s="1">
        <f>IF($A33="","",--(COUNTIFS('02_ツリー'!$E$5:$E$679,$A33,'02_ツリー'!$O$5:$O$679,0)=0))</f>
        <v>0</v>
      </c>
      <c r="F33" s="1">
        <f t="shared" si="1"/>
        <v>0</v>
      </c>
      <c r="G33" s="1">
        <f t="shared" si="2"/>
        <v>0</v>
      </c>
      <c r="H33" s="1"/>
      <c r="I33" s="1"/>
      <c r="J33" s="1"/>
      <c r="K33" s="1"/>
      <c r="L33" s="1"/>
    </row>
    <row r="34" spans="1:12">
      <c r="A34" s="1" t="str">
        <f>IFERROR(INDEX('02_ツリー'!$E$5:$E$679,MATCH(ROW()-10,'02_ツリー'!$R$5:$R$679,0)),"")</f>
        <v>m_base</v>
      </c>
      <c r="B34" s="1">
        <f>IF($A34="","",SUMIFS('02_ツリー'!$K$5:$K$679,'02_ツリー'!$E$5:$E$679,$A34,'02_ツリー'!$K$5:$K$679,"&gt;0"))</f>
        <v>3.2509207282248265E-2</v>
      </c>
      <c r="C34" s="1">
        <f>IF($A34="","",SUMIFS('02_ツリー'!$K$5:$K$679,'02_ツリー'!$E$5:$E$679,$A34,'02_ツリー'!$K$5:$K$679,"&lt;0"))</f>
        <v>0</v>
      </c>
      <c r="D34" s="1">
        <f t="shared" si="0"/>
        <v>3.2509207282248265E-2</v>
      </c>
      <c r="E34" s="1">
        <f>IF($A34="","",--(COUNTIFS('02_ツリー'!$E$5:$E$679,$A34,'02_ツリー'!$O$5:$O$679,0)=0))</f>
        <v>0</v>
      </c>
      <c r="F34" s="1">
        <f t="shared" si="1"/>
        <v>0</v>
      </c>
      <c r="G34" s="1">
        <f t="shared" si="2"/>
        <v>0</v>
      </c>
      <c r="H34" s="1"/>
      <c r="I34" s="1"/>
      <c r="J34" s="1"/>
      <c r="K34" s="1"/>
      <c r="L34" s="1"/>
    </row>
    <row r="35" spans="1:12">
      <c r="A35" s="1" t="str">
        <f>IFERROR(INDEX('02_ツリー'!$E$5:$E$679,MATCH(ROW()-10,'02_ツリー'!$R$5:$R$679,0)),"")</f>
        <v>A_base</v>
      </c>
      <c r="B35" s="1">
        <f>IF($A35="","",SUMIFS('02_ツリー'!$K$5:$K$679,'02_ツリー'!$E$5:$E$679,$A35,'02_ツリー'!$K$5:$K$679,"&gt;0"))</f>
        <v>3.2509207282248265E-2</v>
      </c>
      <c r="C35" s="1">
        <f>IF($A35="","",SUMIFS('02_ツリー'!$K$5:$K$679,'02_ツリー'!$E$5:$E$679,$A35,'02_ツリー'!$K$5:$K$679,"&lt;0"))</f>
        <v>0</v>
      </c>
      <c r="D35" s="1">
        <f t="shared" si="0"/>
        <v>3.2509207282248265E-2</v>
      </c>
      <c r="E35" s="1">
        <f>IF($A35="","",--(COUNTIFS('02_ツリー'!$E$5:$E$679,$A35,'02_ツリー'!$O$5:$O$679,0)=0))</f>
        <v>0</v>
      </c>
      <c r="F35" s="1">
        <f t="shared" si="1"/>
        <v>0</v>
      </c>
      <c r="G35" s="1">
        <f t="shared" si="2"/>
        <v>0</v>
      </c>
      <c r="H35" s="1"/>
      <c r="I35" s="1"/>
      <c r="J35" s="1"/>
      <c r="K35" s="1"/>
      <c r="L35" s="1"/>
    </row>
    <row r="36" spans="1:12">
      <c r="A36" s="1" t="str">
        <f>IFERROR(INDEX('02_ツリー'!$E$5:$E$679,MATCH(ROW()-10,'02_ツリー'!$R$5:$R$679,0)),"")</f>
        <v>t_base</v>
      </c>
      <c r="B36" s="1">
        <f>IF($A36="","",SUMIFS('02_ツリー'!$K$5:$K$679,'02_ツリー'!$E$5:$E$679,$A36,'02_ツリー'!$K$5:$K$679,"&gt;0"))</f>
        <v>3.2509207282248265E-2</v>
      </c>
      <c r="C36" s="1">
        <f>IF($A36="","",SUMIFS('02_ツリー'!$K$5:$K$679,'02_ツリー'!$E$5:$E$679,$A36,'02_ツリー'!$K$5:$K$679,"&lt;0"))</f>
        <v>0</v>
      </c>
      <c r="D36" s="1">
        <f t="shared" si="0"/>
        <v>3.2509207282248265E-2</v>
      </c>
      <c r="E36" s="1">
        <f>IF($A36="","",--(COUNTIFS('02_ツリー'!$E$5:$E$679,$A36,'02_ツリー'!$O$5:$O$679,0)=0))</f>
        <v>0</v>
      </c>
      <c r="F36" s="1">
        <f t="shared" si="1"/>
        <v>0</v>
      </c>
      <c r="G36" s="1">
        <f t="shared" si="2"/>
        <v>0</v>
      </c>
      <c r="H36" s="1"/>
      <c r="I36" s="1"/>
      <c r="J36" s="1"/>
      <c r="K36" s="1"/>
      <c r="L36" s="1"/>
    </row>
    <row r="37" spans="1:12">
      <c r="A37" s="1" t="str">
        <f>IFERROR(INDEX('02_ツリー'!$E$5:$E$679,MATCH(ROW()-10,'02_ツリー'!$R$5:$R$679,0)),"")</f>
        <v>rho_base</v>
      </c>
      <c r="B37" s="1">
        <f>IF($A37="","",SUMIFS('02_ツリー'!$K$5:$K$679,'02_ツリー'!$E$5:$E$679,$A37,'02_ツリー'!$K$5:$K$679,"&gt;0"))</f>
        <v>3.2509207282248265E-2</v>
      </c>
      <c r="C37" s="1">
        <f>IF($A37="","",SUMIFS('02_ツリー'!$K$5:$K$679,'02_ツリー'!$E$5:$E$679,$A37,'02_ツリー'!$K$5:$K$679,"&lt;0"))</f>
        <v>0</v>
      </c>
      <c r="D37" s="1">
        <f t="shared" si="0"/>
        <v>3.2509207282248265E-2</v>
      </c>
      <c r="E37" s="1">
        <f>IF($A37="","",--(COUNTIFS('02_ツリー'!$E$5:$E$679,$A37,'02_ツリー'!$O$5:$O$679,0)=0))</f>
        <v>1</v>
      </c>
      <c r="F37" s="1">
        <f t="shared" si="1"/>
        <v>0</v>
      </c>
      <c r="G37" s="1">
        <f t="shared" si="2"/>
        <v>0</v>
      </c>
      <c r="H37" s="1"/>
      <c r="I37" s="1"/>
      <c r="J37" s="1"/>
      <c r="K37" s="1"/>
      <c r="L37" s="1"/>
    </row>
    <row r="38" spans="1:12">
      <c r="A38" s="1" t="str">
        <f>IFERROR(INDEX('02_ツリー'!$E$5:$E$679,MATCH(ROW()-10,'02_ツリー'!$R$5:$R$679,0)),"")</f>
        <v>m_pkg</v>
      </c>
      <c r="B38" s="1">
        <f>IF($A38="","",SUMIFS('02_ツリー'!$K$5:$K$679,'02_ツリー'!$E$5:$E$679,$A38,'02_ツリー'!$K$5:$K$679,"&gt;0"))</f>
        <v>3.6179228189823998E-2</v>
      </c>
      <c r="C38" s="1">
        <f>IF($A38="","",SUMIFS('02_ツリー'!$K$5:$K$679,'02_ツリー'!$E$5:$E$679,$A38,'02_ツリー'!$K$5:$K$679,"&lt;0"))</f>
        <v>0</v>
      </c>
      <c r="D38" s="1">
        <f t="shared" si="0"/>
        <v>3.6179228189823998E-2</v>
      </c>
      <c r="E38" s="1">
        <f>IF($A38="","",--(COUNTIFS('02_ツリー'!$E$5:$E$679,$A38,'02_ツリー'!$O$5:$O$679,0)=0))</f>
        <v>1</v>
      </c>
      <c r="F38" s="1">
        <f t="shared" si="1"/>
        <v>0</v>
      </c>
      <c r="G38" s="1">
        <f t="shared" si="2"/>
        <v>0</v>
      </c>
      <c r="H38" s="1"/>
      <c r="I38" s="1"/>
      <c r="J38" s="1"/>
      <c r="K38" s="1"/>
      <c r="L38" s="1"/>
    </row>
    <row r="39" spans="1:12">
      <c r="A39" s="1" t="str">
        <f>IFERROR(INDEX('02_ツリー'!$E$5:$E$679,MATCH(ROW()-10,'02_ツリー'!$R$5:$R$679,0)),"")</f>
        <v>M_cool</v>
      </c>
      <c r="B39" s="1">
        <f>IF($A39="","",SUMIFS('02_ツリー'!$K$5:$K$679,'02_ツリー'!$E$5:$E$679,$A39,'02_ツリー'!$K$5:$K$679,"&gt;0"))</f>
        <v>4.5576808687775437E-2</v>
      </c>
      <c r="C39" s="1">
        <f>IF($A39="","",SUMIFS('02_ツリー'!$K$5:$K$679,'02_ツリー'!$E$5:$E$679,$A39,'02_ツリー'!$K$5:$K$679,"&lt;0"))</f>
        <v>0</v>
      </c>
      <c r="D39" s="1">
        <f t="shared" si="0"/>
        <v>4.5576808687775437E-2</v>
      </c>
      <c r="E39" s="1">
        <f>IF($A39="","",--(COUNTIFS('02_ツリー'!$E$5:$E$679,$A39,'02_ツリー'!$O$5:$O$679,0)=0))</f>
        <v>0</v>
      </c>
      <c r="F39" s="1">
        <f t="shared" si="1"/>
        <v>0</v>
      </c>
      <c r="G39" s="1">
        <f t="shared" si="2"/>
        <v>0</v>
      </c>
      <c r="H39" s="1"/>
      <c r="I39" s="1"/>
      <c r="J39" s="1"/>
      <c r="K39" s="1"/>
      <c r="L39" s="1"/>
    </row>
    <row r="40" spans="1:12">
      <c r="A40" s="1" t="str">
        <f>IFERROR(INDEX('02_ツリー'!$E$5:$E$679,MATCH(ROW()-10,'02_ツリー'!$R$5:$R$679,0)),"")</f>
        <v>m_hx</v>
      </c>
      <c r="B40" s="1">
        <f>IF($A40="","",SUMIFS('02_ツリー'!$K$5:$K$679,'02_ツリー'!$E$5:$E$679,$A40,'02_ツリー'!$K$5:$K$679,"&gt;0"))</f>
        <v>1.3577520113238967E-3</v>
      </c>
      <c r="C40" s="1">
        <f>IF($A40="","",SUMIFS('02_ツリー'!$K$5:$K$679,'02_ツリー'!$E$5:$E$679,$A40,'02_ツリー'!$K$5:$K$679,"&lt;0"))</f>
        <v>0</v>
      </c>
      <c r="D40" s="1">
        <f t="shared" si="0"/>
        <v>1.3577520113238967E-3</v>
      </c>
      <c r="E40" s="1">
        <f>IF($A40="","",--(COUNTIFS('02_ツリー'!$E$5:$E$679,$A40,'02_ツリー'!$O$5:$O$679,0)=0))</f>
        <v>0</v>
      </c>
      <c r="F40" s="1">
        <f t="shared" si="1"/>
        <v>0</v>
      </c>
      <c r="G40" s="1">
        <f t="shared" si="2"/>
        <v>0</v>
      </c>
      <c r="H40" s="1"/>
      <c r="I40" s="1"/>
      <c r="J40" s="1"/>
      <c r="K40" s="1"/>
      <c r="L40" s="1"/>
    </row>
    <row r="41" spans="1:12">
      <c r="A41" s="1" t="str">
        <f>IFERROR(INDEX('02_ツリー'!$E$5:$E$679,MATCH(ROW()-10,'02_ツリー'!$R$5:$R$679,0)),"")</f>
        <v>Q_req</v>
      </c>
      <c r="B41" s="1">
        <f>IF($A41="","",SUMIFS('02_ツリー'!$K$5:$K$679,'02_ツリー'!$E$5:$E$679,$A41,'02_ツリー'!$K$5:$K$679,"&gt;0"))</f>
        <v>1.3577520113238967E-3</v>
      </c>
      <c r="C41" s="1">
        <f>IF($A41="","",SUMIFS('02_ツリー'!$K$5:$K$679,'02_ツリー'!$E$5:$E$679,$A41,'02_ツリー'!$K$5:$K$679,"&lt;0"))</f>
        <v>0</v>
      </c>
      <c r="D41" s="1">
        <f t="shared" si="0"/>
        <v>1.3577520113238967E-3</v>
      </c>
      <c r="E41" s="1">
        <f>IF($A41="","",--(COUNTIFS('02_ツリー'!$E$5:$E$679,$A41,'02_ツリー'!$O$5:$O$679,0)=0))</f>
        <v>0</v>
      </c>
      <c r="F41" s="1">
        <f t="shared" si="1"/>
        <v>0</v>
      </c>
      <c r="G41" s="1">
        <f t="shared" si="2"/>
        <v>0</v>
      </c>
      <c r="H41" s="1"/>
      <c r="I41" s="1"/>
      <c r="J41" s="1"/>
      <c r="K41" s="1"/>
      <c r="L41" s="1"/>
    </row>
    <row r="42" spans="1:12">
      <c r="A42" s="1" t="str">
        <f>IFERROR(INDEX('02_ツリー'!$E$5:$E$679,MATCH(ROW()-10,'02_ツリー'!$R$5:$R$679,0)),"")</f>
        <v>K_th</v>
      </c>
      <c r="B42" s="1">
        <f>IF($A42="","",SUMIFS('02_ツリー'!$K$5:$K$679,'02_ツリー'!$E$5:$E$679,$A42,'02_ツリー'!$K$5:$K$679,"&gt;0"))</f>
        <v>1.3577520113238967E-3</v>
      </c>
      <c r="C42" s="1">
        <f>IF($A42="","",SUMIFS('02_ツリー'!$K$5:$K$679,'02_ツリー'!$E$5:$E$679,$A42,'02_ツリー'!$K$5:$K$679,"&lt;0"))</f>
        <v>0</v>
      </c>
      <c r="D42" s="1">
        <f t="shared" si="0"/>
        <v>1.3577520113238967E-3</v>
      </c>
      <c r="E42" s="1">
        <f>IF($A42="","",--(COUNTIFS('02_ツリー'!$E$5:$E$679,$A42,'02_ツリー'!$O$5:$O$679,0)=0))</f>
        <v>1</v>
      </c>
      <c r="F42" s="1">
        <f t="shared" si="1"/>
        <v>0</v>
      </c>
      <c r="G42" s="1">
        <f t="shared" si="2"/>
        <v>0</v>
      </c>
      <c r="H42" s="1"/>
      <c r="I42" s="1"/>
      <c r="J42" s="1"/>
      <c r="K42" s="1"/>
      <c r="L42" s="1"/>
    </row>
    <row r="43" spans="1:12">
      <c r="A43" s="1" t="str">
        <f>IFERROR(INDEX('02_ツリー'!$E$5:$E$679,MATCH(ROW()-10,'02_ツリー'!$R$5:$R$679,0)),"")</f>
        <v>P_loss</v>
      </c>
      <c r="B43" s="1">
        <f>IF($A43="","",SUMIFS('02_ツリー'!$K$5:$K$679,'02_ツリー'!$E$5:$E$679,$A43,'02_ツリー'!$K$5:$K$679,"&gt;0"))</f>
        <v>8.3417238353640757E-5</v>
      </c>
      <c r="C43" s="1">
        <f>IF($A43="","",SUMIFS('02_ツリー'!$K$5:$K$679,'02_ツリー'!$E$5:$E$679,$A43,'02_ツリー'!$K$5:$K$679,"&lt;0"))</f>
        <v>0</v>
      </c>
      <c r="D43" s="1">
        <f t="shared" si="0"/>
        <v>8.3417238353640757E-5</v>
      </c>
      <c r="E43" s="1">
        <f>IF($A43="","",--(COUNTIFS('02_ツリー'!$E$5:$E$679,$A43,'02_ツリー'!$O$5:$O$679,0)=0))</f>
        <v>0</v>
      </c>
      <c r="F43" s="1">
        <f t="shared" si="1"/>
        <v>0</v>
      </c>
      <c r="G43" s="1">
        <f t="shared" si="2"/>
        <v>0</v>
      </c>
      <c r="H43" s="1"/>
      <c r="I43" s="1"/>
      <c r="J43" s="1"/>
      <c r="K43" s="1"/>
      <c r="L43" s="1"/>
    </row>
    <row r="44" spans="1:12">
      <c r="A44" s="1" t="str">
        <f>IFERROR(INDEX('02_ツリー'!$E$5:$E$679,MATCH(ROW()-10,'02_ツリー'!$R$5:$R$679,0)),"")</f>
        <v>P_cond</v>
      </c>
      <c r="B44" s="1">
        <f>IF($A44="","",SUMIFS('02_ツリー'!$K$5:$K$679,'02_ツリー'!$E$5:$E$679,$A44,'02_ツリー'!$K$5:$K$679,"&gt;0"))</f>
        <v>2.2204845642776994E-5</v>
      </c>
      <c r="C44" s="1">
        <f>IF($A44="","",SUMIFS('02_ツリー'!$K$5:$K$679,'02_ツリー'!$E$5:$E$679,$A44,'02_ツリー'!$K$5:$K$679,"&lt;0"))</f>
        <v>0</v>
      </c>
      <c r="D44" s="1">
        <f t="shared" si="0"/>
        <v>2.2204845642776994E-5</v>
      </c>
      <c r="E44" s="1">
        <f>IF($A44="","",--(COUNTIFS('02_ツリー'!$E$5:$E$679,$A44,'02_ツリー'!$O$5:$O$679,0)=0))</f>
        <v>0</v>
      </c>
      <c r="F44" s="1">
        <f t="shared" si="1"/>
        <v>0</v>
      </c>
      <c r="G44" s="1">
        <f t="shared" si="2"/>
        <v>0</v>
      </c>
      <c r="H44" s="1"/>
      <c r="I44" s="1"/>
      <c r="J44" s="1"/>
      <c r="K44" s="1"/>
      <c r="L44" s="1"/>
    </row>
    <row r="45" spans="1:12">
      <c r="A45" s="1" t="str">
        <f>IFERROR(INDEX('02_ツリー'!$E$5:$E$679,MATCH(ROW()-10,'02_ツリー'!$R$5:$R$679,0)),"")</f>
        <v>R_on_eq</v>
      </c>
      <c r="B45" s="1">
        <f>IF($A45="","",SUMIFS('02_ツリー'!$K$5:$K$679,'02_ツリー'!$E$5:$E$679,$A45,'02_ツリー'!$K$5:$K$679,"&gt;0"))</f>
        <v>2.2204845642776994E-5</v>
      </c>
      <c r="C45" s="1">
        <f>IF($A45="","",SUMIFS('02_ツリー'!$K$5:$K$679,'02_ツリー'!$E$5:$E$679,$A45,'02_ツリー'!$K$5:$K$679,"&lt;0"))</f>
        <v>0</v>
      </c>
      <c r="D45" s="1">
        <f t="shared" si="0"/>
        <v>2.2204845642776994E-5</v>
      </c>
      <c r="E45" s="1">
        <f>IF($A45="","",--(COUNTIFS('02_ツリー'!$E$5:$E$679,$A45,'02_ツリー'!$O$5:$O$679,0)=0))</f>
        <v>0</v>
      </c>
      <c r="F45" s="1">
        <f t="shared" si="1"/>
        <v>0</v>
      </c>
      <c r="G45" s="1">
        <f t="shared" si="2"/>
        <v>0</v>
      </c>
      <c r="H45" s="1"/>
      <c r="I45" s="1"/>
      <c r="J45" s="1"/>
      <c r="K45" s="1"/>
      <c r="L45" s="1"/>
    </row>
    <row r="46" spans="1:12">
      <c r="A46" s="1" t="str">
        <f>IFERROR(INDEX('02_ツリー'!$E$5:$E$679,MATCH(ROW()-10,'02_ツリー'!$R$5:$R$679,0)),"")</f>
        <v>Rsp_total</v>
      </c>
      <c r="B46" s="1">
        <f>IF($A46="","",SUMIFS('02_ツリー'!$K$5:$K$679,'02_ツリー'!$E$5:$E$679,$A46,'02_ツリー'!$K$5:$K$679,"&gt;0"))</f>
        <v>2.2204845642776994E-5</v>
      </c>
      <c r="C46" s="1">
        <f>IF($A46="","",SUMIFS('02_ツリー'!$K$5:$K$679,'02_ツリー'!$E$5:$E$679,$A46,'02_ツリー'!$K$5:$K$679,"&lt;0"))</f>
        <v>0</v>
      </c>
      <c r="D46" s="1">
        <f t="shared" si="0"/>
        <v>2.2204845642776994E-5</v>
      </c>
      <c r="E46" s="1">
        <f>IF($A46="","",--(COUNTIFS('02_ツリー'!$E$5:$E$679,$A46,'02_ツリー'!$O$5:$O$679,0)=0))</f>
        <v>0</v>
      </c>
      <c r="F46" s="1">
        <f t="shared" si="1"/>
        <v>0</v>
      </c>
      <c r="G46" s="1">
        <f t="shared" si="2"/>
        <v>0</v>
      </c>
      <c r="H46" s="1"/>
      <c r="I46" s="1"/>
      <c r="J46" s="1"/>
      <c r="K46" s="1"/>
      <c r="L46" s="1"/>
    </row>
    <row r="47" spans="1:12">
      <c r="A47" s="1" t="str">
        <f>IFERROR(INDEX('02_ツリー'!$E$5:$E$679,MATCH(ROW()-10,'02_ツリー'!$R$5:$R$679,0)),"")</f>
        <v>Rsp_drift</v>
      </c>
      <c r="B47" s="1">
        <f>IF($A47="","",SUMIFS('02_ツリー'!$K$5:$K$679,'02_ツリー'!$E$5:$E$679,$A47,'02_ツリー'!$K$5:$K$679,"&gt;0"))</f>
        <v>2.1366476973481231E-5</v>
      </c>
      <c r="C47" s="1">
        <f>IF($A47="","",SUMIFS('02_ツリー'!$K$5:$K$679,'02_ツリー'!$E$5:$E$679,$A47,'02_ツリー'!$K$5:$K$679,"&lt;0"))</f>
        <v>0</v>
      </c>
      <c r="D47" s="1">
        <f t="shared" si="0"/>
        <v>2.1366476973481231E-5</v>
      </c>
      <c r="E47" s="1">
        <f>IF($A47="","",--(COUNTIFS('02_ツリー'!$E$5:$E$679,$A47,'02_ツリー'!$O$5:$O$679,0)=0))</f>
        <v>0</v>
      </c>
      <c r="F47" s="1">
        <f t="shared" si="1"/>
        <v>0</v>
      </c>
      <c r="G47" s="1">
        <f t="shared" si="2"/>
        <v>0</v>
      </c>
      <c r="H47" s="1"/>
      <c r="I47" s="1"/>
      <c r="J47" s="1"/>
      <c r="K47" s="1"/>
      <c r="L47" s="1"/>
    </row>
    <row r="48" spans="1:12">
      <c r="A48" s="1" t="str">
        <f>IFERROR(INDEX('02_ツリー'!$E$5:$E$679,MATCH(ROW()-10,'02_ツリー'!$R$5:$R$679,0)),"")</f>
        <v>K_rsp</v>
      </c>
      <c r="B48" s="1">
        <f>IF($A48="","",SUMIFS('02_ツリー'!$K$5:$K$679,'02_ツリー'!$E$5:$E$679,$A48,'02_ツリー'!$K$5:$K$679,"&gt;0"))</f>
        <v>2.1366476973481231E-5</v>
      </c>
      <c r="C48" s="1">
        <f>IF($A48="","",SUMIFS('02_ツリー'!$K$5:$K$679,'02_ツリー'!$E$5:$E$679,$A48,'02_ツリー'!$K$5:$K$679,"&lt;0"))</f>
        <v>0</v>
      </c>
      <c r="D48" s="1">
        <f t="shared" si="0"/>
        <v>2.1366476973481231E-5</v>
      </c>
      <c r="E48" s="1">
        <f>IF($A48="","",--(COUNTIFS('02_ツリー'!$E$5:$E$679,$A48,'02_ツリー'!$O$5:$O$679,0)=0))</f>
        <v>1</v>
      </c>
      <c r="F48" s="1">
        <f t="shared" si="1"/>
        <v>0</v>
      </c>
      <c r="G48" s="1">
        <f t="shared" si="2"/>
        <v>0</v>
      </c>
      <c r="H48" s="1"/>
      <c r="I48" s="1"/>
      <c r="J48" s="1"/>
      <c r="K48" s="1"/>
      <c r="L48" s="1"/>
    </row>
    <row r="49" spans="1:12">
      <c r="A49" s="1" t="str">
        <f>IFERROR(INDEX('02_ツリー'!$E$5:$E$679,MATCH(ROW()-10,'02_ツリー'!$R$5:$R$679,0)),"")</f>
        <v>rho_drift</v>
      </c>
      <c r="B49" s="1">
        <f>IF($A49="","",SUMIFS('02_ツリー'!$K$5:$K$679,'02_ツリー'!$E$5:$E$679,$A49,'02_ツリー'!$K$5:$K$679,"&gt;0"))</f>
        <v>2.1366476973481231E-5</v>
      </c>
      <c r="C49" s="1">
        <f>IF($A49="","",SUMIFS('02_ツリー'!$K$5:$K$679,'02_ツリー'!$E$5:$E$679,$A49,'02_ツリー'!$K$5:$K$679,"&lt;0"))</f>
        <v>0</v>
      </c>
      <c r="D49" s="1">
        <f t="shared" si="0"/>
        <v>2.1366476973481231E-5</v>
      </c>
      <c r="E49" s="1">
        <f>IF($A49="","",--(COUNTIFS('02_ツリー'!$E$5:$E$679,$A49,'02_ツリー'!$O$5:$O$679,0)=0))</f>
        <v>0</v>
      </c>
      <c r="F49" s="1">
        <f t="shared" si="1"/>
        <v>0</v>
      </c>
      <c r="G49" s="1">
        <f t="shared" si="2"/>
        <v>0</v>
      </c>
      <c r="H49" s="1"/>
      <c r="I49" s="1"/>
      <c r="J49" s="1"/>
      <c r="K49" s="1"/>
      <c r="L49" s="1"/>
    </row>
    <row r="50" spans="1:12">
      <c r="A50" s="1" t="str">
        <f>IFERROR(INDEX('02_ツリー'!$E$5:$E$679,MATCH(ROW()-10,'02_ツリー'!$R$5:$R$679,0)),"")</f>
        <v>q_e</v>
      </c>
      <c r="B50" s="1">
        <f>IF($A50="","",SUMIFS('02_ツリー'!$K$5:$K$679,'02_ツリー'!$E$5:$E$679,$A50,'02_ツリー'!$K$5:$K$679,"&gt;0"))</f>
        <v>0</v>
      </c>
      <c r="C50" s="1">
        <f>IF($A50="","",SUMIFS('02_ツリー'!$K$5:$K$679,'02_ツリー'!$E$5:$E$679,$A50,'02_ツリー'!$K$5:$K$679,"&lt;0"))</f>
        <v>0</v>
      </c>
      <c r="D50" s="1">
        <f t="shared" si="0"/>
        <v>0</v>
      </c>
      <c r="E50" s="1">
        <f>IF($A50="","",--(COUNTIFS('02_ツリー'!$E$5:$E$679,$A50,'02_ツリー'!$O$5:$O$679,0)=0))</f>
        <v>1</v>
      </c>
      <c r="F50" s="1">
        <f t="shared" si="1"/>
        <v>0</v>
      </c>
      <c r="G50" s="1">
        <f t="shared" si="2"/>
        <v>0</v>
      </c>
      <c r="H50" s="1"/>
      <c r="I50" s="1"/>
      <c r="J50" s="1"/>
      <c r="K50" s="1"/>
      <c r="L50" s="1"/>
    </row>
    <row r="51" spans="1:12">
      <c r="A51" s="1" t="str">
        <f>IFERROR(INDEX('02_ツリー'!$E$5:$E$679,MATCH(ROW()-10,'02_ツリー'!$R$5:$R$679,0)),"")</f>
        <v>mu_n</v>
      </c>
      <c r="B51" s="1">
        <f>IF($A51="","",SUMIFS('02_ツリー'!$K$5:$K$679,'02_ツリー'!$E$5:$E$679,$A51,'02_ツリー'!$K$5:$K$679,"&gt;0"))</f>
        <v>0</v>
      </c>
      <c r="C51" s="1">
        <f>IF($A51="","",SUMIFS('02_ツリー'!$K$5:$K$679,'02_ツリー'!$E$5:$E$679,$A51,'02_ツリー'!$K$5:$K$679,"&lt;0"))</f>
        <v>-2.1366476973481231E-5</v>
      </c>
      <c r="D51" s="1">
        <f t="shared" si="0"/>
        <v>-2.1366476973481231E-5</v>
      </c>
      <c r="E51" s="1">
        <f>IF($A51="","",--(COUNTIFS('02_ツリー'!$E$5:$E$679,$A51,'02_ツリー'!$O$5:$O$679,0)=0))</f>
        <v>1</v>
      </c>
      <c r="F51" s="1">
        <f t="shared" si="1"/>
        <v>0</v>
      </c>
      <c r="G51" s="1">
        <f t="shared" si="2"/>
        <v>0</v>
      </c>
      <c r="H51" s="1"/>
      <c r="I51" s="1"/>
      <c r="J51" s="1"/>
      <c r="K51" s="1"/>
      <c r="L51" s="1"/>
    </row>
    <row r="52" spans="1:12">
      <c r="A52" s="1" t="str">
        <f>IFERROR(INDEX('02_ツリー'!$E$5:$E$679,MATCH(ROW()-10,'02_ツリー'!$R$5:$R$679,0)),"")</f>
        <v>N_drift</v>
      </c>
      <c r="B52" s="1">
        <f>IF($A52="","",SUMIFS('02_ツリー'!$K$5:$K$679,'02_ツリー'!$E$5:$E$679,$A52,'02_ツリー'!$K$5:$K$679,"&gt;0"))</f>
        <v>0</v>
      </c>
      <c r="C52" s="1">
        <f>IF($A52="","",SUMIFS('02_ツリー'!$K$5:$K$679,'02_ツリー'!$E$5:$E$679,$A52,'02_ツリー'!$K$5:$K$679,"&lt;0"))</f>
        <v>-2.1366476973481231E-5</v>
      </c>
      <c r="D52" s="1">
        <f t="shared" si="0"/>
        <v>-2.1366476973481231E-5</v>
      </c>
      <c r="E52" s="1">
        <f>IF($A52="","",--(COUNTIFS('02_ツリー'!$E$5:$E$679,$A52,'02_ツリー'!$O$5:$O$679,0)=0))</f>
        <v>0</v>
      </c>
      <c r="F52" s="1">
        <f t="shared" si="1"/>
        <v>0</v>
      </c>
      <c r="G52" s="1">
        <f t="shared" si="2"/>
        <v>0</v>
      </c>
      <c r="H52" s="1"/>
      <c r="I52" s="1"/>
      <c r="J52" s="1"/>
      <c r="K52" s="1"/>
      <c r="L52" s="1"/>
    </row>
    <row r="53" spans="1:12">
      <c r="A53" s="1" t="str">
        <f>IFERROR(INDEX('02_ツリー'!$E$5:$E$679,MATCH(ROW()-10,'02_ツリー'!$R$5:$R$679,0)),"")</f>
        <v>N_d_ref</v>
      </c>
      <c r="B53" s="1">
        <f>IF($A53="","",SUMIFS('02_ツリー'!$K$5:$K$679,'02_ツリー'!$E$5:$E$679,$A53,'02_ツリー'!$K$5:$K$679,"&gt;0"))</f>
        <v>0</v>
      </c>
      <c r="C53" s="1">
        <f>IF($A53="","",SUMIFS('02_ツリー'!$K$5:$K$679,'02_ツリー'!$E$5:$E$679,$A53,'02_ツリー'!$K$5:$K$679,"&lt;0"))</f>
        <v>-2.1366476973481231E-5</v>
      </c>
      <c r="D53" s="1">
        <f t="shared" si="0"/>
        <v>-2.1366476973481231E-5</v>
      </c>
      <c r="E53" s="1">
        <f>IF($A53="","",--(COUNTIFS('02_ツリー'!$E$5:$E$679,$A53,'02_ツリー'!$O$5:$O$679,0)=0))</f>
        <v>1</v>
      </c>
      <c r="F53" s="1">
        <f t="shared" si="1"/>
        <v>0</v>
      </c>
      <c r="G53" s="1">
        <f t="shared" si="2"/>
        <v>0</v>
      </c>
      <c r="H53" s="1"/>
      <c r="I53" s="1"/>
      <c r="J53" s="1"/>
      <c r="K53" s="1"/>
      <c r="L53" s="1"/>
    </row>
    <row r="54" spans="1:12">
      <c r="A54" s="1" t="str">
        <f>IFERROR(INDEX('02_ツリー'!$E$5:$E$679,MATCH(ROW()-10,'02_ツリー'!$R$5:$R$679,0)),"")</f>
        <v>V_ref_nd</v>
      </c>
      <c r="B54" s="1">
        <f>IF($A54="","",SUMIFS('02_ツリー'!$K$5:$K$679,'02_ツリー'!$E$5:$E$679,$A54,'02_ツリー'!$K$5:$K$679,"&gt;0"))</f>
        <v>0</v>
      </c>
      <c r="C54" s="1">
        <f>IF($A54="","",SUMIFS('02_ツリー'!$K$5:$K$679,'02_ツリー'!$E$5:$E$679,$A54,'02_ツリー'!$K$5:$K$679,"&lt;0"))</f>
        <v>-2.5639772368177478E-5</v>
      </c>
      <c r="D54" s="1">
        <f t="shared" si="0"/>
        <v>-2.5639772368177478E-5</v>
      </c>
      <c r="E54" s="1">
        <f>IF($A54="","",--(COUNTIFS('02_ツリー'!$E$5:$E$679,$A54,'02_ツリー'!$O$5:$O$679,0)=0))</f>
        <v>1</v>
      </c>
      <c r="F54" s="1">
        <f t="shared" si="1"/>
        <v>0</v>
      </c>
      <c r="G54" s="1">
        <f t="shared" si="2"/>
        <v>0</v>
      </c>
      <c r="H54" s="1"/>
      <c r="I54" s="1"/>
      <c r="J54" s="1"/>
      <c r="K54" s="1"/>
      <c r="L54" s="1"/>
    </row>
    <row r="55" spans="1:12">
      <c r="A55" s="1" t="str">
        <f>IFERROR(INDEX('02_ツリー'!$E$5:$E$679,MATCH(ROW()-10,'02_ツリー'!$R$5:$R$679,0)),"")</f>
        <v>a_nd</v>
      </c>
      <c r="B55" s="1">
        <f>IF($A55="","",SUMIFS('02_ツリー'!$K$5:$K$679,'02_ツリー'!$E$5:$E$679,$A55,'02_ツリー'!$K$5:$K$679,"&gt;0"))</f>
        <v>0</v>
      </c>
      <c r="C55" s="1">
        <f>IF($A55="","",SUMIFS('02_ツリー'!$K$5:$K$679,'02_ツリー'!$E$5:$E$679,$A55,'02_ツリー'!$K$5:$K$679,"&lt;0"))</f>
        <v>-7.8191473237930685E-6</v>
      </c>
      <c r="D55" s="1">
        <f t="shared" si="0"/>
        <v>-7.8191473237930685E-6</v>
      </c>
      <c r="E55" s="1">
        <f>IF($A55="","",--(COUNTIFS('02_ツリー'!$E$5:$E$679,$A55,'02_ツリー'!$O$5:$O$679,0)=0))</f>
        <v>1</v>
      </c>
      <c r="F55" s="1">
        <f t="shared" si="1"/>
        <v>0</v>
      </c>
      <c r="G55" s="1">
        <f t="shared" si="2"/>
        <v>0</v>
      </c>
      <c r="H55" s="1"/>
      <c r="I55" s="1"/>
      <c r="J55" s="1"/>
      <c r="K55" s="1"/>
      <c r="L55" s="1"/>
    </row>
    <row r="56" spans="1:12">
      <c r="A56" s="1" t="str">
        <f>IFERROR(INDEX('02_ツリー'!$E$5:$E$679,MATCH(ROW()-10,'02_ツリー'!$R$5:$R$679,0)),"")</f>
        <v>V_block_req</v>
      </c>
      <c r="B56" s="1">
        <f>IF($A56="","",SUMIFS('02_ツリー'!$K$5:$K$679,'02_ツリー'!$E$5:$E$679,$A56,'02_ツリー'!$K$5:$K$679,"&gt;0"))</f>
        <v>4.7006249341658706E-5</v>
      </c>
      <c r="C56" s="1">
        <f>IF($A56="","",SUMIFS('02_ツリー'!$K$5:$K$679,'02_ツリー'!$E$5:$E$679,$A56,'02_ツリー'!$K$5:$K$679,"&lt;0"))</f>
        <v>-1.2978383410165203E-5</v>
      </c>
      <c r="D56" s="1">
        <f t="shared" si="0"/>
        <v>3.4027865931493507E-5</v>
      </c>
      <c r="E56" s="1">
        <f>IF($A56="","",--(COUNTIFS('02_ツリー'!$E$5:$E$679,$A56,'02_ツリー'!$O$5:$O$679,0)=0))</f>
        <v>0</v>
      </c>
      <c r="F56" s="1">
        <f t="shared" si="1"/>
        <v>1</v>
      </c>
      <c r="G56" s="1">
        <f t="shared" si="2"/>
        <v>0</v>
      </c>
      <c r="H56" s="1"/>
      <c r="I56" s="1"/>
      <c r="J56" s="1"/>
      <c r="K56" s="1"/>
      <c r="L56" s="1"/>
    </row>
    <row r="57" spans="1:12">
      <c r="A57" s="1" t="str">
        <f>IFERROR(INDEX('02_ツリー'!$E$5:$E$679,MATCH(ROW()-10,'02_ツリー'!$R$5:$R$679,0)),"")</f>
        <v>K_vblk</v>
      </c>
      <c r="B57" s="1">
        <f>IF($A57="","",SUMIFS('02_ツリー'!$K$5:$K$679,'02_ツリー'!$E$5:$E$679,$A57,'02_ツリー'!$K$5:$K$679,"&gt;0"))</f>
        <v>4.2511605145940587E-5</v>
      </c>
      <c r="C57" s="1">
        <f>IF($A57="","",SUMIFS('02_ツリー'!$K$5:$K$679,'02_ツリー'!$E$5:$E$679,$A57,'02_ツリー'!$K$5:$K$679,"&lt;0"))</f>
        <v>-1.1737416166845783E-5</v>
      </c>
      <c r="D57" s="1">
        <f t="shared" si="0"/>
        <v>3.0774188979094804E-5</v>
      </c>
      <c r="E57" s="1">
        <f>IF($A57="","",--(COUNTIFS('02_ツリー'!$E$5:$E$679,$A57,'02_ツリー'!$O$5:$O$679,0)=0))</f>
        <v>1</v>
      </c>
      <c r="F57" s="1">
        <f t="shared" si="1"/>
        <v>1</v>
      </c>
      <c r="G57" s="1">
        <f t="shared" si="2"/>
        <v>0</v>
      </c>
      <c r="H57" s="1"/>
      <c r="I57" s="1"/>
      <c r="J57" s="1"/>
      <c r="K57" s="1"/>
      <c r="L57" s="1"/>
    </row>
    <row r="58" spans="1:12">
      <c r="A58" s="1" t="str">
        <f>IFERROR(INDEX('02_ツリー'!$E$5:$E$679,MATCH(ROW()-10,'02_ツリー'!$R$5:$R$679,0)),"")</f>
        <v>V_dc</v>
      </c>
      <c r="B58" s="1">
        <f>IF($A58="","",SUMIFS('02_ツリー'!$K$5:$K$679,'02_ツリー'!$E$5:$E$679,$A58,'02_ツリー'!$K$5:$K$679,"&gt;0"))</f>
        <v>0.68814655196017849</v>
      </c>
      <c r="C58" s="1">
        <f>IF($A58="","",SUMIFS('02_ツリー'!$K$5:$K$679,'02_ツリー'!$E$5:$E$679,$A58,'02_ツリー'!$K$5:$K$679,"&lt;0"))</f>
        <v>-0.72927305048064139</v>
      </c>
      <c r="D58" s="1">
        <f t="shared" si="0"/>
        <v>-4.1126498520462906E-2</v>
      </c>
      <c r="E58" s="1">
        <f>IF($A58="","",--(COUNTIFS('02_ツリー'!$E$5:$E$679,$A58,'02_ツリー'!$O$5:$O$679,0)=0))</f>
        <v>1</v>
      </c>
      <c r="F58" s="1">
        <f t="shared" si="1"/>
        <v>1</v>
      </c>
      <c r="G58" s="1">
        <f t="shared" si="2"/>
        <v>0</v>
      </c>
      <c r="H58" s="1"/>
      <c r="I58" s="1"/>
      <c r="J58" s="1"/>
      <c r="K58" s="1"/>
      <c r="L58" s="1"/>
    </row>
    <row r="59" spans="1:12">
      <c r="A59" s="1" t="str">
        <f>IFERROR(INDEX('02_ツリー'!$E$5:$E$679,MATCH(ROW()-10,'02_ツリー'!$R$5:$R$679,0)),"")</f>
        <v>t_drift</v>
      </c>
      <c r="B59" s="1">
        <f>IF($A59="","",SUMIFS('02_ツリー'!$K$5:$K$679,'02_ツリー'!$E$5:$E$679,$A59,'02_ツリー'!$K$5:$K$679,"&gt;0"))</f>
        <v>2.1366476973481231E-5</v>
      </c>
      <c r="C59" s="1">
        <f>IF($A59="","",SUMIFS('02_ツリー'!$K$5:$K$679,'02_ツリー'!$E$5:$E$679,$A59,'02_ツリー'!$K$5:$K$679,"&lt;0"))</f>
        <v>0</v>
      </c>
      <c r="D59" s="1">
        <f t="shared" si="0"/>
        <v>2.1366476973481231E-5</v>
      </c>
      <c r="E59" s="1">
        <f>IF($A59="","",--(COUNTIFS('02_ツリー'!$E$5:$E$679,$A59,'02_ツリー'!$O$5:$O$679,0)=0))</f>
        <v>0</v>
      </c>
      <c r="F59" s="1">
        <f t="shared" si="1"/>
        <v>0</v>
      </c>
      <c r="G59" s="1">
        <f t="shared" si="2"/>
        <v>0</v>
      </c>
      <c r="H59" s="1"/>
      <c r="I59" s="1"/>
      <c r="J59" s="1"/>
      <c r="K59" s="1"/>
      <c r="L59" s="1"/>
    </row>
    <row r="60" spans="1:12">
      <c r="A60" s="1" t="str">
        <f>IFERROR(INDEX('02_ツリー'!$E$5:$E$679,MATCH(ROW()-10,'02_ツリー'!$R$5:$R$679,0)),"")</f>
        <v>K_tdrift</v>
      </c>
      <c r="B60" s="1">
        <f>IF($A60="","",SUMIFS('02_ツリー'!$K$5:$K$679,'02_ツリー'!$E$5:$E$679,$A60,'02_ツリー'!$K$5:$K$679,"&gt;0"))</f>
        <v>2.1366476973481231E-5</v>
      </c>
      <c r="C60" s="1">
        <f>IF($A60="","",SUMIFS('02_ツリー'!$K$5:$K$679,'02_ツリー'!$E$5:$E$679,$A60,'02_ツリー'!$K$5:$K$679,"&lt;0"))</f>
        <v>0</v>
      </c>
      <c r="D60" s="1">
        <f t="shared" si="0"/>
        <v>2.1366476973481231E-5</v>
      </c>
      <c r="E60" s="1">
        <f>IF($A60="","",--(COUNTIFS('02_ツリー'!$E$5:$E$679,$A60,'02_ツリー'!$O$5:$O$679,0)=0))</f>
        <v>1</v>
      </c>
      <c r="F60" s="1">
        <f t="shared" si="1"/>
        <v>0</v>
      </c>
      <c r="G60" s="1">
        <f t="shared" si="2"/>
        <v>0</v>
      </c>
      <c r="H60" s="1"/>
      <c r="I60" s="1"/>
      <c r="J60" s="1"/>
      <c r="K60" s="1"/>
      <c r="L60" s="1"/>
    </row>
    <row r="61" spans="1:12">
      <c r="A61" s="1" t="str">
        <f>IFERROR(INDEX('02_ツリー'!$E$5:$E$679,MATCH(ROW()-10,'02_ツリー'!$R$5:$R$679,0)),"")</f>
        <v>E_allow</v>
      </c>
      <c r="B61" s="1">
        <f>IF($A61="","",SUMIFS('02_ツリー'!$K$5:$K$679,'02_ツリー'!$E$5:$E$679,$A61,'02_ツリー'!$K$5:$K$679,"&gt;0"))</f>
        <v>0</v>
      </c>
      <c r="C61" s="1">
        <f>IF($A61="","",SUMIFS('02_ツリー'!$K$5:$K$679,'02_ツリー'!$E$5:$E$679,$A61,'02_ツリー'!$K$5:$K$679,"&lt;0"))</f>
        <v>-2.1366476973481231E-5</v>
      </c>
      <c r="D61" s="1">
        <f t="shared" si="0"/>
        <v>-2.1366476973481231E-5</v>
      </c>
      <c r="E61" s="1">
        <f>IF($A61="","",--(COUNTIFS('02_ツリー'!$E$5:$E$679,$A61,'02_ツリー'!$O$5:$O$679,0)=0))</f>
        <v>0</v>
      </c>
      <c r="F61" s="1">
        <f t="shared" si="1"/>
        <v>0</v>
      </c>
      <c r="G61" s="1">
        <f t="shared" si="2"/>
        <v>0</v>
      </c>
      <c r="H61" s="1"/>
      <c r="I61" s="1"/>
      <c r="J61" s="1"/>
      <c r="K61" s="1"/>
      <c r="L61" s="1"/>
    </row>
    <row r="62" spans="1:12">
      <c r="A62" s="1" t="str">
        <f>IFERROR(INDEX('02_ツリー'!$E$5:$E$679,MATCH(ROW()-10,'02_ツリー'!$R$5:$R$679,0)),"")</f>
        <v>k_Euse</v>
      </c>
      <c r="B62" s="1">
        <f>IF($A62="","",SUMIFS('02_ツリー'!$K$5:$K$679,'02_ツリー'!$E$5:$E$679,$A62,'02_ツリー'!$K$5:$K$679,"&gt;0"))</f>
        <v>0</v>
      </c>
      <c r="C62" s="1">
        <f>IF($A62="","",SUMIFS('02_ツリー'!$K$5:$K$679,'02_ツリー'!$E$5:$E$679,$A62,'02_ツリー'!$K$5:$K$679,"&lt;0"))</f>
        <v>-2.1366476973481231E-5</v>
      </c>
      <c r="D62" s="1">
        <f t="shared" si="0"/>
        <v>-2.1366476973481231E-5</v>
      </c>
      <c r="E62" s="1">
        <f>IF($A62="","",--(COUNTIFS('02_ツリー'!$E$5:$E$679,$A62,'02_ツリー'!$O$5:$O$679,0)=0))</f>
        <v>1</v>
      </c>
      <c r="F62" s="1">
        <f t="shared" si="1"/>
        <v>0</v>
      </c>
      <c r="G62" s="1">
        <f t="shared" si="2"/>
        <v>0</v>
      </c>
      <c r="H62" s="1"/>
      <c r="I62" s="1"/>
      <c r="J62" s="1"/>
      <c r="K62" s="1"/>
      <c r="L62" s="1"/>
    </row>
    <row r="63" spans="1:12">
      <c r="A63" s="1" t="str">
        <f>IFERROR(INDEX('02_ツリー'!$E$5:$E$679,MATCH(ROW()-10,'02_ツリー'!$R$5:$R$679,0)),"")</f>
        <v>E_crit</v>
      </c>
      <c r="B63" s="1">
        <f>IF($A63="","",SUMIFS('02_ツリー'!$K$5:$K$679,'02_ツリー'!$E$5:$E$679,$A63,'02_ツリー'!$K$5:$K$679,"&gt;0"))</f>
        <v>0</v>
      </c>
      <c r="C63" s="1">
        <f>IF($A63="","",SUMIFS('02_ツリー'!$K$5:$K$679,'02_ツリー'!$E$5:$E$679,$A63,'02_ツリー'!$K$5:$K$679,"&lt;0"))</f>
        <v>-2.1366476973481231E-5</v>
      </c>
      <c r="D63" s="1">
        <f t="shared" si="0"/>
        <v>-2.1366476973481231E-5</v>
      </c>
      <c r="E63" s="1">
        <f>IF($A63="","",--(COUNTIFS('02_ツリー'!$E$5:$E$679,$A63,'02_ツリー'!$O$5:$O$679,0)=0))</f>
        <v>1</v>
      </c>
      <c r="F63" s="1">
        <f t="shared" si="1"/>
        <v>0</v>
      </c>
      <c r="G63" s="1">
        <f t="shared" si="2"/>
        <v>0</v>
      </c>
      <c r="H63" s="1"/>
      <c r="I63" s="1"/>
      <c r="J63" s="1"/>
      <c r="K63" s="1"/>
      <c r="L63" s="1"/>
    </row>
    <row r="64" spans="1:12">
      <c r="A64" s="1" t="str">
        <f>IFERROR(INDEX('02_ツリー'!$E$5:$E$679,MATCH(ROW()-10,'02_ツリー'!$R$5:$R$679,0)),"")</f>
        <v>Rsp_cell</v>
      </c>
      <c r="B64" s="1">
        <f>IF($A64="","",SUMIFS('02_ツリー'!$K$5:$K$679,'02_ツリー'!$E$5:$E$679,$A64,'02_ツリー'!$K$5:$K$679,"&gt;0"))</f>
        <v>8.3836866929576225E-7</v>
      </c>
      <c r="C64" s="1">
        <f>IF($A64="","",SUMIFS('02_ツリー'!$K$5:$K$679,'02_ツリー'!$E$5:$E$679,$A64,'02_ツリー'!$K$5:$K$679,"&lt;0"))</f>
        <v>0</v>
      </c>
      <c r="D64" s="1">
        <f t="shared" si="0"/>
        <v>8.3836866929576225E-7</v>
      </c>
      <c r="E64" s="1">
        <f>IF($A64="","",--(COUNTIFS('02_ツリー'!$E$5:$E$679,$A64,'02_ツリー'!$O$5:$O$679,0)=0))</f>
        <v>1</v>
      </c>
      <c r="F64" s="1">
        <f t="shared" si="1"/>
        <v>0</v>
      </c>
      <c r="G64" s="1">
        <f t="shared" si="2"/>
        <v>0</v>
      </c>
      <c r="H64" s="1"/>
      <c r="I64" s="1"/>
      <c r="J64" s="1"/>
      <c r="K64" s="1"/>
      <c r="L64" s="1"/>
    </row>
    <row r="65" spans="1:12">
      <c r="A65" s="1" t="str">
        <f>IFERROR(INDEX('02_ツリー'!$E$5:$E$679,MATCH(ROW()-10,'02_ツリー'!$R$5:$R$679,0)),"")</f>
        <v>P_sw</v>
      </c>
      <c r="B65" s="1">
        <f>IF($A65="","",SUMIFS('02_ツリー'!$K$5:$K$679,'02_ツリー'!$E$5:$E$679,$A65,'02_ツリー'!$K$5:$K$679,"&gt;0"))</f>
        <v>3.7081095457614869E-5</v>
      </c>
      <c r="C65" s="1">
        <f>IF($A65="","",SUMIFS('02_ツリー'!$K$5:$K$679,'02_ツリー'!$E$5:$E$679,$A65,'02_ツリー'!$K$5:$K$679,"&lt;0"))</f>
        <v>0</v>
      </c>
      <c r="D65" s="1">
        <f t="shared" si="0"/>
        <v>3.7081095457614869E-5</v>
      </c>
      <c r="E65" s="1">
        <f>IF($A65="","",--(COUNTIFS('02_ツリー'!$E$5:$E$679,$A65,'02_ツリー'!$O$5:$O$679,0)=0))</f>
        <v>0</v>
      </c>
      <c r="F65" s="1">
        <f t="shared" si="1"/>
        <v>0</v>
      </c>
      <c r="G65" s="1">
        <f t="shared" si="2"/>
        <v>0</v>
      </c>
      <c r="H65" s="1"/>
      <c r="I65" s="1"/>
      <c r="J65" s="1"/>
      <c r="K65" s="1"/>
      <c r="L65" s="1"/>
    </row>
    <row r="66" spans="1:12">
      <c r="A66" s="1" t="str">
        <f>IFERROR(INDEX('02_ツリー'!$E$5:$E$679,MATCH(ROW()-10,'02_ツリー'!$R$5:$R$679,0)),"")</f>
        <v>N_gate</v>
      </c>
      <c r="B66" s="1">
        <f>IF($A66="","",SUMIFS('02_ツリー'!$K$5:$K$679,'02_ツリー'!$E$5:$E$679,$A66,'02_ツリー'!$K$5:$K$679,"&gt;0"))</f>
        <v>8.720602639543152E-3</v>
      </c>
      <c r="C66" s="1">
        <f>IF($A66="","",SUMIFS('02_ツリー'!$K$5:$K$679,'02_ツリー'!$E$5:$E$679,$A66,'02_ツリー'!$K$5:$K$679,"&lt;0"))</f>
        <v>0</v>
      </c>
      <c r="D66" s="1">
        <f t="shared" si="0"/>
        <v>8.720602639543152E-3</v>
      </c>
      <c r="E66" s="1">
        <f>IF($A66="","",--(COUNTIFS('02_ツリー'!$E$5:$E$679,$A66,'02_ツリー'!$O$5:$O$679,0)=0))</f>
        <v>0</v>
      </c>
      <c r="F66" s="1">
        <f t="shared" si="1"/>
        <v>0</v>
      </c>
      <c r="G66" s="1">
        <f t="shared" si="2"/>
        <v>0</v>
      </c>
      <c r="H66" s="1"/>
      <c r="I66" s="1"/>
      <c r="J66" s="1"/>
      <c r="K66" s="1"/>
      <c r="L66" s="1"/>
    </row>
    <row r="67" spans="1:12">
      <c r="A67" s="1" t="str">
        <f>IFERROR(INDEX('02_ツリー'!$E$5:$E$679,MATCH(ROW()-10,'02_ツリー'!$R$5:$R$679,0)),"")</f>
        <v>E_sw</v>
      </c>
      <c r="B67" s="1">
        <f>IF($A67="","",SUMIFS('02_ツリー'!$K$5:$K$679,'02_ツリー'!$E$5:$E$679,$A67,'02_ツリー'!$K$5:$K$679,"&gt;0"))</f>
        <v>3.7081095457614869E-5</v>
      </c>
      <c r="C67" s="1">
        <f>IF($A67="","",SUMIFS('02_ツリー'!$K$5:$K$679,'02_ツリー'!$E$5:$E$679,$A67,'02_ツリー'!$K$5:$K$679,"&lt;0"))</f>
        <v>0</v>
      </c>
      <c r="D67" s="1">
        <f t="shared" si="0"/>
        <v>3.7081095457614869E-5</v>
      </c>
      <c r="E67" s="1">
        <f>IF($A67="","",--(COUNTIFS('02_ツリー'!$E$5:$E$679,$A67,'02_ツリー'!$O$5:$O$679,0)=0))</f>
        <v>0</v>
      </c>
      <c r="F67" s="1">
        <f t="shared" si="1"/>
        <v>0</v>
      </c>
      <c r="G67" s="1">
        <f t="shared" si="2"/>
        <v>0</v>
      </c>
      <c r="H67" s="1"/>
      <c r="I67" s="1"/>
      <c r="J67" s="1"/>
      <c r="K67" s="1"/>
      <c r="L67" s="1"/>
    </row>
    <row r="68" spans="1:12">
      <c r="A68" s="1" t="str">
        <f>IFERROR(INDEX('02_ツリー'!$E$5:$E$679,MATCH(ROW()-10,'02_ツリー'!$R$5:$R$679,0)),"")</f>
        <v>K_esw</v>
      </c>
      <c r="B68" s="1">
        <f>IF($A68="","",SUMIFS('02_ツリー'!$K$5:$K$679,'02_ツリー'!$E$5:$E$679,$A68,'02_ツリー'!$K$5:$K$679,"&gt;0"))</f>
        <v>3.7081095457614869E-5</v>
      </c>
      <c r="C68" s="1">
        <f>IF($A68="","",SUMIFS('02_ツリー'!$K$5:$K$679,'02_ツリー'!$E$5:$E$679,$A68,'02_ツリー'!$K$5:$K$679,"&lt;0"))</f>
        <v>0</v>
      </c>
      <c r="D68" s="1">
        <f t="shared" si="0"/>
        <v>3.7081095457614869E-5</v>
      </c>
      <c r="E68" s="1">
        <f>IF($A68="","",--(COUNTIFS('02_ツリー'!$E$5:$E$679,$A68,'02_ツリー'!$O$5:$O$679,0)=0))</f>
        <v>1</v>
      </c>
      <c r="F68" s="1">
        <f t="shared" si="1"/>
        <v>0</v>
      </c>
      <c r="G68" s="1">
        <f t="shared" si="2"/>
        <v>0</v>
      </c>
      <c r="H68" s="1"/>
      <c r="I68" s="1"/>
      <c r="J68" s="1"/>
      <c r="K68" s="1"/>
      <c r="L68" s="1"/>
    </row>
    <row r="69" spans="1:12">
      <c r="A69" s="1" t="str">
        <f>IFERROR(INDEX('02_ツリー'!$E$5:$E$679,MATCH(ROW()-10,'02_ツリー'!$R$5:$R$679,0)),"")</f>
        <v>C_oss</v>
      </c>
      <c r="B69" s="1">
        <f>IF($A69="","",SUMIFS('02_ツリー'!$K$5:$K$679,'02_ツリー'!$E$5:$E$679,$A69,'02_ツリー'!$K$5:$K$679,"&gt;0"))</f>
        <v>3.7081095457614869E-5</v>
      </c>
      <c r="C69" s="1">
        <f>IF($A69="","",SUMIFS('02_ツリー'!$K$5:$K$679,'02_ツリー'!$E$5:$E$679,$A69,'02_ツリー'!$K$5:$K$679,"&lt;0"))</f>
        <v>0</v>
      </c>
      <c r="D69" s="1">
        <f t="shared" si="0"/>
        <v>3.7081095457614869E-5</v>
      </c>
      <c r="E69" s="1">
        <f>IF($A69="","",--(COUNTIFS('02_ツリー'!$E$5:$E$679,$A69,'02_ツリー'!$O$5:$O$679,0)=0))</f>
        <v>0</v>
      </c>
      <c r="F69" s="1">
        <f t="shared" si="1"/>
        <v>0</v>
      </c>
      <c r="G69" s="1">
        <f t="shared" si="2"/>
        <v>0</v>
      </c>
      <c r="H69" s="1"/>
      <c r="I69" s="1"/>
      <c r="J69" s="1"/>
      <c r="K69" s="1"/>
      <c r="L69" s="1"/>
    </row>
    <row r="70" spans="1:12">
      <c r="A70" s="1" t="str">
        <f>IFERROR(INDEX('02_ツリー'!$E$5:$E$679,MATCH(ROW()-10,'02_ツリー'!$R$5:$R$679,0)),"")</f>
        <v>Coss_area_ref</v>
      </c>
      <c r="B70" s="1">
        <f>IF($A70="","",SUMIFS('02_ツリー'!$K$5:$K$679,'02_ツリー'!$E$5:$E$679,$A70,'02_ツリー'!$K$5:$K$679,"&gt;0"))</f>
        <v>3.7081095457614869E-5</v>
      </c>
      <c r="C70" s="1">
        <f>IF($A70="","",SUMIFS('02_ツリー'!$K$5:$K$679,'02_ツリー'!$E$5:$E$679,$A70,'02_ツリー'!$K$5:$K$679,"&lt;0"))</f>
        <v>0</v>
      </c>
      <c r="D70" s="1">
        <f t="shared" si="0"/>
        <v>3.7081095457614869E-5</v>
      </c>
      <c r="E70" s="1">
        <f>IF($A70="","",--(COUNTIFS('02_ツリー'!$E$5:$E$679,$A70,'02_ツリー'!$O$5:$O$679,0)=0))</f>
        <v>1</v>
      </c>
      <c r="F70" s="1">
        <f t="shared" si="1"/>
        <v>0</v>
      </c>
      <c r="G70" s="1">
        <f t="shared" si="2"/>
        <v>0</v>
      </c>
      <c r="H70" s="1"/>
      <c r="I70" s="1"/>
      <c r="J70" s="1"/>
      <c r="K70" s="1"/>
      <c r="L70" s="1"/>
    </row>
    <row r="71" spans="1:12">
      <c r="A71" s="1" t="str">
        <f>IFERROR(INDEX('02_ツリー'!$E$5:$E$679,MATCH(ROW()-10,'02_ツリー'!$R$5:$R$679,0)),"")</f>
        <v>b_coss</v>
      </c>
      <c r="B71" s="1">
        <f>IF($A71="","",SUMIFS('02_ツリー'!$K$5:$K$679,'02_ツリー'!$E$5:$E$679,$A71,'02_ツリー'!$K$5:$K$679,"&gt;0"))</f>
        <v>3.9579092377085322E-6</v>
      </c>
      <c r="C71" s="1">
        <f>IF($A71="","",SUMIFS('02_ツリー'!$K$5:$K$679,'02_ツリー'!$E$5:$E$679,$A71,'02_ツリー'!$K$5:$K$679,"&lt;0"))</f>
        <v>0</v>
      </c>
      <c r="D71" s="1">
        <f t="shared" si="0"/>
        <v>3.9579092377085322E-6</v>
      </c>
      <c r="E71" s="1">
        <f>IF($A71="","",--(COUNTIFS('02_ツリー'!$E$5:$E$679,$A71,'02_ツリー'!$O$5:$O$679,0)=0))</f>
        <v>1</v>
      </c>
      <c r="F71" s="1">
        <f t="shared" si="1"/>
        <v>0</v>
      </c>
      <c r="G71" s="1">
        <f t="shared" si="2"/>
        <v>0</v>
      </c>
      <c r="H71" s="1"/>
      <c r="I71" s="1"/>
      <c r="J71" s="1"/>
      <c r="K71" s="1"/>
      <c r="L71" s="1"/>
    </row>
    <row r="72" spans="1:12">
      <c r="A72" s="1" t="str">
        <f>IFERROR(INDEX('02_ツリー'!$E$5:$E$679,MATCH(ROW()-10,'02_ツリー'!$R$5:$R$679,0)),"")</f>
        <v>V_ref_coss</v>
      </c>
      <c r="B72" s="1">
        <f>IF($A72="","",SUMIFS('02_ツリー'!$K$5:$K$679,'02_ツリー'!$E$5:$E$679,$A72,'02_ツリー'!$K$5:$K$679,"&gt;0"))</f>
        <v>1.2978383410165203E-5</v>
      </c>
      <c r="C72" s="1">
        <f>IF($A72="","",SUMIFS('02_ツリー'!$K$5:$K$679,'02_ツリー'!$E$5:$E$679,$A72,'02_ツリー'!$K$5:$K$679,"&lt;0"))</f>
        <v>0</v>
      </c>
      <c r="D72" s="1">
        <f t="shared" si="0"/>
        <v>1.2978383410165203E-5</v>
      </c>
      <c r="E72" s="1">
        <f>IF($A72="","",--(COUNTIFS('02_ツリー'!$E$5:$E$679,$A72,'02_ツリー'!$O$5:$O$679,0)=0))</f>
        <v>1</v>
      </c>
      <c r="F72" s="1">
        <f t="shared" si="1"/>
        <v>0</v>
      </c>
      <c r="G72" s="1">
        <f t="shared" si="2"/>
        <v>0</v>
      </c>
      <c r="H72" s="1"/>
      <c r="I72" s="1"/>
      <c r="J72" s="1"/>
      <c r="K72" s="1"/>
      <c r="L72" s="1"/>
    </row>
    <row r="73" spans="1:12">
      <c r="A73" s="1" t="str">
        <f>IFERROR(INDEX('02_ツリー'!$E$5:$E$679,MATCH(ROW()-10,'02_ツリー'!$R$5:$R$679,0)),"")</f>
        <v>f_sw</v>
      </c>
      <c r="B73" s="1">
        <f>IF($A73="","",SUMIFS('02_ツリー'!$K$5:$K$679,'02_ツリー'!$E$5:$E$679,$A73,'02_ツリー'!$K$5:$K$679,"&gt;0"))</f>
        <v>8.1471545977668871E-5</v>
      </c>
      <c r="C73" s="1">
        <f>IF($A73="","",SUMIFS('02_ツリー'!$K$5:$K$679,'02_ツリー'!$E$5:$E$679,$A73,'02_ツリー'!$K$5:$K$679,"&lt;0"))</f>
        <v>-2.8811031734660323E-2</v>
      </c>
      <c r="D73" s="1">
        <f t="shared" si="0"/>
        <v>-2.8729560188682654E-2</v>
      </c>
      <c r="E73" s="1">
        <f>IF($A73="","",--(COUNTIFS('02_ツリー'!$E$5:$E$679,$A73,'02_ツリー'!$O$5:$O$679,0)=0))</f>
        <v>0</v>
      </c>
      <c r="F73" s="1">
        <f t="shared" si="1"/>
        <v>1</v>
      </c>
      <c r="G73" s="1">
        <f t="shared" si="2"/>
        <v>0</v>
      </c>
      <c r="H73" s="1"/>
      <c r="I73" s="1"/>
      <c r="J73" s="1"/>
      <c r="K73" s="1"/>
      <c r="L73" s="1"/>
    </row>
    <row r="74" spans="1:12">
      <c r="A74" s="1" t="str">
        <f>IFERROR(INDEX('02_ツリー'!$E$5:$E$679,MATCH(ROW()-10,'02_ツリー'!$R$5:$R$679,0)),"")</f>
        <v>q_cool</v>
      </c>
      <c r="B74" s="1">
        <f>IF($A74="","",SUMIFS('02_ツリー'!$K$5:$K$679,'02_ツリー'!$E$5:$E$679,$A74,'02_ツリー'!$K$5:$K$679,"&gt;0"))</f>
        <v>0</v>
      </c>
      <c r="C74" s="1">
        <f>IF($A74="","",SUMIFS('02_ツリー'!$K$5:$K$679,'02_ツリー'!$E$5:$E$679,$A74,'02_ツリー'!$K$5:$K$679,"&lt;0"))</f>
        <v>-1.3577520113238967E-3</v>
      </c>
      <c r="D74" s="1">
        <f t="shared" si="0"/>
        <v>-1.3577520113238967E-3</v>
      </c>
      <c r="E74" s="1">
        <f>IF($A74="","",--(COUNTIFS('02_ツリー'!$E$5:$E$679,$A74,'02_ツリー'!$O$5:$O$679,0)=0))</f>
        <v>0</v>
      </c>
      <c r="F74" s="1">
        <f t="shared" si="1"/>
        <v>0</v>
      </c>
      <c r="G74" s="1">
        <f t="shared" si="2"/>
        <v>0</v>
      </c>
      <c r="H74" s="1"/>
      <c r="I74" s="1"/>
      <c r="J74" s="1"/>
      <c r="K74" s="1"/>
      <c r="L74" s="1"/>
    </row>
    <row r="75" spans="1:12">
      <c r="A75" s="1" t="str">
        <f>IFERROR(INDEX('02_ツリー'!$E$5:$E$679,MATCH(ROW()-10,'02_ツリー'!$R$5:$R$679,0)),"")</f>
        <v>h_eff</v>
      </c>
      <c r="B75" s="1">
        <f>IF($A75="","",SUMIFS('02_ツリー'!$K$5:$K$679,'02_ツリー'!$E$5:$E$679,$A75,'02_ツリー'!$K$5:$K$679,"&gt;0"))</f>
        <v>0</v>
      </c>
      <c r="C75" s="1">
        <f>IF($A75="","",SUMIFS('02_ツリー'!$K$5:$K$679,'02_ツリー'!$E$5:$E$679,$A75,'02_ツリー'!$K$5:$K$679,"&lt;0"))</f>
        <v>-1.3577520113238967E-3</v>
      </c>
      <c r="D75" s="1">
        <f t="shared" ref="D75:D138" si="3">IF($A75="","",B75+C75)</f>
        <v>-1.3577520113238967E-3</v>
      </c>
      <c r="E75" s="1">
        <f>IF($A75="","",--(COUNTIFS('02_ツリー'!$E$5:$E$679,$A75,'02_ツリー'!$O$5:$O$679,0)=0))</f>
        <v>0</v>
      </c>
      <c r="F75" s="1">
        <f t="shared" ref="F75:F138" si="4">IF($A75="","",--AND(B75&gt;0,C75&lt;0))</f>
        <v>0</v>
      </c>
      <c r="G75" s="1">
        <f t="shared" ref="G75:G138" si="5">IF($A75="","",--(LEFT(A75,7)="Enable_"))</f>
        <v>0</v>
      </c>
      <c r="H75" s="1"/>
      <c r="I75" s="1"/>
      <c r="J75" s="1"/>
      <c r="K75" s="1"/>
      <c r="L75" s="1"/>
    </row>
    <row r="76" spans="1:12">
      <c r="A76" s="1" t="str">
        <f>IFERROR(INDEX('02_ツリー'!$E$5:$E$679,MATCH(ROW()-10,'02_ツリー'!$R$5:$R$679,0)),"")</f>
        <v>h_nom</v>
      </c>
      <c r="B76" s="1">
        <f>IF($A76="","",SUMIFS('02_ツリー'!$K$5:$K$679,'02_ツリー'!$E$5:$E$679,$A76,'02_ツリー'!$K$5:$K$679,"&gt;0"))</f>
        <v>0</v>
      </c>
      <c r="C76" s="1">
        <f>IF($A76="","",SUMIFS('02_ツリー'!$K$5:$K$679,'02_ツリー'!$E$5:$E$679,$A76,'02_ツリー'!$K$5:$K$679,"&lt;0"))</f>
        <v>-1.3577520113238967E-3</v>
      </c>
      <c r="D76" s="1">
        <f t="shared" si="3"/>
        <v>-1.3577520113238967E-3</v>
      </c>
      <c r="E76" s="1">
        <f>IF($A76="","",--(COUNTIFS('02_ツリー'!$E$5:$E$679,$A76,'02_ツリー'!$O$5:$O$679,0)=0))</f>
        <v>1</v>
      </c>
      <c r="F76" s="1">
        <f t="shared" si="4"/>
        <v>0</v>
      </c>
      <c r="G76" s="1">
        <f t="shared" si="5"/>
        <v>0</v>
      </c>
      <c r="H76" s="1"/>
      <c r="I76" s="1"/>
      <c r="J76" s="1"/>
      <c r="K76" s="1"/>
      <c r="L76" s="1"/>
    </row>
    <row r="77" spans="1:12">
      <c r="A77" s="1" t="str">
        <f>IFERROR(INDEX('02_ツリー'!$E$5:$E$679,MATCH(ROW()-10,'02_ツリー'!$R$5:$R$679,0)),"")</f>
        <v>k_geom</v>
      </c>
      <c r="B77" s="1">
        <f>IF($A77="","",SUMIFS('02_ツリー'!$K$5:$K$679,'02_ツリー'!$E$5:$E$679,$A77,'02_ツリー'!$K$5:$K$679,"&gt;0"))</f>
        <v>0</v>
      </c>
      <c r="C77" s="1">
        <f>IF($A77="","",SUMIFS('02_ツリー'!$K$5:$K$679,'02_ツリー'!$E$5:$E$679,$A77,'02_ツリー'!$K$5:$K$679,"&lt;0"))</f>
        <v>-1.3577520113238967E-3</v>
      </c>
      <c r="D77" s="1">
        <f t="shared" si="3"/>
        <v>-1.3577520113238967E-3</v>
      </c>
      <c r="E77" s="1">
        <f>IF($A77="","",--(COUNTIFS('02_ツリー'!$E$5:$E$679,$A77,'02_ツリー'!$O$5:$O$679,0)=0))</f>
        <v>1</v>
      </c>
      <c r="F77" s="1">
        <f t="shared" si="4"/>
        <v>0</v>
      </c>
      <c r="G77" s="1">
        <f t="shared" si="5"/>
        <v>0</v>
      </c>
      <c r="H77" s="1"/>
      <c r="I77" s="1"/>
      <c r="J77" s="1"/>
      <c r="K77" s="1"/>
      <c r="L77" s="1"/>
    </row>
    <row r="78" spans="1:12">
      <c r="A78" s="1" t="str">
        <f>IFERROR(INDEX('02_ツリー'!$E$5:$E$679,MATCH(ROW()-10,'02_ツリー'!$R$5:$R$679,0)),"")</f>
        <v>k_surface</v>
      </c>
      <c r="B78" s="1">
        <f>IF($A78="","",SUMIFS('02_ツリー'!$K$5:$K$679,'02_ツリー'!$E$5:$E$679,$A78,'02_ツリー'!$K$5:$K$679,"&gt;0"))</f>
        <v>0</v>
      </c>
      <c r="C78" s="1">
        <f>IF($A78="","",SUMIFS('02_ツリー'!$K$5:$K$679,'02_ツリー'!$E$5:$E$679,$A78,'02_ツリー'!$K$5:$K$679,"&lt;0"))</f>
        <v>-1.3577520113238967E-3</v>
      </c>
      <c r="D78" s="1">
        <f t="shared" si="3"/>
        <v>-1.3577520113238967E-3</v>
      </c>
      <c r="E78" s="1">
        <f>IF($A78="","",--(COUNTIFS('02_ツリー'!$E$5:$E$679,$A78,'02_ツリー'!$O$5:$O$679,0)=0))</f>
        <v>1</v>
      </c>
      <c r="F78" s="1">
        <f t="shared" si="4"/>
        <v>0</v>
      </c>
      <c r="G78" s="1">
        <f t="shared" si="5"/>
        <v>0</v>
      </c>
      <c r="H78" s="1"/>
      <c r="I78" s="1"/>
      <c r="J78" s="1"/>
      <c r="K78" s="1"/>
      <c r="L78" s="1"/>
    </row>
    <row r="79" spans="1:12">
      <c r="A79" s="1" t="str">
        <f>IFERROR(INDEX('02_ツリー'!$E$5:$E$679,MATCH(ROW()-10,'02_ツリー'!$R$5:$R$679,0)),"")</f>
        <v>k_fin</v>
      </c>
      <c r="B79" s="1">
        <f>IF($A79="","",SUMIFS('02_ツリー'!$K$5:$K$679,'02_ツリー'!$E$5:$E$679,$A79,'02_ツリー'!$K$5:$K$679,"&gt;0"))</f>
        <v>0</v>
      </c>
      <c r="C79" s="1">
        <f>IF($A79="","",SUMIFS('02_ツリー'!$K$5:$K$679,'02_ツリー'!$E$5:$E$679,$A79,'02_ツリー'!$K$5:$K$679,"&lt;0"))</f>
        <v>-1.3577520113238967E-3</v>
      </c>
      <c r="D79" s="1">
        <f t="shared" si="3"/>
        <v>-1.3577520113238967E-3</v>
      </c>
      <c r="E79" s="1">
        <f>IF($A79="","",--(COUNTIFS('02_ツリー'!$E$5:$E$679,$A79,'02_ツリー'!$O$5:$O$679,0)=0))</f>
        <v>1</v>
      </c>
      <c r="F79" s="1">
        <f t="shared" si="4"/>
        <v>0</v>
      </c>
      <c r="G79" s="1">
        <f t="shared" si="5"/>
        <v>0</v>
      </c>
      <c r="H79" s="1"/>
      <c r="I79" s="1"/>
      <c r="J79" s="1"/>
      <c r="K79" s="1"/>
      <c r="L79" s="1"/>
    </row>
    <row r="80" spans="1:12">
      <c r="A80" s="1" t="str">
        <f>IFERROR(INDEX('02_ツリー'!$E$5:$E$679,MATCH(ROW()-10,'02_ツリー'!$R$5:$R$679,0)),"")</f>
        <v>k_flow</v>
      </c>
      <c r="B80" s="1">
        <f>IF($A80="","",SUMIFS('02_ツリー'!$K$5:$K$679,'02_ツリー'!$E$5:$E$679,$A80,'02_ツリー'!$K$5:$K$679,"&gt;0"))</f>
        <v>0</v>
      </c>
      <c r="C80" s="1">
        <f>IF($A80="","",SUMIFS('02_ツリー'!$K$5:$K$679,'02_ツリー'!$E$5:$E$679,$A80,'02_ツリー'!$K$5:$K$679,"&lt;0"))</f>
        <v>-1.3577520113238967E-3</v>
      </c>
      <c r="D80" s="1">
        <f t="shared" si="3"/>
        <v>-1.3577520113238967E-3</v>
      </c>
      <c r="E80" s="1">
        <f>IF($A80="","",--(COUNTIFS('02_ツリー'!$E$5:$E$679,$A80,'02_ツリー'!$O$5:$O$679,0)=0))</f>
        <v>0</v>
      </c>
      <c r="F80" s="1">
        <f t="shared" si="4"/>
        <v>0</v>
      </c>
      <c r="G80" s="1">
        <f t="shared" si="5"/>
        <v>0</v>
      </c>
      <c r="H80" s="1"/>
      <c r="I80" s="1"/>
      <c r="J80" s="1"/>
      <c r="K80" s="1"/>
      <c r="L80" s="1"/>
    </row>
    <row r="81" spans="1:12">
      <c r="A81" s="1" t="str">
        <f>IFERROR(INDEX('02_ツリー'!$E$5:$E$679,MATCH(ROW()-10,'02_ツリー'!$R$5:$R$679,0)),"")</f>
        <v>v_cool</v>
      </c>
      <c r="B81" s="1">
        <f>IF($A81="","",SUMIFS('02_ツリー'!$K$5:$K$679,'02_ツリー'!$E$5:$E$679,$A81,'02_ツリー'!$K$5:$K$679,"&gt;0"))</f>
        <v>0</v>
      </c>
      <c r="C81" s="1">
        <f>IF($A81="","",SUMIFS('02_ツリー'!$K$5:$K$679,'02_ツリー'!$E$5:$E$679,$A81,'02_ツリー'!$K$5:$K$679,"&lt;0"))</f>
        <v>-6.7887600566194836E-4</v>
      </c>
      <c r="D81" s="1">
        <f t="shared" si="3"/>
        <v>-6.7887600566194836E-4</v>
      </c>
      <c r="E81" s="1">
        <f>IF($A81="","",--(COUNTIFS('02_ツリー'!$E$5:$E$679,$A81,'02_ツリー'!$O$5:$O$679,0)=0))</f>
        <v>1</v>
      </c>
      <c r="F81" s="1">
        <f t="shared" si="4"/>
        <v>0</v>
      </c>
      <c r="G81" s="1">
        <f t="shared" si="5"/>
        <v>0</v>
      </c>
      <c r="H81" s="1"/>
      <c r="I81" s="1"/>
      <c r="J81" s="1"/>
      <c r="K81" s="1"/>
      <c r="L81" s="1"/>
    </row>
    <row r="82" spans="1:12">
      <c r="A82" s="1" t="str">
        <f>IFERROR(INDEX('02_ツリー'!$E$5:$E$679,MATCH(ROW()-10,'02_ツリー'!$R$5:$R$679,0)),"")</f>
        <v>v_ref</v>
      </c>
      <c r="B82" s="1">
        <f>IF($A82="","",SUMIFS('02_ツリー'!$K$5:$K$679,'02_ツリー'!$E$5:$E$679,$A82,'02_ツリー'!$K$5:$K$679,"&gt;0"))</f>
        <v>6.7887600566194836E-4</v>
      </c>
      <c r="C82" s="1">
        <f>IF($A82="","",SUMIFS('02_ツリー'!$K$5:$K$679,'02_ツリー'!$E$5:$E$679,$A82,'02_ツリー'!$K$5:$K$679,"&lt;0"))</f>
        <v>0</v>
      </c>
      <c r="D82" s="1">
        <f t="shared" si="3"/>
        <v>6.7887600566194836E-4</v>
      </c>
      <c r="E82" s="1">
        <f>IF($A82="","",--(COUNTIFS('02_ツリー'!$E$5:$E$679,$A82,'02_ツリー'!$O$5:$O$679,0)=0))</f>
        <v>1</v>
      </c>
      <c r="F82" s="1">
        <f t="shared" si="4"/>
        <v>0</v>
      </c>
      <c r="G82" s="1">
        <f t="shared" si="5"/>
        <v>0</v>
      </c>
      <c r="H82" s="1"/>
      <c r="I82" s="1"/>
      <c r="J82" s="1"/>
      <c r="K82" s="1"/>
      <c r="L82" s="1"/>
    </row>
    <row r="83" spans="1:12">
      <c r="A83" s="1" t="str">
        <f>IFERROR(INDEX('02_ツリー'!$E$5:$E$679,MATCH(ROW()-10,'02_ツリー'!$R$5:$R$679,0)),"")</f>
        <v>dT_cool</v>
      </c>
      <c r="B83" s="1">
        <f>IF($A83="","",SUMIFS('02_ツリー'!$K$5:$K$679,'02_ツリー'!$E$5:$E$679,$A83,'02_ツリー'!$K$5:$K$679,"&gt;0"))</f>
        <v>0</v>
      </c>
      <c r="C83" s="1">
        <f>IF($A83="","",SUMIFS('02_ツリー'!$K$5:$K$679,'02_ツリー'!$E$5:$E$679,$A83,'02_ツリー'!$K$5:$K$679,"&lt;0"))</f>
        <v>-1.3577520113238967E-3</v>
      </c>
      <c r="D83" s="1">
        <f t="shared" si="3"/>
        <v>-1.3577520113238967E-3</v>
      </c>
      <c r="E83" s="1">
        <f>IF($A83="","",--(COUNTIFS('02_ツリー'!$E$5:$E$679,$A83,'02_ツリー'!$O$5:$O$679,0)=0))</f>
        <v>1</v>
      </c>
      <c r="F83" s="1">
        <f t="shared" si="4"/>
        <v>0</v>
      </c>
      <c r="G83" s="1">
        <f t="shared" si="5"/>
        <v>0</v>
      </c>
      <c r="H83" s="1"/>
      <c r="I83" s="1"/>
      <c r="J83" s="1"/>
      <c r="K83" s="1"/>
      <c r="L83" s="1"/>
    </row>
    <row r="84" spans="1:12">
      <c r="A84" s="1" t="str">
        <f>IFERROR(INDEX('02_ツリー'!$E$5:$E$679,MATCH(ROW()-10,'02_ツリー'!$R$5:$R$679,0)),"")</f>
        <v>sigma_hx</v>
      </c>
      <c r="B84" s="1">
        <f>IF($A84="","",SUMIFS('02_ツリー'!$K$5:$K$679,'02_ツリー'!$E$5:$E$679,$A84,'02_ツリー'!$K$5:$K$679,"&gt;0"))</f>
        <v>1.3577520113238967E-3</v>
      </c>
      <c r="C84" s="1">
        <f>IF($A84="","",SUMIFS('02_ツリー'!$K$5:$K$679,'02_ツリー'!$E$5:$E$679,$A84,'02_ツリー'!$K$5:$K$679,"&lt;0"))</f>
        <v>0</v>
      </c>
      <c r="D84" s="1">
        <f t="shared" si="3"/>
        <v>1.3577520113238967E-3</v>
      </c>
      <c r="E84" s="1">
        <f>IF($A84="","",--(COUNTIFS('02_ツリー'!$E$5:$E$679,$A84,'02_ツリー'!$O$5:$O$679,0)=0))</f>
        <v>0</v>
      </c>
      <c r="F84" s="1">
        <f t="shared" si="4"/>
        <v>0</v>
      </c>
      <c r="G84" s="1">
        <f t="shared" si="5"/>
        <v>0</v>
      </c>
      <c r="H84" s="1"/>
      <c r="I84" s="1"/>
      <c r="J84" s="1"/>
      <c r="K84" s="1"/>
      <c r="L84" s="1"/>
    </row>
    <row r="85" spans="1:12">
      <c r="A85" s="1" t="str">
        <f>IFERROR(INDEX('02_ツリー'!$E$5:$E$679,MATCH(ROW()-10,'02_ツリー'!$R$5:$R$679,0)),"")</f>
        <v>rho_hx</v>
      </c>
      <c r="B85" s="1">
        <f>IF($A85="","",SUMIFS('02_ツリー'!$K$5:$K$679,'02_ツリー'!$E$5:$E$679,$A85,'02_ツリー'!$K$5:$K$679,"&gt;0"))</f>
        <v>1.3577520113238967E-3</v>
      </c>
      <c r="C85" s="1">
        <f>IF($A85="","",SUMIFS('02_ツリー'!$K$5:$K$679,'02_ツリー'!$E$5:$E$679,$A85,'02_ツリー'!$K$5:$K$679,"&lt;0"))</f>
        <v>0</v>
      </c>
      <c r="D85" s="1">
        <f t="shared" si="3"/>
        <v>1.3577520113238967E-3</v>
      </c>
      <c r="E85" s="1">
        <f>IF($A85="","",--(COUNTIFS('02_ツリー'!$E$5:$E$679,$A85,'02_ツリー'!$O$5:$O$679,0)=0))</f>
        <v>1</v>
      </c>
      <c r="F85" s="1">
        <f t="shared" si="4"/>
        <v>0</v>
      </c>
      <c r="G85" s="1">
        <f t="shared" si="5"/>
        <v>0</v>
      </c>
      <c r="H85" s="1"/>
      <c r="I85" s="1"/>
      <c r="J85" s="1"/>
      <c r="K85" s="1"/>
      <c r="L85" s="1"/>
    </row>
    <row r="86" spans="1:12">
      <c r="A86" s="1" t="str">
        <f>IFERROR(INDEX('02_ツリー'!$E$5:$E$679,MATCH(ROW()-10,'02_ツリー'!$R$5:$R$679,0)),"")</f>
        <v>t_hx_eq</v>
      </c>
      <c r="B86" s="1">
        <f>IF($A86="","",SUMIFS('02_ツリー'!$K$5:$K$679,'02_ツリー'!$E$5:$E$679,$A86,'02_ツリー'!$K$5:$K$679,"&gt;0"))</f>
        <v>1.3577520113238967E-3</v>
      </c>
      <c r="C86" s="1">
        <f>IF($A86="","",SUMIFS('02_ツリー'!$K$5:$K$679,'02_ツリー'!$E$5:$E$679,$A86,'02_ツリー'!$K$5:$K$679,"&lt;0"))</f>
        <v>0</v>
      </c>
      <c r="D86" s="1">
        <f t="shared" si="3"/>
        <v>1.3577520113238967E-3</v>
      </c>
      <c r="E86" s="1">
        <f>IF($A86="","",--(COUNTIFS('02_ツリー'!$E$5:$E$679,$A86,'02_ツリー'!$O$5:$O$679,0)=0))</f>
        <v>1</v>
      </c>
      <c r="F86" s="1">
        <f t="shared" si="4"/>
        <v>0</v>
      </c>
      <c r="G86" s="1">
        <f t="shared" si="5"/>
        <v>0</v>
      </c>
      <c r="H86" s="1"/>
      <c r="I86" s="1"/>
      <c r="J86" s="1"/>
      <c r="K86" s="1"/>
      <c r="L86" s="1"/>
    </row>
    <row r="87" spans="1:12">
      <c r="A87" s="1" t="str">
        <f>IFERROR(INDEX('02_ツリー'!$E$5:$E$679,MATCH(ROW()-10,'02_ツリー'!$R$5:$R$679,0)),"")</f>
        <v>m_cool_fix</v>
      </c>
      <c r="B87" s="1">
        <f>IF($A87="","",SUMIFS('02_ツリー'!$K$5:$K$679,'02_ツリー'!$E$5:$E$679,$A87,'02_ツリー'!$K$5:$K$679,"&gt;0"))</f>
        <v>2.8139399703196438E-2</v>
      </c>
      <c r="C87" s="1">
        <f>IF($A87="","",SUMIFS('02_ツリー'!$K$5:$K$679,'02_ツリー'!$E$5:$E$679,$A87,'02_ツリー'!$K$5:$K$679,"&lt;0"))</f>
        <v>0</v>
      </c>
      <c r="D87" s="1">
        <f t="shared" si="3"/>
        <v>2.8139399703196438E-2</v>
      </c>
      <c r="E87" s="1">
        <f>IF($A87="","",--(COUNTIFS('02_ツリー'!$E$5:$E$679,$A87,'02_ツリー'!$O$5:$O$679,0)=0))</f>
        <v>1</v>
      </c>
      <c r="F87" s="1">
        <f t="shared" si="4"/>
        <v>0</v>
      </c>
      <c r="G87" s="1">
        <f t="shared" si="5"/>
        <v>0</v>
      </c>
      <c r="H87" s="1"/>
      <c r="I87" s="1"/>
      <c r="J87" s="1"/>
      <c r="K87" s="1"/>
      <c r="L87" s="1"/>
    </row>
    <row r="88" spans="1:12">
      <c r="A88" s="1" t="str">
        <f>IFERROR(INDEX('02_ツリー'!$E$5:$E$679,MATCH(ROW()-10,'02_ツリー'!$R$5:$R$679,0)),"")</f>
        <v>M_cap</v>
      </c>
      <c r="B88" s="1">
        <f>IF($A88="","",SUMIFS('02_ツリー'!$K$5:$K$679,'02_ツリー'!$E$5:$E$679,$A88,'02_ツリー'!$K$5:$K$679,"&gt;0"))</f>
        <v>0.33479769350127425</v>
      </c>
      <c r="C88" s="1">
        <f>IF($A88="","",SUMIFS('02_ツリー'!$K$5:$K$679,'02_ツリー'!$E$5:$E$679,$A88,'02_ツリー'!$K$5:$K$679,"&lt;0"))</f>
        <v>0</v>
      </c>
      <c r="D88" s="1">
        <f t="shared" si="3"/>
        <v>0.33479769350127425</v>
      </c>
      <c r="E88" s="1">
        <f>IF($A88="","",--(COUNTIFS('02_ツリー'!$E$5:$E$679,$A88,'02_ツリー'!$O$5:$O$679,0)=0))</f>
        <v>0</v>
      </c>
      <c r="F88" s="1">
        <f t="shared" si="4"/>
        <v>0</v>
      </c>
      <c r="G88" s="1">
        <f t="shared" si="5"/>
        <v>0</v>
      </c>
      <c r="H88" s="1"/>
      <c r="I88" s="1"/>
      <c r="J88" s="1"/>
      <c r="K88" s="1"/>
      <c r="L88" s="1"/>
    </row>
    <row r="89" spans="1:12">
      <c r="A89" s="1" t="str">
        <f>IFERROR(INDEX('02_ツリー'!$E$5:$E$679,MATCH(ROW()-10,'02_ツリー'!$R$5:$R$679,0)),"")</f>
        <v>m_cap_active</v>
      </c>
      <c r="B89" s="1">
        <f>IF($A89="","",SUMIFS('02_ツリー'!$K$5:$K$679,'02_ツリー'!$E$5:$E$679,$A89,'02_ツリー'!$K$5:$K$679,"&gt;0"))</f>
        <v>0.32675786501464676</v>
      </c>
      <c r="C89" s="1">
        <f>IF($A89="","",SUMIFS('02_ツリー'!$K$5:$K$679,'02_ツリー'!$E$5:$E$679,$A89,'02_ツリー'!$K$5:$K$679,"&lt;0"))</f>
        <v>0</v>
      </c>
      <c r="D89" s="1">
        <f t="shared" si="3"/>
        <v>0.32675786501464676</v>
      </c>
      <c r="E89" s="1">
        <f>IF($A89="","",--(COUNTIFS('02_ツリー'!$E$5:$E$679,$A89,'02_ツリー'!$O$5:$O$679,0)=0))</f>
        <v>0</v>
      </c>
      <c r="F89" s="1">
        <f t="shared" si="4"/>
        <v>0</v>
      </c>
      <c r="G89" s="1">
        <f t="shared" si="5"/>
        <v>0</v>
      </c>
      <c r="H89" s="1"/>
      <c r="I89" s="1"/>
      <c r="J89" s="1"/>
      <c r="K89" s="1"/>
      <c r="L89" s="1"/>
    </row>
    <row r="90" spans="1:12">
      <c r="A90" s="1" t="str">
        <f>IFERROR(INDEX('02_ツリー'!$E$5:$E$679,MATCH(ROW()-10,'02_ツリー'!$R$5:$R$679,0)),"")</f>
        <v>C_req</v>
      </c>
      <c r="B90" s="1">
        <f>IF($A90="","",SUMIFS('02_ツリー'!$K$5:$K$679,'02_ツリー'!$E$5:$E$679,$A90,'02_ツリー'!$K$5:$K$679,"&gt;0"))</f>
        <v>0.32675786501464676</v>
      </c>
      <c r="C90" s="1">
        <f>IF($A90="","",SUMIFS('02_ツリー'!$K$5:$K$679,'02_ツリー'!$E$5:$E$679,$A90,'02_ツリー'!$K$5:$K$679,"&lt;0"))</f>
        <v>0</v>
      </c>
      <c r="D90" s="1">
        <f t="shared" si="3"/>
        <v>0.32675786501464676</v>
      </c>
      <c r="E90" s="1">
        <f>IF($A90="","",--(COUNTIFS('02_ツリー'!$E$5:$E$679,$A90,'02_ツリー'!$O$5:$O$679,0)=0))</f>
        <v>0</v>
      </c>
      <c r="F90" s="1">
        <f t="shared" si="4"/>
        <v>0</v>
      </c>
      <c r="G90" s="1">
        <f t="shared" si="5"/>
        <v>0</v>
      </c>
      <c r="H90" s="1"/>
      <c r="I90" s="1"/>
      <c r="J90" s="1"/>
      <c r="K90" s="1"/>
      <c r="L90" s="1"/>
    </row>
    <row r="91" spans="1:12">
      <c r="A91" s="1" t="str">
        <f>IFERROR(INDEX('02_ツリー'!$E$5:$E$679,MATCH(ROW()-10,'02_ツリー'!$R$5:$R$679,0)),"")</f>
        <v>t_buf</v>
      </c>
      <c r="B91" s="1">
        <f>IF($A91="","",SUMIFS('02_ツリー'!$K$5:$K$679,'02_ツリー'!$E$5:$E$679,$A91,'02_ツリー'!$K$5:$K$679,"&gt;0"))</f>
        <v>0.32675786501464676</v>
      </c>
      <c r="C91" s="1">
        <f>IF($A91="","",SUMIFS('02_ツリー'!$K$5:$K$679,'02_ツリー'!$E$5:$E$679,$A91,'02_ツリー'!$K$5:$K$679,"&lt;0"))</f>
        <v>0</v>
      </c>
      <c r="D91" s="1">
        <f t="shared" si="3"/>
        <v>0.32675786501464676</v>
      </c>
      <c r="E91" s="1">
        <f>IF($A91="","",--(COUNTIFS('02_ツリー'!$E$5:$E$679,$A91,'02_ツリー'!$O$5:$O$679,0)=0))</f>
        <v>1</v>
      </c>
      <c r="F91" s="1">
        <f t="shared" si="4"/>
        <v>0</v>
      </c>
      <c r="G91" s="1">
        <f t="shared" si="5"/>
        <v>0</v>
      </c>
      <c r="H91" s="1"/>
      <c r="I91" s="1"/>
      <c r="J91" s="1"/>
      <c r="K91" s="1"/>
      <c r="L91" s="1"/>
    </row>
    <row r="92" spans="1:12">
      <c r="A92" s="1" t="str">
        <f>IFERROR(INDEX('02_ツリー'!$E$5:$E$679,MATCH(ROW()-10,'02_ツリー'!$R$5:$R$679,0)),"")</f>
        <v>r_vdc</v>
      </c>
      <c r="B92" s="1">
        <f>IF($A92="","",SUMIFS('02_ツリー'!$K$5:$K$679,'02_ツリー'!$E$5:$E$679,$A92,'02_ツリー'!$K$5:$K$679,"&gt;0"))</f>
        <v>0</v>
      </c>
      <c r="C92" s="1">
        <f>IF($A92="","",SUMIFS('02_ツリー'!$K$5:$K$679,'02_ツリー'!$E$5:$E$679,$A92,'02_ツリー'!$K$5:$K$679,"&lt;0"))</f>
        <v>-0.31837945821939939</v>
      </c>
      <c r="D92" s="1">
        <f t="shared" si="3"/>
        <v>-0.31837945821939939</v>
      </c>
      <c r="E92" s="1">
        <f>IF($A92="","",--(COUNTIFS('02_ツリー'!$E$5:$E$679,$A92,'02_ツリー'!$O$5:$O$679,0)=0))</f>
        <v>1</v>
      </c>
      <c r="F92" s="1">
        <f t="shared" si="4"/>
        <v>0</v>
      </c>
      <c r="G92" s="1">
        <f t="shared" si="5"/>
        <v>0</v>
      </c>
      <c r="H92" s="1"/>
      <c r="I92" s="1"/>
      <c r="J92" s="1"/>
      <c r="K92" s="1"/>
      <c r="L92" s="1"/>
    </row>
    <row r="93" spans="1:12">
      <c r="A93" s="1" t="str">
        <f>IFERROR(INDEX('02_ツリー'!$E$5:$E$679,MATCH(ROW()-10,'02_ツリー'!$R$5:$R$679,0)),"")</f>
        <v>mC_spec</v>
      </c>
      <c r="B93" s="1">
        <f>IF($A93="","",SUMIFS('02_ツリー'!$K$5:$K$679,'02_ツリー'!$E$5:$E$679,$A93,'02_ツリー'!$K$5:$K$679,"&gt;0"))</f>
        <v>0.32675786501464676</v>
      </c>
      <c r="C93" s="1">
        <f>IF($A93="","",SUMIFS('02_ツリー'!$K$5:$K$679,'02_ツリー'!$E$5:$E$679,$A93,'02_ツリー'!$K$5:$K$679,"&lt;0"))</f>
        <v>0</v>
      </c>
      <c r="D93" s="1">
        <f t="shared" si="3"/>
        <v>0.32675786501464676</v>
      </c>
      <c r="E93" s="1">
        <f>IF($A93="","",--(COUNTIFS('02_ツリー'!$E$5:$E$679,$A93,'02_ツリー'!$O$5:$O$679,0)=0))</f>
        <v>0</v>
      </c>
      <c r="F93" s="1">
        <f t="shared" si="4"/>
        <v>0</v>
      </c>
      <c r="G93" s="1">
        <f t="shared" si="5"/>
        <v>0</v>
      </c>
      <c r="H93" s="1"/>
      <c r="I93" s="1"/>
      <c r="J93" s="1"/>
      <c r="K93" s="1"/>
      <c r="L93" s="1"/>
    </row>
    <row r="94" spans="1:12">
      <c r="A94" s="1" t="str">
        <f>IFERROR(INDEX('02_ツリー'!$E$5:$E$679,MATCH(ROW()-10,'02_ツリー'!$R$5:$R$679,0)),"")</f>
        <v>V_cap</v>
      </c>
      <c r="B94" s="1">
        <f>IF($A94="","",SUMIFS('02_ツリー'!$K$5:$K$679,'02_ツリー'!$E$5:$E$679,$A94,'02_ツリー'!$K$5:$K$679,"&gt;0"))</f>
        <v>0.65351573002929353</v>
      </c>
      <c r="C94" s="1">
        <f>IF($A94="","",SUMIFS('02_ツリー'!$K$5:$K$679,'02_ツリー'!$E$5:$E$679,$A94,'02_ツリー'!$K$5:$K$679,"&lt;0"))</f>
        <v>0</v>
      </c>
      <c r="D94" s="1">
        <f t="shared" si="3"/>
        <v>0.65351573002929353</v>
      </c>
      <c r="E94" s="1">
        <f>IF($A94="","",--(COUNTIFS('02_ツリー'!$E$5:$E$679,$A94,'02_ツリー'!$O$5:$O$679,0)=0))</f>
        <v>0</v>
      </c>
      <c r="F94" s="1">
        <f t="shared" si="4"/>
        <v>0</v>
      </c>
      <c r="G94" s="1">
        <f t="shared" si="5"/>
        <v>0</v>
      </c>
      <c r="H94" s="1"/>
      <c r="I94" s="1"/>
      <c r="J94" s="1"/>
      <c r="K94" s="1"/>
      <c r="L94" s="1"/>
    </row>
    <row r="95" spans="1:12">
      <c r="A95" s="1" t="str">
        <f>IFERROR(INDEX('02_ツリー'!$E$5:$E$679,MATCH(ROW()-10,'02_ツリー'!$R$5:$R$679,0)),"")</f>
        <v>K_vcap</v>
      </c>
      <c r="B95" s="1">
        <f>IF($A95="","",SUMIFS('02_ツリー'!$K$5:$K$679,'02_ツリー'!$E$5:$E$679,$A95,'02_ツリー'!$K$5:$K$679,"&gt;0"))</f>
        <v>0.65351573002929353</v>
      </c>
      <c r="C95" s="1">
        <f>IF($A95="","",SUMIFS('02_ツリー'!$K$5:$K$679,'02_ツリー'!$E$5:$E$679,$A95,'02_ツリー'!$K$5:$K$679,"&lt;0"))</f>
        <v>0</v>
      </c>
      <c r="D95" s="1">
        <f t="shared" si="3"/>
        <v>0.65351573002929353</v>
      </c>
      <c r="E95" s="1">
        <f>IF($A95="","",--(COUNTIFS('02_ツリー'!$E$5:$E$679,$A95,'02_ツリー'!$O$5:$O$679,0)=0))</f>
        <v>1</v>
      </c>
      <c r="F95" s="1">
        <f t="shared" si="4"/>
        <v>0</v>
      </c>
      <c r="G95" s="1">
        <f t="shared" si="5"/>
        <v>0</v>
      </c>
      <c r="H95" s="1"/>
      <c r="I95" s="1"/>
      <c r="J95" s="1"/>
      <c r="K95" s="1"/>
      <c r="L95" s="1"/>
    </row>
    <row r="96" spans="1:12">
      <c r="A96" s="1" t="str">
        <f>IFERROR(INDEX('02_ツリー'!$E$5:$E$679,MATCH(ROW()-10,'02_ツリー'!$R$5:$R$679,0)),"")</f>
        <v>e_cap</v>
      </c>
      <c r="B96" s="1">
        <f>IF($A96="","",SUMIFS('02_ツリー'!$K$5:$K$679,'02_ツリー'!$E$5:$E$679,$A96,'02_ツリー'!$K$5:$K$679,"&gt;0"))</f>
        <v>0</v>
      </c>
      <c r="C96" s="1">
        <f>IF($A96="","",SUMIFS('02_ツリー'!$K$5:$K$679,'02_ツリー'!$E$5:$E$679,$A96,'02_ツリー'!$K$5:$K$679,"&lt;0"))</f>
        <v>-0.32675786501464676</v>
      </c>
      <c r="D96" s="1">
        <f t="shared" si="3"/>
        <v>-0.32675786501464676</v>
      </c>
      <c r="E96" s="1">
        <f>IF($A96="","",--(COUNTIFS('02_ツリー'!$E$5:$E$679,$A96,'02_ツリー'!$O$5:$O$679,0)=0))</f>
        <v>0</v>
      </c>
      <c r="F96" s="1">
        <f t="shared" si="4"/>
        <v>0</v>
      </c>
      <c r="G96" s="1">
        <f t="shared" si="5"/>
        <v>0</v>
      </c>
      <c r="H96" s="1"/>
      <c r="I96" s="1"/>
      <c r="J96" s="1"/>
      <c r="K96" s="1"/>
      <c r="L96" s="1"/>
    </row>
    <row r="97" spans="1:12">
      <c r="A97" s="1" t="str">
        <f>IFERROR(INDEX('02_ツリー'!$E$5:$E$679,MATCH(ROW()-10,'02_ツリー'!$R$5:$R$679,0)),"")</f>
        <v>e_cap_ref</v>
      </c>
      <c r="B97" s="1">
        <f>IF($A97="","",SUMIFS('02_ツリー'!$K$5:$K$679,'02_ツリー'!$E$5:$E$679,$A97,'02_ツリー'!$K$5:$K$679,"&gt;0"))</f>
        <v>0</v>
      </c>
      <c r="C97" s="1">
        <f>IF($A97="","",SUMIFS('02_ツリー'!$K$5:$K$679,'02_ツリー'!$E$5:$E$679,$A97,'02_ツリー'!$K$5:$K$679,"&lt;0"))</f>
        <v>-0.11575083472037023</v>
      </c>
      <c r="D97" s="1">
        <f t="shared" si="3"/>
        <v>-0.11575083472037023</v>
      </c>
      <c r="E97" s="1">
        <f>IF($A97="","",--(COUNTIFS('02_ツリー'!$E$5:$E$679,$A97,'02_ツリー'!$O$5:$O$679,0)=0))</f>
        <v>1</v>
      </c>
      <c r="F97" s="1">
        <f t="shared" si="4"/>
        <v>0</v>
      </c>
      <c r="G97" s="1">
        <f t="shared" si="5"/>
        <v>0</v>
      </c>
      <c r="H97" s="1"/>
      <c r="I97" s="1"/>
      <c r="J97" s="1"/>
      <c r="K97" s="1"/>
      <c r="L97" s="1"/>
    </row>
    <row r="98" spans="1:12">
      <c r="A98" s="1" t="str">
        <f>IFERROR(INDEX('02_ツリー'!$E$5:$E$679,MATCH(ROW()-10,'02_ツリー'!$R$5:$R$679,0)),"")</f>
        <v>k_dielectric</v>
      </c>
      <c r="B98" s="1">
        <f>IF($A98="","",SUMIFS('02_ツリー'!$K$5:$K$679,'02_ツリー'!$E$5:$E$679,$A98,'02_ツリー'!$K$5:$K$679,"&gt;0"))</f>
        <v>0</v>
      </c>
      <c r="C98" s="1">
        <f>IF($A98="","",SUMIFS('02_ツリー'!$K$5:$K$679,'02_ツリー'!$E$5:$E$679,$A98,'02_ツリー'!$K$5:$K$679,"&lt;0"))</f>
        <v>-0.11575083472037023</v>
      </c>
      <c r="D98" s="1">
        <f t="shared" si="3"/>
        <v>-0.11575083472037023</v>
      </c>
      <c r="E98" s="1">
        <f>IF($A98="","",--(COUNTIFS('02_ツリー'!$E$5:$E$679,$A98,'02_ツリー'!$O$5:$O$679,0)=0))</f>
        <v>1</v>
      </c>
      <c r="F98" s="1">
        <f t="shared" si="4"/>
        <v>0</v>
      </c>
      <c r="G98" s="1">
        <f t="shared" si="5"/>
        <v>0</v>
      </c>
      <c r="H98" s="1"/>
      <c r="I98" s="1"/>
      <c r="J98" s="1"/>
      <c r="K98" s="1"/>
      <c r="L98" s="1"/>
    </row>
    <row r="99" spans="1:12">
      <c r="A99" s="1" t="str">
        <f>IFERROR(INDEX('02_ツリー'!$E$5:$E$679,MATCH(ROW()-10,'02_ツリー'!$R$5:$R$679,0)),"")</f>
        <v>k_pack_cap</v>
      </c>
      <c r="B99" s="1">
        <f>IF($A99="","",SUMIFS('02_ツリー'!$K$5:$K$679,'02_ツリー'!$E$5:$E$679,$A99,'02_ツリー'!$K$5:$K$679,"&gt;0"))</f>
        <v>0</v>
      </c>
      <c r="C99" s="1">
        <f>IF($A99="","",SUMIFS('02_ツリー'!$K$5:$K$679,'02_ツリー'!$E$5:$E$679,$A99,'02_ツリー'!$K$5:$K$679,"&lt;0"))</f>
        <v>-0.32675786501464676</v>
      </c>
      <c r="D99" s="1">
        <f t="shared" si="3"/>
        <v>-0.32675786501464676</v>
      </c>
      <c r="E99" s="1">
        <f>IF($A99="","",--(COUNTIFS('02_ツリー'!$E$5:$E$679,$A99,'02_ツリー'!$O$5:$O$679,0)=0))</f>
        <v>1</v>
      </c>
      <c r="F99" s="1">
        <f t="shared" si="4"/>
        <v>0</v>
      </c>
      <c r="G99" s="1">
        <f t="shared" si="5"/>
        <v>0</v>
      </c>
      <c r="H99" s="1"/>
      <c r="I99" s="1"/>
      <c r="J99" s="1"/>
      <c r="K99" s="1"/>
      <c r="L99" s="1"/>
    </row>
    <row r="100" spans="1:12">
      <c r="A100" s="1" t="str">
        <f>IFERROR(INDEX('02_ツリー'!$E$5:$E$679,MATCH(ROW()-10,'02_ツリー'!$R$5:$R$679,0)),"")</f>
        <v>mC_fix</v>
      </c>
      <c r="B100" s="1">
        <f>IF($A100="","",SUMIFS('02_ツリー'!$K$5:$K$679,'02_ツリー'!$E$5:$E$679,$A100,'02_ツリー'!$K$5:$K$679,"&gt;0"))</f>
        <v>8.0398284866275531E-3</v>
      </c>
      <c r="C100" s="1">
        <f>IF($A100="","",SUMIFS('02_ツリー'!$K$5:$K$679,'02_ツリー'!$E$5:$E$679,$A100,'02_ツリー'!$K$5:$K$679,"&lt;0"))</f>
        <v>0</v>
      </c>
      <c r="D100" s="1">
        <f t="shared" si="3"/>
        <v>8.0398284866275531E-3</v>
      </c>
      <c r="E100" s="1">
        <f>IF($A100="","",--(COUNTIFS('02_ツリー'!$E$5:$E$679,$A100,'02_ツリー'!$O$5:$O$679,0)=0))</f>
        <v>1</v>
      </c>
      <c r="F100" s="1">
        <f t="shared" si="4"/>
        <v>0</v>
      </c>
      <c r="G100" s="1">
        <f t="shared" si="5"/>
        <v>0</v>
      </c>
      <c r="H100" s="1"/>
      <c r="I100" s="1"/>
      <c r="J100" s="1"/>
      <c r="K100" s="1"/>
      <c r="L100" s="1"/>
    </row>
    <row r="101" spans="1:12">
      <c r="A101" s="1" t="str">
        <f>IFERROR(INDEX('02_ツリー'!$E$5:$E$679,MATCH(ROW()-10,'02_ツリー'!$R$5:$R$679,0)),"")</f>
        <v>M_bus</v>
      </c>
      <c r="B101" s="1">
        <f>IF($A101="","",SUMIFS('02_ツリー'!$K$5:$K$679,'02_ツリー'!$E$5:$E$679,$A101,'02_ツリー'!$K$5:$K$679,"&gt;0"))</f>
        <v>0.14471442621440317</v>
      </c>
      <c r="C101" s="1">
        <f>IF($A101="","",SUMIFS('02_ツリー'!$K$5:$K$679,'02_ツリー'!$E$5:$E$679,$A101,'02_ツリー'!$K$5:$K$679,"&lt;0"))</f>
        <v>0</v>
      </c>
      <c r="D101" s="1">
        <f t="shared" si="3"/>
        <v>0.14471442621440317</v>
      </c>
      <c r="E101" s="1">
        <f>IF($A101="","",--(COUNTIFS('02_ツリー'!$E$5:$E$679,$A101,'02_ツリー'!$O$5:$O$679,0)=0))</f>
        <v>0</v>
      </c>
      <c r="F101" s="1">
        <f t="shared" si="4"/>
        <v>0</v>
      </c>
      <c r="G101" s="1">
        <f t="shared" si="5"/>
        <v>0</v>
      </c>
      <c r="H101" s="1"/>
      <c r="I101" s="1"/>
      <c r="J101" s="1"/>
      <c r="K101" s="1"/>
      <c r="L101" s="1"/>
    </row>
    <row r="102" spans="1:12">
      <c r="A102" s="1" t="str">
        <f>IFERROR(INDEX('02_ツリー'!$E$5:$E$679,MATCH(ROW()-10,'02_ツリー'!$R$5:$R$679,0)),"")</f>
        <v>m_bus</v>
      </c>
      <c r="B102" s="1">
        <f>IF($A102="","",SUMIFS('02_ツリー'!$K$5:$K$679,'02_ツリー'!$E$5:$E$679,$A102,'02_ツリー'!$K$5:$K$679,"&gt;0"))</f>
        <v>0.14471442621440317</v>
      </c>
      <c r="C102" s="1">
        <f>IF($A102="","",SUMIFS('02_ツリー'!$K$5:$K$679,'02_ツリー'!$E$5:$E$679,$A102,'02_ツリー'!$K$5:$K$679,"&lt;0"))</f>
        <v>0</v>
      </c>
      <c r="D102" s="1">
        <f t="shared" si="3"/>
        <v>0.14471442621440317</v>
      </c>
      <c r="E102" s="1">
        <f>IF($A102="","",--(COUNTIFS('02_ツリー'!$E$5:$E$679,$A102,'02_ツリー'!$O$5:$O$679,0)=0))</f>
        <v>0</v>
      </c>
      <c r="F102" s="1">
        <f t="shared" si="4"/>
        <v>0</v>
      </c>
      <c r="G102" s="1">
        <f t="shared" si="5"/>
        <v>0</v>
      </c>
      <c r="H102" s="1"/>
      <c r="I102" s="1"/>
      <c r="J102" s="1"/>
      <c r="K102" s="1"/>
      <c r="L102" s="1"/>
    </row>
    <row r="103" spans="1:12">
      <c r="A103" s="1" t="str">
        <f>IFERROR(INDEX('02_ツリー'!$E$5:$E$679,MATCH(ROW()-10,'02_ツリー'!$R$5:$R$679,0)),"")</f>
        <v>N_bus</v>
      </c>
      <c r="B103" s="1">
        <f>IF($A103="","",SUMIFS('02_ツリー'!$K$5:$K$679,'02_ツリー'!$E$5:$E$679,$A103,'02_ツリー'!$K$5:$K$679,"&gt;0"))</f>
        <v>6.5724354605733851E-2</v>
      </c>
      <c r="C103" s="1">
        <f>IF($A103="","",SUMIFS('02_ツリー'!$K$5:$K$679,'02_ツリー'!$E$5:$E$679,$A103,'02_ツリー'!$K$5:$K$679,"&lt;0"))</f>
        <v>0</v>
      </c>
      <c r="D103" s="1">
        <f t="shared" si="3"/>
        <v>6.5724354605733851E-2</v>
      </c>
      <c r="E103" s="1">
        <f>IF($A103="","",--(COUNTIFS('02_ツリー'!$E$5:$E$679,$A103,'02_ツリー'!$O$5:$O$679,0)=0))</f>
        <v>1</v>
      </c>
      <c r="F103" s="1">
        <f t="shared" si="4"/>
        <v>0</v>
      </c>
      <c r="G103" s="1">
        <f t="shared" si="5"/>
        <v>0</v>
      </c>
      <c r="H103" s="1"/>
      <c r="I103" s="1"/>
      <c r="J103" s="1"/>
      <c r="K103" s="1"/>
      <c r="L103" s="1"/>
    </row>
    <row r="104" spans="1:12">
      <c r="A104" s="1" t="str">
        <f>IFERROR(INDEX('02_ツリー'!$E$5:$E$679,MATCH(ROW()-10,'02_ツリー'!$R$5:$R$679,0)),"")</f>
        <v>L_bus</v>
      </c>
      <c r="B104" s="1">
        <f>IF($A104="","",SUMIFS('02_ツリー'!$K$5:$K$679,'02_ツリー'!$E$5:$E$679,$A104,'02_ツリー'!$K$5:$K$679,"&gt;0"))</f>
        <v>6.5724354605733851E-2</v>
      </c>
      <c r="C104" s="1">
        <f>IF($A104="","",SUMIFS('02_ツリー'!$K$5:$K$679,'02_ツリー'!$E$5:$E$679,$A104,'02_ツリー'!$K$5:$K$679,"&lt;0"))</f>
        <v>0</v>
      </c>
      <c r="D104" s="1">
        <f t="shared" si="3"/>
        <v>6.5724354605733851E-2</v>
      </c>
      <c r="E104" s="1">
        <f>IF($A104="","",--(COUNTIFS('02_ツリー'!$E$5:$E$679,$A104,'02_ツリー'!$O$5:$O$679,0)=0))</f>
        <v>1</v>
      </c>
      <c r="F104" s="1">
        <f t="shared" si="4"/>
        <v>0</v>
      </c>
      <c r="G104" s="1">
        <f t="shared" si="5"/>
        <v>0</v>
      </c>
      <c r="H104" s="1"/>
      <c r="I104" s="1"/>
      <c r="J104" s="1"/>
      <c r="K104" s="1"/>
      <c r="L104" s="1"/>
    </row>
    <row r="105" spans="1:12">
      <c r="A105" s="1" t="str">
        <f>IFERROR(INDEX('02_ツリー'!$E$5:$E$679,MATCH(ROW()-10,'02_ツリー'!$R$5:$R$679,0)),"")</f>
        <v>A_bus</v>
      </c>
      <c r="B105" s="1">
        <f>IF($A105="","",SUMIFS('02_ツリー'!$K$5:$K$679,'02_ツリー'!$E$5:$E$679,$A105,'02_ツリー'!$K$5:$K$679,"&gt;0"))</f>
        <v>6.5724354605733851E-2</v>
      </c>
      <c r="C105" s="1">
        <f>IF($A105="","",SUMIFS('02_ツリー'!$K$5:$K$679,'02_ツリー'!$E$5:$E$679,$A105,'02_ツリー'!$K$5:$K$679,"&lt;0"))</f>
        <v>0</v>
      </c>
      <c r="D105" s="1">
        <f t="shared" si="3"/>
        <v>6.5724354605733851E-2</v>
      </c>
      <c r="E105" s="1">
        <f>IF($A105="","",--(COUNTIFS('02_ツリー'!$E$5:$E$679,$A105,'02_ツリー'!$O$5:$O$679,0)=0))</f>
        <v>0</v>
      </c>
      <c r="F105" s="1">
        <f t="shared" si="4"/>
        <v>0</v>
      </c>
      <c r="G105" s="1">
        <f t="shared" si="5"/>
        <v>0</v>
      </c>
      <c r="H105" s="1"/>
      <c r="I105" s="1"/>
      <c r="J105" s="1"/>
      <c r="K105" s="1"/>
      <c r="L105" s="1"/>
    </row>
    <row r="106" spans="1:12">
      <c r="A106" s="1" t="str">
        <f>IFERROR(INDEX('02_ツリー'!$E$5:$E$679,MATCH(ROW()-10,'02_ツリー'!$R$5:$R$679,0)),"")</f>
        <v>I_dc</v>
      </c>
      <c r="B106" s="1">
        <f>IF($A106="","",SUMIFS('02_ツリー'!$K$5:$K$679,'02_ツリー'!$E$5:$E$679,$A106,'02_ツリー'!$K$5:$K$679,"&gt;0"))</f>
        <v>6.5724354605733851E-2</v>
      </c>
      <c r="C106" s="1">
        <f>IF($A106="","",SUMIFS('02_ツリー'!$K$5:$K$679,'02_ツリー'!$E$5:$E$679,$A106,'02_ツリー'!$K$5:$K$679,"&lt;0"))</f>
        <v>0</v>
      </c>
      <c r="D106" s="1">
        <f t="shared" si="3"/>
        <v>6.5724354605733851E-2</v>
      </c>
      <c r="E106" s="1">
        <f>IF($A106="","",--(COUNTIFS('02_ツリー'!$E$5:$E$679,$A106,'02_ツリー'!$O$5:$O$679,0)=0))</f>
        <v>0</v>
      </c>
      <c r="F106" s="1">
        <f t="shared" si="4"/>
        <v>0</v>
      </c>
      <c r="G106" s="1">
        <f t="shared" si="5"/>
        <v>0</v>
      </c>
      <c r="H106" s="1"/>
      <c r="I106" s="1"/>
      <c r="J106" s="1"/>
      <c r="K106" s="1"/>
      <c r="L106" s="1"/>
    </row>
    <row r="107" spans="1:12">
      <c r="A107" s="1" t="str">
        <f>IFERROR(INDEX('02_ツリー'!$E$5:$E$679,MATCH(ROW()-10,'02_ツリー'!$R$5:$R$679,0)),"")</f>
        <v>J_bus</v>
      </c>
      <c r="B107" s="1">
        <f>IF($A107="","",SUMIFS('02_ツリー'!$K$5:$K$679,'02_ツリー'!$E$5:$E$679,$A107,'02_ツリー'!$K$5:$K$679,"&gt;0"))</f>
        <v>0</v>
      </c>
      <c r="C107" s="1">
        <f>IF($A107="","",SUMIFS('02_ツリー'!$K$5:$K$679,'02_ツリー'!$E$5:$E$679,$A107,'02_ツリー'!$K$5:$K$679,"&lt;0"))</f>
        <v>-6.5724354605733851E-2</v>
      </c>
      <c r="D107" s="1">
        <f t="shared" si="3"/>
        <v>-6.5724354605733851E-2</v>
      </c>
      <c r="E107" s="1">
        <f>IF($A107="","",--(COUNTIFS('02_ツリー'!$E$5:$E$679,$A107,'02_ツリー'!$O$5:$O$679,0)=0))</f>
        <v>0</v>
      </c>
      <c r="F107" s="1">
        <f t="shared" si="4"/>
        <v>0</v>
      </c>
      <c r="G107" s="1">
        <f t="shared" si="5"/>
        <v>0</v>
      </c>
      <c r="H107" s="1"/>
      <c r="I107" s="1"/>
      <c r="J107" s="1"/>
      <c r="K107" s="1"/>
      <c r="L107" s="1"/>
    </row>
    <row r="108" spans="1:12">
      <c r="A108" s="1" t="str">
        <f>IFERROR(INDEX('02_ツリー'!$E$5:$E$679,MATCH(ROW()-10,'02_ツリー'!$R$5:$R$679,0)),"")</f>
        <v>J_bus_ref</v>
      </c>
      <c r="B108" s="1">
        <f>IF($A108="","",SUMIFS('02_ツリー'!$K$5:$K$679,'02_ツリー'!$E$5:$E$679,$A108,'02_ツリー'!$K$5:$K$679,"&gt;0"))</f>
        <v>0</v>
      </c>
      <c r="C108" s="1">
        <f>IF($A108="","",SUMIFS('02_ツリー'!$K$5:$K$679,'02_ツリー'!$E$5:$E$679,$A108,'02_ツリー'!$K$5:$K$679,"&lt;0"))</f>
        <v>-6.5724354605733851E-2</v>
      </c>
      <c r="D108" s="1">
        <f t="shared" si="3"/>
        <v>-6.5724354605733851E-2</v>
      </c>
      <c r="E108" s="1">
        <f>IF($A108="","",--(COUNTIFS('02_ツリー'!$E$5:$E$679,$A108,'02_ツリー'!$O$5:$O$679,0)=0))</f>
        <v>1</v>
      </c>
      <c r="F108" s="1">
        <f t="shared" si="4"/>
        <v>0</v>
      </c>
      <c r="G108" s="1">
        <f t="shared" si="5"/>
        <v>0</v>
      </c>
      <c r="H108" s="1"/>
      <c r="I108" s="1"/>
      <c r="J108" s="1"/>
      <c r="K108" s="1"/>
      <c r="L108" s="1"/>
    </row>
    <row r="109" spans="1:12">
      <c r="A109" s="1" t="str">
        <f>IFERROR(INDEX('02_ツリー'!$E$5:$E$679,MATCH(ROW()-10,'02_ツリー'!$R$5:$R$679,0)),"")</f>
        <v>k_temp</v>
      </c>
      <c r="B109" s="1">
        <f>IF($A109="","",SUMIFS('02_ツリー'!$K$5:$K$679,'02_ツリー'!$E$5:$E$679,$A109,'02_ツリー'!$K$5:$K$679,"&gt;0"))</f>
        <v>0</v>
      </c>
      <c r="C109" s="1">
        <f>IF($A109="","",SUMIFS('02_ツリー'!$K$5:$K$679,'02_ツリー'!$E$5:$E$679,$A109,'02_ツリー'!$K$5:$K$679,"&lt;0"))</f>
        <v>-6.5724354605733851E-2</v>
      </c>
      <c r="D109" s="1">
        <f t="shared" si="3"/>
        <v>-6.5724354605733851E-2</v>
      </c>
      <c r="E109" s="1">
        <f>IF($A109="","",--(COUNTIFS('02_ツリー'!$E$5:$E$679,$A109,'02_ツリー'!$O$5:$O$679,0)=0))</f>
        <v>0</v>
      </c>
      <c r="F109" s="1">
        <f t="shared" si="4"/>
        <v>0</v>
      </c>
      <c r="G109" s="1">
        <f t="shared" si="5"/>
        <v>0</v>
      </c>
      <c r="H109" s="1"/>
      <c r="I109" s="1"/>
      <c r="J109" s="1"/>
      <c r="K109" s="1"/>
      <c r="L109" s="1"/>
    </row>
    <row r="110" spans="1:12">
      <c r="A110" s="1" t="str">
        <f>IFERROR(INDEX('02_ツリー'!$E$5:$E$679,MATCH(ROW()-10,'02_ツリー'!$R$5:$R$679,0)),"")</f>
        <v>dT_bus</v>
      </c>
      <c r="B110" s="1">
        <f>IF($A110="","",SUMIFS('02_ツリー'!$K$5:$K$679,'02_ツリー'!$E$5:$E$679,$A110,'02_ツリー'!$K$5:$K$679,"&gt;0"))</f>
        <v>0</v>
      </c>
      <c r="C110" s="1">
        <f>IF($A110="","",SUMIFS('02_ツリー'!$K$5:$K$679,'02_ツリー'!$E$5:$E$679,$A110,'02_ツリー'!$K$5:$K$679,"&lt;0"))</f>
        <v>-3.2862177302866925E-2</v>
      </c>
      <c r="D110" s="1">
        <f t="shared" si="3"/>
        <v>-3.2862177302866925E-2</v>
      </c>
      <c r="E110" s="1">
        <f>IF($A110="","",--(COUNTIFS('02_ツリー'!$E$5:$E$679,$A110,'02_ツリー'!$O$5:$O$679,0)=0))</f>
        <v>0</v>
      </c>
      <c r="F110" s="1">
        <f t="shared" si="4"/>
        <v>0</v>
      </c>
      <c r="G110" s="1">
        <f t="shared" si="5"/>
        <v>0</v>
      </c>
      <c r="H110" s="1"/>
      <c r="I110" s="1"/>
      <c r="J110" s="1"/>
      <c r="K110" s="1"/>
      <c r="L110" s="1"/>
    </row>
    <row r="111" spans="1:12">
      <c r="A111" s="1" t="str">
        <f>IFERROR(INDEX('02_ツリー'!$E$5:$E$679,MATCH(ROW()-10,'02_ツリー'!$R$5:$R$679,0)),"")</f>
        <v>T_bus_max</v>
      </c>
      <c r="B111" s="1">
        <f>IF($A111="","",SUMIFS('02_ツリー'!$K$5:$K$679,'02_ツリー'!$E$5:$E$679,$A111,'02_ツリー'!$K$5:$K$679,"&gt;0"))</f>
        <v>0</v>
      </c>
      <c r="C111" s="1">
        <f>IF($A111="","",SUMIFS('02_ツリー'!$K$5:$K$679,'02_ツリー'!$E$5:$E$679,$A111,'02_ツリー'!$K$5:$K$679,"&lt;0"))</f>
        <v>-5.7508810280017121E-2</v>
      </c>
      <c r="D111" s="1">
        <f t="shared" si="3"/>
        <v>-5.7508810280017121E-2</v>
      </c>
      <c r="E111" s="1">
        <f>IF($A111="","",--(COUNTIFS('02_ツリー'!$E$5:$E$679,$A111,'02_ツリー'!$O$5:$O$679,0)=0))</f>
        <v>1</v>
      </c>
      <c r="F111" s="1">
        <f t="shared" si="4"/>
        <v>0</v>
      </c>
      <c r="G111" s="1">
        <f t="shared" si="5"/>
        <v>0</v>
      </c>
      <c r="H111" s="1"/>
      <c r="I111" s="1"/>
      <c r="J111" s="1"/>
      <c r="K111" s="1"/>
      <c r="L111" s="1"/>
    </row>
    <row r="112" spans="1:12">
      <c r="A112" s="1" t="str">
        <f>IFERROR(INDEX('02_ツリー'!$E$5:$E$679,MATCH(ROW()-10,'02_ツリー'!$R$5:$R$679,0)),"")</f>
        <v>T_amb</v>
      </c>
      <c r="B112" s="1">
        <f>IF($A112="","",SUMIFS('02_ツリー'!$K$5:$K$679,'02_ツリー'!$E$5:$E$679,$A112,'02_ツリー'!$K$5:$K$679,"&gt;0"))</f>
        <v>2.4646632977150196E-2</v>
      </c>
      <c r="C112" s="1">
        <f>IF($A112="","",SUMIFS('02_ツリー'!$K$5:$K$679,'02_ツリー'!$E$5:$E$679,$A112,'02_ツリー'!$K$5:$K$679,"&lt;0"))</f>
        <v>0</v>
      </c>
      <c r="D112" s="1">
        <f t="shared" si="3"/>
        <v>2.4646632977150196E-2</v>
      </c>
      <c r="E112" s="1">
        <f>IF($A112="","",--(COUNTIFS('02_ツリー'!$E$5:$E$679,$A112,'02_ツリー'!$O$5:$O$679,0)=0))</f>
        <v>1</v>
      </c>
      <c r="F112" s="1">
        <f t="shared" si="4"/>
        <v>0</v>
      </c>
      <c r="G112" s="1">
        <f t="shared" si="5"/>
        <v>0</v>
      </c>
      <c r="H112" s="1"/>
      <c r="I112" s="1"/>
      <c r="J112" s="1"/>
      <c r="K112" s="1"/>
      <c r="L112" s="1"/>
    </row>
    <row r="113" spans="1:12">
      <c r="A113" s="1" t="str">
        <f>IFERROR(INDEX('02_ツリー'!$E$5:$E$679,MATCH(ROW()-10,'02_ツリー'!$R$5:$R$679,0)),"")</f>
        <v>dT_bus_ref</v>
      </c>
      <c r="B113" s="1">
        <f>IF($A113="","",SUMIFS('02_ツリー'!$K$5:$K$679,'02_ツリー'!$E$5:$E$679,$A113,'02_ツリー'!$K$5:$K$679,"&gt;0"))</f>
        <v>3.2862177302866925E-2</v>
      </c>
      <c r="C113" s="1">
        <f>IF($A113="","",SUMIFS('02_ツリー'!$K$5:$K$679,'02_ツリー'!$E$5:$E$679,$A113,'02_ツリー'!$K$5:$K$679,"&lt;0"))</f>
        <v>0</v>
      </c>
      <c r="D113" s="1">
        <f t="shared" si="3"/>
        <v>3.2862177302866925E-2</v>
      </c>
      <c r="E113" s="1">
        <f>IF($A113="","",--(COUNTIFS('02_ツリー'!$E$5:$E$679,$A113,'02_ツリー'!$O$5:$O$679,0)=0))</f>
        <v>1</v>
      </c>
      <c r="F113" s="1">
        <f t="shared" si="4"/>
        <v>0</v>
      </c>
      <c r="G113" s="1">
        <f t="shared" si="5"/>
        <v>0</v>
      </c>
      <c r="H113" s="1"/>
      <c r="I113" s="1"/>
      <c r="J113" s="1"/>
      <c r="K113" s="1"/>
      <c r="L113" s="1"/>
    </row>
    <row r="114" spans="1:12">
      <c r="A114" s="1" t="str">
        <f>IFERROR(INDEX('02_ツリー'!$E$5:$E$679,MATCH(ROW()-10,'02_ツリー'!$R$5:$R$679,0)),"")</f>
        <v>k_bus_cool</v>
      </c>
      <c r="B114" s="1">
        <f>IF($A114="","",SUMIFS('02_ツリー'!$K$5:$K$679,'02_ツリー'!$E$5:$E$679,$A114,'02_ツリー'!$K$5:$K$679,"&gt;0"))</f>
        <v>0</v>
      </c>
      <c r="C114" s="1">
        <f>IF($A114="","",SUMIFS('02_ツリー'!$K$5:$K$679,'02_ツリー'!$E$5:$E$679,$A114,'02_ツリー'!$K$5:$K$679,"&lt;0"))</f>
        <v>-6.5724354605733851E-2</v>
      </c>
      <c r="D114" s="1">
        <f t="shared" si="3"/>
        <v>-6.5724354605733851E-2</v>
      </c>
      <c r="E114" s="1">
        <f>IF($A114="","",--(COUNTIFS('02_ツリー'!$E$5:$E$679,$A114,'02_ツリー'!$O$5:$O$679,0)=0))</f>
        <v>1</v>
      </c>
      <c r="F114" s="1">
        <f t="shared" si="4"/>
        <v>0</v>
      </c>
      <c r="G114" s="1">
        <f t="shared" si="5"/>
        <v>0</v>
      </c>
      <c r="H114" s="1"/>
      <c r="I114" s="1"/>
      <c r="J114" s="1"/>
      <c r="K114" s="1"/>
      <c r="L114" s="1"/>
    </row>
    <row r="115" spans="1:12">
      <c r="A115" s="1" t="str">
        <f>IFERROR(INDEX('02_ツリー'!$E$5:$E$679,MATCH(ROW()-10,'02_ツリー'!$R$5:$R$679,0)),"")</f>
        <v>rho_bus</v>
      </c>
      <c r="B115" s="1">
        <f>IF($A115="","",SUMIFS('02_ツリー'!$K$5:$K$679,'02_ツリー'!$E$5:$E$679,$A115,'02_ツリー'!$K$5:$K$679,"&gt;0"))</f>
        <v>6.5724354605733851E-2</v>
      </c>
      <c r="C115" s="1">
        <f>IF($A115="","",SUMIFS('02_ツリー'!$K$5:$K$679,'02_ツリー'!$E$5:$E$679,$A115,'02_ツリー'!$K$5:$K$679,"&lt;0"))</f>
        <v>0</v>
      </c>
      <c r="D115" s="1">
        <f t="shared" si="3"/>
        <v>6.5724354605733851E-2</v>
      </c>
      <c r="E115" s="1">
        <f>IF($A115="","",--(COUNTIFS('02_ツリー'!$E$5:$E$679,$A115,'02_ツリー'!$O$5:$O$679,0)=0))</f>
        <v>0</v>
      </c>
      <c r="F115" s="1">
        <f t="shared" si="4"/>
        <v>0</v>
      </c>
      <c r="G115" s="1">
        <f t="shared" si="5"/>
        <v>0</v>
      </c>
      <c r="H115" s="1"/>
      <c r="I115" s="1"/>
      <c r="J115" s="1"/>
      <c r="K115" s="1"/>
      <c r="L115" s="1"/>
    </row>
    <row r="116" spans="1:12">
      <c r="A116" s="1" t="str">
        <f>IFERROR(INDEX('02_ツリー'!$E$5:$E$679,MATCH(ROW()-10,'02_ツリー'!$R$5:$R$679,0)),"")</f>
        <v>K_bus</v>
      </c>
      <c r="B116" s="1">
        <f>IF($A116="","",SUMIFS('02_ツリー'!$K$5:$K$679,'02_ツリー'!$E$5:$E$679,$A116,'02_ツリー'!$K$5:$K$679,"&gt;0"))</f>
        <v>6.5724354605733851E-2</v>
      </c>
      <c r="C116" s="1">
        <f>IF($A116="","",SUMIFS('02_ツリー'!$K$5:$K$679,'02_ツリー'!$E$5:$E$679,$A116,'02_ツリー'!$K$5:$K$679,"&lt;0"))</f>
        <v>0</v>
      </c>
      <c r="D116" s="1">
        <f t="shared" si="3"/>
        <v>6.5724354605733851E-2</v>
      </c>
      <c r="E116" s="1">
        <f>IF($A116="","",--(COUNTIFS('02_ツリー'!$E$5:$E$679,$A116,'02_ツリー'!$O$5:$O$679,0)=0))</f>
        <v>1</v>
      </c>
      <c r="F116" s="1">
        <f t="shared" si="4"/>
        <v>0</v>
      </c>
      <c r="G116" s="1">
        <f t="shared" si="5"/>
        <v>0</v>
      </c>
      <c r="H116" s="1"/>
      <c r="I116" s="1"/>
      <c r="J116" s="1"/>
      <c r="K116" s="1"/>
      <c r="L116" s="1"/>
    </row>
    <row r="117" spans="1:12">
      <c r="A117" s="1" t="str">
        <f>IFERROR(INDEX('02_ツリー'!$E$5:$E$679,MATCH(ROW()-10,'02_ツリー'!$R$5:$R$679,0)),"")</f>
        <v>M_case</v>
      </c>
      <c r="B117" s="1">
        <f>IF($A117="","",SUMIFS('02_ツリー'!$K$5:$K$679,'02_ツリー'!$E$5:$E$679,$A117,'02_ツリー'!$K$5:$K$679,"&gt;0"))</f>
        <v>0.18918501746617486</v>
      </c>
      <c r="C117" s="1">
        <f>IF($A117="","",SUMIFS('02_ツリー'!$K$5:$K$679,'02_ツリー'!$E$5:$E$679,$A117,'02_ツリー'!$K$5:$K$679,"&lt;0"))</f>
        <v>0</v>
      </c>
      <c r="D117" s="1">
        <f t="shared" si="3"/>
        <v>0.18918501746617486</v>
      </c>
      <c r="E117" s="1">
        <f>IF($A117="","",--(COUNTIFS('02_ツリー'!$E$5:$E$679,$A117,'02_ツリー'!$O$5:$O$679,0)=0))</f>
        <v>0</v>
      </c>
      <c r="F117" s="1">
        <f t="shared" si="4"/>
        <v>0</v>
      </c>
      <c r="G117" s="1">
        <f t="shared" si="5"/>
        <v>0</v>
      </c>
      <c r="H117" s="1"/>
      <c r="I117" s="1"/>
      <c r="J117" s="1"/>
      <c r="K117" s="1"/>
      <c r="L117" s="1"/>
    </row>
    <row r="118" spans="1:12">
      <c r="A118" s="1" t="str">
        <f>IFERROR(INDEX('02_ツリー'!$E$5:$E$679,MATCH(ROW()-10,'02_ツリー'!$R$5:$R$679,0)),"")</f>
        <v>A_case</v>
      </c>
      <c r="B118" s="1">
        <f>IF($A118="","",SUMIFS('02_ツリー'!$K$5:$K$679,'02_ツリー'!$E$5:$E$679,$A118,'02_ツリー'!$K$5:$K$679,"&gt;0"))</f>
        <v>0.17471332619024527</v>
      </c>
      <c r="C118" s="1">
        <f>IF($A118="","",SUMIFS('02_ツリー'!$K$5:$K$679,'02_ツリー'!$E$5:$E$679,$A118,'02_ツリー'!$K$5:$K$679,"&lt;0"))</f>
        <v>0</v>
      </c>
      <c r="D118" s="1">
        <f t="shared" si="3"/>
        <v>0.17471332619024527</v>
      </c>
      <c r="E118" s="1">
        <f>IF($A118="","",--(COUNTIFS('02_ツリー'!$E$5:$E$679,$A118,'02_ツリー'!$O$5:$O$679,0)=0))</f>
        <v>0</v>
      </c>
      <c r="F118" s="1">
        <f t="shared" si="4"/>
        <v>0</v>
      </c>
      <c r="G118" s="1">
        <f t="shared" si="5"/>
        <v>0</v>
      </c>
      <c r="H118" s="1"/>
      <c r="I118" s="1"/>
      <c r="J118" s="1"/>
      <c r="K118" s="1"/>
      <c r="L118" s="1"/>
    </row>
    <row r="119" spans="1:12">
      <c r="A119" s="1" t="str">
        <f>IFERROR(INDEX('02_ツリー'!$E$5:$E$679,MATCH(ROW()-10,'02_ツリー'!$R$5:$R$679,0)),"")</f>
        <v>L_case</v>
      </c>
      <c r="B119" s="1">
        <f>IF($A119="","",SUMIFS('02_ツリー'!$K$5:$K$679,'02_ツリー'!$E$5:$E$679,$A119,'02_ツリー'!$K$5:$K$679,"&gt;0"))</f>
        <v>0.14294726688292794</v>
      </c>
      <c r="C119" s="1">
        <f>IF($A119="","",SUMIFS('02_ツリー'!$K$5:$K$679,'02_ツリー'!$E$5:$E$679,$A119,'02_ツリー'!$K$5:$K$679,"&lt;0"))</f>
        <v>0</v>
      </c>
      <c r="D119" s="1">
        <f t="shared" si="3"/>
        <v>0.14294726688292794</v>
      </c>
      <c r="E119" s="1">
        <f>IF($A119="","",--(COUNTIFS('02_ツリー'!$E$5:$E$679,$A119,'02_ツリー'!$O$5:$O$679,0)=0))</f>
        <v>1</v>
      </c>
      <c r="F119" s="1">
        <f t="shared" si="4"/>
        <v>0</v>
      </c>
      <c r="G119" s="1">
        <f t="shared" si="5"/>
        <v>0</v>
      </c>
      <c r="H119" s="1"/>
      <c r="I119" s="1"/>
      <c r="J119" s="1"/>
      <c r="K119" s="1"/>
      <c r="L119" s="1"/>
    </row>
    <row r="120" spans="1:12">
      <c r="A120" s="1" t="str">
        <f>IFERROR(INDEX('02_ツリー'!$E$5:$E$679,MATCH(ROW()-10,'02_ツリー'!$R$5:$R$679,0)),"")</f>
        <v>W_case</v>
      </c>
      <c r="B120" s="1">
        <f>IF($A120="","",SUMIFS('02_ツリー'!$K$5:$K$679,'02_ツリー'!$E$5:$E$679,$A120,'02_ツリー'!$K$5:$K$679,"&gt;0"))</f>
        <v>0.12706423722926929</v>
      </c>
      <c r="C120" s="1">
        <f>IF($A120="","",SUMIFS('02_ツリー'!$K$5:$K$679,'02_ツリー'!$E$5:$E$679,$A120,'02_ツリー'!$K$5:$K$679,"&lt;0"))</f>
        <v>0</v>
      </c>
      <c r="D120" s="1">
        <f t="shared" si="3"/>
        <v>0.12706423722926929</v>
      </c>
      <c r="E120" s="1">
        <f>IF($A120="","",--(COUNTIFS('02_ツリー'!$E$5:$E$679,$A120,'02_ツリー'!$O$5:$O$679,0)=0))</f>
        <v>1</v>
      </c>
      <c r="F120" s="1">
        <f t="shared" si="4"/>
        <v>0</v>
      </c>
      <c r="G120" s="1">
        <f t="shared" si="5"/>
        <v>0</v>
      </c>
      <c r="H120" s="1"/>
      <c r="I120" s="1"/>
      <c r="J120" s="1"/>
      <c r="K120" s="1"/>
      <c r="L120" s="1"/>
    </row>
    <row r="121" spans="1:12">
      <c r="A121" s="1" t="str">
        <f>IFERROR(INDEX('02_ツリー'!$E$5:$E$679,MATCH(ROW()-10,'02_ツリー'!$R$5:$R$679,0)),"")</f>
        <v>H_case</v>
      </c>
      <c r="B121" s="1">
        <f>IF($A121="","",SUMIFS('02_ツリー'!$K$5:$K$679,'02_ツリー'!$E$5:$E$679,$A121,'02_ツリー'!$K$5:$K$679,"&gt;0"))</f>
        <v>7.9415148268293295E-2</v>
      </c>
      <c r="C121" s="1">
        <f>IF($A121="","",SUMIFS('02_ツリー'!$K$5:$K$679,'02_ツリー'!$E$5:$E$679,$A121,'02_ツリー'!$K$5:$K$679,"&lt;0"))</f>
        <v>0</v>
      </c>
      <c r="D121" s="1">
        <f t="shared" si="3"/>
        <v>7.9415148268293295E-2</v>
      </c>
      <c r="E121" s="1">
        <f>IF($A121="","",--(COUNTIFS('02_ツリー'!$E$5:$E$679,$A121,'02_ツリー'!$O$5:$O$679,0)=0))</f>
        <v>1</v>
      </c>
      <c r="F121" s="1">
        <f t="shared" si="4"/>
        <v>0</v>
      </c>
      <c r="G121" s="1">
        <f t="shared" si="5"/>
        <v>0</v>
      </c>
      <c r="H121" s="1"/>
      <c r="I121" s="1"/>
      <c r="J121" s="1"/>
      <c r="K121" s="1"/>
      <c r="L121" s="1"/>
    </row>
    <row r="122" spans="1:12">
      <c r="A122" s="1" t="str">
        <f>IFERROR(INDEX('02_ツリー'!$E$5:$E$679,MATCH(ROW()-10,'02_ツリー'!$R$5:$R$679,0)),"")</f>
        <v>t_case_eff</v>
      </c>
      <c r="B122" s="1">
        <f>IF($A122="","",SUMIFS('02_ツリー'!$K$5:$K$679,'02_ツリー'!$E$5:$E$679,$A122,'02_ツリー'!$K$5:$K$679,"&gt;0"))</f>
        <v>0.17471332619024527</v>
      </c>
      <c r="C122" s="1">
        <f>IF($A122="","",SUMIFS('02_ツリー'!$K$5:$K$679,'02_ツリー'!$E$5:$E$679,$A122,'02_ツリー'!$K$5:$K$679,"&lt;0"))</f>
        <v>0</v>
      </c>
      <c r="D122" s="1">
        <f t="shared" si="3"/>
        <v>0.17471332619024527</v>
      </c>
      <c r="E122" s="1">
        <f>IF($A122="","",--(COUNTIFS('02_ツリー'!$E$5:$E$679,$A122,'02_ツリー'!$O$5:$O$679,0)=0))</f>
        <v>0</v>
      </c>
      <c r="F122" s="1">
        <f t="shared" si="4"/>
        <v>0</v>
      </c>
      <c r="G122" s="1">
        <f t="shared" si="5"/>
        <v>0</v>
      </c>
      <c r="H122" s="1"/>
      <c r="I122" s="1"/>
      <c r="J122" s="1"/>
      <c r="K122" s="1"/>
      <c r="L122" s="1"/>
    </row>
    <row r="123" spans="1:12">
      <c r="A123" s="1" t="str">
        <f>IFERROR(INDEX('02_ツリー'!$E$5:$E$679,MATCH(ROW()-10,'02_ツリー'!$R$5:$R$679,0)),"")</f>
        <v>rho_case</v>
      </c>
      <c r="B123" s="1">
        <f>IF($A123="","",SUMIFS('02_ツリー'!$K$5:$K$679,'02_ツリー'!$E$5:$E$679,$A123,'02_ツリー'!$K$5:$K$679,"&gt;0"))</f>
        <v>0.17471332619024527</v>
      </c>
      <c r="C123" s="1">
        <f>IF($A123="","",SUMIFS('02_ツリー'!$K$5:$K$679,'02_ツリー'!$E$5:$E$679,$A123,'02_ツリー'!$K$5:$K$679,"&lt;0"))</f>
        <v>0</v>
      </c>
      <c r="D123" s="1">
        <f t="shared" si="3"/>
        <v>0.17471332619024527</v>
      </c>
      <c r="E123" s="1">
        <f>IF($A123="","",--(COUNTIFS('02_ツリー'!$E$5:$E$679,$A123,'02_ツリー'!$O$5:$O$679,0)=0))</f>
        <v>1</v>
      </c>
      <c r="F123" s="1">
        <f t="shared" si="4"/>
        <v>0</v>
      </c>
      <c r="G123" s="1">
        <f t="shared" si="5"/>
        <v>0</v>
      </c>
      <c r="H123" s="1"/>
      <c r="I123" s="1"/>
      <c r="J123" s="1"/>
      <c r="K123" s="1"/>
      <c r="L123" s="1"/>
    </row>
    <row r="124" spans="1:12">
      <c r="A124" s="1" t="str">
        <f>IFERROR(INDEX('02_ツリー'!$E$5:$E$679,MATCH(ROW()-10,'02_ツリー'!$R$5:$R$679,0)),"")</f>
        <v>K_case</v>
      </c>
      <c r="B124" s="1">
        <f>IF($A124="","",SUMIFS('02_ツリー'!$K$5:$K$679,'02_ツリー'!$E$5:$E$679,$A124,'02_ツリー'!$K$5:$K$679,"&gt;0"))</f>
        <v>0.17471332619024527</v>
      </c>
      <c r="C124" s="1">
        <f>IF($A124="","",SUMIFS('02_ツリー'!$K$5:$K$679,'02_ツリー'!$E$5:$E$679,$A124,'02_ツリー'!$K$5:$K$679,"&lt;0"))</f>
        <v>0</v>
      </c>
      <c r="D124" s="1">
        <f t="shared" si="3"/>
        <v>0.17471332619024527</v>
      </c>
      <c r="E124" s="1">
        <f>IF($A124="","",--(COUNTIFS('02_ツリー'!$E$5:$E$679,$A124,'02_ツリー'!$O$5:$O$679,0)=0))</f>
        <v>0</v>
      </c>
      <c r="F124" s="1">
        <f t="shared" si="4"/>
        <v>0</v>
      </c>
      <c r="G124" s="1">
        <f t="shared" si="5"/>
        <v>0</v>
      </c>
      <c r="H124" s="1"/>
      <c r="I124" s="1"/>
      <c r="J124" s="1"/>
      <c r="K124" s="1"/>
      <c r="L124" s="1"/>
    </row>
    <row r="125" spans="1:12">
      <c r="A125" s="1" t="str">
        <f>IFERROR(INDEX('02_ツリー'!$E$5:$E$679,MATCH(ROW()-10,'02_ツリー'!$R$5:$R$679,0)),"")</f>
        <v>r_open</v>
      </c>
      <c r="B125" s="1">
        <f>IF($A125="","",SUMIFS('02_ツリー'!$K$5:$K$679,'02_ツリー'!$E$5:$E$679,$A125,'02_ツリー'!$K$5:$K$679,"&gt;0"))</f>
        <v>0</v>
      </c>
      <c r="C125" s="1">
        <f>IF($A125="","",SUMIFS('02_ツリー'!$K$5:$K$679,'02_ツリー'!$E$5:$E$679,$A125,'02_ツリー'!$K$5:$K$679,"&lt;0"))</f>
        <v>-3.8351705749078223E-2</v>
      </c>
      <c r="D125" s="1">
        <f t="shared" si="3"/>
        <v>-3.8351705749078223E-2</v>
      </c>
      <c r="E125" s="1">
        <f>IF($A125="","",--(COUNTIFS('02_ツリー'!$E$5:$E$679,$A125,'02_ツリー'!$O$5:$O$679,0)=0))</f>
        <v>1</v>
      </c>
      <c r="F125" s="1">
        <f t="shared" si="4"/>
        <v>0</v>
      </c>
      <c r="G125" s="1">
        <f t="shared" si="5"/>
        <v>0</v>
      </c>
      <c r="H125" s="1"/>
      <c r="I125" s="1"/>
      <c r="J125" s="1"/>
      <c r="K125" s="1"/>
      <c r="L125" s="1"/>
    </row>
    <row r="126" spans="1:12">
      <c r="A126" s="1" t="str">
        <f>IFERROR(INDEX('02_ツリー'!$E$5:$E$679,MATCH(ROW()-10,'02_ツリー'!$R$5:$R$679,0)),"")</f>
        <v>K_rib</v>
      </c>
      <c r="B126" s="1">
        <f>IF($A126="","",SUMIFS('02_ツリー'!$K$5:$K$679,'02_ツリー'!$E$5:$E$679,$A126,'02_ツリー'!$K$5:$K$679,"&gt;0"))</f>
        <v>0.17471332619024527</v>
      </c>
      <c r="C126" s="1">
        <f>IF($A126="","",SUMIFS('02_ツリー'!$K$5:$K$679,'02_ツリー'!$E$5:$E$679,$A126,'02_ツリー'!$K$5:$K$679,"&lt;0"))</f>
        <v>0</v>
      </c>
      <c r="D126" s="1">
        <f t="shared" si="3"/>
        <v>0.17471332619024527</v>
      </c>
      <c r="E126" s="1">
        <f>IF($A126="","",--(COUNTIFS('02_ツリー'!$E$5:$E$679,$A126,'02_ツリー'!$O$5:$O$679,0)=0))</f>
        <v>1</v>
      </c>
      <c r="F126" s="1">
        <f t="shared" si="4"/>
        <v>0</v>
      </c>
      <c r="G126" s="1">
        <f t="shared" si="5"/>
        <v>0</v>
      </c>
      <c r="H126" s="1"/>
      <c r="I126" s="1"/>
      <c r="J126" s="1"/>
      <c r="K126" s="1"/>
      <c r="L126" s="1"/>
    </row>
    <row r="127" spans="1:12">
      <c r="A127" s="1" t="str">
        <f>IFERROR(INDEX('02_ツリー'!$E$5:$E$679,MATCH(ROW()-10,'02_ツリー'!$R$5:$R$679,0)),"")</f>
        <v>K_mfg</v>
      </c>
      <c r="B127" s="1">
        <f>IF($A127="","",SUMIFS('02_ツリー'!$K$5:$K$679,'02_ツリー'!$E$5:$E$679,$A127,'02_ツリー'!$K$5:$K$679,"&gt;0"))</f>
        <v>0.17471332619024527</v>
      </c>
      <c r="C127" s="1">
        <f>IF($A127="","",SUMIFS('02_ツリー'!$K$5:$K$679,'02_ツリー'!$E$5:$E$679,$A127,'02_ツリー'!$K$5:$K$679,"&lt;0"))</f>
        <v>0</v>
      </c>
      <c r="D127" s="1">
        <f t="shared" si="3"/>
        <v>0.17471332619024527</v>
      </c>
      <c r="E127" s="1">
        <f>IF($A127="","",--(COUNTIFS('02_ツリー'!$E$5:$E$679,$A127,'02_ツリー'!$O$5:$O$679,0)=0))</f>
        <v>1</v>
      </c>
      <c r="F127" s="1">
        <f t="shared" si="4"/>
        <v>0</v>
      </c>
      <c r="G127" s="1">
        <f t="shared" si="5"/>
        <v>0</v>
      </c>
      <c r="H127" s="1"/>
      <c r="I127" s="1"/>
      <c r="J127" s="1"/>
      <c r="K127" s="1"/>
      <c r="L127" s="1"/>
    </row>
    <row r="128" spans="1:12">
      <c r="A128" s="1" t="str">
        <f>IFERROR(INDEX('02_ツリー'!$E$5:$E$679,MATCH(ROW()-10,'02_ツリー'!$R$5:$R$679,0)),"")</f>
        <v>M_emi</v>
      </c>
      <c r="B128" s="1">
        <f>IF($A128="","",SUMIFS('02_ツリー'!$K$5:$K$679,'02_ツリー'!$E$5:$E$679,$A128,'02_ツリー'!$K$5:$K$679,"&gt;0"))</f>
        <v>2.881103173466032E-2</v>
      </c>
      <c r="C128" s="1">
        <f>IF($A128="","",SUMIFS('02_ツリー'!$K$5:$K$679,'02_ツリー'!$E$5:$E$679,$A128,'02_ツリー'!$K$5:$K$679,"&lt;0"))</f>
        <v>0</v>
      </c>
      <c r="D128" s="1">
        <f t="shared" si="3"/>
        <v>2.881103173466032E-2</v>
      </c>
      <c r="E128" s="1">
        <f>IF($A128="","",--(COUNTIFS('02_ツリー'!$E$5:$E$679,$A128,'02_ツリー'!$O$5:$O$679,0)=0))</f>
        <v>0</v>
      </c>
      <c r="F128" s="1">
        <f t="shared" si="4"/>
        <v>0</v>
      </c>
      <c r="G128" s="1">
        <f t="shared" si="5"/>
        <v>0</v>
      </c>
      <c r="H128" s="1"/>
      <c r="I128" s="1"/>
      <c r="J128" s="1"/>
      <c r="K128" s="1"/>
      <c r="L128" s="1"/>
    </row>
    <row r="129" spans="1:12">
      <c r="A129" s="1" t="str">
        <f>IFERROR(INDEX('02_ツリー'!$E$5:$E$679,MATCH(ROW()-10,'02_ツリー'!$R$5:$R$679,0)),"")</f>
        <v>M_L</v>
      </c>
      <c r="B129" s="1">
        <f>IF($A129="","",SUMIFS('02_ツリー'!$K$5:$K$679,'02_ツリー'!$E$5:$E$679,$A129,'02_ツリー'!$K$5:$K$679,"&gt;0"))</f>
        <v>1.8789803305213251E-2</v>
      </c>
      <c r="C129" s="1">
        <f>IF($A129="","",SUMIFS('02_ツリー'!$K$5:$K$679,'02_ツリー'!$E$5:$E$679,$A129,'02_ツリー'!$K$5:$K$679,"&lt;0"))</f>
        <v>0</v>
      </c>
      <c r="D129" s="1">
        <f t="shared" si="3"/>
        <v>1.8789803305213251E-2</v>
      </c>
      <c r="E129" s="1">
        <f>IF($A129="","",--(COUNTIFS('02_ツリー'!$E$5:$E$679,$A129,'02_ツリー'!$O$5:$O$679,0)=0))</f>
        <v>0</v>
      </c>
      <c r="F129" s="1">
        <f t="shared" si="4"/>
        <v>0</v>
      </c>
      <c r="G129" s="1">
        <f t="shared" si="5"/>
        <v>0</v>
      </c>
      <c r="H129" s="1"/>
      <c r="I129" s="1"/>
      <c r="J129" s="1"/>
      <c r="K129" s="1"/>
      <c r="L129" s="1"/>
    </row>
    <row r="130" spans="1:12">
      <c r="A130" s="1" t="str">
        <f>IFERROR(INDEX('02_ツリー'!$E$5:$E$679,MATCH(ROW()-10,'02_ツリー'!$R$5:$R$679,0)),"")</f>
        <v>k_mL</v>
      </c>
      <c r="B130" s="1">
        <f>IF($A130="","",SUMIFS('02_ツリー'!$K$5:$K$679,'02_ツリー'!$E$5:$E$679,$A130,'02_ツリー'!$K$5:$K$679,"&gt;0"))</f>
        <v>1.8789803305213251E-2</v>
      </c>
      <c r="C130" s="1">
        <f>IF($A130="","",SUMIFS('02_ツリー'!$K$5:$K$679,'02_ツリー'!$E$5:$E$679,$A130,'02_ツリー'!$K$5:$K$679,"&lt;0"))</f>
        <v>0</v>
      </c>
      <c r="D130" s="1">
        <f t="shared" si="3"/>
        <v>1.8789803305213251E-2</v>
      </c>
      <c r="E130" s="1">
        <f>IF($A130="","",--(COUNTIFS('02_ツリー'!$E$5:$E$679,$A130,'02_ツリー'!$O$5:$O$679,0)=0))</f>
        <v>0</v>
      </c>
      <c r="F130" s="1">
        <f t="shared" si="4"/>
        <v>0</v>
      </c>
      <c r="G130" s="1">
        <f t="shared" si="5"/>
        <v>0</v>
      </c>
      <c r="H130" s="1"/>
      <c r="I130" s="1"/>
      <c r="J130" s="1"/>
      <c r="K130" s="1"/>
      <c r="L130" s="1"/>
    </row>
    <row r="131" spans="1:12">
      <c r="A131" s="1" t="str">
        <f>IFERROR(INDEX('02_ツリー'!$E$5:$E$679,MATCH(ROW()-10,'02_ツリー'!$R$5:$R$679,0)),"")</f>
        <v>L_dm</v>
      </c>
      <c r="B131" s="1">
        <f>IF($A131="","",SUMIFS('02_ツリー'!$K$5:$K$679,'02_ツリー'!$E$5:$E$679,$A131,'02_ツリー'!$K$5:$K$679,"&gt;0"))</f>
        <v>1.8789803305213251E-2</v>
      </c>
      <c r="C131" s="1">
        <f>IF($A131="","",SUMIFS('02_ツリー'!$K$5:$K$679,'02_ツリー'!$E$5:$E$679,$A131,'02_ツリー'!$K$5:$K$679,"&lt;0"))</f>
        <v>0</v>
      </c>
      <c r="D131" s="1">
        <f t="shared" si="3"/>
        <v>1.8789803305213251E-2</v>
      </c>
      <c r="E131" s="1">
        <f>IF($A131="","",--(COUNTIFS('02_ツリー'!$E$5:$E$679,$A131,'02_ツリー'!$O$5:$O$679,0)=0))</f>
        <v>0</v>
      </c>
      <c r="F131" s="1">
        <f t="shared" si="4"/>
        <v>0</v>
      </c>
      <c r="G131" s="1">
        <f t="shared" si="5"/>
        <v>0</v>
      </c>
      <c r="H131" s="1"/>
      <c r="I131" s="1"/>
      <c r="J131" s="1"/>
      <c r="K131" s="1"/>
      <c r="L131" s="1"/>
    </row>
    <row r="132" spans="1:12">
      <c r="A132" s="1" t="str">
        <f>IFERROR(INDEX('02_ツリー'!$E$5:$E$679,MATCH(ROW()-10,'02_ツリー'!$R$5:$R$679,0)),"")</f>
        <v>V_noise</v>
      </c>
      <c r="B132" s="1">
        <f>IF($A132="","",SUMIFS('02_ツリー'!$K$5:$K$679,'02_ツリー'!$E$5:$E$679,$A132,'02_ツリー'!$K$5:$K$679,"&gt;0"))</f>
        <v>1.8789803305213251E-2</v>
      </c>
      <c r="C132" s="1">
        <f>IF($A132="","",SUMIFS('02_ツリー'!$K$5:$K$679,'02_ツリー'!$E$5:$E$679,$A132,'02_ツリー'!$K$5:$K$679,"&lt;0"))</f>
        <v>0</v>
      </c>
      <c r="D132" s="1">
        <f t="shared" si="3"/>
        <v>1.8789803305213251E-2</v>
      </c>
      <c r="E132" s="1">
        <f>IF($A132="","",--(COUNTIFS('02_ツリー'!$E$5:$E$679,$A132,'02_ツリー'!$O$5:$O$679,0)=0))</f>
        <v>1</v>
      </c>
      <c r="F132" s="1">
        <f t="shared" si="4"/>
        <v>0</v>
      </c>
      <c r="G132" s="1">
        <f t="shared" si="5"/>
        <v>0</v>
      </c>
      <c r="H132" s="1"/>
      <c r="I132" s="1"/>
      <c r="J132" s="1"/>
      <c r="K132" s="1"/>
      <c r="L132" s="1"/>
    </row>
    <row r="133" spans="1:12">
      <c r="A133" s="1" t="str">
        <f>IFERROR(INDEX('02_ツリー'!$E$5:$E$679,MATCH(ROW()-10,'02_ツリー'!$R$5:$R$679,0)),"")</f>
        <v>f_c</v>
      </c>
      <c r="B133" s="1">
        <f>IF($A133="","",SUMIFS('02_ツリー'!$K$5:$K$679,'02_ツリー'!$E$5:$E$679,$A133,'02_ツリー'!$K$5:$K$679,"&gt;0"))</f>
        <v>0</v>
      </c>
      <c r="C133" s="1">
        <f>IF($A133="","",SUMIFS('02_ツリー'!$K$5:$K$679,'02_ツリー'!$E$5:$E$679,$A133,'02_ツリー'!$K$5:$K$679,"&lt;0"))</f>
        <v>-2.8811031734660323E-2</v>
      </c>
      <c r="D133" s="1">
        <f t="shared" si="3"/>
        <v>-2.8811031734660323E-2</v>
      </c>
      <c r="E133" s="1">
        <f>IF($A133="","",--(COUNTIFS('02_ツリー'!$E$5:$E$679,$A133,'02_ツリー'!$O$5:$O$679,0)=0))</f>
        <v>0</v>
      </c>
      <c r="F133" s="1">
        <f t="shared" si="4"/>
        <v>0</v>
      </c>
      <c r="G133" s="1">
        <f t="shared" si="5"/>
        <v>0</v>
      </c>
      <c r="H133" s="1"/>
      <c r="I133" s="1"/>
      <c r="J133" s="1"/>
      <c r="K133" s="1"/>
      <c r="L133" s="1"/>
    </row>
    <row r="134" spans="1:12">
      <c r="A134" s="1" t="str">
        <f>IFERROR(INDEX('02_ツリー'!$E$5:$E$679,MATCH(ROW()-10,'02_ツリー'!$R$5:$R$679,0)),"")</f>
        <v>k_fc</v>
      </c>
      <c r="B134" s="1">
        <f>IF($A134="","",SUMIFS('02_ツリー'!$K$5:$K$679,'02_ツリー'!$E$5:$E$679,$A134,'02_ツリー'!$K$5:$K$679,"&gt;0"))</f>
        <v>0</v>
      </c>
      <c r="C134" s="1">
        <f>IF($A134="","",SUMIFS('02_ツリー'!$K$5:$K$679,'02_ツリー'!$E$5:$E$679,$A134,'02_ツリー'!$K$5:$K$679,"&lt;0"))</f>
        <v>-2.8811031734660323E-2</v>
      </c>
      <c r="D134" s="1">
        <f t="shared" si="3"/>
        <v>-2.8811031734660323E-2</v>
      </c>
      <c r="E134" s="1">
        <f>IF($A134="","",--(COUNTIFS('02_ツリー'!$E$5:$E$679,$A134,'02_ツリー'!$O$5:$O$679,0)=0))</f>
        <v>1</v>
      </c>
      <c r="F134" s="1">
        <f t="shared" si="4"/>
        <v>0</v>
      </c>
      <c r="G134" s="1">
        <f t="shared" si="5"/>
        <v>0</v>
      </c>
      <c r="H134" s="1"/>
      <c r="I134" s="1"/>
      <c r="J134" s="1"/>
      <c r="K134" s="1"/>
      <c r="L134" s="1"/>
    </row>
    <row r="135" spans="1:12">
      <c r="A135" s="1" t="str">
        <f>IFERROR(INDEX('02_ツリー'!$E$5:$E$679,MATCH(ROW()-10,'02_ツリー'!$R$5:$R$679,0)),"")</f>
        <v>I_ripple</v>
      </c>
      <c r="B135" s="1">
        <f>IF($A135="","",SUMIFS('02_ツリー'!$K$5:$K$679,'02_ツリー'!$E$5:$E$679,$A135,'02_ツリー'!$K$5:$K$679,"&gt;0"))</f>
        <v>0</v>
      </c>
      <c r="C135" s="1">
        <f>IF($A135="","",SUMIFS('02_ツリー'!$K$5:$K$679,'02_ツリー'!$E$5:$E$679,$A135,'02_ツリー'!$K$5:$K$679,"&lt;0"))</f>
        <v>-1.8789803305213251E-2</v>
      </c>
      <c r="D135" s="1">
        <f t="shared" si="3"/>
        <v>-1.8789803305213251E-2</v>
      </c>
      <c r="E135" s="1">
        <f>IF($A135="","",--(COUNTIFS('02_ツリー'!$E$5:$E$679,$A135,'02_ツリー'!$O$5:$O$679,0)=0))</f>
        <v>0</v>
      </c>
      <c r="F135" s="1">
        <f t="shared" si="4"/>
        <v>0</v>
      </c>
      <c r="G135" s="1">
        <f t="shared" si="5"/>
        <v>0</v>
      </c>
      <c r="H135" s="1"/>
      <c r="I135" s="1"/>
      <c r="J135" s="1"/>
      <c r="K135" s="1"/>
      <c r="L135" s="1"/>
    </row>
    <row r="136" spans="1:12">
      <c r="A136" s="1" t="str">
        <f>IFERROR(INDEX('02_ツリー'!$E$5:$E$679,MATCH(ROW()-10,'02_ツリー'!$R$5:$R$679,0)),"")</f>
        <v>r_Iemi</v>
      </c>
      <c r="B136" s="1">
        <f>IF($A136="","",SUMIFS('02_ツリー'!$K$5:$K$679,'02_ツリー'!$E$5:$E$679,$A136,'02_ツリー'!$K$5:$K$679,"&gt;0"))</f>
        <v>0</v>
      </c>
      <c r="C136" s="1">
        <f>IF($A136="","",SUMIFS('02_ツリー'!$K$5:$K$679,'02_ツリー'!$E$5:$E$679,$A136,'02_ツリー'!$K$5:$K$679,"&lt;0"))</f>
        <v>-1.8789803305213251E-2</v>
      </c>
      <c r="D136" s="1">
        <f t="shared" si="3"/>
        <v>-1.8789803305213251E-2</v>
      </c>
      <c r="E136" s="1">
        <f>IF($A136="","",--(COUNTIFS('02_ツリー'!$E$5:$E$679,$A136,'02_ツリー'!$O$5:$O$679,0)=0))</f>
        <v>1</v>
      </c>
      <c r="F136" s="1">
        <f t="shared" si="4"/>
        <v>0</v>
      </c>
      <c r="G136" s="1">
        <f t="shared" si="5"/>
        <v>0</v>
      </c>
      <c r="H136" s="1"/>
      <c r="I136" s="1"/>
      <c r="J136" s="1"/>
      <c r="K136" s="1"/>
      <c r="L136" s="1"/>
    </row>
    <row r="137" spans="1:12">
      <c r="A137" s="1" t="str">
        <f>IFERROR(INDEX('02_ツリー'!$E$5:$E$679,MATCH(ROW()-10,'02_ツリー'!$R$5:$R$679,0)),"")</f>
        <v>M_C</v>
      </c>
      <c r="B137" s="1">
        <f>IF($A137="","",SUMIFS('02_ツリー'!$K$5:$K$679,'02_ツリー'!$E$5:$E$679,$A137,'02_ツリー'!$K$5:$K$679,"&gt;0"))</f>
        <v>1.0021228429447072E-2</v>
      </c>
      <c r="C137" s="1">
        <f>IF($A137="","",SUMIFS('02_ツリー'!$K$5:$K$679,'02_ツリー'!$E$5:$E$679,$A137,'02_ツリー'!$K$5:$K$679,"&lt;0"))</f>
        <v>0</v>
      </c>
      <c r="D137" s="1">
        <f t="shared" si="3"/>
        <v>1.0021228429447072E-2</v>
      </c>
      <c r="E137" s="1">
        <f>IF($A137="","",--(COUNTIFS('02_ツリー'!$E$5:$E$679,$A137,'02_ツリー'!$O$5:$O$679,0)=0))</f>
        <v>0</v>
      </c>
      <c r="F137" s="1">
        <f t="shared" si="4"/>
        <v>0</v>
      </c>
      <c r="G137" s="1">
        <f t="shared" si="5"/>
        <v>0</v>
      </c>
      <c r="H137" s="1"/>
      <c r="I137" s="1"/>
      <c r="J137" s="1"/>
      <c r="K137" s="1"/>
      <c r="L137" s="1"/>
    </row>
    <row r="138" spans="1:12">
      <c r="A138" s="1" t="str">
        <f>IFERROR(INDEX('02_ツリー'!$E$5:$E$679,MATCH(ROW()-10,'02_ツリー'!$R$5:$R$679,0)),"")</f>
        <v>k_mC</v>
      </c>
      <c r="B138" s="1">
        <f>IF($A138="","",SUMIFS('02_ツリー'!$K$5:$K$679,'02_ツリー'!$E$5:$E$679,$A138,'02_ツリー'!$K$5:$K$679,"&gt;0"))</f>
        <v>1.0021228429447072E-2</v>
      </c>
      <c r="C138" s="1">
        <f>IF($A138="","",SUMIFS('02_ツリー'!$K$5:$K$679,'02_ツリー'!$E$5:$E$679,$A138,'02_ツリー'!$K$5:$K$679,"&lt;0"))</f>
        <v>0</v>
      </c>
      <c r="D138" s="1">
        <f t="shared" si="3"/>
        <v>1.0021228429447072E-2</v>
      </c>
      <c r="E138" s="1">
        <f>IF($A138="","",--(COUNTIFS('02_ツリー'!$E$5:$E$679,$A138,'02_ツリー'!$O$5:$O$679,0)=0))</f>
        <v>1</v>
      </c>
      <c r="F138" s="1">
        <f t="shared" si="4"/>
        <v>0</v>
      </c>
      <c r="G138" s="1">
        <f t="shared" si="5"/>
        <v>0</v>
      </c>
      <c r="H138" s="1"/>
      <c r="I138" s="1"/>
      <c r="J138" s="1"/>
      <c r="K138" s="1"/>
      <c r="L138" s="1"/>
    </row>
    <row r="139" spans="1:12">
      <c r="A139" s="1" t="str">
        <f>IFERROR(INDEX('02_ツリー'!$E$5:$E$679,MATCH(ROW()-10,'02_ツリー'!$R$5:$R$679,0)),"")</f>
        <v>C_dm</v>
      </c>
      <c r="B139" s="1">
        <f>IF($A139="","",SUMIFS('02_ツリー'!$K$5:$K$679,'02_ツリー'!$E$5:$E$679,$A139,'02_ツリー'!$K$5:$K$679,"&gt;0"))</f>
        <v>1.0021228429447072E-2</v>
      </c>
      <c r="C139" s="1">
        <f>IF($A139="","",SUMIFS('02_ツリー'!$K$5:$K$679,'02_ツリー'!$E$5:$E$679,$A139,'02_ツリー'!$K$5:$K$679,"&lt;0"))</f>
        <v>0</v>
      </c>
      <c r="D139" s="1">
        <f t="shared" ref="D139:D202" si="6">IF($A139="","",B139+C139)</f>
        <v>1.0021228429447072E-2</v>
      </c>
      <c r="E139" s="1">
        <f>IF($A139="","",--(COUNTIFS('02_ツリー'!$E$5:$E$679,$A139,'02_ツリー'!$O$5:$O$679,0)=0))</f>
        <v>0</v>
      </c>
      <c r="F139" s="1">
        <f t="shared" ref="F139:F202" si="7">IF($A139="","",--AND(B139&gt;0,C139&lt;0))</f>
        <v>0</v>
      </c>
      <c r="G139" s="1">
        <f t="shared" ref="G139:G202" si="8">IF($A139="","",--(LEFT(A139,7)="Enable_"))</f>
        <v>0</v>
      </c>
      <c r="H139" s="1"/>
      <c r="I139" s="1"/>
      <c r="J139" s="1"/>
      <c r="K139" s="1"/>
      <c r="L139" s="1"/>
    </row>
    <row r="140" spans="1:12">
      <c r="A140" s="1" t="str">
        <f>IFERROR(INDEX('02_ツリー'!$E$5:$E$679,MATCH(ROW()-10,'02_ツリー'!$R$5:$R$679,0)),"")</f>
        <v>I_noise</v>
      </c>
      <c r="B140" s="1">
        <f>IF($A140="","",SUMIFS('02_ツリー'!$K$5:$K$679,'02_ツリー'!$E$5:$E$679,$A140,'02_ツリー'!$K$5:$K$679,"&gt;0"))</f>
        <v>1.0021228429447072E-2</v>
      </c>
      <c r="C140" s="1">
        <f>IF($A140="","",SUMIFS('02_ツリー'!$K$5:$K$679,'02_ツリー'!$E$5:$E$679,$A140,'02_ツリー'!$K$5:$K$679,"&lt;0"))</f>
        <v>0</v>
      </c>
      <c r="D140" s="1">
        <f t="shared" si="6"/>
        <v>1.0021228429447072E-2</v>
      </c>
      <c r="E140" s="1">
        <f>IF($A140="","",--(COUNTIFS('02_ツリー'!$E$5:$E$679,$A140,'02_ツリー'!$O$5:$O$679,0)=0))</f>
        <v>0</v>
      </c>
      <c r="F140" s="1">
        <f t="shared" si="7"/>
        <v>0</v>
      </c>
      <c r="G140" s="1">
        <f t="shared" si="8"/>
        <v>0</v>
      </c>
      <c r="H140" s="1"/>
      <c r="I140" s="1"/>
      <c r="J140" s="1"/>
      <c r="K140" s="1"/>
      <c r="L140" s="1"/>
    </row>
    <row r="141" spans="1:12">
      <c r="A141" s="1" t="str">
        <f>IFERROR(INDEX('02_ツリー'!$E$5:$E$679,MATCH(ROW()-10,'02_ツリー'!$R$5:$R$679,0)),"")</f>
        <v>r_noise</v>
      </c>
      <c r="B141" s="1">
        <f>IF($A141="","",SUMIFS('02_ツリー'!$K$5:$K$679,'02_ツリー'!$E$5:$E$679,$A141,'02_ツリー'!$K$5:$K$679,"&gt;0"))</f>
        <v>1.0021228429447072E-2</v>
      </c>
      <c r="C141" s="1">
        <f>IF($A141="","",SUMIFS('02_ツリー'!$K$5:$K$679,'02_ツリー'!$E$5:$E$679,$A141,'02_ツリー'!$K$5:$K$679,"&lt;0"))</f>
        <v>0</v>
      </c>
      <c r="D141" s="1">
        <f t="shared" si="6"/>
        <v>1.0021228429447072E-2</v>
      </c>
      <c r="E141" s="1">
        <f>IF($A141="","",--(COUNTIFS('02_ツリー'!$E$5:$E$679,$A141,'02_ツリー'!$O$5:$O$679,0)=0))</f>
        <v>1</v>
      </c>
      <c r="F141" s="1">
        <f t="shared" si="7"/>
        <v>0</v>
      </c>
      <c r="G141" s="1">
        <f t="shared" si="8"/>
        <v>0</v>
      </c>
      <c r="H141" s="1"/>
      <c r="I141" s="1"/>
      <c r="J141" s="1"/>
      <c r="K141" s="1"/>
      <c r="L141" s="1"/>
    </row>
    <row r="142" spans="1:12">
      <c r="A142" s="1" t="str">
        <f>IFERROR(INDEX('02_ツリー'!$E$5:$E$679,MATCH(ROW()-10,'02_ツリー'!$R$5:$R$679,0)),"")</f>
        <v>V_ripple</v>
      </c>
      <c r="B142" s="1">
        <f>IF($A142="","",SUMIFS('02_ツリー'!$K$5:$K$679,'02_ツリー'!$E$5:$E$679,$A142,'02_ツリー'!$K$5:$K$679,"&gt;0"))</f>
        <v>0</v>
      </c>
      <c r="C142" s="1">
        <f>IF($A142="","",SUMIFS('02_ツリー'!$K$5:$K$679,'02_ツリー'!$E$5:$E$679,$A142,'02_ツリー'!$K$5:$K$679,"&lt;0"))</f>
        <v>-1.0021228429447072E-2</v>
      </c>
      <c r="D142" s="1">
        <f t="shared" si="6"/>
        <v>-1.0021228429447072E-2</v>
      </c>
      <c r="E142" s="1">
        <f>IF($A142="","",--(COUNTIFS('02_ツリー'!$E$5:$E$679,$A142,'02_ツリー'!$O$5:$O$679,0)=0))</f>
        <v>0</v>
      </c>
      <c r="F142" s="1">
        <f t="shared" si="7"/>
        <v>0</v>
      </c>
      <c r="G142" s="1">
        <f t="shared" si="8"/>
        <v>0</v>
      </c>
      <c r="H142" s="1"/>
      <c r="I142" s="1"/>
      <c r="J142" s="1"/>
      <c r="K142" s="1"/>
      <c r="L142" s="1"/>
    </row>
    <row r="143" spans="1:12">
      <c r="A143" s="1" t="str">
        <f>IFERROR(INDEX('02_ツリー'!$E$5:$E$679,MATCH(ROW()-10,'02_ツリー'!$R$5:$R$679,0)),"")</f>
        <v>r_Vemi</v>
      </c>
      <c r="B143" s="1">
        <f>IF($A143="","",SUMIFS('02_ツリー'!$K$5:$K$679,'02_ツリー'!$E$5:$E$679,$A143,'02_ツリー'!$K$5:$K$679,"&gt;0"))</f>
        <v>0</v>
      </c>
      <c r="C143" s="1">
        <f>IF($A143="","",SUMIFS('02_ツリー'!$K$5:$K$679,'02_ツリー'!$E$5:$E$679,$A143,'02_ツリー'!$K$5:$K$679,"&lt;0"))</f>
        <v>-1.0021228429447072E-2</v>
      </c>
      <c r="D143" s="1">
        <f t="shared" si="6"/>
        <v>-1.0021228429447072E-2</v>
      </c>
      <c r="E143" s="1">
        <f>IF($A143="","",--(COUNTIFS('02_ツリー'!$E$5:$E$679,$A143,'02_ツリー'!$O$5:$O$679,0)=0))</f>
        <v>1</v>
      </c>
      <c r="F143" s="1">
        <f t="shared" si="7"/>
        <v>0</v>
      </c>
      <c r="G143" s="1">
        <f t="shared" si="8"/>
        <v>0</v>
      </c>
      <c r="H143" s="1"/>
      <c r="I143" s="1"/>
      <c r="J143" s="1"/>
      <c r="K143" s="1"/>
      <c r="L143" s="1"/>
    </row>
    <row r="144" spans="1:12">
      <c r="A144" s="1" t="str">
        <f>IFERROR(INDEX('02_ツリー'!$E$5:$E$679,MATCH(ROW()-10,'02_ツリー'!$R$5:$R$679,0)),"")</f>
        <v>m_ctrl</v>
      </c>
      <c r="B144" s="1">
        <f>IF($A144="","",SUMIFS('02_ツリー'!$K$5:$K$679,'02_ツリー'!$E$5:$E$679,$A144,'02_ツリー'!$K$5:$K$679,"&gt;0"))</f>
        <v>4.4971430885591746E-2</v>
      </c>
      <c r="C144" s="1">
        <f>IF($A144="","",SUMIFS('02_ツリー'!$K$5:$K$679,'02_ツリー'!$E$5:$E$679,$A144,'02_ツリー'!$K$5:$K$679,"&lt;0"))</f>
        <v>0</v>
      </c>
      <c r="D144" s="1">
        <f t="shared" si="6"/>
        <v>4.4971430885591746E-2</v>
      </c>
      <c r="E144" s="1">
        <f>IF($A144="","",--(COUNTIFS('02_ツリー'!$E$5:$E$679,$A144,'02_ツリー'!$O$5:$O$679,0)=0))</f>
        <v>0</v>
      </c>
      <c r="F144" s="1">
        <f t="shared" si="7"/>
        <v>0</v>
      </c>
      <c r="G144" s="1">
        <f t="shared" si="8"/>
        <v>0</v>
      </c>
      <c r="H144" s="1"/>
      <c r="I144" s="1"/>
      <c r="J144" s="1"/>
      <c r="K144" s="1"/>
      <c r="L144" s="1"/>
    </row>
    <row r="145" spans="1:12">
      <c r="A145" s="1" t="str">
        <f>IFERROR(INDEX('02_ツリー'!$E$5:$E$679,MATCH(ROW()-10,'02_ツリー'!$R$5:$R$679,0)),"")</f>
        <v>m_sensor</v>
      </c>
      <c r="B145" s="1">
        <f>IF($A145="","",SUMIFS('02_ツリー'!$K$5:$K$679,'02_ツリー'!$E$5:$E$679,$A145,'02_ツリー'!$K$5:$K$679,"&gt;0"))</f>
        <v>2.5325459732876796E-2</v>
      </c>
      <c r="C145" s="1">
        <f>IF($A145="","",SUMIFS('02_ツリー'!$K$5:$K$679,'02_ツリー'!$E$5:$E$679,$A145,'02_ツリー'!$K$5:$K$679,"&lt;0"))</f>
        <v>0</v>
      </c>
      <c r="D145" s="1">
        <f t="shared" si="6"/>
        <v>2.5325459732876796E-2</v>
      </c>
      <c r="E145" s="1">
        <f>IF($A145="","",--(COUNTIFS('02_ツリー'!$E$5:$E$679,$A145,'02_ツリー'!$O$5:$O$679,0)=0))</f>
        <v>0</v>
      </c>
      <c r="F145" s="1">
        <f t="shared" si="7"/>
        <v>0</v>
      </c>
      <c r="G145" s="1">
        <f t="shared" si="8"/>
        <v>0</v>
      </c>
      <c r="H145" s="1"/>
      <c r="I145" s="1"/>
      <c r="J145" s="1"/>
      <c r="K145" s="1"/>
      <c r="L145" s="1"/>
    </row>
    <row r="146" spans="1:12">
      <c r="A146" s="1" t="str">
        <f>IFERROR(INDEX('02_ツリー'!$E$5:$E$679,MATCH(ROW()-10,'02_ツリー'!$R$5:$R$679,0)),"")</f>
        <v>m_conn</v>
      </c>
      <c r="B146" s="1">
        <f>IF($A146="","",SUMIFS('02_ツリー'!$K$5:$K$679,'02_ツリー'!$E$5:$E$679,$A146,'02_ツリー'!$K$5:$K$679,"&gt;0"))</f>
        <v>3.3767279643835725E-2</v>
      </c>
      <c r="C146" s="1">
        <f>IF($A146="","",SUMIFS('02_ツリー'!$K$5:$K$679,'02_ツリー'!$E$5:$E$679,$A146,'02_ツリー'!$K$5:$K$679,"&lt;0"))</f>
        <v>0</v>
      </c>
      <c r="D146" s="1">
        <f t="shared" si="6"/>
        <v>3.3767279643835725E-2</v>
      </c>
      <c r="E146" s="1">
        <f>IF($A146="","",--(COUNTIFS('02_ツリー'!$E$5:$E$679,$A146,'02_ツリー'!$O$5:$O$679,0)=0))</f>
        <v>0</v>
      </c>
      <c r="F146" s="1">
        <f t="shared" si="7"/>
        <v>0</v>
      </c>
      <c r="G146" s="1">
        <f t="shared" si="8"/>
        <v>0</v>
      </c>
      <c r="H146" s="1"/>
      <c r="I146" s="1"/>
      <c r="J146" s="1"/>
      <c r="K146" s="1"/>
      <c r="L146" s="1"/>
    </row>
    <row r="147" spans="1:12">
      <c r="A147" s="1" t="str">
        <f>IFERROR(INDEX('02_ツリー'!$E$5:$E$679,MATCH(ROW()-10,'02_ツリー'!$R$5:$R$679,0)),"")</f>
        <v>m_other</v>
      </c>
      <c r="B147" s="1">
        <f>IF($A147="","",SUMIFS('02_ツリー'!$K$5:$K$679,'02_ツリー'!$E$5:$E$679,$A147,'02_ツリー'!$K$5:$K$679,"&gt;0"))</f>
        <v>8.6164408336363324E-2</v>
      </c>
      <c r="C147" s="1">
        <f>IF($A147="","",SUMIFS('02_ツリー'!$K$5:$K$679,'02_ツリー'!$E$5:$E$679,$A147,'02_ツリー'!$K$5:$K$679,"&lt;0"))</f>
        <v>0</v>
      </c>
      <c r="D147" s="1">
        <f t="shared" si="6"/>
        <v>8.6164408336363324E-2</v>
      </c>
      <c r="E147" s="1">
        <f>IF($A147="","",--(COUNTIFS('02_ツリー'!$E$5:$E$679,$A147,'02_ツリー'!$O$5:$O$679,0)=0))</f>
        <v>0</v>
      </c>
      <c r="F147" s="1">
        <f t="shared" si="7"/>
        <v>0</v>
      </c>
      <c r="G147" s="1">
        <f t="shared" si="8"/>
        <v>0</v>
      </c>
      <c r="H147" s="1"/>
      <c r="I147" s="1"/>
      <c r="J147" s="1"/>
      <c r="K147" s="1"/>
      <c r="L147" s="1"/>
    </row>
    <row r="148" spans="1:12">
      <c r="A148" s="1" t="str">
        <f>IFERROR(INDEX('02_ツリー'!$E$5:$E$679,MATCH(ROW()-10,'02_ツリー'!$R$5:$R$679,0)),"")</f>
        <v>M_parallel</v>
      </c>
      <c r="B148" s="1">
        <f>IF($A148="","",SUMIFS('02_ツリー'!$K$5:$K$679,'02_ツリー'!$E$5:$E$679,$A148,'02_ツリー'!$K$5:$K$679,"&gt;0"))</f>
        <v>5.0650919465753598E-2</v>
      </c>
      <c r="C148" s="1">
        <f>IF($A148="","",SUMIFS('02_ツリー'!$K$5:$K$679,'02_ツリー'!$E$5:$E$679,$A148,'02_ツリー'!$K$5:$K$679,"&lt;0"))</f>
        <v>0</v>
      </c>
      <c r="D148" s="1">
        <f t="shared" si="6"/>
        <v>5.0650919465753598E-2</v>
      </c>
      <c r="E148" s="1">
        <f>IF($A148="","",--(COUNTIFS('02_ツリー'!$E$5:$E$679,$A148,'02_ツリー'!$O$5:$O$679,0)=0))</f>
        <v>0</v>
      </c>
      <c r="F148" s="1">
        <f t="shared" si="7"/>
        <v>0</v>
      </c>
      <c r="G148" s="1">
        <f t="shared" si="8"/>
        <v>0</v>
      </c>
      <c r="H148" s="1"/>
      <c r="I148" s="1"/>
      <c r="J148" s="1"/>
      <c r="K148" s="1"/>
      <c r="L148" s="1"/>
    </row>
    <row r="149" spans="1:12">
      <c r="A149" s="1" t="str">
        <f>IFERROR(INDEX('02_ツリー'!$E$5:$E$679,MATCH(ROW()-10,'02_ツリー'!$R$5:$R$679,0)),"")</f>
        <v>N_parallel</v>
      </c>
      <c r="B149" s="1">
        <f>IF($A149="","",SUMIFS('02_ツリー'!$K$5:$K$679,'02_ツリー'!$E$5:$E$679,$A149,'02_ツリー'!$K$5:$K$679,"&gt;0"))</f>
        <v>5.0650919465753598E-2</v>
      </c>
      <c r="C149" s="1">
        <f>IF($A149="","",SUMIFS('02_ツリー'!$K$5:$K$679,'02_ツリー'!$E$5:$E$679,$A149,'02_ツリー'!$K$5:$K$679,"&lt;0"))</f>
        <v>-2.2204845642776994E-5</v>
      </c>
      <c r="D149" s="1">
        <f t="shared" si="6"/>
        <v>5.0628714620110822E-2</v>
      </c>
      <c r="E149" s="1">
        <f>IF($A149="","",--(COUNTIFS('02_ツリー'!$E$5:$E$679,$A149,'02_ツリー'!$O$5:$O$679,0)=0))</f>
        <v>1</v>
      </c>
      <c r="F149" s="1">
        <f t="shared" si="7"/>
        <v>1</v>
      </c>
      <c r="G149" s="1">
        <f t="shared" si="8"/>
        <v>0</v>
      </c>
      <c r="H149" s="1"/>
      <c r="I149" s="1"/>
      <c r="J149" s="1"/>
      <c r="K149" s="1"/>
      <c r="L149" s="1"/>
    </row>
    <row r="150" spans="1:12">
      <c r="A150" s="1" t="str">
        <f>IFERROR(INDEX('02_ツリー'!$E$5:$E$679,MATCH(ROW()-10,'02_ツリー'!$R$5:$R$679,0)),"")</f>
        <v>m_parallel_unit</v>
      </c>
      <c r="B150" s="1">
        <f>IF($A150="","",SUMIFS('02_ツリー'!$K$5:$K$679,'02_ツリー'!$E$5:$E$679,$A150,'02_ツリー'!$K$5:$K$679,"&gt;0"))</f>
        <v>5.0650919465753598E-2</v>
      </c>
      <c r="C150" s="1">
        <f>IF($A150="","",SUMIFS('02_ツリー'!$K$5:$K$679,'02_ツリー'!$E$5:$E$679,$A150,'02_ツリー'!$K$5:$K$679,"&lt;0"))</f>
        <v>0</v>
      </c>
      <c r="D150" s="1">
        <f t="shared" si="6"/>
        <v>5.0650919465753598E-2</v>
      </c>
      <c r="E150" s="1">
        <f>IF($A150="","",--(COUNTIFS('02_ツリー'!$E$5:$E$679,$A150,'02_ツリー'!$O$5:$O$679,0)=0))</f>
        <v>1</v>
      </c>
      <c r="F150" s="1">
        <f t="shared" si="7"/>
        <v>0</v>
      </c>
      <c r="G150" s="1">
        <f t="shared" si="8"/>
        <v>0</v>
      </c>
      <c r="H150" s="1"/>
      <c r="I150" s="1"/>
      <c r="J150" s="1"/>
      <c r="K150" s="1"/>
      <c r="L150" s="1"/>
    </row>
    <row r="151" spans="1:12">
      <c r="A151" s="1" t="str">
        <f>IFERROR(INDEX('02_ツリー'!$E$5:$E$679,MATCH(ROW()-10,'02_ツリー'!$R$5:$R$679,0)),"")</f>
        <v>k_ss_eff</v>
      </c>
      <c r="B151" s="1">
        <f>IF($A151="","",SUMIFS('02_ツリー'!$K$5:$K$679,'02_ツリー'!$E$5:$E$679,$A151,'02_ツリー'!$K$5:$K$679,"&gt;0"))</f>
        <v>3.7081095457614869E-5</v>
      </c>
      <c r="C151" s="1">
        <f>IF($A151="","",SUMIFS('02_ツリー'!$K$5:$K$679,'02_ツリー'!$E$5:$E$679,$A151,'02_ツリー'!$K$5:$K$679,"&lt;0"))</f>
        <v>0</v>
      </c>
      <c r="D151" s="1">
        <f t="shared" si="6"/>
        <v>3.7081095457614869E-5</v>
      </c>
      <c r="E151" s="1">
        <f>IF($A151="","",--(COUNTIFS('02_ツリー'!$E$5:$E$679,$A151,'02_ツリー'!$O$5:$O$679,0)=0))</f>
        <v>0</v>
      </c>
      <c r="F151" s="1">
        <f t="shared" si="7"/>
        <v>0</v>
      </c>
      <c r="G151" s="1">
        <f t="shared" si="8"/>
        <v>0</v>
      </c>
      <c r="H151" s="1"/>
      <c r="I151" s="1"/>
      <c r="J151" s="1"/>
      <c r="K151" s="1"/>
      <c r="L151" s="1"/>
    </row>
    <row r="152" spans="1:12">
      <c r="A152" s="1" t="str">
        <f>IFERROR(INDEX('02_ツリー'!$E$5:$E$679,MATCH(ROW()-10,'02_ツリー'!$R$5:$R$679,0)),"")</f>
        <v>Enable_SS</v>
      </c>
      <c r="B152" s="1">
        <f>IF($A152="","",SUMIFS('02_ツリー'!$K$5:$K$679,'02_ツリー'!$E$5:$E$679,$A152,'02_ツリー'!$K$5:$K$679,"&gt;0"))</f>
        <v>0</v>
      </c>
      <c r="C152" s="1">
        <f>IF($A152="","",SUMIFS('02_ツリー'!$K$5:$K$679,'02_ツリー'!$E$5:$E$679,$A152,'02_ツリー'!$K$5:$K$679,"&lt;0"))</f>
        <v>0</v>
      </c>
      <c r="D152" s="1">
        <f t="shared" si="6"/>
        <v>0</v>
      </c>
      <c r="E152" s="1">
        <f>IF($A152="","",--(COUNTIFS('02_ツリー'!$E$5:$E$679,$A152,'02_ツリー'!$O$5:$O$679,0)=0))</f>
        <v>1</v>
      </c>
      <c r="F152" s="1">
        <f t="shared" si="7"/>
        <v>0</v>
      </c>
      <c r="G152" s="1">
        <f t="shared" si="8"/>
        <v>1</v>
      </c>
      <c r="H152" s="1"/>
      <c r="I152" s="1"/>
      <c r="J152" s="1"/>
      <c r="K152" s="1"/>
      <c r="L152" s="1"/>
    </row>
    <row r="153" spans="1:12">
      <c r="A153" s="1" t="str">
        <f>IFERROR(INDEX('02_ツリー'!$E$5:$E$679,MATCH(ROW()-10,'02_ツリー'!$R$5:$R$679,0)),"")</f>
        <v>k_ss_residual</v>
      </c>
      <c r="B153" s="1">
        <f>IF($A153="","",SUMIFS('02_ツリー'!$K$5:$K$679,'02_ツリー'!$E$5:$E$679,$A153,'02_ツリー'!$K$5:$K$679,"&gt;0"))</f>
        <v>0</v>
      </c>
      <c r="C153" s="1">
        <f>IF($A153="","",SUMIFS('02_ツリー'!$K$5:$K$679,'02_ツリー'!$E$5:$E$679,$A153,'02_ツリー'!$K$5:$K$679,"&lt;0"))</f>
        <v>0</v>
      </c>
      <c r="D153" s="1">
        <f t="shared" si="6"/>
        <v>0</v>
      </c>
      <c r="E153" s="1">
        <f>IF($A153="","",--(COUNTIFS('02_ツリー'!$E$5:$E$679,$A153,'02_ツリー'!$O$5:$O$679,0)=0))</f>
        <v>1</v>
      </c>
      <c r="F153" s="1">
        <f t="shared" si="7"/>
        <v>0</v>
      </c>
      <c r="G153" s="1">
        <f t="shared" si="8"/>
        <v>0</v>
      </c>
      <c r="H153" s="1"/>
      <c r="I153" s="1"/>
      <c r="J153" s="1"/>
      <c r="K153" s="1"/>
      <c r="L153" s="1"/>
    </row>
    <row r="154" spans="1:12">
      <c r="A154" s="1" t="str">
        <f>IFERROR(INDEX('02_ツリー'!$E$5:$E$679,MATCH(ROW()-10,'02_ツリー'!$R$5:$R$679,0)),"")</f>
        <v>M_ss</v>
      </c>
      <c r="B154" s="1">
        <f>IF($A154="","",SUMIFS('02_ツリー'!$K$5:$K$679,'02_ツリー'!$E$5:$E$679,$A154,'02_ツリー'!$K$5:$K$679,"&gt;0"))</f>
        <v>0</v>
      </c>
      <c r="C154" s="1">
        <f>IF($A154="","",SUMIFS('02_ツリー'!$K$5:$K$679,'02_ツリー'!$E$5:$E$679,$A154,'02_ツリー'!$K$5:$K$679,"&lt;0"))</f>
        <v>0</v>
      </c>
      <c r="D154" s="1">
        <f t="shared" si="6"/>
        <v>0</v>
      </c>
      <c r="E154" s="1">
        <f>IF($A154="","",--(COUNTIFS('02_ツリー'!$E$5:$E$679,$A154,'02_ツリー'!$O$5:$O$679,0)=0))</f>
        <v>0</v>
      </c>
      <c r="F154" s="1">
        <f t="shared" si="7"/>
        <v>0</v>
      </c>
      <c r="G154" s="1">
        <f t="shared" si="8"/>
        <v>0</v>
      </c>
      <c r="H154" s="1"/>
      <c r="I154" s="1"/>
      <c r="J154" s="1"/>
      <c r="K154" s="1"/>
      <c r="L154" s="1"/>
    </row>
    <row r="155" spans="1:12">
      <c r="A155" s="1" t="str">
        <f>IFERROR(INDEX('02_ツリー'!$E$5:$E$679,MATCH(ROW()-10,'02_ツリー'!$R$5:$R$679,0)),"")</f>
        <v>M_aux_ss</v>
      </c>
      <c r="B155" s="1">
        <f>IF($A155="","",SUMIFS('02_ツリー'!$K$5:$K$679,'02_ツリー'!$E$5:$E$679,$A155,'02_ツリー'!$K$5:$K$679,"&gt;0"))</f>
        <v>0</v>
      </c>
      <c r="C155" s="1">
        <f>IF($A155="","",SUMIFS('02_ツリー'!$K$5:$K$679,'02_ツリー'!$E$5:$E$679,$A155,'02_ツリー'!$K$5:$K$679,"&lt;0"))</f>
        <v>0</v>
      </c>
      <c r="D155" s="1">
        <f t="shared" si="6"/>
        <v>0</v>
      </c>
      <c r="E155" s="1">
        <f>IF($A155="","",--(COUNTIFS('02_ツリー'!$E$5:$E$679,$A155,'02_ツリー'!$O$5:$O$679,0)=0))</f>
        <v>0</v>
      </c>
      <c r="F155" s="1">
        <f t="shared" si="7"/>
        <v>0</v>
      </c>
      <c r="G155" s="1">
        <f t="shared" si="8"/>
        <v>0</v>
      </c>
      <c r="H155" s="1"/>
      <c r="I155" s="1"/>
      <c r="J155" s="1"/>
      <c r="K155" s="1"/>
      <c r="L155" s="1"/>
    </row>
    <row r="156" spans="1:12">
      <c r="A156" s="1" t="str">
        <f>IFERROR(INDEX('02_ツリー'!$E$5:$E$679,MATCH(ROW()-10,'02_ツリー'!$R$5:$R$679,0)),"")</f>
        <v>N_aux_ss</v>
      </c>
      <c r="B156" s="1">
        <f>IF($A156="","",SUMIFS('02_ツリー'!$K$5:$K$679,'02_ツリー'!$E$5:$E$679,$A156,'02_ツリー'!$K$5:$K$679,"&gt;0"))</f>
        <v>0</v>
      </c>
      <c r="C156" s="1">
        <f>IF($A156="","",SUMIFS('02_ツリー'!$K$5:$K$679,'02_ツリー'!$E$5:$E$679,$A156,'02_ツリー'!$K$5:$K$679,"&lt;0"))</f>
        <v>0</v>
      </c>
      <c r="D156" s="1">
        <f t="shared" si="6"/>
        <v>0</v>
      </c>
      <c r="E156" s="1">
        <f>IF($A156="","",--(COUNTIFS('02_ツリー'!$E$5:$E$679,$A156,'02_ツリー'!$O$5:$O$679,0)=0))</f>
        <v>1</v>
      </c>
      <c r="F156" s="1">
        <f t="shared" si="7"/>
        <v>0</v>
      </c>
      <c r="G156" s="1">
        <f t="shared" si="8"/>
        <v>0</v>
      </c>
      <c r="H156" s="1"/>
      <c r="I156" s="1"/>
      <c r="J156" s="1"/>
      <c r="K156" s="1"/>
      <c r="L156" s="1"/>
    </row>
    <row r="157" spans="1:12">
      <c r="A157" s="1" t="str">
        <f>IFERROR(INDEX('02_ツリー'!$E$5:$E$679,MATCH(ROW()-10,'02_ツリー'!$R$5:$R$679,0)),"")</f>
        <v>m_aux_ss</v>
      </c>
      <c r="B157" s="1">
        <f>IF($A157="","",SUMIFS('02_ツリー'!$K$5:$K$679,'02_ツリー'!$E$5:$E$679,$A157,'02_ツリー'!$K$5:$K$679,"&gt;0"))</f>
        <v>0</v>
      </c>
      <c r="C157" s="1">
        <f>IF($A157="","",SUMIFS('02_ツリー'!$K$5:$K$679,'02_ツリー'!$E$5:$E$679,$A157,'02_ツリー'!$K$5:$K$679,"&lt;0"))</f>
        <v>0</v>
      </c>
      <c r="D157" s="1">
        <f t="shared" si="6"/>
        <v>0</v>
      </c>
      <c r="E157" s="1">
        <f>IF($A157="","",--(COUNTIFS('02_ツリー'!$E$5:$E$679,$A157,'02_ツリー'!$O$5:$O$679,0)=0))</f>
        <v>0</v>
      </c>
      <c r="F157" s="1">
        <f t="shared" si="7"/>
        <v>0</v>
      </c>
      <c r="G157" s="1">
        <f t="shared" si="8"/>
        <v>0</v>
      </c>
      <c r="H157" s="1"/>
      <c r="I157" s="1"/>
      <c r="J157" s="1"/>
      <c r="K157" s="1"/>
      <c r="L157" s="1"/>
    </row>
    <row r="158" spans="1:12">
      <c r="A158" s="1" t="str">
        <f>IFERROR(INDEX('02_ツリー'!$E$5:$E$679,MATCH(ROW()-10,'02_ツリー'!$R$5:$R$679,0)),"")</f>
        <v>M_res_ss</v>
      </c>
      <c r="B158" s="1">
        <f>IF($A158="","",SUMIFS('02_ツリー'!$K$5:$K$679,'02_ツリー'!$E$5:$E$679,$A158,'02_ツリー'!$K$5:$K$679,"&gt;0"))</f>
        <v>0</v>
      </c>
      <c r="C158" s="1">
        <f>IF($A158="","",SUMIFS('02_ツリー'!$K$5:$K$679,'02_ツリー'!$E$5:$E$679,$A158,'02_ツリー'!$K$5:$K$679,"&lt;0"))</f>
        <v>0</v>
      </c>
      <c r="D158" s="1">
        <f t="shared" si="6"/>
        <v>0</v>
      </c>
      <c r="E158" s="1">
        <f>IF($A158="","",--(COUNTIFS('02_ツリー'!$E$5:$E$679,$A158,'02_ツリー'!$O$5:$O$679,0)=0))</f>
        <v>0</v>
      </c>
      <c r="F158" s="1">
        <f t="shared" si="7"/>
        <v>0</v>
      </c>
      <c r="G158" s="1">
        <f t="shared" si="8"/>
        <v>0</v>
      </c>
      <c r="H158" s="1"/>
      <c r="I158" s="1"/>
      <c r="J158" s="1"/>
      <c r="K158" s="1"/>
      <c r="L158" s="1"/>
    </row>
    <row r="159" spans="1:12">
      <c r="A159" s="1" t="str">
        <f>IFERROR(INDEX('02_ツリー'!$E$5:$E$679,MATCH(ROW()-10,'02_ツリー'!$R$5:$R$679,0)),"")</f>
        <v>m_Lr</v>
      </c>
      <c r="B159" s="1">
        <f>IF($A159="","",SUMIFS('02_ツリー'!$K$5:$K$679,'02_ツリー'!$E$5:$E$679,$A159,'02_ツリー'!$K$5:$K$679,"&gt;0"))</f>
        <v>0</v>
      </c>
      <c r="C159" s="1">
        <f>IF($A159="","",SUMIFS('02_ツリー'!$K$5:$K$679,'02_ツリー'!$E$5:$E$679,$A159,'02_ツリー'!$K$5:$K$679,"&lt;0"))</f>
        <v>0</v>
      </c>
      <c r="D159" s="1">
        <f t="shared" si="6"/>
        <v>0</v>
      </c>
      <c r="E159" s="1">
        <f>IF($A159="","",--(COUNTIFS('02_ツリー'!$E$5:$E$679,$A159,'02_ツリー'!$O$5:$O$679,0)=0))</f>
        <v>0</v>
      </c>
      <c r="F159" s="1">
        <f t="shared" si="7"/>
        <v>0</v>
      </c>
      <c r="G159" s="1">
        <f t="shared" si="8"/>
        <v>0</v>
      </c>
      <c r="H159" s="1"/>
      <c r="I159" s="1"/>
      <c r="J159" s="1"/>
      <c r="K159" s="1"/>
      <c r="L159" s="1"/>
    </row>
    <row r="160" spans="1:12">
      <c r="A160" s="1" t="str">
        <f>IFERROR(INDEX('02_ツリー'!$E$5:$E$679,MATCH(ROW()-10,'02_ツリー'!$R$5:$R$679,0)),"")</f>
        <v>k_mLr</v>
      </c>
      <c r="B160" s="1">
        <f>IF($A160="","",SUMIFS('02_ツリー'!$K$5:$K$679,'02_ツリー'!$E$5:$E$679,$A160,'02_ツリー'!$K$5:$K$679,"&gt;0"))</f>
        <v>0</v>
      </c>
      <c r="C160" s="1">
        <f>IF($A160="","",SUMIFS('02_ツリー'!$K$5:$K$679,'02_ツリー'!$E$5:$E$679,$A160,'02_ツリー'!$K$5:$K$679,"&lt;0"))</f>
        <v>0</v>
      </c>
      <c r="D160" s="1">
        <f t="shared" si="6"/>
        <v>0</v>
      </c>
      <c r="E160" s="1">
        <f>IF($A160="","",--(COUNTIFS('02_ツリー'!$E$5:$E$679,$A160,'02_ツリー'!$O$5:$O$679,0)=0))</f>
        <v>1</v>
      </c>
      <c r="F160" s="1">
        <f t="shared" si="7"/>
        <v>0</v>
      </c>
      <c r="G160" s="1">
        <f t="shared" si="8"/>
        <v>0</v>
      </c>
      <c r="H160" s="1"/>
      <c r="I160" s="1"/>
      <c r="J160" s="1"/>
      <c r="K160" s="1"/>
      <c r="L160" s="1"/>
    </row>
    <row r="161" spans="1:12">
      <c r="A161" s="1" t="str">
        <f>IFERROR(INDEX('02_ツリー'!$E$5:$E$679,MATCH(ROW()-10,'02_ツリー'!$R$5:$R$679,0)),"")</f>
        <v>L_r</v>
      </c>
      <c r="B161" s="1">
        <f>IF($A161="","",SUMIFS('02_ツリー'!$K$5:$K$679,'02_ツリー'!$E$5:$E$679,$A161,'02_ツリー'!$K$5:$K$679,"&gt;0"))</f>
        <v>0</v>
      </c>
      <c r="C161" s="1">
        <f>IF($A161="","",SUMIFS('02_ツリー'!$K$5:$K$679,'02_ツリー'!$E$5:$E$679,$A161,'02_ツリー'!$K$5:$K$679,"&lt;0"))</f>
        <v>0</v>
      </c>
      <c r="D161" s="1">
        <f t="shared" si="6"/>
        <v>0</v>
      </c>
      <c r="E161" s="1">
        <f>IF($A161="","",--(COUNTIFS('02_ツリー'!$E$5:$E$679,$A161,'02_ツリー'!$O$5:$O$679,0)=0))</f>
        <v>0</v>
      </c>
      <c r="F161" s="1">
        <f t="shared" si="7"/>
        <v>0</v>
      </c>
      <c r="G161" s="1">
        <f t="shared" si="8"/>
        <v>0</v>
      </c>
      <c r="H161" s="1"/>
      <c r="I161" s="1"/>
      <c r="J161" s="1"/>
      <c r="K161" s="1"/>
      <c r="L161" s="1"/>
    </row>
    <row r="162" spans="1:12">
      <c r="A162" s="1" t="str">
        <f>IFERROR(INDEX('02_ツリー'!$E$5:$E$679,MATCH(ROW()-10,'02_ツリー'!$R$5:$R$679,0)),"")</f>
        <v>k_Lr</v>
      </c>
      <c r="B162" s="1">
        <f>IF($A162="","",SUMIFS('02_ツリー'!$K$5:$K$679,'02_ツリー'!$E$5:$E$679,$A162,'02_ツリー'!$K$5:$K$679,"&gt;0"))</f>
        <v>0</v>
      </c>
      <c r="C162" s="1">
        <f>IF($A162="","",SUMIFS('02_ツリー'!$K$5:$K$679,'02_ツリー'!$E$5:$E$679,$A162,'02_ツリー'!$K$5:$K$679,"&lt;0"))</f>
        <v>0</v>
      </c>
      <c r="D162" s="1">
        <f t="shared" si="6"/>
        <v>0</v>
      </c>
      <c r="E162" s="1">
        <f>IF($A162="","",--(COUNTIFS('02_ツリー'!$E$5:$E$679,$A162,'02_ツリー'!$O$5:$O$679,0)=0))</f>
        <v>1</v>
      </c>
      <c r="F162" s="1">
        <f t="shared" si="7"/>
        <v>0</v>
      </c>
      <c r="G162" s="1">
        <f t="shared" si="8"/>
        <v>0</v>
      </c>
      <c r="H162" s="1"/>
      <c r="I162" s="1"/>
      <c r="J162" s="1"/>
      <c r="K162" s="1"/>
      <c r="L162" s="1"/>
    </row>
    <row r="163" spans="1:12">
      <c r="A163" s="1" t="str">
        <f>IFERROR(INDEX('02_ツリー'!$E$5:$E$679,MATCH(ROW()-10,'02_ツリー'!$R$5:$R$679,0)),"")</f>
        <v>m_Cr</v>
      </c>
      <c r="B163" s="1">
        <f>IF($A163="","",SUMIFS('02_ツリー'!$K$5:$K$679,'02_ツリー'!$E$5:$E$679,$A163,'02_ツリー'!$K$5:$K$679,"&gt;0"))</f>
        <v>0</v>
      </c>
      <c r="C163" s="1">
        <f>IF($A163="","",SUMIFS('02_ツリー'!$K$5:$K$679,'02_ツリー'!$E$5:$E$679,$A163,'02_ツリー'!$K$5:$K$679,"&lt;0"))</f>
        <v>0</v>
      </c>
      <c r="D163" s="1">
        <f t="shared" si="6"/>
        <v>0</v>
      </c>
      <c r="E163" s="1">
        <f>IF($A163="","",--(COUNTIFS('02_ツリー'!$E$5:$E$679,$A163,'02_ツリー'!$O$5:$O$679,0)=0))</f>
        <v>0</v>
      </c>
      <c r="F163" s="1">
        <f t="shared" si="7"/>
        <v>0</v>
      </c>
      <c r="G163" s="1">
        <f t="shared" si="8"/>
        <v>0</v>
      </c>
      <c r="H163" s="1"/>
      <c r="I163" s="1"/>
      <c r="J163" s="1"/>
      <c r="K163" s="1"/>
      <c r="L163" s="1"/>
    </row>
    <row r="164" spans="1:12">
      <c r="A164" s="1" t="str">
        <f>IFERROR(INDEX('02_ツリー'!$E$5:$E$679,MATCH(ROW()-10,'02_ツリー'!$R$5:$R$679,0)),"")</f>
        <v>k_mCr</v>
      </c>
      <c r="B164" s="1">
        <f>IF($A164="","",SUMIFS('02_ツリー'!$K$5:$K$679,'02_ツリー'!$E$5:$E$679,$A164,'02_ツリー'!$K$5:$K$679,"&gt;0"))</f>
        <v>0</v>
      </c>
      <c r="C164" s="1">
        <f>IF($A164="","",SUMIFS('02_ツリー'!$K$5:$K$679,'02_ツリー'!$E$5:$E$679,$A164,'02_ツリー'!$K$5:$K$679,"&lt;0"))</f>
        <v>0</v>
      </c>
      <c r="D164" s="1">
        <f t="shared" si="6"/>
        <v>0</v>
      </c>
      <c r="E164" s="1">
        <f>IF($A164="","",--(COUNTIFS('02_ツリー'!$E$5:$E$679,$A164,'02_ツリー'!$O$5:$O$679,0)=0))</f>
        <v>1</v>
      </c>
      <c r="F164" s="1">
        <f t="shared" si="7"/>
        <v>0</v>
      </c>
      <c r="G164" s="1">
        <f t="shared" si="8"/>
        <v>0</v>
      </c>
      <c r="H164" s="1"/>
      <c r="I164" s="1"/>
      <c r="J164" s="1"/>
      <c r="K164" s="1"/>
      <c r="L164" s="1"/>
    </row>
    <row r="165" spans="1:12">
      <c r="A165" s="1" t="str">
        <f>IFERROR(INDEX('02_ツリー'!$E$5:$E$679,MATCH(ROW()-10,'02_ツリー'!$R$5:$R$679,0)),"")</f>
        <v>C_r</v>
      </c>
      <c r="B165" s="1">
        <f>IF($A165="","",SUMIFS('02_ツリー'!$K$5:$K$679,'02_ツリー'!$E$5:$E$679,$A165,'02_ツリー'!$K$5:$K$679,"&gt;0"))</f>
        <v>0</v>
      </c>
      <c r="C165" s="1">
        <f>IF($A165="","",SUMIFS('02_ツリー'!$K$5:$K$679,'02_ツリー'!$E$5:$E$679,$A165,'02_ツリー'!$K$5:$K$679,"&lt;0"))</f>
        <v>0</v>
      </c>
      <c r="D165" s="1">
        <f t="shared" si="6"/>
        <v>0</v>
      </c>
      <c r="E165" s="1">
        <f>IF($A165="","",--(COUNTIFS('02_ツリー'!$E$5:$E$679,$A165,'02_ツリー'!$O$5:$O$679,0)=0))</f>
        <v>0</v>
      </c>
      <c r="F165" s="1">
        <f t="shared" si="7"/>
        <v>0</v>
      </c>
      <c r="G165" s="1">
        <f t="shared" si="8"/>
        <v>0</v>
      </c>
      <c r="H165" s="1"/>
      <c r="I165" s="1"/>
      <c r="J165" s="1"/>
      <c r="K165" s="1"/>
      <c r="L165" s="1"/>
    </row>
    <row r="166" spans="1:12">
      <c r="A166" s="1" t="str">
        <f>IFERROR(INDEX('02_ツリー'!$E$5:$E$679,MATCH(ROW()-10,'02_ツリー'!$R$5:$R$679,0)),"")</f>
        <v>k_Cr</v>
      </c>
      <c r="B166" s="1">
        <f>IF($A166="","",SUMIFS('02_ツリー'!$K$5:$K$679,'02_ツリー'!$E$5:$E$679,$A166,'02_ツリー'!$K$5:$K$679,"&gt;0"))</f>
        <v>0</v>
      </c>
      <c r="C166" s="1">
        <f>IF($A166="","",SUMIFS('02_ツリー'!$K$5:$K$679,'02_ツリー'!$E$5:$E$679,$A166,'02_ツリー'!$K$5:$K$679,"&lt;0"))</f>
        <v>0</v>
      </c>
      <c r="D166" s="1">
        <f t="shared" si="6"/>
        <v>0</v>
      </c>
      <c r="E166" s="1">
        <f>IF($A166="","",--(COUNTIFS('02_ツリー'!$E$5:$E$679,$A166,'02_ツリー'!$O$5:$O$679,0)=0))</f>
        <v>1</v>
      </c>
      <c r="F166" s="1">
        <f t="shared" si="7"/>
        <v>0</v>
      </c>
      <c r="G166" s="1">
        <f t="shared" si="8"/>
        <v>0</v>
      </c>
      <c r="H166" s="1"/>
      <c r="I166" s="1"/>
      <c r="J166" s="1"/>
      <c r="K166" s="1"/>
      <c r="L166" s="1"/>
    </row>
    <row r="167" spans="1:12">
      <c r="A167" s="1" t="str">
        <f>IFERROR(INDEX('02_ツリー'!$E$5:$E$679,MATCH(ROW()-10,'02_ツリー'!$R$5:$R$679,0)),"")</f>
        <v>m_ctrl_ss</v>
      </c>
      <c r="B167" s="1">
        <f>IF($A167="","",SUMIFS('02_ツリー'!$K$5:$K$679,'02_ツリー'!$E$5:$E$679,$A167,'02_ツリー'!$K$5:$K$679,"&gt;0"))</f>
        <v>0</v>
      </c>
      <c r="C167" s="1">
        <f>IF($A167="","",SUMIFS('02_ツリー'!$K$5:$K$679,'02_ツリー'!$E$5:$E$679,$A167,'02_ツリー'!$K$5:$K$679,"&lt;0"))</f>
        <v>0</v>
      </c>
      <c r="D167" s="1">
        <f t="shared" si="6"/>
        <v>0</v>
      </c>
      <c r="E167" s="1">
        <f>IF($A167="","",--(COUNTIFS('02_ツリー'!$E$5:$E$679,$A167,'02_ツリー'!$O$5:$O$679,0)=0))</f>
        <v>1</v>
      </c>
      <c r="F167" s="1">
        <f t="shared" si="7"/>
        <v>0</v>
      </c>
      <c r="G167" s="1">
        <f t="shared" si="8"/>
        <v>0</v>
      </c>
      <c r="H167" s="1"/>
      <c r="I167" s="1"/>
      <c r="J167" s="1"/>
      <c r="K167" s="1"/>
      <c r="L167" s="1"/>
    </row>
    <row r="168" spans="1:12">
      <c r="A168" s="1" t="str">
        <f>IFERROR(INDEX('02_ツリー'!$E$5:$E$679,MATCH(ROW()-10,'02_ツリー'!$R$5:$R$679,0)),"")</f>
        <v>L_dbc</v>
      </c>
      <c r="B168" s="1">
        <f>IF($A168="","",SUMIFS('02_ツリー'!$K$5:$K$679,'02_ツリー'!$E$5:$E$679,$A168,'02_ツリー'!$K$5:$K$679,"&gt;0"))</f>
        <v>1.3005535289382622E-2</v>
      </c>
      <c r="C168" s="1">
        <f>IF($A168="","",SUMIFS('02_ツリー'!$K$5:$K$679,'02_ツリー'!$E$5:$E$679,$A168,'02_ツリー'!$K$5:$K$679,"&lt;0"))</f>
        <v>0</v>
      </c>
      <c r="D168" s="1">
        <f t="shared" si="6"/>
        <v>1.3005535289382622E-2</v>
      </c>
      <c r="E168" s="1">
        <f>IF($A168="","",--(COUNTIFS('02_ツリー'!$E$5:$E$679,$A168,'02_ツリー'!$O$5:$O$679,0)=0))</f>
        <v>1</v>
      </c>
      <c r="F168" s="1">
        <f t="shared" si="7"/>
        <v>0</v>
      </c>
      <c r="G168" s="1">
        <f t="shared" si="8"/>
        <v>0</v>
      </c>
      <c r="H168" s="1"/>
      <c r="I168" s="1"/>
      <c r="J168" s="1"/>
      <c r="K168" s="1"/>
      <c r="L168" s="1"/>
    </row>
    <row r="169" spans="1:12">
      <c r="A169" s="1" t="str">
        <f>IFERROR(INDEX('02_ツリー'!$E$5:$E$679,MATCH(ROW()-10,'02_ツリー'!$R$5:$R$679,0)),"")</f>
        <v>W_dbc</v>
      </c>
      <c r="B169" s="1">
        <f>IF($A169="","",SUMIFS('02_ツリー'!$K$5:$K$679,'02_ツリー'!$E$5:$E$679,$A169,'02_ツリー'!$K$5:$K$679,"&gt;0"))</f>
        <v>1.3005535289382622E-2</v>
      </c>
      <c r="C169" s="1">
        <f>IF($A169="","",SUMIFS('02_ツリー'!$K$5:$K$679,'02_ツリー'!$E$5:$E$679,$A169,'02_ツリー'!$K$5:$K$679,"&lt;0"))</f>
        <v>0</v>
      </c>
      <c r="D169" s="1">
        <f t="shared" si="6"/>
        <v>1.3005535289382622E-2</v>
      </c>
      <c r="E169" s="1">
        <f>IF($A169="","",--(COUNTIFS('02_ツリー'!$E$5:$E$679,$A169,'02_ツリー'!$O$5:$O$679,0)=0))</f>
        <v>1</v>
      </c>
      <c r="F169" s="1">
        <f t="shared" si="7"/>
        <v>0</v>
      </c>
      <c r="G169" s="1">
        <f t="shared" si="8"/>
        <v>0</v>
      </c>
      <c r="H169" s="1"/>
      <c r="I169" s="1"/>
      <c r="J169" s="1"/>
      <c r="K169" s="1"/>
      <c r="L169" s="1"/>
    </row>
    <row r="170" spans="1:12">
      <c r="A170" s="1" t="str">
        <f>IFERROR(INDEX('02_ツリー'!$E$5:$E$679,MATCH(ROW()-10,'02_ツリー'!$R$5:$R$679,0)),"")</f>
        <v>t_cu_top</v>
      </c>
      <c r="B170" s="1">
        <f>IF($A170="","",SUMIFS('02_ツリー'!$K$5:$K$679,'02_ツリー'!$E$5:$E$679,$A170,'02_ツリー'!$K$5:$K$679,"&gt;0"))</f>
        <v>9.6869222814086834E-3</v>
      </c>
      <c r="C170" s="1">
        <f>IF($A170="","",SUMIFS('02_ツリー'!$K$5:$K$679,'02_ツリー'!$E$5:$E$679,$A170,'02_ツリー'!$K$5:$K$679,"&lt;0"))</f>
        <v>-4.2409354204508551E-3</v>
      </c>
      <c r="D170" s="1">
        <f t="shared" si="6"/>
        <v>5.4459868609578284E-3</v>
      </c>
      <c r="E170" s="1">
        <f>IF($A170="","",--(COUNTIFS('02_ツリー'!$E$5:$E$679,$A170,'02_ツリー'!$O$5:$O$679,0)=0))</f>
        <v>1</v>
      </c>
      <c r="F170" s="1">
        <f t="shared" si="7"/>
        <v>1</v>
      </c>
      <c r="G170" s="1">
        <f t="shared" si="8"/>
        <v>0</v>
      </c>
      <c r="H170" s="1"/>
      <c r="I170" s="1"/>
      <c r="J170" s="1"/>
      <c r="K170" s="1"/>
      <c r="L170" s="1"/>
    </row>
    <row r="171" spans="1:12">
      <c r="A171" s="1" t="str">
        <f>IFERROR(INDEX('02_ツリー'!$E$5:$E$679,MATCH(ROW()-10,'02_ツリー'!$R$5:$R$679,0)),"")</f>
        <v>t_cer</v>
      </c>
      <c r="B171" s="1">
        <f>IF($A171="","",SUMIFS('02_ツリー'!$K$5:$K$679,'02_ツリー'!$E$5:$E$679,$A171,'02_ツリー'!$K$5:$K$679,"&gt;0"))</f>
        <v>6.6372260159478797E-3</v>
      </c>
      <c r="C171" s="1">
        <f>IF($A171="","",SUMIFS('02_ツリー'!$K$5:$K$679,'02_ツリー'!$E$5:$E$679,$A171,'02_ツリー'!$K$5:$K$679,"&lt;0"))</f>
        <v>-4.5236644484809132E-3</v>
      </c>
      <c r="D171" s="1">
        <f t="shared" si="6"/>
        <v>2.1135615674669666E-3</v>
      </c>
      <c r="E171" s="1">
        <f>IF($A171="","",--(COUNTIFS('02_ツリー'!$E$5:$E$679,$A171,'02_ツリー'!$O$5:$O$679,0)=0))</f>
        <v>1</v>
      </c>
      <c r="F171" s="1">
        <f t="shared" si="7"/>
        <v>1</v>
      </c>
      <c r="G171" s="1">
        <f t="shared" si="8"/>
        <v>0</v>
      </c>
      <c r="H171" s="1"/>
      <c r="I171" s="1"/>
      <c r="J171" s="1"/>
      <c r="K171" s="1"/>
      <c r="L171" s="1"/>
    </row>
    <row r="172" spans="1:12">
      <c r="A172" s="1" t="str">
        <f>IFERROR(INDEX('02_ツリー'!$E$5:$E$679,MATCH(ROW()-10,'02_ツリー'!$R$5:$R$679,0)),"")</f>
        <v>t_cu_bot</v>
      </c>
      <c r="B172" s="1">
        <f>IF($A172="","",SUMIFS('02_ツリー'!$K$5:$K$679,'02_ツリー'!$E$5:$E$679,$A172,'02_ツリー'!$K$5:$K$679,"&gt;0"))</f>
        <v>9.6869222814086834E-3</v>
      </c>
      <c r="C172" s="1">
        <f>IF($A172="","",SUMIFS('02_ツリー'!$K$5:$K$679,'02_ツリー'!$E$5:$E$679,$A172,'02_ツリー'!$K$5:$K$679,"&lt;0"))</f>
        <v>-4.2409354204508551E-3</v>
      </c>
      <c r="D172" s="1">
        <f t="shared" si="6"/>
        <v>5.4459868609578284E-3</v>
      </c>
      <c r="E172" s="1">
        <f>IF($A172="","",--(COUNTIFS('02_ツリー'!$E$5:$E$679,$A172,'02_ツリー'!$O$5:$O$679,0)=0))</f>
        <v>1</v>
      </c>
      <c r="F172" s="1">
        <f t="shared" si="7"/>
        <v>1</v>
      </c>
      <c r="G172" s="1">
        <f t="shared" si="8"/>
        <v>0</v>
      </c>
      <c r="H172" s="1"/>
      <c r="I172" s="1"/>
      <c r="J172" s="1"/>
      <c r="K172" s="1"/>
      <c r="L172" s="1"/>
    </row>
    <row r="173" spans="1:12">
      <c r="A173" s="1" t="str">
        <f>IFERROR(INDEX('02_ツリー'!$E$5:$E$679,MATCH(ROW()-10,'02_ツリー'!$R$5:$R$679,0)),"")</f>
        <v>rho_cu</v>
      </c>
      <c r="B173" s="1">
        <f>IF($A173="","",SUMIFS('02_ツリー'!$K$5:$K$679,'02_ツリー'!$E$5:$E$679,$A173,'02_ツリー'!$K$5:$K$679,"&gt;0"))</f>
        <v>1.0891973721915657E-2</v>
      </c>
      <c r="C173" s="1">
        <f>IF($A173="","",SUMIFS('02_ツリー'!$K$5:$K$679,'02_ツリー'!$E$5:$E$679,$A173,'02_ツリー'!$K$5:$K$679,"&lt;0"))</f>
        <v>0</v>
      </c>
      <c r="D173" s="1">
        <f t="shared" si="6"/>
        <v>1.0891973721915657E-2</v>
      </c>
      <c r="E173" s="1">
        <f>IF($A173="","",--(COUNTIFS('02_ツリー'!$E$5:$E$679,$A173,'02_ツリー'!$O$5:$O$679,0)=0))</f>
        <v>1</v>
      </c>
      <c r="F173" s="1">
        <f t="shared" si="7"/>
        <v>0</v>
      </c>
      <c r="G173" s="1">
        <f t="shared" si="8"/>
        <v>0</v>
      </c>
      <c r="H173" s="1"/>
      <c r="I173" s="1"/>
      <c r="J173" s="1"/>
      <c r="K173" s="1"/>
      <c r="L173" s="1"/>
    </row>
    <row r="174" spans="1:12">
      <c r="A174" s="1" t="str">
        <f>IFERROR(INDEX('02_ツリー'!$E$5:$E$679,MATCH(ROW()-10,'02_ツリー'!$R$5:$R$679,0)),"")</f>
        <v>rho_cer</v>
      </c>
      <c r="B174" s="1">
        <f>IF($A174="","",SUMIFS('02_ツリー'!$K$5:$K$679,'02_ツリー'!$E$5:$E$679,$A174,'02_ツリー'!$K$5:$K$679,"&gt;0"))</f>
        <v>2.1135615674669666E-3</v>
      </c>
      <c r="C174" s="1">
        <f>IF($A174="","",SUMIFS('02_ツリー'!$K$5:$K$679,'02_ツリー'!$E$5:$E$679,$A174,'02_ツリー'!$K$5:$K$679,"&lt;0"))</f>
        <v>0</v>
      </c>
      <c r="D174" s="1">
        <f t="shared" si="6"/>
        <v>2.1135615674669666E-3</v>
      </c>
      <c r="E174" s="1">
        <f>IF($A174="","",--(COUNTIFS('02_ツリー'!$E$5:$E$679,$A174,'02_ツリー'!$O$5:$O$679,0)=0))</f>
        <v>1</v>
      </c>
      <c r="F174" s="1">
        <f t="shared" si="7"/>
        <v>0</v>
      </c>
      <c r="G174" s="1">
        <f t="shared" si="8"/>
        <v>0</v>
      </c>
      <c r="H174" s="1"/>
      <c r="I174" s="1"/>
      <c r="J174" s="1"/>
      <c r="K174" s="1"/>
      <c r="L174" s="1"/>
    </row>
    <row r="175" spans="1:12">
      <c r="A175" s="1" t="str">
        <f>IFERROR(INDEX('02_ツリー'!$E$5:$E$679,MATCH(ROW()-10,'02_ツリー'!$R$5:$R$679,0)),"")</f>
        <v>L_base</v>
      </c>
      <c r="B175" s="1">
        <f>IF($A175="","",SUMIFS('02_ツリー'!$K$5:$K$679,'02_ツリー'!$E$5:$E$679,$A175,'02_ツリー'!$K$5:$K$679,"&gt;0"))</f>
        <v>6.5018414564496529E-2</v>
      </c>
      <c r="C175" s="1">
        <f>IF($A175="","",SUMIFS('02_ツリー'!$K$5:$K$679,'02_ツリー'!$E$5:$E$679,$A175,'02_ツリー'!$K$5:$K$679,"&lt;0"))</f>
        <v>0</v>
      </c>
      <c r="D175" s="1">
        <f t="shared" si="6"/>
        <v>6.5018414564496529E-2</v>
      </c>
      <c r="E175" s="1">
        <f>IF($A175="","",--(COUNTIFS('02_ツリー'!$E$5:$E$679,$A175,'02_ツリー'!$O$5:$O$679,0)=0))</f>
        <v>1</v>
      </c>
      <c r="F175" s="1">
        <f t="shared" si="7"/>
        <v>0</v>
      </c>
      <c r="G175" s="1">
        <f t="shared" si="8"/>
        <v>0</v>
      </c>
      <c r="H175" s="1"/>
      <c r="I175" s="1"/>
      <c r="J175" s="1"/>
      <c r="K175" s="1"/>
      <c r="L175" s="1"/>
    </row>
    <row r="176" spans="1:12">
      <c r="A176" s="1" t="str">
        <f>IFERROR(INDEX('02_ツリー'!$E$5:$E$679,MATCH(ROW()-10,'02_ツリー'!$R$5:$R$679,0)),"")</f>
        <v>W_base</v>
      </c>
      <c r="B176" s="1">
        <f>IF($A176="","",SUMIFS('02_ツリー'!$K$5:$K$679,'02_ツリー'!$E$5:$E$679,$A176,'02_ツリー'!$K$5:$K$679,"&gt;0"))</f>
        <v>3.2509207282248265E-2</v>
      </c>
      <c r="C176" s="1">
        <f>IF($A176="","",SUMIFS('02_ツリー'!$K$5:$K$679,'02_ツリー'!$E$5:$E$679,$A176,'02_ツリー'!$K$5:$K$679,"&lt;0"))</f>
        <v>0</v>
      </c>
      <c r="D176" s="1">
        <f t="shared" si="6"/>
        <v>3.2509207282248265E-2</v>
      </c>
      <c r="E176" s="1">
        <f>IF($A176="","",--(COUNTIFS('02_ツリー'!$E$5:$E$679,$A176,'02_ツリー'!$O$5:$O$679,0)=0))</f>
        <v>1</v>
      </c>
      <c r="F176" s="1">
        <f t="shared" si="7"/>
        <v>0</v>
      </c>
      <c r="G176" s="1">
        <f t="shared" si="8"/>
        <v>0</v>
      </c>
      <c r="H176" s="1"/>
      <c r="I176" s="1"/>
      <c r="J176" s="1"/>
      <c r="K176" s="1"/>
      <c r="L176" s="1"/>
    </row>
    <row r="177" spans="1:12">
      <c r="A177" s="1" t="str">
        <f>IFERROR(INDEX('02_ツリー'!$E$5:$E$679,MATCH(ROW()-10,'02_ツリー'!$R$5:$R$679,0)),"")</f>
        <v>t_base_req</v>
      </c>
      <c r="B177" s="1">
        <f>IF($A177="","",SUMIFS('02_ツリー'!$K$5:$K$679,'02_ツリー'!$E$5:$E$679,$A177,'02_ツリー'!$K$5:$K$679,"&gt;0"))</f>
        <v>3.2509207282248265E-2</v>
      </c>
      <c r="C177" s="1">
        <f>IF($A177="","",SUMIFS('02_ツリー'!$K$5:$K$679,'02_ツリー'!$E$5:$E$679,$A177,'02_ツリー'!$K$5:$K$679,"&lt;0"))</f>
        <v>0</v>
      </c>
      <c r="D177" s="1">
        <f t="shared" si="6"/>
        <v>3.2509207282248265E-2</v>
      </c>
      <c r="E177" s="1">
        <f>IF($A177="","",--(COUNTIFS('02_ツリー'!$E$5:$E$679,$A177,'02_ツリー'!$O$5:$O$679,0)=0))</f>
        <v>0</v>
      </c>
      <c r="F177" s="1">
        <f t="shared" si="7"/>
        <v>0</v>
      </c>
      <c r="G177" s="1">
        <f t="shared" si="8"/>
        <v>0</v>
      </c>
      <c r="H177" s="1"/>
      <c r="I177" s="1"/>
      <c r="J177" s="1"/>
      <c r="K177" s="1"/>
      <c r="L177" s="1"/>
    </row>
    <row r="178" spans="1:12">
      <c r="A178" s="1" t="str">
        <f>IFERROR(INDEX('02_ツリー'!$E$5:$E$679,MATCH(ROW()-10,'02_ツリー'!$R$5:$R$679,0)),"")</f>
        <v>K_base_sf</v>
      </c>
      <c r="B178" s="1">
        <f>IF($A178="","",SUMIFS('02_ツリー'!$K$5:$K$679,'02_ツリー'!$E$5:$E$679,$A178,'02_ツリー'!$K$5:$K$679,"&gt;0"))</f>
        <v>3.2509207282248265E-2</v>
      </c>
      <c r="C178" s="1">
        <f>IF($A178="","",SUMIFS('02_ツリー'!$K$5:$K$679,'02_ツリー'!$E$5:$E$679,$A178,'02_ツリー'!$K$5:$K$679,"&lt;0"))</f>
        <v>0</v>
      </c>
      <c r="D178" s="1">
        <f t="shared" si="6"/>
        <v>3.2509207282248265E-2</v>
      </c>
      <c r="E178" s="1">
        <f>IF($A178="","",--(COUNTIFS('02_ツリー'!$E$5:$E$679,$A178,'02_ツリー'!$O$5:$O$679,0)=0))</f>
        <v>1</v>
      </c>
      <c r="F178" s="1">
        <f t="shared" si="7"/>
        <v>0</v>
      </c>
      <c r="G178" s="1">
        <f t="shared" si="8"/>
        <v>0</v>
      </c>
      <c r="H178" s="1"/>
      <c r="I178" s="1"/>
      <c r="J178" s="1"/>
      <c r="K178" s="1"/>
      <c r="L178" s="1"/>
    </row>
    <row r="179" spans="1:12">
      <c r="A179" s="1" t="str">
        <f>IFERROR(INDEX('02_ツリー'!$E$5:$E$679,MATCH(ROW()-10,'02_ツリー'!$R$5:$R$679,0)),"")</f>
        <v>p_base</v>
      </c>
      <c r="B179" s="1">
        <f>IF($A179="","",SUMIFS('02_ツリー'!$K$5:$K$679,'02_ツリー'!$E$5:$E$679,$A179,'02_ツリー'!$K$5:$K$679,"&gt;0"))</f>
        <v>1.6254603641124132E-2</v>
      </c>
      <c r="C179" s="1">
        <f>IF($A179="","",SUMIFS('02_ツリー'!$K$5:$K$679,'02_ツリー'!$E$5:$E$679,$A179,'02_ツリー'!$K$5:$K$679,"&lt;0"))</f>
        <v>0</v>
      </c>
      <c r="D179" s="1">
        <f t="shared" si="6"/>
        <v>1.6254603641124132E-2</v>
      </c>
      <c r="E179" s="1">
        <f>IF($A179="","",--(COUNTIFS('02_ツリー'!$E$5:$E$679,$A179,'02_ツリー'!$O$5:$O$679,0)=0))</f>
        <v>1</v>
      </c>
      <c r="F179" s="1">
        <f t="shared" si="7"/>
        <v>0</v>
      </c>
      <c r="G179" s="1">
        <f t="shared" si="8"/>
        <v>0</v>
      </c>
      <c r="H179" s="1"/>
      <c r="I179" s="1"/>
      <c r="J179" s="1"/>
      <c r="K179" s="1"/>
      <c r="L179" s="1"/>
    </row>
    <row r="180" spans="1:12">
      <c r="A180" s="1" t="str">
        <f>IFERROR(INDEX('02_ツリー'!$E$5:$E$679,MATCH(ROW()-10,'02_ツリー'!$R$5:$R$679,0)),"")</f>
        <v>sigma_base</v>
      </c>
      <c r="B180" s="1">
        <f>IF($A180="","",SUMIFS('02_ツリー'!$K$5:$K$679,'02_ツリー'!$E$5:$E$679,$A180,'02_ツリー'!$K$5:$K$679,"&gt;0"))</f>
        <v>0</v>
      </c>
      <c r="C180" s="1">
        <f>IF($A180="","",SUMIFS('02_ツリー'!$K$5:$K$679,'02_ツリー'!$E$5:$E$679,$A180,'02_ツリー'!$K$5:$K$679,"&lt;0"))</f>
        <v>-1.6254603641124132E-2</v>
      </c>
      <c r="D180" s="1">
        <f t="shared" si="6"/>
        <v>-1.6254603641124132E-2</v>
      </c>
      <c r="E180" s="1">
        <f>IF($A180="","",--(COUNTIFS('02_ツリー'!$E$5:$E$679,$A180,'02_ツリー'!$O$5:$O$679,0)=0))</f>
        <v>1</v>
      </c>
      <c r="F180" s="1">
        <f t="shared" si="7"/>
        <v>0</v>
      </c>
      <c r="G180" s="1">
        <f t="shared" si="8"/>
        <v>0</v>
      </c>
      <c r="H180" s="1"/>
      <c r="I180" s="1"/>
      <c r="J180" s="1"/>
      <c r="K180" s="1"/>
      <c r="L180" s="1"/>
    </row>
    <row r="181" spans="1:12">
      <c r="A181" s="1" t="str">
        <f>IFERROR(INDEX('02_ツリー'!$E$5:$E$679,MATCH(ROW()-10,'02_ツリー'!$R$5:$R$679,0)),"")</f>
        <v>e_cap_phys</v>
      </c>
      <c r="B181" s="1">
        <f>IF($A181="","",SUMIFS('02_ツリー'!$K$5:$K$679,'02_ツリー'!$E$5:$E$679,$A181,'02_ツリー'!$K$5:$K$679,"&gt;0"))</f>
        <v>0</v>
      </c>
      <c r="C181" s="1">
        <f>IF($A181="","",SUMIFS('02_ツリー'!$K$5:$K$679,'02_ツリー'!$E$5:$E$679,$A181,'02_ツリー'!$K$5:$K$679,"&lt;0"))</f>
        <v>-0.21100703029427656</v>
      </c>
      <c r="D181" s="1">
        <f t="shared" si="6"/>
        <v>-0.21100703029427656</v>
      </c>
      <c r="E181" s="1">
        <f>IF($A181="","",--(COUNTIFS('02_ツリー'!$E$5:$E$679,$A181,'02_ツリー'!$O$5:$O$679,0)=0))</f>
        <v>0</v>
      </c>
      <c r="F181" s="1">
        <f t="shared" si="7"/>
        <v>0</v>
      </c>
      <c r="G181" s="1">
        <f t="shared" si="8"/>
        <v>0</v>
      </c>
      <c r="H181" s="1"/>
      <c r="I181" s="1"/>
      <c r="J181" s="1"/>
      <c r="K181" s="1"/>
      <c r="L181" s="1"/>
    </row>
    <row r="182" spans="1:12">
      <c r="A182" s="1" t="str">
        <f>IFERROR(INDEX('02_ツリー'!$E$5:$E$679,MATCH(ROW()-10,'02_ツリー'!$R$5:$R$679,0)),"")</f>
        <v>eps0</v>
      </c>
      <c r="B182" s="1">
        <f>IF($A182="","",SUMIFS('02_ツリー'!$K$5:$K$679,'02_ツリー'!$E$5:$E$679,$A182,'02_ツリー'!$K$5:$K$679,"&gt;0"))</f>
        <v>0</v>
      </c>
      <c r="C182" s="1">
        <f>IF($A182="","",SUMIFS('02_ツリー'!$K$5:$K$679,'02_ツリー'!$E$5:$E$679,$A182,'02_ツリー'!$K$5:$K$679,"&lt;0"))</f>
        <v>0</v>
      </c>
      <c r="D182" s="1">
        <f t="shared" si="6"/>
        <v>0</v>
      </c>
      <c r="E182" s="1">
        <f>IF($A182="","",--(COUNTIFS('02_ツリー'!$E$5:$E$679,$A182,'02_ツリー'!$O$5:$O$679,0)=0))</f>
        <v>1</v>
      </c>
      <c r="F182" s="1">
        <f t="shared" si="7"/>
        <v>0</v>
      </c>
      <c r="G182" s="1">
        <f t="shared" si="8"/>
        <v>0</v>
      </c>
      <c r="H182" s="1"/>
      <c r="I182" s="1"/>
      <c r="J182" s="1"/>
      <c r="K182" s="1"/>
      <c r="L182" s="1"/>
    </row>
    <row r="183" spans="1:12">
      <c r="A183" s="1" t="str">
        <f>IFERROR(INDEX('02_ツリー'!$E$5:$E$679,MATCH(ROW()-10,'02_ツリー'!$R$5:$R$679,0)),"")</f>
        <v>eps_r</v>
      </c>
      <c r="B183" s="1">
        <f>IF($A183="","",SUMIFS('02_ツリー'!$K$5:$K$679,'02_ツリー'!$E$5:$E$679,$A183,'02_ツリー'!$K$5:$K$679,"&gt;0"))</f>
        <v>0</v>
      </c>
      <c r="C183" s="1">
        <f>IF($A183="","",SUMIFS('02_ツリー'!$K$5:$K$679,'02_ツリー'!$E$5:$E$679,$A183,'02_ツリー'!$K$5:$K$679,"&lt;0"))</f>
        <v>-0.21100703029427656</v>
      </c>
      <c r="D183" s="1">
        <f t="shared" si="6"/>
        <v>-0.21100703029427656</v>
      </c>
      <c r="E183" s="1">
        <f>IF($A183="","",--(COUNTIFS('02_ツリー'!$E$5:$E$679,$A183,'02_ツリー'!$O$5:$O$679,0)=0))</f>
        <v>1</v>
      </c>
      <c r="F183" s="1">
        <f t="shared" si="7"/>
        <v>0</v>
      </c>
      <c r="G183" s="1">
        <f t="shared" si="8"/>
        <v>0</v>
      </c>
      <c r="H183" s="1"/>
      <c r="I183" s="1"/>
      <c r="J183" s="1"/>
      <c r="K183" s="1"/>
      <c r="L183" s="1"/>
    </row>
    <row r="184" spans="1:12">
      <c r="A184" s="1" t="str">
        <f>IFERROR(INDEX('02_ツリー'!$E$5:$E$679,MATCH(ROW()-10,'02_ツリー'!$R$5:$R$679,0)),"")</f>
        <v>E_work_cap</v>
      </c>
      <c r="B184" s="1">
        <f>IF($A184="","",SUMIFS('02_ツリー'!$K$5:$K$679,'02_ツリー'!$E$5:$E$679,$A184,'02_ツリー'!$K$5:$K$679,"&gt;0"))</f>
        <v>0</v>
      </c>
      <c r="C184" s="1">
        <f>IF($A184="","",SUMIFS('02_ツリー'!$K$5:$K$679,'02_ツリー'!$E$5:$E$679,$A184,'02_ツリー'!$K$5:$K$679,"&lt;0"))</f>
        <v>-0.42201406058855312</v>
      </c>
      <c r="D184" s="1">
        <f t="shared" si="6"/>
        <v>-0.42201406058855312</v>
      </c>
      <c r="E184" s="1">
        <f>IF($A184="","",--(COUNTIFS('02_ツリー'!$E$5:$E$679,$A184,'02_ツリー'!$O$5:$O$679,0)=0))</f>
        <v>0</v>
      </c>
      <c r="F184" s="1">
        <f t="shared" si="7"/>
        <v>0</v>
      </c>
      <c r="G184" s="1">
        <f t="shared" si="8"/>
        <v>0</v>
      </c>
      <c r="H184" s="1"/>
      <c r="I184" s="1"/>
      <c r="J184" s="1"/>
      <c r="K184" s="1"/>
      <c r="L184" s="1"/>
    </row>
    <row r="185" spans="1:12">
      <c r="A185" s="1" t="str">
        <f>IFERROR(INDEX('02_ツリー'!$E$5:$E$679,MATCH(ROW()-10,'02_ツリー'!$R$5:$R$679,0)),"")</f>
        <v>k_Ecap</v>
      </c>
      <c r="B185" s="1">
        <f>IF($A185="","",SUMIFS('02_ツリー'!$K$5:$K$679,'02_ツリー'!$E$5:$E$679,$A185,'02_ツリー'!$K$5:$K$679,"&gt;0"))</f>
        <v>0</v>
      </c>
      <c r="C185" s="1">
        <f>IF($A185="","",SUMIFS('02_ツリー'!$K$5:$K$679,'02_ツリー'!$E$5:$E$679,$A185,'02_ツリー'!$K$5:$K$679,"&lt;0"))</f>
        <v>-0.42201406058855312</v>
      </c>
      <c r="D185" s="1">
        <f t="shared" si="6"/>
        <v>-0.42201406058855312</v>
      </c>
      <c r="E185" s="1">
        <f>IF($A185="","",--(COUNTIFS('02_ツリー'!$E$5:$E$679,$A185,'02_ツリー'!$O$5:$O$679,0)=0))</f>
        <v>1</v>
      </c>
      <c r="F185" s="1">
        <f t="shared" si="7"/>
        <v>0</v>
      </c>
      <c r="G185" s="1">
        <f t="shared" si="8"/>
        <v>0</v>
      </c>
      <c r="H185" s="1"/>
      <c r="I185" s="1"/>
      <c r="J185" s="1"/>
      <c r="K185" s="1"/>
      <c r="L185" s="1"/>
    </row>
    <row r="186" spans="1:12">
      <c r="A186" s="1" t="str">
        <f>IFERROR(INDEX('02_ツリー'!$E$5:$E$679,MATCH(ROW()-10,'02_ツリー'!$R$5:$R$679,0)),"")</f>
        <v>E_break_cap</v>
      </c>
      <c r="B186" s="1">
        <f>IF($A186="","",SUMIFS('02_ツリー'!$K$5:$K$679,'02_ツリー'!$E$5:$E$679,$A186,'02_ツリー'!$K$5:$K$679,"&gt;0"))</f>
        <v>0</v>
      </c>
      <c r="C186" s="1">
        <f>IF($A186="","",SUMIFS('02_ツリー'!$K$5:$K$679,'02_ツリー'!$E$5:$E$679,$A186,'02_ツリー'!$K$5:$K$679,"&lt;0"))</f>
        <v>-0.42201406058855312</v>
      </c>
      <c r="D186" s="1">
        <f t="shared" si="6"/>
        <v>-0.42201406058855312</v>
      </c>
      <c r="E186" s="1">
        <f>IF($A186="","",--(COUNTIFS('02_ツリー'!$E$5:$E$679,$A186,'02_ツリー'!$O$5:$O$679,0)=0))</f>
        <v>1</v>
      </c>
      <c r="F186" s="1">
        <f t="shared" si="7"/>
        <v>0</v>
      </c>
      <c r="G186" s="1">
        <f t="shared" si="8"/>
        <v>0</v>
      </c>
      <c r="H186" s="1"/>
      <c r="I186" s="1"/>
      <c r="J186" s="1"/>
      <c r="K186" s="1"/>
      <c r="L186" s="1"/>
    </row>
    <row r="187" spans="1:12">
      <c r="A187" s="1" t="str">
        <f>IFERROR(INDEX('02_ツリー'!$E$5:$E$679,MATCH(ROW()-10,'02_ツリー'!$R$5:$R$679,0)),"")</f>
        <v>k_vol_cap</v>
      </c>
      <c r="B187" s="1">
        <f>IF($A187="","",SUMIFS('02_ツリー'!$K$5:$K$679,'02_ツリー'!$E$5:$E$679,$A187,'02_ツリー'!$K$5:$K$679,"&gt;0"))</f>
        <v>0</v>
      </c>
      <c r="C187" s="1">
        <f>IF($A187="","",SUMIFS('02_ツリー'!$K$5:$K$679,'02_ツリー'!$E$5:$E$679,$A187,'02_ツリー'!$K$5:$K$679,"&lt;0"))</f>
        <v>-0.21100703029427656</v>
      </c>
      <c r="D187" s="1">
        <f t="shared" si="6"/>
        <v>-0.21100703029427656</v>
      </c>
      <c r="E187" s="1">
        <f>IF($A187="","",--(COUNTIFS('02_ツリー'!$E$5:$E$679,$A187,'02_ツリー'!$O$5:$O$679,0)=0))</f>
        <v>1</v>
      </c>
      <c r="F187" s="1">
        <f t="shared" si="7"/>
        <v>0</v>
      </c>
      <c r="G187" s="1">
        <f t="shared" si="8"/>
        <v>0</v>
      </c>
      <c r="H187" s="1"/>
      <c r="I187" s="1"/>
      <c r="J187" s="1"/>
      <c r="K187" s="1"/>
      <c r="L187" s="1"/>
    </row>
    <row r="188" spans="1:12">
      <c r="A188" s="1" t="str">
        <f>IFERROR(INDEX('02_ツリー'!$E$5:$E$679,MATCH(ROW()-10,'02_ツリー'!$R$5:$R$679,0)),"")</f>
        <v>rho_die</v>
      </c>
      <c r="B188" s="1">
        <f>IF($A188="","",SUMIFS('02_ツリー'!$K$5:$K$679,'02_ツリー'!$E$5:$E$679,$A188,'02_ツリー'!$K$5:$K$679,"&gt;0"))</f>
        <v>0.21100703029427656</v>
      </c>
      <c r="C188" s="1">
        <f>IF($A188="","",SUMIFS('02_ツリー'!$K$5:$K$679,'02_ツリー'!$E$5:$E$679,$A188,'02_ツリー'!$K$5:$K$679,"&lt;0"))</f>
        <v>0</v>
      </c>
      <c r="D188" s="1">
        <f t="shared" si="6"/>
        <v>0.21100703029427656</v>
      </c>
      <c r="E188" s="1">
        <f>IF($A188="","",--(COUNTIFS('02_ツリー'!$E$5:$E$679,$A188,'02_ツリー'!$O$5:$O$679,0)=0))</f>
        <v>1</v>
      </c>
      <c r="F188" s="1">
        <f t="shared" si="7"/>
        <v>0</v>
      </c>
      <c r="G188" s="1">
        <f t="shared" si="8"/>
        <v>0</v>
      </c>
      <c r="H188" s="1"/>
      <c r="I188" s="1"/>
      <c r="J188" s="1"/>
      <c r="K188" s="1"/>
      <c r="L188" s="1"/>
    </row>
    <row r="189" spans="1:12">
      <c r="A189" s="1" t="str">
        <f>IFERROR(INDEX('02_ツリー'!$E$5:$E$679,MATCH(ROW()-10,'02_ツリー'!$R$5:$R$679,0)),"")</f>
        <v>J_bus_phys</v>
      </c>
      <c r="B189" s="1">
        <f>IF($A189="","",SUMIFS('02_ツリー'!$K$5:$K$679,'02_ツリー'!$E$5:$E$679,$A189,'02_ツリー'!$K$5:$K$679,"&gt;0"))</f>
        <v>0</v>
      </c>
      <c r="C189" s="1">
        <f>IF($A189="","",SUMIFS('02_ツリー'!$K$5:$K$679,'02_ツリー'!$E$5:$E$679,$A189,'02_ツリー'!$K$5:$K$679,"&lt;0"))</f>
        <v>0</v>
      </c>
      <c r="D189" s="1">
        <f t="shared" si="6"/>
        <v>0</v>
      </c>
      <c r="E189" s="1">
        <f>IF($A189="","",--(COUNTIFS('02_ツリー'!$E$5:$E$679,$A189,'02_ツリー'!$O$5:$O$679,0)=0))</f>
        <v>0</v>
      </c>
      <c r="F189" s="1">
        <f t="shared" si="7"/>
        <v>0</v>
      </c>
      <c r="G189" s="1">
        <f t="shared" si="8"/>
        <v>0</v>
      </c>
      <c r="H189" s="1"/>
      <c r="I189" s="1"/>
      <c r="J189" s="1"/>
      <c r="K189" s="1"/>
      <c r="L189" s="1"/>
    </row>
    <row r="190" spans="1:12">
      <c r="A190" s="1" t="str">
        <f>IFERROR(INDEX('02_ツリー'!$E$5:$E$679,MATCH(ROW()-10,'02_ツリー'!$R$5:$R$679,0)),"")</f>
        <v>h_bus</v>
      </c>
      <c r="B190" s="1">
        <f>IF($A190="","",SUMIFS('02_ツリー'!$K$5:$K$679,'02_ツリー'!$E$5:$E$679,$A190,'02_ツリー'!$K$5:$K$679,"&gt;0"))</f>
        <v>0</v>
      </c>
      <c r="C190" s="1">
        <f>IF($A190="","",SUMIFS('02_ツリー'!$K$5:$K$679,'02_ツリー'!$E$5:$E$679,$A190,'02_ツリー'!$K$5:$K$679,"&lt;0"))</f>
        <v>0</v>
      </c>
      <c r="D190" s="1">
        <f t="shared" si="6"/>
        <v>0</v>
      </c>
      <c r="E190" s="1">
        <f>IF($A190="","",--(COUNTIFS('02_ツリー'!$E$5:$E$679,$A190,'02_ツリー'!$O$5:$O$679,0)=0))</f>
        <v>1</v>
      </c>
      <c r="F190" s="1">
        <f t="shared" si="7"/>
        <v>0</v>
      </c>
      <c r="G190" s="1">
        <f t="shared" si="8"/>
        <v>0</v>
      </c>
      <c r="H190" s="1"/>
      <c r="I190" s="1"/>
      <c r="J190" s="1"/>
      <c r="K190" s="1"/>
      <c r="L190" s="1"/>
    </row>
    <row r="191" spans="1:12">
      <c r="A191" s="1" t="str">
        <f>IFERROR(INDEX('02_ツリー'!$E$5:$E$679,MATCH(ROW()-10,'02_ツリー'!$R$5:$R$679,0)),"")</f>
        <v>k_sav_bus</v>
      </c>
      <c r="B191" s="1">
        <f>IF($A191="","",SUMIFS('02_ツリー'!$K$5:$K$679,'02_ツリー'!$E$5:$E$679,$A191,'02_ツリー'!$K$5:$K$679,"&gt;0"))</f>
        <v>0</v>
      </c>
      <c r="C191" s="1">
        <f>IF($A191="","",SUMIFS('02_ツリー'!$K$5:$K$679,'02_ツリー'!$E$5:$E$679,$A191,'02_ツリー'!$K$5:$K$679,"&lt;0"))</f>
        <v>0</v>
      </c>
      <c r="D191" s="1">
        <f t="shared" si="6"/>
        <v>0</v>
      </c>
      <c r="E191" s="1">
        <f>IF($A191="","",--(COUNTIFS('02_ツリー'!$E$5:$E$679,$A191,'02_ツリー'!$O$5:$O$679,0)=0))</f>
        <v>1</v>
      </c>
      <c r="F191" s="1">
        <f t="shared" si="7"/>
        <v>0</v>
      </c>
      <c r="G191" s="1">
        <f t="shared" si="8"/>
        <v>0</v>
      </c>
      <c r="H191" s="1"/>
      <c r="I191" s="1"/>
      <c r="J191" s="1"/>
      <c r="K191" s="1"/>
      <c r="L191" s="1"/>
    </row>
    <row r="192" spans="1:12">
      <c r="A192" s="1" t="str">
        <f>IFERROR(INDEX('02_ツリー'!$E$5:$E$679,MATCH(ROW()-10,'02_ツリー'!$R$5:$R$679,0)),"")</f>
        <v>rho_e_bus</v>
      </c>
      <c r="B192" s="1">
        <f>IF($A192="","",SUMIFS('02_ツリー'!$K$5:$K$679,'02_ツリー'!$E$5:$E$679,$A192,'02_ツリー'!$K$5:$K$679,"&gt;0"))</f>
        <v>0</v>
      </c>
      <c r="C192" s="1">
        <f>IF($A192="","",SUMIFS('02_ツリー'!$K$5:$K$679,'02_ツリー'!$E$5:$E$679,$A192,'02_ツリー'!$K$5:$K$679,"&lt;0"))</f>
        <v>0</v>
      </c>
      <c r="D192" s="1">
        <f t="shared" si="6"/>
        <v>0</v>
      </c>
      <c r="E192" s="1">
        <f>IF($A192="","",--(COUNTIFS('02_ツリー'!$E$5:$E$679,$A192,'02_ツリー'!$O$5:$O$679,0)=0))</f>
        <v>1</v>
      </c>
      <c r="F192" s="1">
        <f t="shared" si="7"/>
        <v>0</v>
      </c>
      <c r="G192" s="1">
        <f t="shared" si="8"/>
        <v>0</v>
      </c>
      <c r="H192" s="1"/>
      <c r="I192" s="1"/>
      <c r="J192" s="1"/>
      <c r="K192" s="1"/>
      <c r="L192" s="1"/>
    </row>
    <row r="193" spans="1:12">
      <c r="A193" s="1" t="str">
        <f>IFERROR(INDEX('02_ツリー'!$E$5:$E$679,MATCH(ROW()-10,'02_ツリー'!$R$5:$R$679,0)),"")</f>
        <v>t_case</v>
      </c>
      <c r="B193" s="1">
        <f>IF($A193="","",SUMIFS('02_ツリー'!$K$5:$K$679,'02_ツリー'!$E$5:$E$679,$A193,'02_ツリー'!$K$5:$K$679,"&gt;0"))</f>
        <v>0.17471332619024527</v>
      </c>
      <c r="C193" s="1">
        <f>IF($A193="","",SUMIFS('02_ツリー'!$K$5:$K$679,'02_ツリー'!$E$5:$E$679,$A193,'02_ツリー'!$K$5:$K$679,"&lt;0"))</f>
        <v>0</v>
      </c>
      <c r="D193" s="1">
        <f t="shared" si="6"/>
        <v>0.17471332619024527</v>
      </c>
      <c r="E193" s="1">
        <f>IF($A193="","",--(COUNTIFS('02_ツリー'!$E$5:$E$679,$A193,'02_ツリー'!$O$5:$O$679,0)=0))</f>
        <v>1</v>
      </c>
      <c r="F193" s="1">
        <f t="shared" si="7"/>
        <v>0</v>
      </c>
      <c r="G193" s="1">
        <f t="shared" si="8"/>
        <v>0</v>
      </c>
      <c r="H193" s="1"/>
      <c r="I193" s="1"/>
      <c r="J193" s="1"/>
      <c r="K193" s="1"/>
      <c r="L193" s="1"/>
    </row>
    <row r="194" spans="1:12">
      <c r="A194" s="1" t="str">
        <f>IFERROR(INDEX('02_ツリー'!$E$5:$E$679,MATCH(ROW()-10,'02_ツリー'!$R$5:$R$679,0)),"")</f>
        <v>t_case_req</v>
      </c>
      <c r="B194" s="1">
        <f>IF($A194="","",SUMIFS('02_ツリー'!$K$5:$K$679,'02_ツリー'!$E$5:$E$679,$A194,'02_ツリー'!$K$5:$K$679,"&gt;0"))</f>
        <v>0</v>
      </c>
      <c r="C194" s="1">
        <f>IF($A194="","",SUMIFS('02_ツリー'!$K$5:$K$679,'02_ツリー'!$E$5:$E$679,$A194,'02_ツリー'!$K$5:$K$679,"&lt;0"))</f>
        <v>0</v>
      </c>
      <c r="D194" s="1">
        <f t="shared" si="6"/>
        <v>0</v>
      </c>
      <c r="E194" s="1">
        <f>IF($A194="","",--(COUNTIFS('02_ツリー'!$E$5:$E$679,$A194,'02_ツリー'!$O$5:$O$679,0)=0))</f>
        <v>0</v>
      </c>
      <c r="F194" s="1">
        <f t="shared" si="7"/>
        <v>0</v>
      </c>
      <c r="G194" s="1">
        <f t="shared" si="8"/>
        <v>0</v>
      </c>
      <c r="H194" s="1"/>
      <c r="I194" s="1"/>
      <c r="J194" s="1"/>
      <c r="K194" s="1"/>
      <c r="L194" s="1"/>
    </row>
    <row r="195" spans="1:12">
      <c r="A195" s="1" t="str">
        <f>IFERROR(INDEX('02_ツリー'!$E$5:$E$679,MATCH(ROW()-10,'02_ツリー'!$R$5:$R$679,0)),"")</f>
        <v>K_tcase_sf</v>
      </c>
      <c r="B195" s="1">
        <f>IF($A195="","",SUMIFS('02_ツリー'!$K$5:$K$679,'02_ツリー'!$E$5:$E$679,$A195,'02_ツリー'!$K$5:$K$679,"&gt;0"))</f>
        <v>0</v>
      </c>
      <c r="C195" s="1">
        <f>IF($A195="","",SUMIFS('02_ツリー'!$K$5:$K$679,'02_ツリー'!$E$5:$E$679,$A195,'02_ツリー'!$K$5:$K$679,"&lt;0"))</f>
        <v>0</v>
      </c>
      <c r="D195" s="1">
        <f t="shared" si="6"/>
        <v>0</v>
      </c>
      <c r="E195" s="1">
        <f>IF($A195="","",--(COUNTIFS('02_ツリー'!$E$5:$E$679,$A195,'02_ツリー'!$O$5:$O$679,0)=0))</f>
        <v>1</v>
      </c>
      <c r="F195" s="1">
        <f t="shared" si="7"/>
        <v>0</v>
      </c>
      <c r="G195" s="1">
        <f t="shared" si="8"/>
        <v>0</v>
      </c>
      <c r="H195" s="1"/>
      <c r="I195" s="1"/>
      <c r="J195" s="1"/>
      <c r="K195" s="1"/>
      <c r="L195" s="1"/>
    </row>
    <row r="196" spans="1:12">
      <c r="A196" s="1" t="str">
        <f>IFERROR(INDEX('02_ツリー'!$E$5:$E$679,MATCH(ROW()-10,'02_ツリー'!$R$5:$R$679,0)),"")</f>
        <v>L_eff</v>
      </c>
      <c r="B196" s="1">
        <f>IF($A196="","",SUMIFS('02_ツリー'!$K$5:$K$679,'02_ツリー'!$E$5:$E$679,$A196,'02_ツリー'!$K$5:$K$679,"&gt;0"))</f>
        <v>0</v>
      </c>
      <c r="C196" s="1">
        <f>IF($A196="","",SUMIFS('02_ツリー'!$K$5:$K$679,'02_ツリー'!$E$5:$E$679,$A196,'02_ツリー'!$K$5:$K$679,"&lt;0"))</f>
        <v>0</v>
      </c>
      <c r="D196" s="1">
        <f t="shared" si="6"/>
        <v>0</v>
      </c>
      <c r="E196" s="1">
        <f>IF($A196="","",--(COUNTIFS('02_ツリー'!$E$5:$E$679,$A196,'02_ツリー'!$O$5:$O$679,0)=0))</f>
        <v>0</v>
      </c>
      <c r="F196" s="1">
        <f t="shared" si="7"/>
        <v>0</v>
      </c>
      <c r="G196" s="1">
        <f t="shared" si="8"/>
        <v>0</v>
      </c>
      <c r="H196" s="1"/>
      <c r="I196" s="1"/>
      <c r="J196" s="1"/>
      <c r="K196" s="1"/>
      <c r="L196" s="1"/>
    </row>
    <row r="197" spans="1:12">
      <c r="A197" s="1" t="str">
        <f>IFERROR(INDEX('02_ツリー'!$E$5:$E$679,MATCH(ROW()-10,'02_ツリー'!$R$5:$R$679,0)),"")</f>
        <v>p_case</v>
      </c>
      <c r="B197" s="1">
        <f>IF($A197="","",SUMIFS('02_ツリー'!$K$5:$K$679,'02_ツリー'!$E$5:$E$679,$A197,'02_ツリー'!$K$5:$K$679,"&gt;0"))</f>
        <v>0</v>
      </c>
      <c r="C197" s="1">
        <f>IF($A197="","",SUMIFS('02_ツリー'!$K$5:$K$679,'02_ツリー'!$E$5:$E$679,$A197,'02_ツリー'!$K$5:$K$679,"&lt;0"))</f>
        <v>0</v>
      </c>
      <c r="D197" s="1">
        <f t="shared" si="6"/>
        <v>0</v>
      </c>
      <c r="E197" s="1">
        <f>IF($A197="","",--(COUNTIFS('02_ツリー'!$E$5:$E$679,$A197,'02_ツリー'!$O$5:$O$679,0)=0))</f>
        <v>1</v>
      </c>
      <c r="F197" s="1">
        <f t="shared" si="7"/>
        <v>0</v>
      </c>
      <c r="G197" s="1">
        <f t="shared" si="8"/>
        <v>0</v>
      </c>
      <c r="H197" s="1"/>
      <c r="I197" s="1"/>
      <c r="J197" s="1"/>
      <c r="K197" s="1"/>
      <c r="L197" s="1"/>
    </row>
    <row r="198" spans="1:12">
      <c r="A198" s="1" t="str">
        <f>IFERROR(INDEX('02_ツリー'!$E$5:$E$679,MATCH(ROW()-10,'02_ツリー'!$R$5:$R$679,0)),"")</f>
        <v>sigma_y_eff</v>
      </c>
      <c r="B198" s="1">
        <f>IF($A198="","",SUMIFS('02_ツリー'!$K$5:$K$679,'02_ツリー'!$E$5:$E$679,$A198,'02_ツリー'!$K$5:$K$679,"&gt;0"))</f>
        <v>0</v>
      </c>
      <c r="C198" s="1">
        <f>IF($A198="","",SUMIFS('02_ツリー'!$K$5:$K$679,'02_ツリー'!$E$5:$E$679,$A198,'02_ツリー'!$K$5:$K$679,"&lt;0"))</f>
        <v>0</v>
      </c>
      <c r="D198" s="1">
        <f t="shared" si="6"/>
        <v>0</v>
      </c>
      <c r="E198" s="1">
        <f>IF($A198="","",--(COUNTIFS('02_ツリー'!$E$5:$E$679,$A198,'02_ツリー'!$O$5:$O$679,0)=0))</f>
        <v>0</v>
      </c>
      <c r="F198" s="1">
        <f t="shared" si="7"/>
        <v>0</v>
      </c>
      <c r="G198" s="1">
        <f t="shared" si="8"/>
        <v>0</v>
      </c>
      <c r="H198" s="1"/>
      <c r="I198" s="1"/>
      <c r="J198" s="1"/>
      <c r="K198" s="1"/>
      <c r="L198" s="1"/>
    </row>
    <row r="199" spans="1:12">
      <c r="A199" s="1" t="str">
        <f>IFERROR(INDEX('02_ツリー'!$E$5:$E$679,MATCH(ROW()-10,'02_ツリー'!$R$5:$R$679,0)),"")</f>
        <v>sigma_y_ref</v>
      </c>
      <c r="B199" s="1">
        <f>IF($A199="","",SUMIFS('02_ツリー'!$K$5:$K$679,'02_ツリー'!$E$5:$E$679,$A199,'02_ツリー'!$K$5:$K$679,"&gt;0"))</f>
        <v>0</v>
      </c>
      <c r="C199" s="1">
        <f>IF($A199="","",SUMIFS('02_ツリー'!$K$5:$K$679,'02_ツリー'!$E$5:$E$679,$A199,'02_ツリー'!$K$5:$K$679,"&lt;0"))</f>
        <v>0</v>
      </c>
      <c r="D199" s="1">
        <f t="shared" si="6"/>
        <v>0</v>
      </c>
      <c r="E199" s="1">
        <f>IF($A199="","",--(COUNTIFS('02_ツリー'!$E$5:$E$679,$A199,'02_ツリー'!$O$5:$O$679,0)=0))</f>
        <v>1</v>
      </c>
      <c r="F199" s="1">
        <f t="shared" si="7"/>
        <v>0</v>
      </c>
      <c r="G199" s="1">
        <f t="shared" si="8"/>
        <v>0</v>
      </c>
      <c r="H199" s="1"/>
      <c r="I199" s="1"/>
      <c r="J199" s="1"/>
      <c r="K199" s="1"/>
      <c r="L199" s="1"/>
    </row>
    <row r="200" spans="1:12">
      <c r="A200" s="1" t="str">
        <f>IFERROR(INDEX('02_ツリー'!$E$5:$E$679,MATCH(ROW()-10,'02_ツリー'!$R$5:$R$679,0)),"")</f>
        <v>k_temp_case</v>
      </c>
      <c r="B200" s="1">
        <f>IF($A200="","",SUMIFS('02_ツリー'!$K$5:$K$679,'02_ツリー'!$E$5:$E$679,$A200,'02_ツリー'!$K$5:$K$679,"&gt;0"))</f>
        <v>0</v>
      </c>
      <c r="C200" s="1">
        <f>IF($A200="","",SUMIFS('02_ツリー'!$K$5:$K$679,'02_ツリー'!$E$5:$E$679,$A200,'02_ツリー'!$K$5:$K$679,"&lt;0"))</f>
        <v>0</v>
      </c>
      <c r="D200" s="1">
        <f t="shared" si="6"/>
        <v>0</v>
      </c>
      <c r="E200" s="1">
        <f>IF($A200="","",--(COUNTIFS('02_ツリー'!$E$5:$E$679,$A200,'02_ツリー'!$O$5:$O$679,0)=0))</f>
        <v>1</v>
      </c>
      <c r="F200" s="1">
        <f t="shared" si="7"/>
        <v>0</v>
      </c>
      <c r="G200" s="1">
        <f t="shared" si="8"/>
        <v>0</v>
      </c>
      <c r="H200" s="1"/>
      <c r="I200" s="1"/>
      <c r="J200" s="1"/>
      <c r="K200" s="1"/>
      <c r="L200" s="1"/>
    </row>
    <row r="201" spans="1:12">
      <c r="A201" s="1" t="str">
        <f>IFERROR(INDEX('02_ツリー'!$E$5:$E$679,MATCH(ROW()-10,'02_ツリー'!$R$5:$R$679,0)),"")</f>
        <v>k_proc_case</v>
      </c>
      <c r="B201" s="1">
        <f>IF($A201="","",SUMIFS('02_ツリー'!$K$5:$K$679,'02_ツリー'!$E$5:$E$679,$A201,'02_ツリー'!$K$5:$K$679,"&gt;0"))</f>
        <v>0</v>
      </c>
      <c r="C201" s="1">
        <f>IF($A201="","",SUMIFS('02_ツリー'!$K$5:$K$679,'02_ツリー'!$E$5:$E$679,$A201,'02_ツリー'!$K$5:$K$679,"&lt;0"))</f>
        <v>0</v>
      </c>
      <c r="D201" s="1">
        <f t="shared" si="6"/>
        <v>0</v>
      </c>
      <c r="E201" s="1">
        <f>IF($A201="","",--(COUNTIFS('02_ツリー'!$E$5:$E$679,$A201,'02_ツリー'!$O$5:$O$679,0)=0))</f>
        <v>1</v>
      </c>
      <c r="F201" s="1">
        <f t="shared" si="7"/>
        <v>0</v>
      </c>
      <c r="G201" s="1">
        <f t="shared" si="8"/>
        <v>0</v>
      </c>
      <c r="H201" s="1"/>
      <c r="I201" s="1"/>
      <c r="J201" s="1"/>
      <c r="K201" s="1"/>
      <c r="L201" s="1"/>
    </row>
    <row r="202" spans="1:12">
      <c r="A202" s="1" t="str">
        <f>IFERROR(INDEX('02_ツリー'!$E$5:$E$679,MATCH(ROW()-10,'02_ツリー'!$R$5:$R$679,0)),"")</f>
        <v>k_mL_input</v>
      </c>
      <c r="B202" s="1">
        <f>IF($A202="","",SUMIFS('02_ツリー'!$K$5:$K$679,'02_ツリー'!$E$5:$E$679,$A202,'02_ツリー'!$K$5:$K$679,"&gt;0"))</f>
        <v>1.8789803305213251E-2</v>
      </c>
      <c r="C202" s="1">
        <f>IF($A202="","",SUMIFS('02_ツリー'!$K$5:$K$679,'02_ツリー'!$E$5:$E$679,$A202,'02_ツリー'!$K$5:$K$679,"&lt;0"))</f>
        <v>0</v>
      </c>
      <c r="D202" s="1">
        <f t="shared" si="6"/>
        <v>1.8789803305213251E-2</v>
      </c>
      <c r="E202" s="1">
        <f>IF($A202="","",--(COUNTIFS('02_ツリー'!$E$5:$E$679,$A202,'02_ツリー'!$O$5:$O$679,0)=0))</f>
        <v>1</v>
      </c>
      <c r="F202" s="1">
        <f t="shared" si="7"/>
        <v>0</v>
      </c>
      <c r="G202" s="1">
        <f t="shared" si="8"/>
        <v>0</v>
      </c>
      <c r="H202" s="1"/>
      <c r="I202" s="1"/>
      <c r="J202" s="1"/>
      <c r="K202" s="1"/>
      <c r="L202" s="1"/>
    </row>
    <row r="203" spans="1:12">
      <c r="A203" s="1" t="str">
        <f>IFERROR(INDEX('02_ツリー'!$E$5:$E$679,MATCH(ROW()-10,'02_ツリー'!$R$5:$R$679,0)),"")</f>
        <v>t_base_input</v>
      </c>
      <c r="B203" s="1">
        <f>IF($A203="","",SUMIFS('02_ツリー'!$K$5:$K$679,'02_ツリー'!$E$5:$E$679,$A203,'02_ツリー'!$K$5:$K$679,"&gt;0"))</f>
        <v>0</v>
      </c>
      <c r="C203" s="1">
        <f>IF($A203="","",SUMIFS('02_ツリー'!$K$5:$K$679,'02_ツリー'!$E$5:$E$679,$A203,'02_ツリー'!$K$5:$K$679,"&lt;0"))</f>
        <v>0</v>
      </c>
      <c r="D203" s="1">
        <f t="shared" ref="D203:D266" si="9">IF($A203="","",B203+C203)</f>
        <v>0</v>
      </c>
      <c r="E203" s="1">
        <f>IF($A203="","",--(COUNTIFS('02_ツリー'!$E$5:$E$679,$A203,'02_ツリー'!$O$5:$O$679,0)=0))</f>
        <v>1</v>
      </c>
      <c r="F203" s="1">
        <f t="shared" ref="F203:F266" si="10">IF($A203="","",--AND(B203&gt;0,C203&lt;0))</f>
        <v>0</v>
      </c>
      <c r="G203" s="1">
        <f t="shared" ref="G203:G266" si="11">IF($A203="","",--(LEFT(A203,7)="Enable_"))</f>
        <v>0</v>
      </c>
      <c r="H203" s="1"/>
      <c r="I203" s="1"/>
      <c r="J203" s="1"/>
      <c r="K203" s="1"/>
      <c r="L203" s="1"/>
    </row>
    <row r="204" spans="1:12">
      <c r="A204" s="1" t="str">
        <f>IFERROR(INDEX('02_ツリー'!$E$5:$E$679,MATCH(ROW()-10,'02_ツリー'!$R$5:$R$679,0)),"")</f>
        <v>m_ctrl_pcb</v>
      </c>
      <c r="B204" s="1">
        <f>IF($A204="","",SUMIFS('02_ツリー'!$K$5:$K$679,'02_ツリー'!$E$5:$E$679,$A204,'02_ツリー'!$K$5:$K$679,"&gt;0"))</f>
        <v>1.5372152066431883E-2</v>
      </c>
      <c r="C204" s="1">
        <f>IF($A204="","",SUMIFS('02_ツリー'!$K$5:$K$679,'02_ツリー'!$E$5:$E$679,$A204,'02_ツリー'!$K$5:$K$679,"&lt;0"))</f>
        <v>0</v>
      </c>
      <c r="D204" s="1">
        <f t="shared" si="9"/>
        <v>1.5372152066431883E-2</v>
      </c>
      <c r="E204" s="1">
        <f>IF($A204="","",--(COUNTIFS('02_ツリー'!$E$5:$E$679,$A204,'02_ツリー'!$O$5:$O$679,0)=0))</f>
        <v>0</v>
      </c>
      <c r="F204" s="1">
        <f t="shared" si="10"/>
        <v>0</v>
      </c>
      <c r="G204" s="1">
        <f t="shared" si="11"/>
        <v>0</v>
      </c>
      <c r="H204" s="1"/>
      <c r="I204" s="1"/>
      <c r="J204" s="1"/>
      <c r="K204" s="1"/>
      <c r="L204" s="1"/>
    </row>
    <row r="205" spans="1:12">
      <c r="A205" s="1" t="str">
        <f>IFERROR(INDEX('02_ツリー'!$E$5:$E$679,MATCH(ROW()-10,'02_ツリー'!$R$5:$R$679,0)),"")</f>
        <v>A_ctrl_pcb</v>
      </c>
      <c r="B205" s="1">
        <f>IF($A205="","",SUMIFS('02_ツリー'!$K$5:$K$679,'02_ツリー'!$E$5:$E$679,$A205,'02_ツリー'!$K$5:$K$679,"&gt;0"))</f>
        <v>7.3323235798043286E-3</v>
      </c>
      <c r="C205" s="1">
        <f>IF($A205="","",SUMIFS('02_ツリー'!$K$5:$K$679,'02_ツリー'!$E$5:$E$679,$A205,'02_ツリー'!$K$5:$K$679,"&lt;0"))</f>
        <v>0</v>
      </c>
      <c r="D205" s="1">
        <f t="shared" si="9"/>
        <v>7.3323235798043286E-3</v>
      </c>
      <c r="E205" s="1">
        <f>IF($A205="","",--(COUNTIFS('02_ツリー'!$E$5:$E$679,$A205,'02_ツリー'!$O$5:$O$679,0)=0))</f>
        <v>1</v>
      </c>
      <c r="F205" s="1">
        <f t="shared" si="10"/>
        <v>0</v>
      </c>
      <c r="G205" s="1">
        <f t="shared" si="11"/>
        <v>0</v>
      </c>
      <c r="H205" s="1"/>
      <c r="I205" s="1"/>
      <c r="J205" s="1"/>
      <c r="K205" s="1"/>
      <c r="L205" s="1"/>
    </row>
    <row r="206" spans="1:12">
      <c r="A206" s="1" t="str">
        <f>IFERROR(INDEX('02_ツリー'!$E$5:$E$679,MATCH(ROW()-10,'02_ツリー'!$R$5:$R$679,0)),"")</f>
        <v>t_ctrl_pcb</v>
      </c>
      <c r="B206" s="1">
        <f>IF($A206="","",SUMIFS('02_ツリー'!$K$5:$K$679,'02_ツリー'!$E$5:$E$679,$A206,'02_ツリー'!$K$5:$K$679,"&gt;0"))</f>
        <v>7.3323235798043286E-3</v>
      </c>
      <c r="C206" s="1">
        <f>IF($A206="","",SUMIFS('02_ツリー'!$K$5:$K$679,'02_ツリー'!$E$5:$E$679,$A206,'02_ツリー'!$K$5:$K$679,"&lt;0"))</f>
        <v>0</v>
      </c>
      <c r="D206" s="1">
        <f t="shared" si="9"/>
        <v>7.3323235798043286E-3</v>
      </c>
      <c r="E206" s="1">
        <f>IF($A206="","",--(COUNTIFS('02_ツリー'!$E$5:$E$679,$A206,'02_ツリー'!$O$5:$O$679,0)=0))</f>
        <v>1</v>
      </c>
      <c r="F206" s="1">
        <f t="shared" si="10"/>
        <v>0</v>
      </c>
      <c r="G206" s="1">
        <f t="shared" si="11"/>
        <v>0</v>
      </c>
      <c r="H206" s="1"/>
      <c r="I206" s="1"/>
      <c r="J206" s="1"/>
      <c r="K206" s="1"/>
      <c r="L206" s="1"/>
    </row>
    <row r="207" spans="1:12">
      <c r="A207" s="1" t="str">
        <f>IFERROR(INDEX('02_ツリー'!$E$5:$E$679,MATCH(ROW()-10,'02_ツリー'!$R$5:$R$679,0)),"")</f>
        <v>rho_ctrl_pcb</v>
      </c>
      <c r="B207" s="1">
        <f>IF($A207="","",SUMIFS('02_ツリー'!$K$5:$K$679,'02_ツリー'!$E$5:$E$679,$A207,'02_ツリー'!$K$5:$K$679,"&gt;0"))</f>
        <v>7.3323235798043286E-3</v>
      </c>
      <c r="C207" s="1">
        <f>IF($A207="","",SUMIFS('02_ツリー'!$K$5:$K$679,'02_ツリー'!$E$5:$E$679,$A207,'02_ツリー'!$K$5:$K$679,"&lt;0"))</f>
        <v>0</v>
      </c>
      <c r="D207" s="1">
        <f t="shared" si="9"/>
        <v>7.3323235798043286E-3</v>
      </c>
      <c r="E207" s="1">
        <f>IF($A207="","",--(COUNTIFS('02_ツリー'!$E$5:$E$679,$A207,'02_ツリー'!$O$5:$O$679,0)=0))</f>
        <v>1</v>
      </c>
      <c r="F207" s="1">
        <f t="shared" si="10"/>
        <v>0</v>
      </c>
      <c r="G207" s="1">
        <f t="shared" si="11"/>
        <v>0</v>
      </c>
      <c r="H207" s="1"/>
      <c r="I207" s="1"/>
      <c r="J207" s="1"/>
      <c r="K207" s="1"/>
      <c r="L207" s="1"/>
    </row>
    <row r="208" spans="1:12">
      <c r="A208" s="1" t="str">
        <f>IFERROR(INDEX('02_ツリー'!$E$5:$E$679,MATCH(ROW()-10,'02_ツリー'!$R$5:$R$679,0)),"")</f>
        <v>m_ctrl_comp</v>
      </c>
      <c r="B208" s="1">
        <f>IF($A208="","",SUMIFS('02_ツリー'!$K$5:$K$679,'02_ツリー'!$E$5:$E$679,$A208,'02_ツリー'!$K$5:$K$679,"&gt;0"))</f>
        <v>8.0398284866275531E-3</v>
      </c>
      <c r="C208" s="1">
        <f>IF($A208="","",SUMIFS('02_ツリー'!$K$5:$K$679,'02_ツリー'!$E$5:$E$679,$A208,'02_ツリー'!$K$5:$K$679,"&lt;0"))</f>
        <v>0</v>
      </c>
      <c r="D208" s="1">
        <f t="shared" si="9"/>
        <v>8.0398284866275531E-3</v>
      </c>
      <c r="E208" s="1">
        <f>IF($A208="","",--(COUNTIFS('02_ツリー'!$E$5:$E$679,$A208,'02_ツリー'!$O$5:$O$679,0)=0))</f>
        <v>1</v>
      </c>
      <c r="F208" s="1">
        <f t="shared" si="10"/>
        <v>0</v>
      </c>
      <c r="G208" s="1">
        <f t="shared" si="11"/>
        <v>0</v>
      </c>
      <c r="H208" s="1"/>
      <c r="I208" s="1"/>
      <c r="J208" s="1"/>
      <c r="K208" s="1"/>
      <c r="L208" s="1"/>
    </row>
    <row r="209" spans="1:12">
      <c r="A209" s="1" t="str">
        <f>IFERROR(INDEX('02_ツリー'!$E$5:$E$679,MATCH(ROW()-10,'02_ツリー'!$R$5:$R$679,0)),"")</f>
        <v>m_gate</v>
      </c>
      <c r="B209" s="1">
        <f>IF($A209="","",SUMIFS('02_ツリー'!$K$5:$K$679,'02_ツリー'!$E$5:$E$679,$A209,'02_ツリー'!$K$5:$K$679,"&gt;0"))</f>
        <v>8.6830147655577554E-3</v>
      </c>
      <c r="C209" s="1">
        <f>IF($A209="","",SUMIFS('02_ツリー'!$K$5:$K$679,'02_ツリー'!$E$5:$E$679,$A209,'02_ツリー'!$K$5:$K$679,"&lt;0"))</f>
        <v>0</v>
      </c>
      <c r="D209" s="1">
        <f t="shared" si="9"/>
        <v>8.6830147655577554E-3</v>
      </c>
      <c r="E209" s="1">
        <f>IF($A209="","",--(COUNTIFS('02_ツリー'!$E$5:$E$679,$A209,'02_ツリー'!$O$5:$O$679,0)=0))</f>
        <v>0</v>
      </c>
      <c r="F209" s="1">
        <f t="shared" si="10"/>
        <v>0</v>
      </c>
      <c r="G209" s="1">
        <f t="shared" si="11"/>
        <v>0</v>
      </c>
      <c r="H209" s="1"/>
      <c r="I209" s="1"/>
      <c r="J209" s="1"/>
      <c r="K209" s="1"/>
      <c r="L209" s="1"/>
    </row>
    <row r="210" spans="1:12">
      <c r="A210" s="1" t="str">
        <f>IFERROR(INDEX('02_ツリー'!$E$5:$E$679,MATCH(ROW()-10,'02_ツリー'!$R$5:$R$679,0)),"")</f>
        <v>m_gate_unit</v>
      </c>
      <c r="B210" s="1">
        <f>IF($A210="","",SUMIFS('02_ツリー'!$K$5:$K$679,'02_ツリー'!$E$5:$E$679,$A210,'02_ツリー'!$K$5:$K$679,"&gt;0"))</f>
        <v>8.6830147655577554E-3</v>
      </c>
      <c r="C210" s="1">
        <f>IF($A210="","",SUMIFS('02_ツリー'!$K$5:$K$679,'02_ツリー'!$E$5:$E$679,$A210,'02_ツリー'!$K$5:$K$679,"&lt;0"))</f>
        <v>0</v>
      </c>
      <c r="D210" s="1">
        <f t="shared" si="9"/>
        <v>8.6830147655577554E-3</v>
      </c>
      <c r="E210" s="1">
        <f>IF($A210="","",--(COUNTIFS('02_ツリー'!$E$5:$E$679,$A210,'02_ツリー'!$O$5:$O$679,0)=0))</f>
        <v>1</v>
      </c>
      <c r="F210" s="1">
        <f t="shared" si="10"/>
        <v>0</v>
      </c>
      <c r="G210" s="1">
        <f t="shared" si="11"/>
        <v>0</v>
      </c>
      <c r="H210" s="1"/>
      <c r="I210" s="1"/>
      <c r="J210" s="1"/>
      <c r="K210" s="1"/>
      <c r="L210" s="1"/>
    </row>
    <row r="211" spans="1:12">
      <c r="A211" s="1" t="str">
        <f>IFERROR(INDEX('02_ツリー'!$E$5:$E$679,MATCH(ROW()-10,'02_ツリー'!$R$5:$R$679,0)),"")</f>
        <v>m_aux_supply</v>
      </c>
      <c r="B211" s="1">
        <f>IF($A211="","",SUMIFS('02_ツリー'!$K$5:$K$679,'02_ツリー'!$E$5:$E$679,$A211,'02_ツリー'!$K$5:$K$679,"&gt;0"))</f>
        <v>9.6477941839530623E-3</v>
      </c>
      <c r="C211" s="1">
        <f>IF($A211="","",SUMIFS('02_ツリー'!$K$5:$K$679,'02_ツリー'!$E$5:$E$679,$A211,'02_ツリー'!$K$5:$K$679,"&lt;0"))</f>
        <v>0</v>
      </c>
      <c r="D211" s="1">
        <f t="shared" si="9"/>
        <v>9.6477941839530623E-3</v>
      </c>
      <c r="E211" s="1">
        <f>IF($A211="","",--(COUNTIFS('02_ツリー'!$E$5:$E$679,$A211,'02_ツリー'!$O$5:$O$679,0)=0))</f>
        <v>1</v>
      </c>
      <c r="F211" s="1">
        <f t="shared" si="10"/>
        <v>0</v>
      </c>
      <c r="G211" s="1">
        <f t="shared" si="11"/>
        <v>0</v>
      </c>
      <c r="H211" s="1"/>
      <c r="I211" s="1"/>
      <c r="J211" s="1"/>
      <c r="K211" s="1"/>
      <c r="L211" s="1"/>
    </row>
    <row r="212" spans="1:12">
      <c r="A212" s="1" t="str">
        <f>IFERROR(INDEX('02_ツリー'!$E$5:$E$679,MATCH(ROW()-10,'02_ツリー'!$R$5:$R$679,0)),"")</f>
        <v>m_isens</v>
      </c>
      <c r="B212" s="1">
        <f>IF($A212="","",SUMIFS('02_ツリー'!$K$5:$K$679,'02_ツリー'!$E$5:$E$679,$A212,'02_ツリー'!$K$5:$K$679,"&gt;0"))</f>
        <v>1.0853768456947197E-2</v>
      </c>
      <c r="C212" s="1">
        <f>IF($A212="","",SUMIFS('02_ツリー'!$K$5:$K$679,'02_ツリー'!$E$5:$E$679,$A212,'02_ツリー'!$K$5:$K$679,"&lt;0"))</f>
        <v>0</v>
      </c>
      <c r="D212" s="1">
        <f t="shared" si="9"/>
        <v>1.0853768456947197E-2</v>
      </c>
      <c r="E212" s="1">
        <f>IF($A212="","",--(COUNTIFS('02_ツリー'!$E$5:$E$679,$A212,'02_ツリー'!$O$5:$O$679,0)=0))</f>
        <v>0</v>
      </c>
      <c r="F212" s="1">
        <f t="shared" si="10"/>
        <v>0</v>
      </c>
      <c r="G212" s="1">
        <f t="shared" si="11"/>
        <v>0</v>
      </c>
      <c r="H212" s="1"/>
      <c r="I212" s="1"/>
      <c r="J212" s="1"/>
      <c r="K212" s="1"/>
      <c r="L212" s="1"/>
    </row>
    <row r="213" spans="1:12">
      <c r="A213" s="1" t="str">
        <f>IFERROR(INDEX('02_ツリー'!$E$5:$E$679,MATCH(ROW()-10,'02_ツリー'!$R$5:$R$679,0)),"")</f>
        <v>N_isens</v>
      </c>
      <c r="B213" s="1">
        <f>IF($A213="","",SUMIFS('02_ツリー'!$K$5:$K$679,'02_ツリー'!$E$5:$E$679,$A213,'02_ツリー'!$K$5:$K$679,"&gt;0"))</f>
        <v>1.0853768456947197E-2</v>
      </c>
      <c r="C213" s="1">
        <f>IF($A213="","",SUMIFS('02_ツリー'!$K$5:$K$679,'02_ツリー'!$E$5:$E$679,$A213,'02_ツリー'!$K$5:$K$679,"&lt;0"))</f>
        <v>0</v>
      </c>
      <c r="D213" s="1">
        <f t="shared" si="9"/>
        <v>1.0853768456947197E-2</v>
      </c>
      <c r="E213" s="1">
        <f>IF($A213="","",--(COUNTIFS('02_ツリー'!$E$5:$E$679,$A213,'02_ツリー'!$O$5:$O$679,0)=0))</f>
        <v>1</v>
      </c>
      <c r="F213" s="1">
        <f t="shared" si="10"/>
        <v>0</v>
      </c>
      <c r="G213" s="1">
        <f t="shared" si="11"/>
        <v>0</v>
      </c>
      <c r="H213" s="1"/>
      <c r="I213" s="1"/>
      <c r="J213" s="1"/>
      <c r="K213" s="1"/>
      <c r="L213" s="1"/>
    </row>
    <row r="214" spans="1:12">
      <c r="A214" s="1" t="str">
        <f>IFERROR(INDEX('02_ツリー'!$E$5:$E$679,MATCH(ROW()-10,'02_ツリー'!$R$5:$R$679,0)),"")</f>
        <v>m_isens_unit</v>
      </c>
      <c r="B214" s="1">
        <f>IF($A214="","",SUMIFS('02_ツリー'!$K$5:$K$679,'02_ツリー'!$E$5:$E$679,$A214,'02_ツリー'!$K$5:$K$679,"&gt;0"))</f>
        <v>1.0853768456947197E-2</v>
      </c>
      <c r="C214" s="1">
        <f>IF($A214="","",SUMIFS('02_ツリー'!$K$5:$K$679,'02_ツリー'!$E$5:$E$679,$A214,'02_ツリー'!$K$5:$K$679,"&lt;0"))</f>
        <v>0</v>
      </c>
      <c r="D214" s="1">
        <f t="shared" si="9"/>
        <v>1.0853768456947197E-2</v>
      </c>
      <c r="E214" s="1">
        <f>IF($A214="","",--(COUNTIFS('02_ツリー'!$E$5:$E$679,$A214,'02_ツリー'!$O$5:$O$679,0)=0))</f>
        <v>1</v>
      </c>
      <c r="F214" s="1">
        <f t="shared" si="10"/>
        <v>0</v>
      </c>
      <c r="G214" s="1">
        <f t="shared" si="11"/>
        <v>0</v>
      </c>
      <c r="H214" s="1"/>
      <c r="I214" s="1"/>
      <c r="J214" s="1"/>
      <c r="K214" s="1"/>
      <c r="L214" s="1"/>
    </row>
    <row r="215" spans="1:12">
      <c r="A215" s="1" t="str">
        <f>IFERROR(INDEX('02_ツリー'!$E$5:$E$679,MATCH(ROW()-10,'02_ツリー'!$R$5:$R$679,0)),"")</f>
        <v>m_vsens</v>
      </c>
      <c r="B215" s="1">
        <f>IF($A215="","",SUMIFS('02_ツリー'!$K$5:$K$679,'02_ツリー'!$E$5:$E$679,$A215,'02_ツリー'!$K$5:$K$679,"&gt;0"))</f>
        <v>4.0199142433137765E-3</v>
      </c>
      <c r="C215" s="1">
        <f>IF($A215="","",SUMIFS('02_ツリー'!$K$5:$K$679,'02_ツリー'!$E$5:$E$679,$A215,'02_ツリー'!$K$5:$K$679,"&lt;0"))</f>
        <v>0</v>
      </c>
      <c r="D215" s="1">
        <f t="shared" si="9"/>
        <v>4.0199142433137765E-3</v>
      </c>
      <c r="E215" s="1">
        <f>IF($A215="","",--(COUNTIFS('02_ツリー'!$E$5:$E$679,$A215,'02_ツリー'!$O$5:$O$679,0)=0))</f>
        <v>0</v>
      </c>
      <c r="F215" s="1">
        <f t="shared" si="10"/>
        <v>0</v>
      </c>
      <c r="G215" s="1">
        <f t="shared" si="11"/>
        <v>0</v>
      </c>
      <c r="H215" s="1"/>
      <c r="I215" s="1"/>
      <c r="J215" s="1"/>
      <c r="K215" s="1"/>
      <c r="L215" s="1"/>
    </row>
    <row r="216" spans="1:12">
      <c r="A216" s="1" t="str">
        <f>IFERROR(INDEX('02_ツリー'!$E$5:$E$679,MATCH(ROW()-10,'02_ツリー'!$R$5:$R$679,0)),"")</f>
        <v>N_vsens</v>
      </c>
      <c r="B216" s="1">
        <f>IF($A216="","",SUMIFS('02_ツリー'!$K$5:$K$679,'02_ツリー'!$E$5:$E$679,$A216,'02_ツリー'!$K$5:$K$679,"&gt;0"))</f>
        <v>4.0199142433137765E-3</v>
      </c>
      <c r="C216" s="1">
        <f>IF($A216="","",SUMIFS('02_ツリー'!$K$5:$K$679,'02_ツリー'!$E$5:$E$679,$A216,'02_ツリー'!$K$5:$K$679,"&lt;0"))</f>
        <v>0</v>
      </c>
      <c r="D216" s="1">
        <f t="shared" si="9"/>
        <v>4.0199142433137765E-3</v>
      </c>
      <c r="E216" s="1">
        <f>IF($A216="","",--(COUNTIFS('02_ツリー'!$E$5:$E$679,$A216,'02_ツリー'!$O$5:$O$679,0)=0))</f>
        <v>1</v>
      </c>
      <c r="F216" s="1">
        <f t="shared" si="10"/>
        <v>0</v>
      </c>
      <c r="G216" s="1">
        <f t="shared" si="11"/>
        <v>0</v>
      </c>
      <c r="H216" s="1"/>
      <c r="I216" s="1"/>
      <c r="J216" s="1"/>
      <c r="K216" s="1"/>
      <c r="L216" s="1"/>
    </row>
    <row r="217" spans="1:12">
      <c r="A217" s="1" t="str">
        <f>IFERROR(INDEX('02_ツリー'!$E$5:$E$679,MATCH(ROW()-10,'02_ツリー'!$R$5:$R$679,0)),"")</f>
        <v>m_vsens_unit</v>
      </c>
      <c r="B217" s="1">
        <f>IF($A217="","",SUMIFS('02_ツリー'!$K$5:$K$679,'02_ツリー'!$E$5:$E$679,$A217,'02_ツリー'!$K$5:$K$679,"&gt;0"))</f>
        <v>4.0199142433137765E-3</v>
      </c>
      <c r="C217" s="1">
        <f>IF($A217="","",SUMIFS('02_ツリー'!$K$5:$K$679,'02_ツリー'!$E$5:$E$679,$A217,'02_ツリー'!$K$5:$K$679,"&lt;0"))</f>
        <v>0</v>
      </c>
      <c r="D217" s="1">
        <f t="shared" si="9"/>
        <v>4.0199142433137765E-3</v>
      </c>
      <c r="E217" s="1">
        <f>IF($A217="","",--(COUNTIFS('02_ツリー'!$E$5:$E$679,$A217,'02_ツリー'!$O$5:$O$679,0)=0))</f>
        <v>1</v>
      </c>
      <c r="F217" s="1">
        <f t="shared" si="10"/>
        <v>0</v>
      </c>
      <c r="G217" s="1">
        <f t="shared" si="11"/>
        <v>0</v>
      </c>
      <c r="H217" s="1"/>
      <c r="I217" s="1"/>
      <c r="J217" s="1"/>
      <c r="K217" s="1"/>
      <c r="L217" s="1"/>
    </row>
    <row r="218" spans="1:12">
      <c r="A218" s="1" t="str">
        <f>IFERROR(INDEX('02_ツリー'!$E$5:$E$679,MATCH(ROW()-10,'02_ツリー'!$R$5:$R$679,0)),"")</f>
        <v>m_tsens</v>
      </c>
      <c r="B218" s="1">
        <f>IF($A218="","",SUMIFS('02_ツリー'!$K$5:$K$679,'02_ツリー'!$E$5:$E$679,$A218,'02_ツリー'!$K$5:$K$679,"&gt;0"))</f>
        <v>3.2159313946510215E-3</v>
      </c>
      <c r="C218" s="1">
        <f>IF($A218="","",SUMIFS('02_ツリー'!$K$5:$K$679,'02_ツリー'!$E$5:$E$679,$A218,'02_ツリー'!$K$5:$K$679,"&lt;0"))</f>
        <v>0</v>
      </c>
      <c r="D218" s="1">
        <f t="shared" si="9"/>
        <v>3.2159313946510215E-3</v>
      </c>
      <c r="E218" s="1">
        <f>IF($A218="","",--(COUNTIFS('02_ツリー'!$E$5:$E$679,$A218,'02_ツリー'!$O$5:$O$679,0)=0))</f>
        <v>0</v>
      </c>
      <c r="F218" s="1">
        <f t="shared" si="10"/>
        <v>0</v>
      </c>
      <c r="G218" s="1">
        <f t="shared" si="11"/>
        <v>0</v>
      </c>
      <c r="H218" s="1"/>
      <c r="I218" s="1"/>
      <c r="J218" s="1"/>
      <c r="K218" s="1"/>
      <c r="L218" s="1"/>
    </row>
    <row r="219" spans="1:12">
      <c r="A219" s="1" t="str">
        <f>IFERROR(INDEX('02_ツリー'!$E$5:$E$679,MATCH(ROW()-10,'02_ツリー'!$R$5:$R$679,0)),"")</f>
        <v>N_tsens</v>
      </c>
      <c r="B219" s="1">
        <f>IF($A219="","",SUMIFS('02_ツリー'!$K$5:$K$679,'02_ツリー'!$E$5:$E$679,$A219,'02_ツリー'!$K$5:$K$679,"&gt;0"))</f>
        <v>3.2159313946510215E-3</v>
      </c>
      <c r="C219" s="1">
        <f>IF($A219="","",SUMIFS('02_ツリー'!$K$5:$K$679,'02_ツリー'!$E$5:$E$679,$A219,'02_ツリー'!$K$5:$K$679,"&lt;0"))</f>
        <v>0</v>
      </c>
      <c r="D219" s="1">
        <f t="shared" si="9"/>
        <v>3.2159313946510215E-3</v>
      </c>
      <c r="E219" s="1">
        <f>IF($A219="","",--(COUNTIFS('02_ツリー'!$E$5:$E$679,$A219,'02_ツリー'!$O$5:$O$679,0)=0))</f>
        <v>1</v>
      </c>
      <c r="F219" s="1">
        <f t="shared" si="10"/>
        <v>0</v>
      </c>
      <c r="G219" s="1">
        <f t="shared" si="11"/>
        <v>0</v>
      </c>
      <c r="H219" s="1"/>
      <c r="I219" s="1"/>
      <c r="J219" s="1"/>
      <c r="K219" s="1"/>
      <c r="L219" s="1"/>
    </row>
    <row r="220" spans="1:12">
      <c r="A220" s="1" t="str">
        <f>IFERROR(INDEX('02_ツリー'!$E$5:$E$679,MATCH(ROW()-10,'02_ツリー'!$R$5:$R$679,0)),"")</f>
        <v>m_tsens_unit</v>
      </c>
      <c r="B220" s="1">
        <f>IF($A220="","",SUMIFS('02_ツリー'!$K$5:$K$679,'02_ツリー'!$E$5:$E$679,$A220,'02_ツリー'!$K$5:$K$679,"&gt;0"))</f>
        <v>3.2159313946510215E-3</v>
      </c>
      <c r="C220" s="1">
        <f>IF($A220="","",SUMIFS('02_ツリー'!$K$5:$K$679,'02_ツリー'!$E$5:$E$679,$A220,'02_ツリー'!$K$5:$K$679,"&lt;0"))</f>
        <v>0</v>
      </c>
      <c r="D220" s="1">
        <f t="shared" si="9"/>
        <v>3.2159313946510215E-3</v>
      </c>
      <c r="E220" s="1">
        <f>IF($A220="","",--(COUNTIFS('02_ツリー'!$E$5:$E$679,$A220,'02_ツリー'!$O$5:$O$679,0)=0))</f>
        <v>1</v>
      </c>
      <c r="F220" s="1">
        <f t="shared" si="10"/>
        <v>0</v>
      </c>
      <c r="G220" s="1">
        <f t="shared" si="11"/>
        <v>0</v>
      </c>
      <c r="H220" s="1"/>
      <c r="I220" s="1"/>
      <c r="J220" s="1"/>
      <c r="K220" s="1"/>
      <c r="L220" s="1"/>
    </row>
    <row r="221" spans="1:12">
      <c r="A221" s="1" t="str">
        <f>IFERROR(INDEX('02_ツリー'!$E$5:$E$679,MATCH(ROW()-10,'02_ツリー'!$R$5:$R$679,0)),"")</f>
        <v>m_sensor_harness</v>
      </c>
      <c r="B221" s="1">
        <f>IF($A221="","",SUMIFS('02_ツリー'!$K$5:$K$679,'02_ツリー'!$E$5:$E$679,$A221,'02_ツリー'!$K$5:$K$679,"&gt;0"))</f>
        <v>4.4219056676451539E-3</v>
      </c>
      <c r="C221" s="1">
        <f>IF($A221="","",SUMIFS('02_ツリー'!$K$5:$K$679,'02_ツリー'!$E$5:$E$679,$A221,'02_ツリー'!$K$5:$K$679,"&lt;0"))</f>
        <v>0</v>
      </c>
      <c r="D221" s="1">
        <f t="shared" si="9"/>
        <v>4.4219056676451539E-3</v>
      </c>
      <c r="E221" s="1">
        <f>IF($A221="","",--(COUNTIFS('02_ツリー'!$E$5:$E$679,$A221,'02_ツリー'!$O$5:$O$679,0)=0))</f>
        <v>1</v>
      </c>
      <c r="F221" s="1">
        <f t="shared" si="10"/>
        <v>0</v>
      </c>
      <c r="G221" s="1">
        <f t="shared" si="11"/>
        <v>0</v>
      </c>
      <c r="H221" s="1"/>
      <c r="I221" s="1"/>
      <c r="J221" s="1"/>
      <c r="K221" s="1"/>
      <c r="L221" s="1"/>
    </row>
    <row r="222" spans="1:12">
      <c r="A222" s="1" t="str">
        <f>IFERROR(INDEX('02_ツリー'!$E$5:$E$679,MATCH(ROW()-10,'02_ツリー'!$R$5:$R$679,0)),"")</f>
        <v>m_conn_dc</v>
      </c>
      <c r="B222" s="1">
        <f>IF($A222="","",SUMIFS('02_ツリー'!$K$5:$K$679,'02_ツリー'!$E$5:$E$679,$A222,'02_ツリー'!$K$5:$K$679,"&gt;0"))</f>
        <v>8.8438113352903077E-3</v>
      </c>
      <c r="C222" s="1">
        <f>IF($A222="","",SUMIFS('02_ツリー'!$K$5:$K$679,'02_ツリー'!$E$5:$E$679,$A222,'02_ツリー'!$K$5:$K$679,"&lt;0"))</f>
        <v>0</v>
      </c>
      <c r="D222" s="1">
        <f t="shared" si="9"/>
        <v>8.8438113352903077E-3</v>
      </c>
      <c r="E222" s="1">
        <f>IF($A222="","",--(COUNTIFS('02_ツリー'!$E$5:$E$679,$A222,'02_ツリー'!$O$5:$O$679,0)=0))</f>
        <v>0</v>
      </c>
      <c r="F222" s="1">
        <f t="shared" si="10"/>
        <v>0</v>
      </c>
      <c r="G222" s="1">
        <f t="shared" si="11"/>
        <v>0</v>
      </c>
      <c r="H222" s="1"/>
      <c r="I222" s="1"/>
      <c r="J222" s="1"/>
      <c r="K222" s="1"/>
      <c r="L222" s="1"/>
    </row>
    <row r="223" spans="1:12">
      <c r="A223" s="1" t="str">
        <f>IFERROR(INDEX('02_ツリー'!$E$5:$E$679,MATCH(ROW()-10,'02_ツリー'!$R$5:$R$679,0)),"")</f>
        <v>N_conn_dc</v>
      </c>
      <c r="B223" s="1">
        <f>IF($A223="","",SUMIFS('02_ツリー'!$K$5:$K$679,'02_ツリー'!$E$5:$E$679,$A223,'02_ツリー'!$K$5:$K$679,"&gt;0"))</f>
        <v>8.8438113352903077E-3</v>
      </c>
      <c r="C223" s="1">
        <f>IF($A223="","",SUMIFS('02_ツリー'!$K$5:$K$679,'02_ツリー'!$E$5:$E$679,$A223,'02_ツリー'!$K$5:$K$679,"&lt;0"))</f>
        <v>0</v>
      </c>
      <c r="D223" s="1">
        <f t="shared" si="9"/>
        <v>8.8438113352903077E-3</v>
      </c>
      <c r="E223" s="1">
        <f>IF($A223="","",--(COUNTIFS('02_ツリー'!$E$5:$E$679,$A223,'02_ツリー'!$O$5:$O$679,0)=0))</f>
        <v>1</v>
      </c>
      <c r="F223" s="1">
        <f t="shared" si="10"/>
        <v>0</v>
      </c>
      <c r="G223" s="1">
        <f t="shared" si="11"/>
        <v>0</v>
      </c>
      <c r="H223" s="1"/>
      <c r="I223" s="1"/>
      <c r="J223" s="1"/>
      <c r="K223" s="1"/>
      <c r="L223" s="1"/>
    </row>
    <row r="224" spans="1:12">
      <c r="A224" s="1" t="str">
        <f>IFERROR(INDEX('02_ツリー'!$E$5:$E$679,MATCH(ROW()-10,'02_ツリー'!$R$5:$R$679,0)),"")</f>
        <v>m_conn_dc_unit</v>
      </c>
      <c r="B224" s="1">
        <f>IF($A224="","",SUMIFS('02_ツリー'!$K$5:$K$679,'02_ツリー'!$E$5:$E$679,$A224,'02_ツリー'!$K$5:$K$679,"&gt;0"))</f>
        <v>8.8438113352903077E-3</v>
      </c>
      <c r="C224" s="1">
        <f>IF($A224="","",SUMIFS('02_ツリー'!$K$5:$K$679,'02_ツリー'!$E$5:$E$679,$A224,'02_ツリー'!$K$5:$K$679,"&lt;0"))</f>
        <v>0</v>
      </c>
      <c r="D224" s="1">
        <f t="shared" si="9"/>
        <v>8.8438113352903077E-3</v>
      </c>
      <c r="E224" s="1">
        <f>IF($A224="","",--(COUNTIFS('02_ツリー'!$E$5:$E$679,$A224,'02_ツリー'!$O$5:$O$679,0)=0))</f>
        <v>1</v>
      </c>
      <c r="F224" s="1">
        <f t="shared" si="10"/>
        <v>0</v>
      </c>
      <c r="G224" s="1">
        <f t="shared" si="11"/>
        <v>0</v>
      </c>
      <c r="H224" s="1"/>
      <c r="I224" s="1"/>
      <c r="J224" s="1"/>
      <c r="K224" s="1"/>
      <c r="L224" s="1"/>
    </row>
    <row r="225" spans="1:12">
      <c r="A225" s="1" t="str">
        <f>IFERROR(INDEX('02_ツリー'!$E$5:$E$679,MATCH(ROW()-10,'02_ツリー'!$R$5:$R$679,0)),"")</f>
        <v>m_conn_ac</v>
      </c>
      <c r="B225" s="1">
        <f>IF($A225="","",SUMIFS('02_ツリー'!$K$5:$K$679,'02_ツリー'!$E$5:$E$679,$A225,'02_ツリー'!$K$5:$K$679,"&gt;0"))</f>
        <v>1.3265717002935462E-2</v>
      </c>
      <c r="C225" s="1">
        <f>IF($A225="","",SUMIFS('02_ツリー'!$K$5:$K$679,'02_ツリー'!$E$5:$E$679,$A225,'02_ツリー'!$K$5:$K$679,"&lt;0"))</f>
        <v>0</v>
      </c>
      <c r="D225" s="1">
        <f t="shared" si="9"/>
        <v>1.3265717002935462E-2</v>
      </c>
      <c r="E225" s="1">
        <f>IF($A225="","",--(COUNTIFS('02_ツリー'!$E$5:$E$679,$A225,'02_ツリー'!$O$5:$O$679,0)=0))</f>
        <v>0</v>
      </c>
      <c r="F225" s="1">
        <f t="shared" si="10"/>
        <v>0</v>
      </c>
      <c r="G225" s="1">
        <f t="shared" si="11"/>
        <v>0</v>
      </c>
      <c r="H225" s="1"/>
      <c r="I225" s="1"/>
      <c r="J225" s="1"/>
      <c r="K225" s="1"/>
      <c r="L225" s="1"/>
    </row>
    <row r="226" spans="1:12">
      <c r="A226" s="1" t="str">
        <f>IFERROR(INDEX('02_ツリー'!$E$5:$E$679,MATCH(ROW()-10,'02_ツリー'!$R$5:$R$679,0)),"")</f>
        <v>N_conn_ac</v>
      </c>
      <c r="B226" s="1">
        <f>IF($A226="","",SUMIFS('02_ツリー'!$K$5:$K$679,'02_ツリー'!$E$5:$E$679,$A226,'02_ツリー'!$K$5:$K$679,"&gt;0"))</f>
        <v>1.3265717002935462E-2</v>
      </c>
      <c r="C226" s="1">
        <f>IF($A226="","",SUMIFS('02_ツリー'!$K$5:$K$679,'02_ツリー'!$E$5:$E$679,$A226,'02_ツリー'!$K$5:$K$679,"&lt;0"))</f>
        <v>0</v>
      </c>
      <c r="D226" s="1">
        <f t="shared" si="9"/>
        <v>1.3265717002935462E-2</v>
      </c>
      <c r="E226" s="1">
        <f>IF($A226="","",--(COUNTIFS('02_ツリー'!$E$5:$E$679,$A226,'02_ツリー'!$O$5:$O$679,0)=0))</f>
        <v>1</v>
      </c>
      <c r="F226" s="1">
        <f t="shared" si="10"/>
        <v>0</v>
      </c>
      <c r="G226" s="1">
        <f t="shared" si="11"/>
        <v>0</v>
      </c>
      <c r="H226" s="1"/>
      <c r="I226" s="1"/>
      <c r="J226" s="1"/>
      <c r="K226" s="1"/>
      <c r="L226" s="1"/>
    </row>
    <row r="227" spans="1:12">
      <c r="A227" s="1" t="str">
        <f>IFERROR(INDEX('02_ツリー'!$E$5:$E$679,MATCH(ROW()-10,'02_ツリー'!$R$5:$R$679,0)),"")</f>
        <v>m_conn_ac_unit</v>
      </c>
      <c r="B227" s="1">
        <f>IF($A227="","",SUMIFS('02_ツリー'!$K$5:$K$679,'02_ツリー'!$E$5:$E$679,$A227,'02_ツリー'!$K$5:$K$679,"&gt;0"))</f>
        <v>1.3265717002935462E-2</v>
      </c>
      <c r="C227" s="1">
        <f>IF($A227="","",SUMIFS('02_ツリー'!$K$5:$K$679,'02_ツリー'!$E$5:$E$679,$A227,'02_ツリー'!$K$5:$K$679,"&lt;0"))</f>
        <v>0</v>
      </c>
      <c r="D227" s="1">
        <f t="shared" si="9"/>
        <v>1.3265717002935462E-2</v>
      </c>
      <c r="E227" s="1">
        <f>IF($A227="","",--(COUNTIFS('02_ツリー'!$E$5:$E$679,$A227,'02_ツリー'!$O$5:$O$679,0)=0))</f>
        <v>1</v>
      </c>
      <c r="F227" s="1">
        <f t="shared" si="10"/>
        <v>0</v>
      </c>
      <c r="G227" s="1">
        <f t="shared" si="11"/>
        <v>0</v>
      </c>
      <c r="H227" s="1"/>
      <c r="I227" s="1"/>
      <c r="J227" s="1"/>
      <c r="K227" s="1"/>
      <c r="L227" s="1"/>
    </row>
    <row r="228" spans="1:12">
      <c r="A228" s="1" t="str">
        <f>IFERROR(INDEX('02_ツリー'!$E$5:$E$679,MATCH(ROW()-10,'02_ツリー'!$R$5:$R$679,0)),"")</f>
        <v>m_conn_sig</v>
      </c>
      <c r="B228" s="1">
        <f>IF($A228="","",SUMIFS('02_ツリー'!$K$5:$K$679,'02_ツリー'!$E$5:$E$679,$A228,'02_ツリー'!$K$5:$K$679,"&gt;0"))</f>
        <v>6.0298713649706648E-3</v>
      </c>
      <c r="C228" s="1">
        <f>IF($A228="","",SUMIFS('02_ツリー'!$K$5:$K$679,'02_ツリー'!$E$5:$E$679,$A228,'02_ツリー'!$K$5:$K$679,"&lt;0"))</f>
        <v>0</v>
      </c>
      <c r="D228" s="1">
        <f t="shared" si="9"/>
        <v>6.0298713649706648E-3</v>
      </c>
      <c r="E228" s="1">
        <f>IF($A228="","",--(COUNTIFS('02_ツリー'!$E$5:$E$679,$A228,'02_ツリー'!$O$5:$O$679,0)=0))</f>
        <v>1</v>
      </c>
      <c r="F228" s="1">
        <f t="shared" si="10"/>
        <v>0</v>
      </c>
      <c r="G228" s="1">
        <f t="shared" si="11"/>
        <v>0</v>
      </c>
      <c r="H228" s="1"/>
      <c r="I228" s="1"/>
      <c r="J228" s="1"/>
      <c r="K228" s="1"/>
      <c r="L228" s="1"/>
    </row>
    <row r="229" spans="1:12">
      <c r="A229" s="1" t="str">
        <f>IFERROR(INDEX('02_ツリー'!$E$5:$E$679,MATCH(ROW()-10,'02_ツリー'!$R$5:$R$679,0)),"")</f>
        <v>m_conn_support</v>
      </c>
      <c r="B229" s="1">
        <f>IF($A229="","",SUMIFS('02_ツリー'!$K$5:$K$679,'02_ツリー'!$E$5:$E$679,$A229,'02_ツリー'!$K$5:$K$679,"&gt;0"))</f>
        <v>5.6278799406392875E-3</v>
      </c>
      <c r="C229" s="1">
        <f>IF($A229="","",SUMIFS('02_ツリー'!$K$5:$K$679,'02_ツリー'!$E$5:$E$679,$A229,'02_ツリー'!$K$5:$K$679,"&lt;0"))</f>
        <v>0</v>
      </c>
      <c r="D229" s="1">
        <f t="shared" si="9"/>
        <v>5.6278799406392875E-3</v>
      </c>
      <c r="E229" s="1">
        <f>IF($A229="","",--(COUNTIFS('02_ツリー'!$E$5:$E$679,$A229,'02_ツリー'!$O$5:$O$679,0)=0))</f>
        <v>1</v>
      </c>
      <c r="F229" s="1">
        <f t="shared" si="10"/>
        <v>0</v>
      </c>
      <c r="G229" s="1">
        <f t="shared" si="11"/>
        <v>0</v>
      </c>
      <c r="H229" s="1"/>
      <c r="I229" s="1"/>
      <c r="J229" s="1"/>
      <c r="K229" s="1"/>
      <c r="L229" s="1"/>
    </row>
    <row r="230" spans="1:12">
      <c r="A230" s="1" t="str">
        <f>IFERROR(INDEX('02_ツリー'!$E$5:$E$679,MATCH(ROW()-10,'02_ツリー'!$R$5:$R$679,0)),"")</f>
        <v>m_fastener</v>
      </c>
      <c r="B230" s="1">
        <f>IF($A230="","",SUMIFS('02_ツリー'!$K$5:$K$679,'02_ツリー'!$E$5:$E$679,$A230,'02_ツリー'!$K$5:$K$679,"&gt;0"))</f>
        <v>1.205974272994133E-2</v>
      </c>
      <c r="C230" s="1">
        <f>IF($A230="","",SUMIFS('02_ツリー'!$K$5:$K$679,'02_ツリー'!$E$5:$E$679,$A230,'02_ツリー'!$K$5:$K$679,"&lt;0"))</f>
        <v>0</v>
      </c>
      <c r="D230" s="1">
        <f t="shared" si="9"/>
        <v>1.205974272994133E-2</v>
      </c>
      <c r="E230" s="1">
        <f>IF($A230="","",--(COUNTIFS('02_ツリー'!$E$5:$E$679,$A230,'02_ツリー'!$O$5:$O$679,0)=0))</f>
        <v>1</v>
      </c>
      <c r="F230" s="1">
        <f t="shared" si="10"/>
        <v>0</v>
      </c>
      <c r="G230" s="1">
        <f t="shared" si="11"/>
        <v>0</v>
      </c>
      <c r="H230" s="1"/>
      <c r="I230" s="1"/>
      <c r="J230" s="1"/>
      <c r="K230" s="1"/>
      <c r="L230" s="1"/>
    </row>
    <row r="231" spans="1:12">
      <c r="A231" s="1" t="str">
        <f>IFERROR(INDEX('02_ツリー'!$E$5:$E$679,MATCH(ROW()-10,'02_ツリー'!$R$5:$R$679,0)),"")</f>
        <v>m_insulation</v>
      </c>
      <c r="B231" s="1">
        <f>IF($A231="","",SUMIFS('02_ツリー'!$K$5:$K$679,'02_ツリー'!$E$5:$E$679,$A231,'02_ツリー'!$K$5:$K$679,"&gt;0"))</f>
        <v>1.205974272994133E-2</v>
      </c>
      <c r="C231" s="1">
        <f>IF($A231="","",SUMIFS('02_ツリー'!$K$5:$K$679,'02_ツリー'!$E$5:$E$679,$A231,'02_ツリー'!$K$5:$K$679,"&lt;0"))</f>
        <v>0</v>
      </c>
      <c r="D231" s="1">
        <f t="shared" si="9"/>
        <v>1.205974272994133E-2</v>
      </c>
      <c r="E231" s="1">
        <f>IF($A231="","",--(COUNTIFS('02_ツリー'!$E$5:$E$679,$A231,'02_ツリー'!$O$5:$O$679,0)=0))</f>
        <v>1</v>
      </c>
      <c r="F231" s="1">
        <f t="shared" si="10"/>
        <v>0</v>
      </c>
      <c r="G231" s="1">
        <f t="shared" si="11"/>
        <v>0</v>
      </c>
      <c r="H231" s="1"/>
      <c r="I231" s="1"/>
      <c r="J231" s="1"/>
      <c r="K231" s="1"/>
      <c r="L231" s="1"/>
    </row>
    <row r="232" spans="1:12">
      <c r="A232" s="1" t="str">
        <f>IFERROR(INDEX('02_ツリー'!$E$5:$E$679,MATCH(ROW()-10,'02_ツリー'!$R$5:$R$679,0)),"")</f>
        <v>m_harness</v>
      </c>
      <c r="B232" s="1">
        <f>IF($A232="","",SUMIFS('02_ツリー'!$K$5:$K$679,'02_ツリー'!$E$5:$E$679,$A232,'02_ツリー'!$K$5:$K$679,"&gt;0"))</f>
        <v>1.6079656973255106E-2</v>
      </c>
      <c r="C232" s="1">
        <f>IF($A232="","",SUMIFS('02_ツリー'!$K$5:$K$679,'02_ツリー'!$E$5:$E$679,$A232,'02_ツリー'!$K$5:$K$679,"&lt;0"))</f>
        <v>0</v>
      </c>
      <c r="D232" s="1">
        <f t="shared" si="9"/>
        <v>1.6079656973255106E-2</v>
      </c>
      <c r="E232" s="1">
        <f>IF($A232="","",--(COUNTIFS('02_ツリー'!$E$5:$E$679,$A232,'02_ツリー'!$O$5:$O$679,0)=0))</f>
        <v>1</v>
      </c>
      <c r="F232" s="1">
        <f t="shared" si="10"/>
        <v>0</v>
      </c>
      <c r="G232" s="1">
        <f t="shared" si="11"/>
        <v>0</v>
      </c>
      <c r="H232" s="1"/>
      <c r="I232" s="1"/>
      <c r="J232" s="1"/>
      <c r="K232" s="1"/>
      <c r="L232" s="1"/>
    </row>
    <row r="233" spans="1:12">
      <c r="A233" s="1" t="str">
        <f>IFERROR(INDEX('02_ツリー'!$E$5:$E$679,MATCH(ROW()-10,'02_ツリー'!$R$5:$R$679,0)),"")</f>
        <v>k_gate_sw</v>
      </c>
      <c r="B233" s="1">
        <f>IF($A233="","",SUMIFS('02_ツリー'!$K$5:$K$679,'02_ツリー'!$E$5:$E$679,$A233,'02_ツリー'!$K$5:$K$679,"&gt;0"))</f>
        <v>3.7081095457614869E-5</v>
      </c>
      <c r="C233" s="1">
        <f>IF($A233="","",SUMIFS('02_ツリー'!$K$5:$K$679,'02_ツリー'!$E$5:$E$679,$A233,'02_ツリー'!$K$5:$K$679,"&lt;0"))</f>
        <v>0</v>
      </c>
      <c r="D233" s="1">
        <f t="shared" si="9"/>
        <v>3.7081095457614869E-5</v>
      </c>
      <c r="E233" s="1">
        <f>IF($A233="","",--(COUNTIFS('02_ツリー'!$E$5:$E$679,$A233,'02_ツリー'!$O$5:$O$679,0)=0))</f>
        <v>0</v>
      </c>
      <c r="F233" s="1">
        <f t="shared" si="10"/>
        <v>0</v>
      </c>
      <c r="G233" s="1">
        <f t="shared" si="11"/>
        <v>0</v>
      </c>
      <c r="H233" s="1"/>
      <c r="I233" s="1"/>
      <c r="J233" s="1"/>
      <c r="K233" s="1"/>
      <c r="L233" s="1"/>
    </row>
    <row r="234" spans="1:12">
      <c r="A234" s="1" t="str">
        <f>IFERROR(INDEX('02_ツリー'!$E$5:$E$679,MATCH(ROW()-10,'02_ツリー'!$R$5:$R$679,0)),"")</f>
        <v>t_sw_eff</v>
      </c>
      <c r="B234" s="1">
        <f>IF($A234="","",SUMIFS('02_ツリー'!$K$5:$K$679,'02_ツリー'!$E$5:$E$679,$A234,'02_ツリー'!$K$5:$K$679,"&gt;0"))</f>
        <v>3.7081095457614869E-5</v>
      </c>
      <c r="C234" s="1">
        <f>IF($A234="","",SUMIFS('02_ツリー'!$K$5:$K$679,'02_ツリー'!$E$5:$E$679,$A234,'02_ツリー'!$K$5:$K$679,"&lt;0"))</f>
        <v>0</v>
      </c>
      <c r="D234" s="1">
        <f t="shared" si="9"/>
        <v>3.7081095457614869E-5</v>
      </c>
      <c r="E234" s="1">
        <f>IF($A234="","",--(COUNTIFS('02_ツリー'!$E$5:$E$679,$A234,'02_ツリー'!$O$5:$O$679,0)=0))</f>
        <v>0</v>
      </c>
      <c r="F234" s="1">
        <f t="shared" si="10"/>
        <v>0</v>
      </c>
      <c r="G234" s="1">
        <f t="shared" si="11"/>
        <v>0</v>
      </c>
      <c r="H234" s="1"/>
      <c r="I234" s="1"/>
      <c r="J234" s="1"/>
      <c r="K234" s="1"/>
      <c r="L234" s="1"/>
    </row>
    <row r="235" spans="1:12">
      <c r="A235" s="1" t="str">
        <f>IFERROR(INDEX('02_ツリー'!$E$5:$E$679,MATCH(ROW()-10,'02_ツリー'!$R$5:$R$679,0)),"")</f>
        <v>t_on</v>
      </c>
      <c r="B235" s="1">
        <f>IF($A235="","",SUMIFS('02_ツリー'!$K$5:$K$679,'02_ツリー'!$E$5:$E$679,$A235,'02_ツリー'!$K$5:$K$679,"&gt;0"))</f>
        <v>1.8540547728807434E-5</v>
      </c>
      <c r="C235" s="1">
        <f>IF($A235="","",SUMIFS('02_ツリー'!$K$5:$K$679,'02_ツリー'!$E$5:$E$679,$A235,'02_ツリー'!$K$5:$K$679,"&lt;0"))</f>
        <v>0</v>
      </c>
      <c r="D235" s="1">
        <f t="shared" si="9"/>
        <v>1.8540547728807434E-5</v>
      </c>
      <c r="E235" s="1">
        <f>IF($A235="","",--(COUNTIFS('02_ツリー'!$E$5:$E$679,$A235,'02_ツリー'!$O$5:$O$679,0)=0))</f>
        <v>0</v>
      </c>
      <c r="F235" s="1">
        <f t="shared" si="10"/>
        <v>0</v>
      </c>
      <c r="G235" s="1">
        <f t="shared" si="11"/>
        <v>0</v>
      </c>
      <c r="H235" s="1"/>
      <c r="I235" s="1"/>
      <c r="J235" s="1"/>
      <c r="K235" s="1"/>
      <c r="L235" s="1"/>
    </row>
    <row r="236" spans="1:12">
      <c r="A236" s="1" t="str">
        <f>IFERROR(INDEX('02_ツリー'!$E$5:$E$679,MATCH(ROW()-10,'02_ツリー'!$R$5:$R$679,0)),"")</f>
        <v>R_g_on</v>
      </c>
      <c r="B236" s="1">
        <f>IF($A236="","",SUMIFS('02_ツリー'!$K$5:$K$679,'02_ツリー'!$E$5:$E$679,$A236,'02_ツリー'!$K$5:$K$679,"&gt;0"))</f>
        <v>1.8540547728807434E-5</v>
      </c>
      <c r="C236" s="1">
        <f>IF($A236="","",SUMIFS('02_ツリー'!$K$5:$K$679,'02_ツリー'!$E$5:$E$679,$A236,'02_ツリー'!$K$5:$K$679,"&lt;0"))</f>
        <v>0</v>
      </c>
      <c r="D236" s="1">
        <f t="shared" si="9"/>
        <v>1.8540547728807434E-5</v>
      </c>
      <c r="E236" s="1">
        <f>IF($A236="","",--(COUNTIFS('02_ツリー'!$E$5:$E$679,$A236,'02_ツリー'!$O$5:$O$679,0)=0))</f>
        <v>1</v>
      </c>
      <c r="F236" s="1">
        <f t="shared" si="10"/>
        <v>0</v>
      </c>
      <c r="G236" s="1">
        <f t="shared" si="11"/>
        <v>0</v>
      </c>
      <c r="H236" s="1"/>
      <c r="I236" s="1"/>
      <c r="J236" s="1"/>
      <c r="K236" s="1"/>
      <c r="L236" s="1"/>
    </row>
    <row r="237" spans="1:12">
      <c r="A237" s="1" t="str">
        <f>IFERROR(INDEX('02_ツリー'!$E$5:$E$679,MATCH(ROW()-10,'02_ツリー'!$R$5:$R$679,0)),"")</f>
        <v>t_on_ref</v>
      </c>
      <c r="B237" s="1">
        <f>IF($A237="","",SUMIFS('02_ツリー'!$K$5:$K$679,'02_ツリー'!$E$5:$E$679,$A237,'02_ツリー'!$K$5:$K$679,"&gt;0"))</f>
        <v>1.8540547728807434E-5</v>
      </c>
      <c r="C237" s="1">
        <f>IF($A237="","",SUMIFS('02_ツリー'!$K$5:$K$679,'02_ツリー'!$E$5:$E$679,$A237,'02_ツリー'!$K$5:$K$679,"&lt;0"))</f>
        <v>0</v>
      </c>
      <c r="D237" s="1">
        <f t="shared" si="9"/>
        <v>1.8540547728807434E-5</v>
      </c>
      <c r="E237" s="1">
        <f>IF($A237="","",--(COUNTIFS('02_ツリー'!$E$5:$E$679,$A237,'02_ツリー'!$O$5:$O$679,0)=0))</f>
        <v>1</v>
      </c>
      <c r="F237" s="1">
        <f t="shared" si="10"/>
        <v>0</v>
      </c>
      <c r="G237" s="1">
        <f t="shared" si="11"/>
        <v>0</v>
      </c>
      <c r="H237" s="1"/>
      <c r="I237" s="1"/>
      <c r="J237" s="1"/>
      <c r="K237" s="1"/>
      <c r="L237" s="1"/>
    </row>
    <row r="238" spans="1:12">
      <c r="A238" s="1" t="str">
        <f>IFERROR(INDEX('02_ツリー'!$E$5:$E$679,MATCH(ROW()-10,'02_ツリー'!$R$5:$R$679,0)),"")</f>
        <v>t_off</v>
      </c>
      <c r="B238" s="1">
        <f>IF($A238="","",SUMIFS('02_ツリー'!$K$5:$K$679,'02_ツリー'!$E$5:$E$679,$A238,'02_ツリー'!$K$5:$K$679,"&gt;0"))</f>
        <v>1.9781514972126854E-5</v>
      </c>
      <c r="C238" s="1">
        <f>IF($A238="","",SUMIFS('02_ツリー'!$K$5:$K$679,'02_ツリー'!$E$5:$E$679,$A238,'02_ツリー'!$K$5:$K$679,"&lt;0"))</f>
        <v>-4.494644195718126E-6</v>
      </c>
      <c r="D238" s="1">
        <f t="shared" si="9"/>
        <v>1.5286870776408728E-5</v>
      </c>
      <c r="E238" s="1">
        <f>IF($A238="","",--(COUNTIFS('02_ツリー'!$E$5:$E$679,$A238,'02_ツリー'!$O$5:$O$679,0)=0))</f>
        <v>0</v>
      </c>
      <c r="F238" s="1">
        <f t="shared" si="10"/>
        <v>1</v>
      </c>
      <c r="G238" s="1">
        <f t="shared" si="11"/>
        <v>0</v>
      </c>
      <c r="H238" s="1"/>
      <c r="I238" s="1"/>
      <c r="J238" s="1"/>
      <c r="K238" s="1"/>
      <c r="L238" s="1"/>
    </row>
    <row r="239" spans="1:12">
      <c r="A239" s="1" t="str">
        <f>IFERROR(INDEX('02_ツリー'!$E$5:$E$679,MATCH(ROW()-10,'02_ツリー'!$R$5:$R$679,0)),"")</f>
        <v>R_g_off</v>
      </c>
      <c r="B239" s="1">
        <f>IF($A239="","",SUMIFS('02_ツリー'!$K$5:$K$679,'02_ツリー'!$E$5:$E$679,$A239,'02_ツリー'!$K$5:$K$679,"&gt;0"))</f>
        <v>1.8540547728807434E-5</v>
      </c>
      <c r="C239" s="1">
        <f>IF($A239="","",SUMIFS('02_ツリー'!$K$5:$K$679,'02_ツリー'!$E$5:$E$679,$A239,'02_ツリー'!$K$5:$K$679,"&lt;0"))</f>
        <v>0</v>
      </c>
      <c r="D239" s="1">
        <f t="shared" si="9"/>
        <v>1.8540547728807434E-5</v>
      </c>
      <c r="E239" s="1">
        <f>IF($A239="","",--(COUNTIFS('02_ツリー'!$E$5:$E$679,$A239,'02_ツリー'!$O$5:$O$679,0)=0))</f>
        <v>1</v>
      </c>
      <c r="F239" s="1">
        <f t="shared" si="10"/>
        <v>0</v>
      </c>
      <c r="G239" s="1">
        <f t="shared" si="11"/>
        <v>0</v>
      </c>
      <c r="H239" s="1"/>
      <c r="I239" s="1"/>
      <c r="J239" s="1"/>
      <c r="K239" s="1"/>
      <c r="L239" s="1"/>
    </row>
    <row r="240" spans="1:12">
      <c r="A240" s="1" t="str">
        <f>IFERROR(INDEX('02_ツリー'!$E$5:$E$679,MATCH(ROW()-10,'02_ツリー'!$R$5:$R$679,0)),"")</f>
        <v>t_off_ref</v>
      </c>
      <c r="B240" s="1">
        <f>IF($A240="","",SUMIFS('02_ツリー'!$K$5:$K$679,'02_ツリー'!$E$5:$E$679,$A240,'02_ツリー'!$K$5:$K$679,"&gt;0"))</f>
        <v>1.8540547728807434E-5</v>
      </c>
      <c r="C240" s="1">
        <f>IF($A240="","",SUMIFS('02_ツリー'!$K$5:$K$679,'02_ツリー'!$E$5:$E$679,$A240,'02_ツリー'!$K$5:$K$679,"&lt;0"))</f>
        <v>0</v>
      </c>
      <c r="D240" s="1">
        <f t="shared" si="9"/>
        <v>1.8540547728807434E-5</v>
      </c>
      <c r="E240" s="1">
        <f>IF($A240="","",--(COUNTIFS('02_ツリー'!$E$5:$E$679,$A240,'02_ツリー'!$O$5:$O$679,0)=0))</f>
        <v>1</v>
      </c>
      <c r="F240" s="1">
        <f t="shared" si="10"/>
        <v>0</v>
      </c>
      <c r="G240" s="1">
        <f t="shared" si="11"/>
        <v>0</v>
      </c>
      <c r="H240" s="1"/>
      <c r="I240" s="1"/>
      <c r="J240" s="1"/>
      <c r="K240" s="1"/>
      <c r="L240" s="1"/>
    </row>
    <row r="241" spans="1:12">
      <c r="A241" s="1" t="str">
        <f>IFERROR(INDEX('02_ツリー'!$E$5:$E$679,MATCH(ROW()-10,'02_ツリー'!$R$5:$R$679,0)),"")</f>
        <v>R_g_ref</v>
      </c>
      <c r="B241" s="1">
        <f>IF($A241="","",SUMIFS('02_ツリー'!$K$5:$K$679,'02_ツリー'!$E$5:$E$679,$A241,'02_ツリー'!$K$5:$K$679,"&gt;0"))</f>
        <v>0</v>
      </c>
      <c r="C241" s="1">
        <f>IF($A241="","",SUMIFS('02_ツリー'!$K$5:$K$679,'02_ツリー'!$E$5:$E$679,$A241,'02_ツリー'!$K$5:$K$679,"&lt;0"))</f>
        <v>-1.8540547728807434E-5</v>
      </c>
      <c r="D241" s="1">
        <f t="shared" si="9"/>
        <v>-1.8540547728807434E-5</v>
      </c>
      <c r="E241" s="1">
        <f>IF($A241="","",--(COUNTIFS('02_ツリー'!$E$5:$E$679,$A241,'02_ツリー'!$O$5:$O$679,0)=0))</f>
        <v>1</v>
      </c>
      <c r="F241" s="1">
        <f t="shared" si="10"/>
        <v>0</v>
      </c>
      <c r="G241" s="1">
        <f t="shared" si="11"/>
        <v>0</v>
      </c>
      <c r="H241" s="1"/>
      <c r="I241" s="1"/>
      <c r="J241" s="1"/>
      <c r="K241" s="1"/>
      <c r="L241" s="1"/>
    </row>
    <row r="242" spans="1:12">
      <c r="A242" s="1" t="str">
        <f>IFERROR(INDEX('02_ツリー'!$E$5:$E$679,MATCH(ROW()-10,'02_ツリー'!$R$5:$R$679,0)),"")</f>
        <v>k_split_eff</v>
      </c>
      <c r="B242" s="1">
        <f>IF($A242="","",SUMIFS('02_ツリー'!$K$5:$K$679,'02_ツリー'!$E$5:$E$679,$A242,'02_ツリー'!$K$5:$K$679,"&gt;0"))</f>
        <v>3.7081095457614869E-5</v>
      </c>
      <c r="C242" s="1">
        <f>IF($A242="","",SUMIFS('02_ツリー'!$K$5:$K$679,'02_ツリー'!$E$5:$E$679,$A242,'02_ツリー'!$K$5:$K$679,"&lt;0"))</f>
        <v>0</v>
      </c>
      <c r="D242" s="1">
        <f t="shared" si="9"/>
        <v>3.7081095457614869E-5</v>
      </c>
      <c r="E242" s="1">
        <f>IF($A242="","",--(COUNTIFS('02_ツリー'!$E$5:$E$679,$A242,'02_ツリー'!$O$5:$O$679,0)=0))</f>
        <v>0</v>
      </c>
      <c r="F242" s="1">
        <f t="shared" si="10"/>
        <v>0</v>
      </c>
      <c r="G242" s="1">
        <f t="shared" si="11"/>
        <v>0</v>
      </c>
      <c r="H242" s="1"/>
      <c r="I242" s="1"/>
      <c r="J242" s="1"/>
      <c r="K242" s="1"/>
      <c r="L242" s="1"/>
    </row>
    <row r="243" spans="1:12">
      <c r="A243" s="1" t="str">
        <f>IFERROR(INDEX('02_ツリー'!$E$5:$E$679,MATCH(ROW()-10,'02_ツリー'!$R$5:$R$679,0)),"")</f>
        <v>Enable_split_Rg</v>
      </c>
      <c r="B243" s="1">
        <f>IF($A243="","",SUMIFS('02_ツリー'!$K$5:$K$679,'02_ツリー'!$E$5:$E$679,$A243,'02_ツリー'!$K$5:$K$679,"&gt;0"))</f>
        <v>2.411948545988266E-4</v>
      </c>
      <c r="C243" s="1">
        <f>IF($A243="","",SUMIFS('02_ツリー'!$K$5:$K$679,'02_ツリー'!$E$5:$E$679,$A243,'02_ツリー'!$K$5:$K$679,"&lt;0"))</f>
        <v>-3.7081095457614859E-6</v>
      </c>
      <c r="D243" s="1">
        <f t="shared" si="9"/>
        <v>2.3748674505306511E-4</v>
      </c>
      <c r="E243" s="1">
        <f>IF($A243="","",--(COUNTIFS('02_ツリー'!$E$5:$E$679,$A243,'02_ツリー'!$O$5:$O$679,0)=0))</f>
        <v>1</v>
      </c>
      <c r="F243" s="1">
        <f t="shared" si="10"/>
        <v>1</v>
      </c>
      <c r="G243" s="1">
        <f t="shared" si="11"/>
        <v>1</v>
      </c>
      <c r="H243" s="1"/>
      <c r="I243" s="1"/>
      <c r="J243" s="1"/>
      <c r="K243" s="1"/>
      <c r="L243" s="1"/>
    </row>
    <row r="244" spans="1:12">
      <c r="A244" s="1" t="str">
        <f>IFERROR(INDEX('02_ツリー'!$E$5:$E$679,MATCH(ROW()-10,'02_ツリー'!$R$5:$R$679,0)),"")</f>
        <v>k_split_sw</v>
      </c>
      <c r="B244" s="1">
        <f>IF($A244="","",SUMIFS('02_ツリー'!$K$5:$K$679,'02_ツリー'!$E$5:$E$679,$A244,'02_ツリー'!$K$5:$K$679,"&gt;0"))</f>
        <v>0</v>
      </c>
      <c r="C244" s="1">
        <f>IF($A244="","",SUMIFS('02_ツリー'!$K$5:$K$679,'02_ツリー'!$E$5:$E$679,$A244,'02_ツリー'!$K$5:$K$679,"&lt;0"))</f>
        <v>0</v>
      </c>
      <c r="D244" s="1">
        <f t="shared" si="9"/>
        <v>0</v>
      </c>
      <c r="E244" s="1">
        <f>IF($A244="","",--(COUNTIFS('02_ツリー'!$E$5:$E$679,$A244,'02_ツリー'!$O$5:$O$679,0)=0))</f>
        <v>1</v>
      </c>
      <c r="F244" s="1">
        <f t="shared" si="10"/>
        <v>0</v>
      </c>
      <c r="G244" s="1">
        <f t="shared" si="11"/>
        <v>0</v>
      </c>
      <c r="H244" s="1"/>
      <c r="I244" s="1"/>
      <c r="J244" s="1"/>
      <c r="K244" s="1"/>
      <c r="L244" s="1"/>
    </row>
    <row r="245" spans="1:12">
      <c r="A245" s="1" t="str">
        <f>IFERROR(INDEX('02_ツリー'!$E$5:$E$679,MATCH(ROW()-10,'02_ツリー'!$R$5:$R$679,0)),"")</f>
        <v>M_dvdt_filter</v>
      </c>
      <c r="B245" s="1">
        <f>IF($A245="","",SUMIFS('02_ツリー'!$K$5:$K$679,'02_ツリー'!$E$5:$E$679,$A245,'02_ツリー'!$K$5:$K$679,"&gt;0"))</f>
        <v>0</v>
      </c>
      <c r="C245" s="1">
        <f>IF($A245="","",SUMIFS('02_ツリー'!$K$5:$K$679,'02_ツリー'!$E$5:$E$679,$A245,'02_ツリー'!$K$5:$K$679,"&lt;0"))</f>
        <v>0</v>
      </c>
      <c r="D245" s="1">
        <f t="shared" si="9"/>
        <v>0</v>
      </c>
      <c r="E245" s="1">
        <f>IF($A245="","",--(COUNTIFS('02_ツリー'!$E$5:$E$679,$A245,'02_ツリー'!$O$5:$O$679,0)=0))</f>
        <v>0</v>
      </c>
      <c r="F245" s="1">
        <f t="shared" si="10"/>
        <v>0</v>
      </c>
      <c r="G245" s="1">
        <f t="shared" si="11"/>
        <v>0</v>
      </c>
      <c r="H245" s="1"/>
      <c r="I245" s="1"/>
      <c r="J245" s="1"/>
      <c r="K245" s="1"/>
      <c r="L245" s="1"/>
    </row>
    <row r="246" spans="1:12">
      <c r="A246" s="1" t="str">
        <f>IFERROR(INDEX('02_ツリー'!$E$5:$E$679,MATCH(ROW()-10,'02_ツリー'!$R$5:$R$679,0)),"")</f>
        <v>dvdt</v>
      </c>
      <c r="B246" s="1">
        <f>IF($A246="","",SUMIFS('02_ツリー'!$K$5:$K$679,'02_ツリー'!$E$5:$E$679,$A246,'02_ツリー'!$K$5:$K$679,"&gt;0"))</f>
        <v>0</v>
      </c>
      <c r="C246" s="1">
        <f>IF($A246="","",SUMIFS('02_ツリー'!$K$5:$K$679,'02_ツリー'!$E$5:$E$679,$A246,'02_ツリー'!$K$5:$K$679,"&lt;0"))</f>
        <v>0</v>
      </c>
      <c r="D246" s="1">
        <f t="shared" si="9"/>
        <v>0</v>
      </c>
      <c r="E246" s="1">
        <f>IF($A246="","",--(COUNTIFS('02_ツリー'!$E$5:$E$679,$A246,'02_ツリー'!$O$5:$O$679,0)=0))</f>
        <v>0</v>
      </c>
      <c r="F246" s="1">
        <f t="shared" si="10"/>
        <v>0</v>
      </c>
      <c r="G246" s="1">
        <f t="shared" si="11"/>
        <v>0</v>
      </c>
      <c r="H246" s="1"/>
      <c r="I246" s="1"/>
      <c r="J246" s="1"/>
      <c r="K246" s="1"/>
      <c r="L246" s="1"/>
    </row>
    <row r="247" spans="1:12">
      <c r="A247" s="1" t="str">
        <f>IFERROR(INDEX('02_ツリー'!$E$5:$E$679,MATCH(ROW()-10,'02_ツリー'!$R$5:$R$679,0)),"")</f>
        <v>m_slew_emi_ref</v>
      </c>
      <c r="B247" s="1">
        <f>IF($A247="","",SUMIFS('02_ツリー'!$K$5:$K$679,'02_ツリー'!$E$5:$E$679,$A247,'02_ツリー'!$K$5:$K$679,"&gt;0"))</f>
        <v>0</v>
      </c>
      <c r="C247" s="1">
        <f>IF($A247="","",SUMIFS('02_ツリー'!$K$5:$K$679,'02_ツリー'!$E$5:$E$679,$A247,'02_ツリー'!$K$5:$K$679,"&lt;0"))</f>
        <v>0</v>
      </c>
      <c r="D247" s="1">
        <f t="shared" si="9"/>
        <v>0</v>
      </c>
      <c r="E247" s="1">
        <f>IF($A247="","",--(COUNTIFS('02_ツリー'!$E$5:$E$679,$A247,'02_ツリー'!$O$5:$O$679,0)=0))</f>
        <v>1</v>
      </c>
      <c r="F247" s="1">
        <f t="shared" si="10"/>
        <v>0</v>
      </c>
      <c r="G247" s="1">
        <f t="shared" si="11"/>
        <v>0</v>
      </c>
      <c r="H247" s="1"/>
      <c r="I247" s="1"/>
      <c r="J247" s="1"/>
      <c r="K247" s="1"/>
      <c r="L247" s="1"/>
    </row>
    <row r="248" spans="1:12">
      <c r="A248" s="1" t="str">
        <f>IFERROR(INDEX('02_ツリー'!$E$5:$E$679,MATCH(ROW()-10,'02_ツリー'!$R$5:$R$679,0)),"")</f>
        <v>a_slew_emi</v>
      </c>
      <c r="B248" s="1">
        <f>IF($A248="","",SUMIFS('02_ツリー'!$K$5:$K$679,'02_ツリー'!$E$5:$E$679,$A248,'02_ツリー'!$K$5:$K$679,"&gt;0"))</f>
        <v>0</v>
      </c>
      <c r="C248" s="1">
        <f>IF($A248="","",SUMIFS('02_ツリー'!$K$5:$K$679,'02_ツリー'!$E$5:$E$679,$A248,'02_ツリー'!$K$5:$K$679,"&lt;0"))</f>
        <v>0</v>
      </c>
      <c r="D248" s="1">
        <f t="shared" si="9"/>
        <v>0</v>
      </c>
      <c r="E248" s="1">
        <f>IF($A248="","",--(COUNTIFS('02_ツリー'!$E$5:$E$679,$A248,'02_ツリー'!$O$5:$O$679,0)=0))</f>
        <v>1</v>
      </c>
      <c r="F248" s="1">
        <f t="shared" si="10"/>
        <v>0</v>
      </c>
      <c r="G248" s="1">
        <f t="shared" si="11"/>
        <v>0</v>
      </c>
      <c r="H248" s="1"/>
      <c r="I248" s="1"/>
      <c r="J248" s="1"/>
      <c r="K248" s="1"/>
      <c r="L248" s="1"/>
    </row>
    <row r="249" spans="1:12">
      <c r="A249" s="1" t="str">
        <f>IFERROR(INDEX('02_ツリー'!$E$5:$E$679,MATCH(ROW()-10,'02_ツリー'!$R$5:$R$679,0)),"")</f>
        <v>P_dead</v>
      </c>
      <c r="B249" s="1">
        <f>IF($A249="","",SUMIFS('02_ツリー'!$K$5:$K$679,'02_ツリー'!$E$5:$E$679,$A249,'02_ツリー'!$K$5:$K$679,"&gt;0"))</f>
        <v>2.3624518725467412E-5</v>
      </c>
      <c r="C249" s="1">
        <f>IF($A249="","",SUMIFS('02_ツリー'!$K$5:$K$679,'02_ツリー'!$E$5:$E$679,$A249,'02_ツリー'!$K$5:$K$679,"&lt;0"))</f>
        <v>0</v>
      </c>
      <c r="D249" s="1">
        <f t="shared" si="9"/>
        <v>2.3624518725467412E-5</v>
      </c>
      <c r="E249" s="1">
        <f>IF($A249="","",--(COUNTIFS('02_ツリー'!$E$5:$E$679,$A249,'02_ツリー'!$O$5:$O$679,0)=0))</f>
        <v>0</v>
      </c>
      <c r="F249" s="1">
        <f t="shared" si="10"/>
        <v>0</v>
      </c>
      <c r="G249" s="1">
        <f t="shared" si="11"/>
        <v>0</v>
      </c>
      <c r="H249" s="1"/>
      <c r="I249" s="1"/>
      <c r="J249" s="1"/>
      <c r="K249" s="1"/>
      <c r="L249" s="1"/>
    </row>
    <row r="250" spans="1:12">
      <c r="A250" s="1" t="str">
        <f>IFERROR(INDEX('02_ツリー'!$E$5:$E$679,MATCH(ROW()-10,'02_ツリー'!$R$5:$R$679,0)),"")</f>
        <v>t_dead_eff</v>
      </c>
      <c r="B250" s="1">
        <f>IF($A250="","",SUMIFS('02_ツリー'!$K$5:$K$679,'02_ツリー'!$E$5:$E$679,$A250,'02_ツリー'!$K$5:$K$679,"&gt;0"))</f>
        <v>2.3624518725467412E-5</v>
      </c>
      <c r="C250" s="1">
        <f>IF($A250="","",SUMIFS('02_ツリー'!$K$5:$K$679,'02_ツリー'!$E$5:$E$679,$A250,'02_ツリー'!$K$5:$K$679,"&lt;0"))</f>
        <v>0</v>
      </c>
      <c r="D250" s="1">
        <f t="shared" si="9"/>
        <v>2.3624518725467412E-5</v>
      </c>
      <c r="E250" s="1">
        <f>IF($A250="","",--(COUNTIFS('02_ツリー'!$E$5:$E$679,$A250,'02_ツリー'!$O$5:$O$679,0)=0))</f>
        <v>0</v>
      </c>
      <c r="F250" s="1">
        <f t="shared" si="10"/>
        <v>0</v>
      </c>
      <c r="G250" s="1">
        <f t="shared" si="11"/>
        <v>0</v>
      </c>
      <c r="H250" s="1"/>
      <c r="I250" s="1"/>
      <c r="J250" s="1"/>
      <c r="K250" s="1"/>
      <c r="L250" s="1"/>
    </row>
    <row r="251" spans="1:12">
      <c r="A251" s="1" t="str">
        <f>IFERROR(INDEX('02_ツリー'!$E$5:$E$679,MATCH(ROW()-10,'02_ツリー'!$R$5:$R$679,0)),"")</f>
        <v>t_dead</v>
      </c>
      <c r="B251" s="1">
        <f>IF($A251="","",SUMIFS('02_ツリー'!$K$5:$K$679,'02_ツリー'!$E$5:$E$679,$A251,'02_ツリー'!$K$5:$K$679,"&gt;0"))</f>
        <v>2.3624518725467412E-5</v>
      </c>
      <c r="C251" s="1">
        <f>IF($A251="","",SUMIFS('02_ツリー'!$K$5:$K$679,'02_ツリー'!$E$5:$E$679,$A251,'02_ツリー'!$K$5:$K$679,"&lt;0"))</f>
        <v>0</v>
      </c>
      <c r="D251" s="1">
        <f t="shared" si="9"/>
        <v>2.3624518725467412E-5</v>
      </c>
      <c r="E251" s="1">
        <f>IF($A251="","",--(COUNTIFS('02_ツリー'!$E$5:$E$679,$A251,'02_ツリー'!$O$5:$O$679,0)=0))</f>
        <v>1</v>
      </c>
      <c r="F251" s="1">
        <f t="shared" si="10"/>
        <v>0</v>
      </c>
      <c r="G251" s="1">
        <f t="shared" si="11"/>
        <v>0</v>
      </c>
      <c r="H251" s="1"/>
      <c r="I251" s="1"/>
      <c r="J251" s="1"/>
      <c r="K251" s="1"/>
      <c r="L251" s="1"/>
    </row>
    <row r="252" spans="1:12">
      <c r="A252" s="1" t="str">
        <f>IFERROR(INDEX('02_ツリー'!$E$5:$E$679,MATCH(ROW()-10,'02_ツリー'!$R$5:$R$679,0)),"")</f>
        <v>k_dead_eff</v>
      </c>
      <c r="B252" s="1">
        <f>IF($A252="","",SUMIFS('02_ツリー'!$K$5:$K$679,'02_ツリー'!$E$5:$E$679,$A252,'02_ツリー'!$K$5:$K$679,"&gt;0"))</f>
        <v>2.3624518725467412E-5</v>
      </c>
      <c r="C252" s="1">
        <f>IF($A252="","",SUMIFS('02_ツリー'!$K$5:$K$679,'02_ツリー'!$E$5:$E$679,$A252,'02_ツリー'!$K$5:$K$679,"&lt;0"))</f>
        <v>0</v>
      </c>
      <c r="D252" s="1">
        <f t="shared" si="9"/>
        <v>2.3624518725467412E-5</v>
      </c>
      <c r="E252" s="1">
        <f>IF($A252="","",--(COUNTIFS('02_ツリー'!$E$5:$E$679,$A252,'02_ツリー'!$O$5:$O$679,0)=0))</f>
        <v>0</v>
      </c>
      <c r="F252" s="1">
        <f t="shared" si="10"/>
        <v>0</v>
      </c>
      <c r="G252" s="1">
        <f t="shared" si="11"/>
        <v>0</v>
      </c>
      <c r="H252" s="1"/>
      <c r="I252" s="1"/>
      <c r="J252" s="1"/>
      <c r="K252" s="1"/>
      <c r="L252" s="1"/>
    </row>
    <row r="253" spans="1:12">
      <c r="A253" s="1" t="str">
        <f>IFERROR(INDEX('02_ツリー'!$E$5:$E$679,MATCH(ROW()-10,'02_ツリー'!$R$5:$R$679,0)),"")</f>
        <v>Enable_adaptive_DT</v>
      </c>
      <c r="B253" s="1">
        <f>IF($A253="","",SUMIFS('02_ツリー'!$K$5:$K$679,'02_ツリー'!$E$5:$E$679,$A253,'02_ツリー'!$K$5:$K$679,"&gt;0"))</f>
        <v>1.205974272994133E-3</v>
      </c>
      <c r="C253" s="1">
        <f>IF($A253="","",SUMIFS('02_ツリー'!$K$5:$K$679,'02_ツリー'!$E$5:$E$679,$A253,'02_ツリー'!$K$5:$K$679,"&lt;0"))</f>
        <v>-1.2993485299007078E-5</v>
      </c>
      <c r="D253" s="1">
        <f t="shared" si="9"/>
        <v>1.1929807876951259E-3</v>
      </c>
      <c r="E253" s="1">
        <f>IF($A253="","",--(COUNTIFS('02_ツリー'!$E$5:$E$679,$A253,'02_ツリー'!$O$5:$O$679,0)=0))</f>
        <v>1</v>
      </c>
      <c r="F253" s="1">
        <f t="shared" si="10"/>
        <v>1</v>
      </c>
      <c r="G253" s="1">
        <f t="shared" si="11"/>
        <v>1</v>
      </c>
      <c r="H253" s="1"/>
      <c r="I253" s="1"/>
      <c r="J253" s="1"/>
      <c r="K253" s="1"/>
      <c r="L253" s="1"/>
    </row>
    <row r="254" spans="1:12">
      <c r="A254" s="1" t="str">
        <f>IFERROR(INDEX('02_ツリー'!$E$5:$E$679,MATCH(ROW()-10,'02_ツリー'!$R$5:$R$679,0)),"")</f>
        <v>k_adapt_dead</v>
      </c>
      <c r="B254" s="1">
        <f>IF($A254="","",SUMIFS('02_ツリー'!$K$5:$K$679,'02_ツリー'!$E$5:$E$679,$A254,'02_ツリー'!$K$5:$K$679,"&gt;0"))</f>
        <v>0</v>
      </c>
      <c r="C254" s="1">
        <f>IF($A254="","",SUMIFS('02_ツリー'!$K$5:$K$679,'02_ツリー'!$E$5:$E$679,$A254,'02_ツリー'!$K$5:$K$679,"&lt;0"))</f>
        <v>0</v>
      </c>
      <c r="D254" s="1">
        <f t="shared" si="9"/>
        <v>0</v>
      </c>
      <c r="E254" s="1">
        <f>IF($A254="","",--(COUNTIFS('02_ツリー'!$E$5:$E$679,$A254,'02_ツリー'!$O$5:$O$679,0)=0))</f>
        <v>1</v>
      </c>
      <c r="F254" s="1">
        <f t="shared" si="10"/>
        <v>0</v>
      </c>
      <c r="G254" s="1">
        <f t="shared" si="11"/>
        <v>0</v>
      </c>
      <c r="H254" s="1"/>
      <c r="I254" s="1"/>
      <c r="J254" s="1"/>
      <c r="K254" s="1"/>
      <c r="L254" s="1"/>
    </row>
    <row r="255" spans="1:12">
      <c r="A255" s="1" t="str">
        <f>IFERROR(INDEX('02_ツリー'!$E$5:$E$679,MATCH(ROW()-10,'02_ツリー'!$R$5:$R$679,0)),"")</f>
        <v>V_dead_drop</v>
      </c>
      <c r="B255" s="1">
        <f>IF($A255="","",SUMIFS('02_ツリー'!$K$5:$K$679,'02_ツリー'!$E$5:$E$679,$A255,'02_ツリー'!$K$5:$K$679,"&gt;0"))</f>
        <v>2.3624518725467412E-5</v>
      </c>
      <c r="C255" s="1">
        <f>IF($A255="","",SUMIFS('02_ツリー'!$K$5:$K$679,'02_ツリー'!$E$5:$E$679,$A255,'02_ツリー'!$K$5:$K$679,"&lt;0"))</f>
        <v>0</v>
      </c>
      <c r="D255" s="1">
        <f t="shared" si="9"/>
        <v>2.3624518725467412E-5</v>
      </c>
      <c r="E255" s="1">
        <f>IF($A255="","",--(COUNTIFS('02_ツリー'!$E$5:$E$679,$A255,'02_ツリー'!$O$5:$O$679,0)=0))</f>
        <v>1</v>
      </c>
      <c r="F255" s="1">
        <f t="shared" si="10"/>
        <v>0</v>
      </c>
      <c r="G255" s="1">
        <f t="shared" si="11"/>
        <v>0</v>
      </c>
      <c r="H255" s="1"/>
      <c r="I255" s="1"/>
      <c r="J255" s="1"/>
      <c r="K255" s="1"/>
      <c r="L255" s="1"/>
    </row>
    <row r="256" spans="1:12">
      <c r="A256" s="1" t="str">
        <f>IFERROR(INDEX('02_ツリー'!$E$5:$E$679,MATCH(ROW()-10,'02_ツリー'!$R$5:$R$679,0)),"")</f>
        <v>k_vgs_ron</v>
      </c>
      <c r="B256" s="1">
        <f>IF($A256="","",SUMIFS('02_ツリー'!$K$5:$K$679,'02_ツリー'!$E$5:$E$679,$A256,'02_ツリー'!$K$5:$K$679,"&gt;0"))</f>
        <v>2.2204845642776994E-5</v>
      </c>
      <c r="C256" s="1">
        <f>IF($A256="","",SUMIFS('02_ツリー'!$K$5:$K$679,'02_ツリー'!$E$5:$E$679,$A256,'02_ツリー'!$K$5:$K$679,"&lt;0"))</f>
        <v>0</v>
      </c>
      <c r="D256" s="1">
        <f t="shared" si="9"/>
        <v>2.2204845642776994E-5</v>
      </c>
      <c r="E256" s="1">
        <f>IF($A256="","",--(COUNTIFS('02_ツリー'!$E$5:$E$679,$A256,'02_ツリー'!$O$5:$O$679,0)=0))</f>
        <v>0</v>
      </c>
      <c r="F256" s="1">
        <f t="shared" si="10"/>
        <v>0</v>
      </c>
      <c r="G256" s="1">
        <f t="shared" si="11"/>
        <v>0</v>
      </c>
      <c r="H256" s="1"/>
      <c r="I256" s="1"/>
      <c r="J256" s="1"/>
      <c r="K256" s="1"/>
      <c r="L256" s="1"/>
    </row>
    <row r="257" spans="1:12">
      <c r="A257" s="1" t="str">
        <f>IFERROR(INDEX('02_ツリー'!$E$5:$E$679,MATCH(ROW()-10,'02_ツリー'!$R$5:$R$679,0)),"")</f>
        <v>Vgs_on</v>
      </c>
      <c r="B257" s="1">
        <f>IF($A257="","",SUMIFS('02_ツリー'!$K$5:$K$679,'02_ツリー'!$E$5:$E$679,$A257,'02_ツリー'!$K$5:$K$679,"&gt;0"))</f>
        <v>4.3438159524127619E-7</v>
      </c>
      <c r="C257" s="1">
        <f>IF($A257="","",SUMIFS('02_ツリー'!$K$5:$K$679,'02_ツリー'!$E$5:$E$679,$A257,'02_ツリー'!$K$5:$K$679,"&lt;0"))</f>
        <v>-1.5543391949943896E-5</v>
      </c>
      <c r="D257" s="1">
        <f t="shared" si="9"/>
        <v>-1.510901035470262E-5</v>
      </c>
      <c r="E257" s="1">
        <f>IF($A257="","",--(COUNTIFS('02_ツリー'!$E$5:$E$679,$A257,'02_ツリー'!$O$5:$O$679,0)=0))</f>
        <v>1</v>
      </c>
      <c r="F257" s="1">
        <f t="shared" si="10"/>
        <v>1</v>
      </c>
      <c r="G257" s="1">
        <f t="shared" si="11"/>
        <v>0</v>
      </c>
      <c r="H257" s="1"/>
      <c r="I257" s="1"/>
      <c r="J257" s="1"/>
      <c r="K257" s="1"/>
      <c r="L257" s="1"/>
    </row>
    <row r="258" spans="1:12">
      <c r="A258" s="1" t="str">
        <f>IFERROR(INDEX('02_ツリー'!$E$5:$E$679,MATCH(ROW()-10,'02_ツリー'!$R$5:$R$679,0)),"")</f>
        <v>Vgs_ref</v>
      </c>
      <c r="B258" s="1">
        <f>IF($A258="","",SUMIFS('02_ツリー'!$K$5:$K$679,'02_ツリー'!$E$5:$E$679,$A258,'02_ツリー'!$K$5:$K$679,"&gt;0"))</f>
        <v>1.5543391949943896E-5</v>
      </c>
      <c r="C258" s="1">
        <f>IF($A258="","",SUMIFS('02_ツリー'!$K$5:$K$679,'02_ツリー'!$E$5:$E$679,$A258,'02_ツリー'!$K$5:$K$679,"&lt;0"))</f>
        <v>0</v>
      </c>
      <c r="D258" s="1">
        <f t="shared" si="9"/>
        <v>1.5543391949943896E-5</v>
      </c>
      <c r="E258" s="1">
        <f>IF($A258="","",--(COUNTIFS('02_ツリー'!$E$5:$E$679,$A258,'02_ツリー'!$O$5:$O$679,0)=0))</f>
        <v>1</v>
      </c>
      <c r="F258" s="1">
        <f t="shared" si="10"/>
        <v>0</v>
      </c>
      <c r="G258" s="1">
        <f t="shared" si="11"/>
        <v>0</v>
      </c>
      <c r="H258" s="1"/>
      <c r="I258" s="1"/>
      <c r="J258" s="1"/>
      <c r="K258" s="1"/>
      <c r="L258" s="1"/>
    </row>
    <row r="259" spans="1:12">
      <c r="A259" s="1" t="str">
        <f>IFERROR(INDEX('02_ツリー'!$E$5:$E$679,MATCH(ROW()-10,'02_ツリー'!$R$5:$R$679,0)),"")</f>
        <v>a_vgs_ron</v>
      </c>
      <c r="B259" s="1">
        <f>IF($A259="","",SUMIFS('02_ツリー'!$K$5:$K$679,'02_ツリー'!$E$5:$E$679,$A259,'02_ツリー'!$K$5:$K$679,"&gt;0"))</f>
        <v>0</v>
      </c>
      <c r="C259" s="1">
        <f>IF($A259="","",SUMIFS('02_ツリー'!$K$5:$K$679,'02_ツリー'!$E$5:$E$679,$A259,'02_ツリー'!$K$5:$K$679,"&lt;0"))</f>
        <v>0</v>
      </c>
      <c r="D259" s="1">
        <f t="shared" si="9"/>
        <v>0</v>
      </c>
      <c r="E259" s="1">
        <f>IF($A259="","",--(COUNTIFS('02_ツリー'!$E$5:$E$679,$A259,'02_ツリー'!$O$5:$O$679,0)=0))</f>
        <v>1</v>
      </c>
      <c r="F259" s="1">
        <f t="shared" si="10"/>
        <v>0</v>
      </c>
      <c r="G259" s="1">
        <f t="shared" si="11"/>
        <v>0</v>
      </c>
      <c r="H259" s="1"/>
      <c r="I259" s="1"/>
      <c r="J259" s="1"/>
      <c r="K259" s="1"/>
      <c r="L259" s="1"/>
    </row>
    <row r="260" spans="1:12">
      <c r="A260" s="1" t="str">
        <f>IFERROR(INDEX('02_ツリー'!$E$5:$E$679,MATCH(ROW()-10,'02_ツリー'!$R$5:$R$679,0)),"")</f>
        <v>P_gate</v>
      </c>
      <c r="B260" s="1">
        <f>IF($A260="","",SUMIFS('02_ツリー'!$K$5:$K$679,'02_ツリー'!$E$5:$E$679,$A260,'02_ツリー'!$K$5:$K$679,"&gt;0"))</f>
        <v>5.8400537077326253E-4</v>
      </c>
      <c r="C260" s="1">
        <f>IF($A260="","",SUMIFS('02_ツリー'!$K$5:$K$679,'02_ツリー'!$E$5:$E$679,$A260,'02_ツリー'!$K$5:$K$679,"&lt;0"))</f>
        <v>0</v>
      </c>
      <c r="D260" s="1">
        <f t="shared" si="9"/>
        <v>5.8400537077326253E-4</v>
      </c>
      <c r="E260" s="1">
        <f>IF($A260="","",--(COUNTIFS('02_ツリー'!$E$5:$E$679,$A260,'02_ツリー'!$O$5:$O$679,0)=0))</f>
        <v>0</v>
      </c>
      <c r="F260" s="1">
        <f t="shared" si="10"/>
        <v>0</v>
      </c>
      <c r="G260" s="1">
        <f t="shared" si="11"/>
        <v>0</v>
      </c>
      <c r="H260" s="1"/>
      <c r="I260" s="1"/>
      <c r="J260" s="1"/>
      <c r="K260" s="1"/>
      <c r="L260" s="1"/>
    </row>
    <row r="261" spans="1:12">
      <c r="A261" s="1" t="str">
        <f>IFERROR(INDEX('02_ツリー'!$E$5:$E$679,MATCH(ROW()-10,'02_ツリー'!$R$5:$R$679,0)),"")</f>
        <v>Q_g</v>
      </c>
      <c r="B261" s="1">
        <f>IF($A261="","",SUMIFS('02_ツリー'!$K$5:$K$679,'02_ツリー'!$E$5:$E$679,$A261,'02_ツリー'!$K$5:$K$679,"&gt;0"))</f>
        <v>5.067785277814889E-7</v>
      </c>
      <c r="C261" s="1">
        <f>IF($A261="","",SUMIFS('02_ツリー'!$K$5:$K$679,'02_ツリー'!$E$5:$E$679,$A261,'02_ツリー'!$K$5:$K$679,"&lt;0"))</f>
        <v>0</v>
      </c>
      <c r="D261" s="1">
        <f t="shared" si="9"/>
        <v>5.067785277814889E-7</v>
      </c>
      <c r="E261" s="1">
        <f>IF($A261="","",--(COUNTIFS('02_ツリー'!$E$5:$E$679,$A261,'02_ツリー'!$O$5:$O$679,0)=0))</f>
        <v>1</v>
      </c>
      <c r="F261" s="1">
        <f t="shared" si="10"/>
        <v>0</v>
      </c>
      <c r="G261" s="1">
        <f t="shared" si="11"/>
        <v>0</v>
      </c>
      <c r="H261" s="1"/>
      <c r="I261" s="1"/>
      <c r="J261" s="1"/>
      <c r="K261" s="1"/>
      <c r="L261" s="1"/>
    </row>
    <row r="262" spans="1:12">
      <c r="A262" s="1" t="str">
        <f>IFERROR(INDEX('02_ツリー'!$E$5:$E$679,MATCH(ROW()-10,'02_ツリー'!$R$5:$R$679,0)),"")</f>
        <v>Vgs_off</v>
      </c>
      <c r="B262" s="1">
        <f>IF($A262="","",SUMIFS('02_ツリー'!$K$5:$K$679,'02_ツリー'!$E$5:$E$679,$A262,'02_ツリー'!$K$5:$K$679,"&gt;0"))</f>
        <v>9.6485181532784644E-4</v>
      </c>
      <c r="C262" s="1">
        <f>IF($A262="","",SUMIFS('02_ツリー'!$K$5:$K$679,'02_ツリー'!$E$5:$E$679,$A262,'02_ツリー'!$K$5:$K$679,"&lt;0"))</f>
        <v>0</v>
      </c>
      <c r="D262" s="1">
        <f t="shared" si="9"/>
        <v>9.6485181532784644E-4</v>
      </c>
      <c r="E262" s="1">
        <f>IF($A262="","",--(COUNTIFS('02_ツリー'!$E$5:$E$679,$A262,'02_ツリー'!$O$5:$O$679,0)=0))</f>
        <v>1</v>
      </c>
      <c r="F262" s="1">
        <f t="shared" si="10"/>
        <v>0</v>
      </c>
      <c r="G262" s="1">
        <f t="shared" si="11"/>
        <v>0</v>
      </c>
      <c r="H262" s="1"/>
      <c r="I262" s="1"/>
      <c r="J262" s="1"/>
      <c r="K262" s="1"/>
      <c r="L262" s="1"/>
    </row>
    <row r="263" spans="1:12">
      <c r="A263" s="1" t="str">
        <f>IFERROR(INDEX('02_ツリー'!$E$5:$E$679,MATCH(ROW()-10,'02_ツリー'!$R$5:$R$679,0)),"")</f>
        <v>M_gate_supply</v>
      </c>
      <c r="B263" s="1">
        <f>IF($A263="","",SUMIFS('02_ツリー'!$K$5:$K$679,'02_ツリー'!$E$5:$E$679,$A263,'02_ツリー'!$K$5:$K$679,"&gt;0"))</f>
        <v>1.5482780106407875E-3</v>
      </c>
      <c r="C263" s="1">
        <f>IF($A263="","",SUMIFS('02_ツリー'!$K$5:$K$679,'02_ツリー'!$E$5:$E$679,$A263,'02_ツリー'!$K$5:$K$679,"&lt;0"))</f>
        <v>0</v>
      </c>
      <c r="D263" s="1">
        <f t="shared" si="9"/>
        <v>1.5482780106407875E-3</v>
      </c>
      <c r="E263" s="1">
        <f>IF($A263="","",--(COUNTIFS('02_ツリー'!$E$5:$E$679,$A263,'02_ツリー'!$O$5:$O$679,0)=0))</f>
        <v>0</v>
      </c>
      <c r="F263" s="1">
        <f t="shared" si="10"/>
        <v>0</v>
      </c>
      <c r="G263" s="1">
        <f t="shared" si="11"/>
        <v>0</v>
      </c>
      <c r="H263" s="1"/>
      <c r="I263" s="1"/>
      <c r="J263" s="1"/>
      <c r="K263" s="1"/>
      <c r="L263" s="1"/>
    </row>
    <row r="264" spans="1:12">
      <c r="A264" s="1" t="str">
        <f>IFERROR(INDEX('02_ツリー'!$E$5:$E$679,MATCH(ROW()-10,'02_ツリー'!$R$5:$R$679,0)),"")</f>
        <v>k_mgate</v>
      </c>
      <c r="B264" s="1">
        <f>IF($A264="","",SUMIFS('02_ツリー'!$K$5:$K$679,'02_ツリー'!$E$5:$E$679,$A264,'02_ツリー'!$K$5:$K$679,"&gt;0"))</f>
        <v>5.8349859224548107E-4</v>
      </c>
      <c r="C264" s="1">
        <f>IF($A264="","",SUMIFS('02_ツリー'!$K$5:$K$679,'02_ツリー'!$E$5:$E$679,$A264,'02_ツリー'!$K$5:$K$679,"&lt;0"))</f>
        <v>0</v>
      </c>
      <c r="D264" s="1">
        <f t="shared" si="9"/>
        <v>5.8349859224548107E-4</v>
      </c>
      <c r="E264" s="1">
        <f>IF($A264="","",--(COUNTIFS('02_ツリー'!$E$5:$E$679,$A264,'02_ツリー'!$O$5:$O$679,0)=0))</f>
        <v>1</v>
      </c>
      <c r="F264" s="1">
        <f t="shared" si="10"/>
        <v>0</v>
      </c>
      <c r="G264" s="1">
        <f t="shared" si="11"/>
        <v>0</v>
      </c>
      <c r="H264" s="1"/>
      <c r="I264" s="1"/>
      <c r="J264" s="1"/>
      <c r="K264" s="1"/>
      <c r="L264" s="1"/>
    </row>
    <row r="265" spans="1:12">
      <c r="A265" s="1" t="str">
        <f>IFERROR(INDEX('02_ツリー'!$E$5:$E$679,MATCH(ROW()-10,'02_ツリー'!$R$5:$R$679,0)),"")</f>
        <v>k_mneg</v>
      </c>
      <c r="B265" s="1">
        <f>IF($A265="","",SUMIFS('02_ツリー'!$K$5:$K$679,'02_ツリー'!$E$5:$E$679,$A265,'02_ツリー'!$K$5:$K$679,"&gt;0"))</f>
        <v>9.6477941839530628E-4</v>
      </c>
      <c r="C265" s="1">
        <f>IF($A265="","",SUMIFS('02_ツリー'!$K$5:$K$679,'02_ツリー'!$E$5:$E$679,$A265,'02_ツリー'!$K$5:$K$679,"&lt;0"))</f>
        <v>0</v>
      </c>
      <c r="D265" s="1">
        <f t="shared" si="9"/>
        <v>9.6477941839530628E-4</v>
      </c>
      <c r="E265" s="1">
        <f>IF($A265="","",--(COUNTIFS('02_ツリー'!$E$5:$E$679,$A265,'02_ツリー'!$O$5:$O$679,0)=0))</f>
        <v>1</v>
      </c>
      <c r="F265" s="1">
        <f t="shared" si="10"/>
        <v>0</v>
      </c>
      <c r="G265" s="1">
        <f t="shared" si="11"/>
        <v>0</v>
      </c>
      <c r="H265" s="1"/>
      <c r="I265" s="1"/>
      <c r="J265" s="1"/>
      <c r="K265" s="1"/>
      <c r="L265" s="1"/>
    </row>
    <row r="266" spans="1:12">
      <c r="A266" s="1" t="str">
        <f>IFERROR(INDEX('02_ツリー'!$E$5:$E$679,MATCH(ROW()-10,'02_ツリー'!$R$5:$R$679,0)),"")</f>
        <v>M_gate_option</v>
      </c>
      <c r="B266" s="1">
        <f>IF($A266="","",SUMIFS('02_ツリー'!$K$5:$K$679,'02_ツリー'!$E$5:$E$679,$A266,'02_ツリー'!$K$5:$K$679,"&gt;0"))</f>
        <v>0</v>
      </c>
      <c r="C266" s="1">
        <f>IF($A266="","",SUMIFS('02_ツリー'!$K$5:$K$679,'02_ツリー'!$E$5:$E$679,$A266,'02_ツリー'!$K$5:$K$679,"&lt;0"))</f>
        <v>0</v>
      </c>
      <c r="D266" s="1">
        <f t="shared" si="9"/>
        <v>0</v>
      </c>
      <c r="E266" s="1">
        <f>IF($A266="","",--(COUNTIFS('02_ツリー'!$E$5:$E$679,$A266,'02_ツリー'!$O$5:$O$679,0)=0))</f>
        <v>0</v>
      </c>
      <c r="F266" s="1">
        <f t="shared" si="10"/>
        <v>0</v>
      </c>
      <c r="G266" s="1">
        <f t="shared" si="11"/>
        <v>0</v>
      </c>
      <c r="H266" s="1"/>
      <c r="I266" s="1"/>
      <c r="J266" s="1"/>
      <c r="K266" s="1"/>
      <c r="L266" s="1"/>
    </row>
    <row r="267" spans="1:12">
      <c r="A267" s="1" t="str">
        <f>IFERROR(INDEX('02_ツリー'!$E$5:$E$679,MATCH(ROW()-10,'02_ツリー'!$R$5:$R$679,0)),"")</f>
        <v>M_lowL_layout</v>
      </c>
      <c r="B267" s="1">
        <f>IF($A267="","",SUMIFS('02_ツリー'!$K$5:$K$679,'02_ツリー'!$E$5:$E$679,$A267,'02_ツリー'!$K$5:$K$679,"&gt;0"))</f>
        <v>4.0199142433137765E-3</v>
      </c>
      <c r="C267" s="1">
        <f>IF($A267="","",SUMIFS('02_ツリー'!$K$5:$K$679,'02_ツリー'!$E$5:$E$679,$A267,'02_ツリー'!$K$5:$K$679,"&lt;0"))</f>
        <v>0</v>
      </c>
      <c r="D267" s="1">
        <f t="shared" ref="D267:D330" si="12">IF($A267="","",B267+C267)</f>
        <v>4.0199142433137765E-3</v>
      </c>
      <c r="E267" s="1">
        <f>IF($A267="","",--(COUNTIFS('02_ツリー'!$E$5:$E$679,$A267,'02_ツリー'!$O$5:$O$679,0)=0))</f>
        <v>0</v>
      </c>
      <c r="F267" s="1">
        <f t="shared" ref="F267:F330" si="13">IF($A267="","",--AND(B267&gt;0,C267&lt;0))</f>
        <v>0</v>
      </c>
      <c r="G267" s="1">
        <f t="shared" ref="G267:G330" si="14">IF($A267="","",--(LEFT(A267,7)="Enable_"))</f>
        <v>0</v>
      </c>
      <c r="H267" s="1"/>
      <c r="I267" s="1"/>
      <c r="J267" s="1"/>
      <c r="K267" s="1"/>
      <c r="L267" s="1"/>
    </row>
    <row r="268" spans="1:12">
      <c r="A268" s="1" t="str">
        <f>IFERROR(INDEX('02_ツリー'!$E$5:$E$679,MATCH(ROW()-10,'02_ツリー'!$R$5:$R$679,0)),"")</f>
        <v>L_stray</v>
      </c>
      <c r="B268" s="1">
        <f>IF($A268="","",SUMIFS('02_ツリー'!$K$5:$K$679,'02_ツリー'!$E$5:$E$679,$A268,'02_ツリー'!$K$5:$K$679,"&gt;0"))</f>
        <v>2.4970245531767372E-6</v>
      </c>
      <c r="C268" s="1">
        <f>IF($A268="","",SUMIFS('02_ツリー'!$K$5:$K$679,'02_ツリー'!$E$5:$E$679,$A268,'02_ツリー'!$K$5:$K$679,"&lt;0"))</f>
        <v>-4.0206036695600647E-3</v>
      </c>
      <c r="D268" s="1">
        <f t="shared" si="12"/>
        <v>-4.0181066450068878E-3</v>
      </c>
      <c r="E268" s="1">
        <f>IF($A268="","",--(COUNTIFS('02_ツリー'!$E$5:$E$679,$A268,'02_ツリー'!$O$5:$O$679,0)=0))</f>
        <v>1</v>
      </c>
      <c r="F268" s="1">
        <f t="shared" si="13"/>
        <v>1</v>
      </c>
      <c r="G268" s="1">
        <f t="shared" si="14"/>
        <v>0</v>
      </c>
      <c r="H268" s="1"/>
      <c r="I268" s="1"/>
      <c r="J268" s="1"/>
      <c r="K268" s="1"/>
      <c r="L268" s="1"/>
    </row>
    <row r="269" spans="1:12">
      <c r="A269" s="1" t="str">
        <f>IFERROR(INDEX('02_ツリー'!$E$5:$E$679,MATCH(ROW()-10,'02_ツリー'!$R$5:$R$679,0)),"")</f>
        <v>L_stray_ref</v>
      </c>
      <c r="B269" s="1">
        <f>IF($A269="","",SUMIFS('02_ツリー'!$K$5:$K$679,'02_ツリー'!$E$5:$E$679,$A269,'02_ツリー'!$K$5:$K$679,"&gt;0"))</f>
        <v>4.0199142433137765E-3</v>
      </c>
      <c r="C269" s="1">
        <f>IF($A269="","",SUMIFS('02_ツリー'!$K$5:$K$679,'02_ツリー'!$E$5:$E$679,$A269,'02_ツリー'!$K$5:$K$679,"&lt;0"))</f>
        <v>0</v>
      </c>
      <c r="D269" s="1">
        <f t="shared" si="12"/>
        <v>4.0199142433137765E-3</v>
      </c>
      <c r="E269" s="1">
        <f>IF($A269="","",--(COUNTIFS('02_ツリー'!$E$5:$E$679,$A269,'02_ツリー'!$O$5:$O$679,0)=0))</f>
        <v>1</v>
      </c>
      <c r="F269" s="1">
        <f t="shared" si="13"/>
        <v>0</v>
      </c>
      <c r="G269" s="1">
        <f t="shared" si="14"/>
        <v>0</v>
      </c>
      <c r="H269" s="1"/>
      <c r="I269" s="1"/>
      <c r="J269" s="1"/>
      <c r="K269" s="1"/>
      <c r="L269" s="1"/>
    </row>
    <row r="270" spans="1:12">
      <c r="A270" s="1" t="str">
        <f>IFERROR(INDEX('02_ツリー'!$E$5:$E$679,MATCH(ROW()-10,'02_ツリー'!$R$5:$R$679,0)),"")</f>
        <v>m_lowL_ref</v>
      </c>
      <c r="B270" s="1">
        <f>IF($A270="","",SUMIFS('02_ツリー'!$K$5:$K$679,'02_ツリー'!$E$5:$E$679,$A270,'02_ツリー'!$K$5:$K$679,"&gt;0"))</f>
        <v>4.0199142433137765E-3</v>
      </c>
      <c r="C270" s="1">
        <f>IF($A270="","",SUMIFS('02_ツリー'!$K$5:$K$679,'02_ツリー'!$E$5:$E$679,$A270,'02_ツリー'!$K$5:$K$679,"&lt;0"))</f>
        <v>0</v>
      </c>
      <c r="D270" s="1">
        <f t="shared" si="12"/>
        <v>4.0199142433137765E-3</v>
      </c>
      <c r="E270" s="1">
        <f>IF($A270="","",--(COUNTIFS('02_ツリー'!$E$5:$E$679,$A270,'02_ツリー'!$O$5:$O$679,0)=0))</f>
        <v>1</v>
      </c>
      <c r="F270" s="1">
        <f t="shared" si="13"/>
        <v>0</v>
      </c>
      <c r="G270" s="1">
        <f t="shared" si="14"/>
        <v>0</v>
      </c>
      <c r="H270" s="1"/>
      <c r="I270" s="1"/>
      <c r="J270" s="1"/>
      <c r="K270" s="1"/>
      <c r="L270" s="1"/>
    </row>
    <row r="271" spans="1:12">
      <c r="A271" s="1" t="str">
        <f>IFERROR(INDEX('02_ツリー'!$E$5:$E$679,MATCH(ROW()-10,'02_ツリー'!$R$5:$R$679,0)),"")</f>
        <v>V_overshoot_eff</v>
      </c>
      <c r="B271" s="1">
        <f>IF($A271="","",SUMIFS('02_ツリー'!$K$5:$K$679,'02_ツリー'!$E$5:$E$679,$A271,'02_ツリー'!$K$5:$K$679,"&gt;0"))</f>
        <v>4.494644195718126E-6</v>
      </c>
      <c r="C271" s="1">
        <f>IF($A271="","",SUMIFS('02_ツリー'!$K$5:$K$679,'02_ツリー'!$E$5:$E$679,$A271,'02_ツリー'!$K$5:$K$679,"&lt;0"))</f>
        <v>-1.2409672433194188E-6</v>
      </c>
      <c r="D271" s="1">
        <f t="shared" si="12"/>
        <v>3.253676952398707E-6</v>
      </c>
      <c r="E271" s="1">
        <f>IF($A271="","",--(COUNTIFS('02_ツリー'!$E$5:$E$679,$A271,'02_ツリー'!$O$5:$O$679,0)=0))</f>
        <v>0</v>
      </c>
      <c r="F271" s="1">
        <f t="shared" si="13"/>
        <v>1</v>
      </c>
      <c r="G271" s="1">
        <f t="shared" si="14"/>
        <v>0</v>
      </c>
      <c r="H271" s="1"/>
      <c r="I271" s="1"/>
      <c r="J271" s="1"/>
      <c r="K271" s="1"/>
      <c r="L271" s="1"/>
    </row>
    <row r="272" spans="1:12">
      <c r="A272" s="1" t="str">
        <f>IFERROR(INDEX('02_ツリー'!$E$5:$E$679,MATCH(ROW()-10,'02_ツリー'!$R$5:$R$679,0)),"")</f>
        <v>P_snub</v>
      </c>
      <c r="B272" s="1">
        <f>IF($A272="","",SUMIFS('02_ツリー'!$K$5:$K$679,'02_ツリー'!$E$5:$E$679,$A272,'02_ツリー'!$K$5:$K$679,"&gt;0"))</f>
        <v>0</v>
      </c>
      <c r="C272" s="1">
        <f>IF($A272="","",SUMIFS('02_ツリー'!$K$5:$K$679,'02_ツリー'!$E$5:$E$679,$A272,'02_ツリー'!$K$5:$K$679,"&lt;0"))</f>
        <v>0</v>
      </c>
      <c r="D272" s="1">
        <f t="shared" si="12"/>
        <v>0</v>
      </c>
      <c r="E272" s="1">
        <f>IF($A272="","",--(COUNTIFS('02_ツリー'!$E$5:$E$679,$A272,'02_ツリー'!$O$5:$O$679,0)=0))</f>
        <v>0</v>
      </c>
      <c r="F272" s="1">
        <f t="shared" si="13"/>
        <v>0</v>
      </c>
      <c r="G272" s="1">
        <f t="shared" si="14"/>
        <v>0</v>
      </c>
      <c r="H272" s="1"/>
      <c r="I272" s="1"/>
      <c r="J272" s="1"/>
      <c r="K272" s="1"/>
      <c r="L272" s="1"/>
    </row>
    <row r="273" spans="1:12">
      <c r="A273" s="1" t="str">
        <f>IFERROR(INDEX('02_ツリー'!$E$5:$E$679,MATCH(ROW()-10,'02_ツリー'!$R$5:$R$679,0)),"")</f>
        <v>Enable_snubber</v>
      </c>
      <c r="B273" s="1">
        <f>IF($A273="","",SUMIFS('02_ツリー'!$K$5:$K$679,'02_ツリー'!$E$5:$E$679,$A273,'02_ツリー'!$K$5:$K$679,"&gt;0"))</f>
        <v>2.7345193193195911E-3</v>
      </c>
      <c r="C273" s="1">
        <f>IF($A273="","",SUMIFS('02_ツリー'!$K$5:$K$679,'02_ツリー'!$E$5:$E$679,$A273,'02_ツリー'!$K$5:$K$679,"&lt;0"))</f>
        <v>-2.9215187272167826E-6</v>
      </c>
      <c r="D273" s="1">
        <f t="shared" si="12"/>
        <v>2.7315978005923742E-3</v>
      </c>
      <c r="E273" s="1">
        <f>IF($A273="","",--(COUNTIFS('02_ツリー'!$E$5:$E$679,$A273,'02_ツリー'!$O$5:$O$679,0)=0))</f>
        <v>1</v>
      </c>
      <c r="F273" s="1">
        <f t="shared" si="13"/>
        <v>1</v>
      </c>
      <c r="G273" s="1">
        <f t="shared" si="14"/>
        <v>1</v>
      </c>
      <c r="H273" s="1"/>
      <c r="I273" s="1"/>
      <c r="J273" s="1"/>
      <c r="K273" s="1"/>
      <c r="L273" s="1"/>
    </row>
    <row r="274" spans="1:12">
      <c r="A274" s="1" t="str">
        <f>IFERROR(INDEX('02_ツリー'!$E$5:$E$679,MATCH(ROW()-10,'02_ツリー'!$R$5:$R$679,0)),"")</f>
        <v>C_snub</v>
      </c>
      <c r="B274" s="1">
        <f>IF($A274="","",SUMIFS('02_ツリー'!$K$5:$K$679,'02_ツリー'!$E$5:$E$679,$A274,'02_ツリー'!$K$5:$K$679,"&gt;0"))</f>
        <v>0</v>
      </c>
      <c r="C274" s="1">
        <f>IF($A274="","",SUMIFS('02_ツリー'!$K$5:$K$679,'02_ツリー'!$E$5:$E$679,$A274,'02_ツリー'!$K$5:$K$679,"&lt;0"))</f>
        <v>0</v>
      </c>
      <c r="D274" s="1">
        <f t="shared" si="12"/>
        <v>0</v>
      </c>
      <c r="E274" s="1">
        <f>IF($A274="","",--(COUNTIFS('02_ツリー'!$E$5:$E$679,$A274,'02_ツリー'!$O$5:$O$679,0)=0))</f>
        <v>1</v>
      </c>
      <c r="F274" s="1">
        <f t="shared" si="13"/>
        <v>0</v>
      </c>
      <c r="G274" s="1">
        <f t="shared" si="14"/>
        <v>0</v>
      </c>
      <c r="H274" s="1"/>
      <c r="I274" s="1"/>
      <c r="J274" s="1"/>
      <c r="K274" s="1"/>
      <c r="L274" s="1"/>
    </row>
    <row r="275" spans="1:12">
      <c r="A275" s="1" t="str">
        <f>IFERROR(INDEX('02_ツリー'!$E$5:$E$679,MATCH(ROW()-10,'02_ツリー'!$R$5:$R$679,0)),"")</f>
        <v>M_snub</v>
      </c>
      <c r="B275" s="1">
        <f>IF($A275="","",SUMIFS('02_ツリー'!$K$5:$K$679,'02_ツリー'!$E$5:$E$679,$A275,'02_ツリー'!$K$5:$K$679,"&gt;0"))</f>
        <v>0</v>
      </c>
      <c r="C275" s="1">
        <f>IF($A275="","",SUMIFS('02_ツリー'!$K$5:$K$679,'02_ツリー'!$E$5:$E$679,$A275,'02_ツリー'!$K$5:$K$679,"&lt;0"))</f>
        <v>0</v>
      </c>
      <c r="D275" s="1">
        <f t="shared" si="12"/>
        <v>0</v>
      </c>
      <c r="E275" s="1">
        <f>IF($A275="","",--(COUNTIFS('02_ツリー'!$E$5:$E$679,$A275,'02_ツリー'!$O$5:$O$679,0)=0))</f>
        <v>0</v>
      </c>
      <c r="F275" s="1">
        <f t="shared" si="13"/>
        <v>0</v>
      </c>
      <c r="G275" s="1">
        <f t="shared" si="14"/>
        <v>0</v>
      </c>
      <c r="H275" s="1"/>
      <c r="I275" s="1"/>
      <c r="J275" s="1"/>
      <c r="K275" s="1"/>
      <c r="L275" s="1"/>
    </row>
    <row r="276" spans="1:12">
      <c r="A276" s="1" t="str">
        <f>IFERROR(INDEX('02_ツリー'!$E$5:$E$679,MATCH(ROW()-10,'02_ツリー'!$R$5:$R$679,0)),"")</f>
        <v>m_snub</v>
      </c>
      <c r="B276" s="1">
        <f>IF($A276="","",SUMIFS('02_ツリー'!$K$5:$K$679,'02_ツリー'!$E$5:$E$679,$A276,'02_ツリー'!$K$5:$K$679,"&gt;0"))</f>
        <v>0</v>
      </c>
      <c r="C276" s="1">
        <f>IF($A276="","",SUMIFS('02_ツリー'!$K$5:$K$679,'02_ツリー'!$E$5:$E$679,$A276,'02_ツリー'!$K$5:$K$679,"&lt;0"))</f>
        <v>0</v>
      </c>
      <c r="D276" s="1">
        <f t="shared" si="12"/>
        <v>0</v>
      </c>
      <c r="E276" s="1">
        <f>IF($A276="","",--(COUNTIFS('02_ツリー'!$E$5:$E$679,$A276,'02_ツリー'!$O$5:$O$679,0)=0))</f>
        <v>0</v>
      </c>
      <c r="F276" s="1">
        <f t="shared" si="13"/>
        <v>0</v>
      </c>
      <c r="G276" s="1">
        <f t="shared" si="14"/>
        <v>0</v>
      </c>
      <c r="H276" s="1"/>
      <c r="I276" s="1"/>
      <c r="J276" s="1"/>
      <c r="K276" s="1"/>
      <c r="L276" s="1"/>
    </row>
    <row r="277" spans="1:12">
      <c r="A277" s="1" t="str">
        <f>IFERROR(INDEX('02_ツリー'!$E$5:$E$679,MATCH(ROW()-10,'02_ツリー'!$R$5:$R$679,0)),"")</f>
        <v>k_pwm_sw</v>
      </c>
      <c r="B277" s="1">
        <f>IF($A277="","",SUMIFS('02_ツリー'!$K$5:$K$679,'02_ツリー'!$E$5:$E$679,$A277,'02_ツリー'!$K$5:$K$679,"&gt;0"))</f>
        <v>3.7081095457614869E-5</v>
      </c>
      <c r="C277" s="1">
        <f>IF($A277="","",SUMIFS('02_ツリー'!$K$5:$K$679,'02_ツリー'!$E$5:$E$679,$A277,'02_ツリー'!$K$5:$K$679,"&lt;0"))</f>
        <v>0</v>
      </c>
      <c r="D277" s="1">
        <f t="shared" si="12"/>
        <v>3.7081095457614869E-5</v>
      </c>
      <c r="E277" s="1">
        <f>IF($A277="","",--(COUNTIFS('02_ツリー'!$E$5:$E$679,$A277,'02_ツリー'!$O$5:$O$679,0)=0))</f>
        <v>0</v>
      </c>
      <c r="F277" s="1">
        <f t="shared" si="13"/>
        <v>0</v>
      </c>
      <c r="G277" s="1">
        <f t="shared" si="14"/>
        <v>0</v>
      </c>
      <c r="H277" s="1"/>
      <c r="I277" s="1"/>
      <c r="J277" s="1"/>
      <c r="K277" s="1"/>
      <c r="L277" s="1"/>
    </row>
    <row r="278" spans="1:12">
      <c r="A278" s="1" t="str">
        <f>IFERROR(INDEX('02_ツリー'!$E$5:$E$679,MATCH(ROW()-10,'02_ツリー'!$R$5:$R$679,0)),"")</f>
        <v>k_DPWM</v>
      </c>
      <c r="B278" s="1">
        <f>IF($A278="","",SUMIFS('02_ツリー'!$K$5:$K$679,'02_ツリー'!$E$5:$E$679,$A278,'02_ツリー'!$K$5:$K$679,"&gt;0"))</f>
        <v>3.7081095457614869E-5</v>
      </c>
      <c r="C278" s="1">
        <f>IF($A278="","",SUMIFS('02_ツリー'!$K$5:$K$679,'02_ツリー'!$E$5:$E$679,$A278,'02_ツリー'!$K$5:$K$679,"&lt;0"))</f>
        <v>0</v>
      </c>
      <c r="D278" s="1">
        <f t="shared" si="12"/>
        <v>3.7081095457614869E-5</v>
      </c>
      <c r="E278" s="1">
        <f>IF($A278="","",--(COUNTIFS('02_ツリー'!$E$5:$E$679,$A278,'02_ツリー'!$O$5:$O$679,0)=0))</f>
        <v>0</v>
      </c>
      <c r="F278" s="1">
        <f t="shared" si="13"/>
        <v>0</v>
      </c>
      <c r="G278" s="1">
        <f t="shared" si="14"/>
        <v>0</v>
      </c>
      <c r="H278" s="1"/>
      <c r="I278" s="1"/>
      <c r="J278" s="1"/>
      <c r="K278" s="1"/>
      <c r="L278" s="1"/>
    </row>
    <row r="279" spans="1:12">
      <c r="A279" s="1" t="str">
        <f>IFERROR(INDEX('02_ツリー'!$E$5:$E$679,MATCH(ROW()-10,'02_ツリー'!$R$5:$R$679,0)),"")</f>
        <v>Enable_DPWM</v>
      </c>
      <c r="B279" s="1">
        <f>IF($A279="","",SUMIFS('02_ツリー'!$K$5:$K$679,'02_ツリー'!$E$5:$E$679,$A279,'02_ツリー'!$K$5:$K$679,"&gt;0"))</f>
        <v>8.6433095203980962E-3</v>
      </c>
      <c r="C279" s="1">
        <f>IF($A279="","",SUMIFS('02_ツリー'!$K$5:$K$679,'02_ツリー'!$E$5:$E$679,$A279,'02_ツリー'!$K$5:$K$679,"&lt;0"))</f>
        <v>-1.2236761501012905E-5</v>
      </c>
      <c r="D279" s="1">
        <f t="shared" si="12"/>
        <v>8.6310727588970841E-3</v>
      </c>
      <c r="E279" s="1">
        <f>IF($A279="","",--(COUNTIFS('02_ツリー'!$E$5:$E$679,$A279,'02_ツリー'!$O$5:$O$679,0)=0))</f>
        <v>1</v>
      </c>
      <c r="F279" s="1">
        <f t="shared" si="13"/>
        <v>1</v>
      </c>
      <c r="G279" s="1">
        <f t="shared" si="14"/>
        <v>1</v>
      </c>
      <c r="H279" s="1"/>
      <c r="I279" s="1"/>
      <c r="J279" s="1"/>
      <c r="K279" s="1"/>
      <c r="L279" s="1"/>
    </row>
    <row r="280" spans="1:12">
      <c r="A280" s="1" t="str">
        <f>IFERROR(INDEX('02_ツリー'!$E$5:$E$679,MATCH(ROW()-10,'02_ツリー'!$R$5:$R$679,0)),"")</f>
        <v>k_dpwm_sw</v>
      </c>
      <c r="B280" s="1">
        <f>IF($A280="","",SUMIFS('02_ツリー'!$K$5:$K$679,'02_ツリー'!$E$5:$E$679,$A280,'02_ツリー'!$K$5:$K$679,"&gt;0"))</f>
        <v>0</v>
      </c>
      <c r="C280" s="1">
        <f>IF($A280="","",SUMIFS('02_ツリー'!$K$5:$K$679,'02_ツリー'!$E$5:$E$679,$A280,'02_ツリー'!$K$5:$K$679,"&lt;0"))</f>
        <v>0</v>
      </c>
      <c r="D280" s="1">
        <f t="shared" si="12"/>
        <v>0</v>
      </c>
      <c r="E280" s="1">
        <f>IF($A280="","",--(COUNTIFS('02_ツリー'!$E$5:$E$679,$A280,'02_ツリー'!$O$5:$O$679,0)=0))</f>
        <v>1</v>
      </c>
      <c r="F280" s="1">
        <f t="shared" si="13"/>
        <v>0</v>
      </c>
      <c r="G280" s="1">
        <f t="shared" si="14"/>
        <v>0</v>
      </c>
      <c r="H280" s="1"/>
      <c r="I280" s="1"/>
      <c r="J280" s="1"/>
      <c r="K280" s="1"/>
      <c r="L280" s="1"/>
    </row>
    <row r="281" spans="1:12">
      <c r="A281" s="1" t="str">
        <f>IFERROR(INDEX('02_ツリー'!$E$5:$E$679,MATCH(ROW()-10,'02_ツリー'!$R$5:$R$679,0)),"")</f>
        <v>k_CM_PWM</v>
      </c>
      <c r="B281" s="1">
        <f>IF($A281="","",SUMIFS('02_ツリー'!$K$5:$K$679,'02_ツリー'!$E$5:$E$679,$A281,'02_ツリー'!$K$5:$K$679,"&gt;0"))</f>
        <v>3.7081095457614869E-5</v>
      </c>
      <c r="C281" s="1">
        <f>IF($A281="","",SUMIFS('02_ツリー'!$K$5:$K$679,'02_ツリー'!$E$5:$E$679,$A281,'02_ツリー'!$K$5:$K$679,"&lt;0"))</f>
        <v>0</v>
      </c>
      <c r="D281" s="1">
        <f t="shared" si="12"/>
        <v>3.7081095457614869E-5</v>
      </c>
      <c r="E281" s="1">
        <f>IF($A281="","",--(COUNTIFS('02_ツリー'!$E$5:$E$679,$A281,'02_ツリー'!$O$5:$O$679,0)=0))</f>
        <v>0</v>
      </c>
      <c r="F281" s="1">
        <f t="shared" si="13"/>
        <v>0</v>
      </c>
      <c r="G281" s="1">
        <f t="shared" si="14"/>
        <v>0</v>
      </c>
      <c r="H281" s="1"/>
      <c r="I281" s="1"/>
      <c r="J281" s="1"/>
      <c r="K281" s="1"/>
      <c r="L281" s="1"/>
    </row>
    <row r="282" spans="1:12">
      <c r="A282" s="1" t="str">
        <f>IFERROR(INDEX('02_ツリー'!$E$5:$E$679,MATCH(ROW()-10,'02_ツリー'!$R$5:$R$679,0)),"")</f>
        <v>Enable_CM_PWM</v>
      </c>
      <c r="B282" s="1">
        <f>IF($A282="","",SUMIFS('02_ツリー'!$K$5:$K$679,'02_ツリー'!$E$5:$E$679,$A282,'02_ツリー'!$K$5:$K$679,"&gt;0"))</f>
        <v>4.0495791196798686E-4</v>
      </c>
      <c r="C282" s="1">
        <f>IF($A282="","",SUMIFS('02_ツリー'!$K$5:$K$679,'02_ツリー'!$E$5:$E$679,$A282,'02_ツリー'!$K$5:$K$679,"&lt;0"))</f>
        <v>0</v>
      </c>
      <c r="D282" s="1">
        <f t="shared" si="12"/>
        <v>4.0495791196798686E-4</v>
      </c>
      <c r="E282" s="1">
        <f>IF($A282="","",--(COUNTIFS('02_ツリー'!$E$5:$E$679,$A282,'02_ツリー'!$O$5:$O$679,0)=0))</f>
        <v>1</v>
      </c>
      <c r="F282" s="1">
        <f t="shared" si="13"/>
        <v>0</v>
      </c>
      <c r="G282" s="1">
        <f t="shared" si="14"/>
        <v>1</v>
      </c>
      <c r="H282" s="1"/>
      <c r="I282" s="1"/>
      <c r="J282" s="1"/>
      <c r="K282" s="1"/>
      <c r="L282" s="1"/>
    </row>
    <row r="283" spans="1:12">
      <c r="A283" s="1" t="str">
        <f>IFERROR(INDEX('02_ツリー'!$E$5:$E$679,MATCH(ROW()-10,'02_ツリー'!$R$5:$R$679,0)),"")</f>
        <v>k_cmpwm_sw</v>
      </c>
      <c r="B283" s="1">
        <f>IF($A283="","",SUMIFS('02_ツリー'!$K$5:$K$679,'02_ツリー'!$E$5:$E$679,$A283,'02_ツリー'!$K$5:$K$679,"&gt;0"))</f>
        <v>0</v>
      </c>
      <c r="C283" s="1">
        <f>IF($A283="","",SUMIFS('02_ツリー'!$K$5:$K$679,'02_ツリー'!$E$5:$E$679,$A283,'02_ツリー'!$K$5:$K$679,"&lt;0"))</f>
        <v>0</v>
      </c>
      <c r="D283" s="1">
        <f t="shared" si="12"/>
        <v>0</v>
      </c>
      <c r="E283" s="1">
        <f>IF($A283="","",--(COUNTIFS('02_ツリー'!$E$5:$E$679,$A283,'02_ツリー'!$O$5:$O$679,0)=0))</f>
        <v>1</v>
      </c>
      <c r="F283" s="1">
        <f t="shared" si="13"/>
        <v>0</v>
      </c>
      <c r="G283" s="1">
        <f t="shared" si="14"/>
        <v>0</v>
      </c>
      <c r="H283" s="1"/>
      <c r="I283" s="1"/>
      <c r="J283" s="1"/>
      <c r="K283" s="1"/>
      <c r="L283" s="1"/>
    </row>
    <row r="284" spans="1:12">
      <c r="A284" s="1" t="str">
        <f>IFERROR(INDEX('02_ツリー'!$E$5:$E$679,MATCH(ROW()-10,'02_ツリー'!$R$5:$R$679,0)),"")</f>
        <v>M_DM_filter</v>
      </c>
      <c r="B284" s="1">
        <f>IF($A284="","",SUMIFS('02_ツリー'!$K$5:$K$679,'02_ツリー'!$E$5:$E$679,$A284,'02_ツリー'!$K$5:$K$679,"&gt;0"))</f>
        <v>2.881103173466032E-2</v>
      </c>
      <c r="C284" s="1">
        <f>IF($A284="","",SUMIFS('02_ツリー'!$K$5:$K$679,'02_ツリー'!$E$5:$E$679,$A284,'02_ツリー'!$K$5:$K$679,"&lt;0"))</f>
        <v>0</v>
      </c>
      <c r="D284" s="1">
        <f t="shared" si="12"/>
        <v>2.881103173466032E-2</v>
      </c>
      <c r="E284" s="1">
        <f>IF($A284="","",--(COUNTIFS('02_ツリー'!$E$5:$E$679,$A284,'02_ツリー'!$O$5:$O$679,0)=0))</f>
        <v>0</v>
      </c>
      <c r="F284" s="1">
        <f t="shared" si="13"/>
        <v>0</v>
      </c>
      <c r="G284" s="1">
        <f t="shared" si="14"/>
        <v>0</v>
      </c>
      <c r="H284" s="1"/>
      <c r="I284" s="1"/>
      <c r="J284" s="1"/>
      <c r="K284" s="1"/>
      <c r="L284" s="1"/>
    </row>
    <row r="285" spans="1:12">
      <c r="A285" s="1" t="str">
        <f>IFERROR(INDEX('02_ツリー'!$E$5:$E$679,MATCH(ROW()-10,'02_ツリー'!$R$5:$R$679,0)),"")</f>
        <v>k_DPWM_ripple_eff</v>
      </c>
      <c r="B285" s="1">
        <f>IF($A285="","",SUMIFS('02_ツリー'!$K$5:$K$679,'02_ツリー'!$E$5:$E$679,$A285,'02_ツリー'!$K$5:$K$679,"&gt;0"))</f>
        <v>1.8789803305213251E-2</v>
      </c>
      <c r="C285" s="1">
        <f>IF($A285="","",SUMIFS('02_ツリー'!$K$5:$K$679,'02_ツリー'!$E$5:$E$679,$A285,'02_ツリー'!$K$5:$K$679,"&lt;0"))</f>
        <v>0</v>
      </c>
      <c r="D285" s="1">
        <f t="shared" si="12"/>
        <v>1.8789803305213251E-2</v>
      </c>
      <c r="E285" s="1">
        <f>IF($A285="","",--(COUNTIFS('02_ツリー'!$E$5:$E$679,$A285,'02_ツリー'!$O$5:$O$679,0)=0))</f>
        <v>0</v>
      </c>
      <c r="F285" s="1">
        <f t="shared" si="13"/>
        <v>0</v>
      </c>
      <c r="G285" s="1">
        <f t="shared" si="14"/>
        <v>0</v>
      </c>
      <c r="H285" s="1"/>
      <c r="I285" s="1"/>
      <c r="J285" s="1"/>
      <c r="K285" s="1"/>
      <c r="L285" s="1"/>
    </row>
    <row r="286" spans="1:12">
      <c r="A286" s="1" t="str">
        <f>IFERROR(INDEX('02_ツリー'!$E$5:$E$679,MATCH(ROW()-10,'02_ツリー'!$R$5:$R$679,0)),"")</f>
        <v>k_DPWM_ripple_increase</v>
      </c>
      <c r="B286" s="1">
        <f>IF($A286="","",SUMIFS('02_ツリー'!$K$5:$K$679,'02_ツリー'!$E$5:$E$679,$A286,'02_ツリー'!$K$5:$K$679,"&gt;0"))</f>
        <v>0</v>
      </c>
      <c r="C286" s="1">
        <f>IF($A286="","",SUMIFS('02_ツリー'!$K$5:$K$679,'02_ツリー'!$E$5:$E$679,$A286,'02_ツリー'!$K$5:$K$679,"&lt;0"))</f>
        <v>0</v>
      </c>
      <c r="D286" s="1">
        <f t="shared" si="12"/>
        <v>0</v>
      </c>
      <c r="E286" s="1">
        <f>IF($A286="","",--(COUNTIFS('02_ツリー'!$E$5:$E$679,$A286,'02_ツリー'!$O$5:$O$679,0)=0))</f>
        <v>1</v>
      </c>
      <c r="F286" s="1">
        <f t="shared" si="13"/>
        <v>0</v>
      </c>
      <c r="G286" s="1">
        <f t="shared" si="14"/>
        <v>0</v>
      </c>
      <c r="H286" s="1"/>
      <c r="I286" s="1"/>
      <c r="J286" s="1"/>
      <c r="K286" s="1"/>
      <c r="L286" s="1"/>
    </row>
    <row r="287" spans="1:12">
      <c r="A287" s="1" t="str">
        <f>IFERROR(INDEX('02_ツリー'!$E$5:$E$679,MATCH(ROW()-10,'02_ツリー'!$R$5:$R$679,0)),"")</f>
        <v>M_CM_filter</v>
      </c>
      <c r="B287" s="1">
        <f>IF($A287="","",SUMIFS('02_ツリー'!$K$5:$K$679,'02_ツリー'!$E$5:$E$679,$A287,'02_ツリー'!$K$5:$K$679,"&gt;0"))</f>
        <v>0</v>
      </c>
      <c r="C287" s="1">
        <f>IF($A287="","",SUMIFS('02_ツリー'!$K$5:$K$679,'02_ツリー'!$E$5:$E$679,$A287,'02_ツリー'!$K$5:$K$679,"&lt;0"))</f>
        <v>0</v>
      </c>
      <c r="D287" s="1">
        <f t="shared" si="12"/>
        <v>0</v>
      </c>
      <c r="E287" s="1">
        <f>IF($A287="","",--(COUNTIFS('02_ツリー'!$E$5:$E$679,$A287,'02_ツリー'!$O$5:$O$679,0)=0))</f>
        <v>0</v>
      </c>
      <c r="F287" s="1">
        <f t="shared" si="13"/>
        <v>0</v>
      </c>
      <c r="G287" s="1">
        <f t="shared" si="14"/>
        <v>0</v>
      </c>
      <c r="H287" s="1"/>
      <c r="I287" s="1"/>
      <c r="J287" s="1"/>
      <c r="K287" s="1"/>
      <c r="L287" s="1"/>
    </row>
    <row r="288" spans="1:12">
      <c r="A288" s="1" t="str">
        <f>IFERROR(INDEX('02_ツリー'!$E$5:$E$679,MATCH(ROW()-10,'02_ツリー'!$R$5:$R$679,0)),"")</f>
        <v>I_cm_source</v>
      </c>
      <c r="B288" s="1">
        <f>IF($A288="","",SUMIFS('02_ツリー'!$K$5:$K$679,'02_ツリー'!$E$5:$E$679,$A288,'02_ツリー'!$K$5:$K$679,"&gt;0"))</f>
        <v>0</v>
      </c>
      <c r="C288" s="1">
        <f>IF($A288="","",SUMIFS('02_ツリー'!$K$5:$K$679,'02_ツリー'!$E$5:$E$679,$A288,'02_ツリー'!$K$5:$K$679,"&lt;0"))</f>
        <v>0</v>
      </c>
      <c r="D288" s="1">
        <f t="shared" si="12"/>
        <v>0</v>
      </c>
      <c r="E288" s="1">
        <f>IF($A288="","",--(COUNTIFS('02_ツリー'!$E$5:$E$679,$A288,'02_ツリー'!$O$5:$O$679,0)=0))</f>
        <v>0</v>
      </c>
      <c r="F288" s="1">
        <f t="shared" si="13"/>
        <v>0</v>
      </c>
      <c r="G288" s="1">
        <f t="shared" si="14"/>
        <v>0</v>
      </c>
      <c r="H288" s="1"/>
      <c r="I288" s="1"/>
      <c r="J288" s="1"/>
      <c r="K288" s="1"/>
      <c r="L288" s="1"/>
    </row>
    <row r="289" spans="1:12">
      <c r="A289" s="1" t="str">
        <f>IFERROR(INDEX('02_ツリー'!$E$5:$E$679,MATCH(ROW()-10,'02_ツリー'!$R$5:$R$679,0)),"")</f>
        <v>M_PWM_option</v>
      </c>
      <c r="B289" s="1">
        <f>IF($A289="","",SUMIFS('02_ツリー'!$K$5:$K$679,'02_ツリー'!$E$5:$E$679,$A289,'02_ツリー'!$K$5:$K$679,"&gt;0"))</f>
        <v>0</v>
      </c>
      <c r="C289" s="1">
        <f>IF($A289="","",SUMIFS('02_ツリー'!$K$5:$K$679,'02_ツリー'!$E$5:$E$679,$A289,'02_ツリー'!$K$5:$K$679,"&lt;0"))</f>
        <v>0</v>
      </c>
      <c r="D289" s="1">
        <f t="shared" si="12"/>
        <v>0</v>
      </c>
      <c r="E289" s="1">
        <f>IF($A289="","",--(COUNTIFS('02_ツリー'!$E$5:$E$679,$A289,'02_ツリー'!$O$5:$O$679,0)=0))</f>
        <v>0</v>
      </c>
      <c r="F289" s="1">
        <f t="shared" si="13"/>
        <v>0</v>
      </c>
      <c r="G289" s="1">
        <f t="shared" si="14"/>
        <v>0</v>
      </c>
      <c r="H289" s="1"/>
      <c r="I289" s="1"/>
      <c r="J289" s="1"/>
      <c r="K289" s="1"/>
      <c r="L289" s="1"/>
    </row>
    <row r="290" spans="1:12">
      <c r="A290" s="1" t="str">
        <f>IFERROR(INDEX('02_ツリー'!$E$5:$E$679,MATCH(ROW()-10,'02_ツリー'!$R$5:$R$679,0)),"")</f>
        <v>m_cmpwm_ctrl</v>
      </c>
      <c r="B290" s="1">
        <f>IF($A290="","",SUMIFS('02_ツリー'!$K$5:$K$679,'02_ツリー'!$E$5:$E$679,$A290,'02_ツリー'!$K$5:$K$679,"&gt;0"))</f>
        <v>0</v>
      </c>
      <c r="C290" s="1">
        <f>IF($A290="","",SUMIFS('02_ツリー'!$K$5:$K$679,'02_ツリー'!$E$5:$E$679,$A290,'02_ツリー'!$K$5:$K$679,"&lt;0"))</f>
        <v>0</v>
      </c>
      <c r="D290" s="1">
        <f t="shared" si="12"/>
        <v>0</v>
      </c>
      <c r="E290" s="1">
        <f>IF($A290="","",--(COUNTIFS('02_ツリー'!$E$5:$E$679,$A290,'02_ツリー'!$O$5:$O$679,0)=0))</f>
        <v>1</v>
      </c>
      <c r="F290" s="1">
        <f t="shared" si="13"/>
        <v>0</v>
      </c>
      <c r="G290" s="1">
        <f t="shared" si="14"/>
        <v>0</v>
      </c>
      <c r="H290" s="1"/>
      <c r="I290" s="1"/>
      <c r="J290" s="1"/>
      <c r="K290" s="1"/>
      <c r="L290" s="1"/>
    </row>
    <row r="291" spans="1:12">
      <c r="A291" s="1" t="str">
        <f>IFERROR(INDEX('02_ツリー'!$E$5:$E$679,MATCH(ROW()-10,'02_ツリー'!$R$5:$R$679,0)),"")</f>
        <v>M_cap_margin</v>
      </c>
      <c r="B291" s="1">
        <f>IF($A291="","",SUMIFS('02_ツリー'!$K$5:$K$679,'02_ツリー'!$E$5:$E$679,$A291,'02_ツリー'!$K$5:$K$679,"&gt;0"))</f>
        <v>0</v>
      </c>
      <c r="C291" s="1">
        <f>IF($A291="","",SUMIFS('02_ツリー'!$K$5:$K$679,'02_ツリー'!$E$5:$E$679,$A291,'02_ツリー'!$K$5:$K$679,"&lt;0"))</f>
        <v>0</v>
      </c>
      <c r="D291" s="1">
        <f t="shared" si="12"/>
        <v>0</v>
      </c>
      <c r="E291" s="1">
        <f>IF($A291="","",--(COUNTIFS('02_ツリー'!$E$5:$E$679,$A291,'02_ツリー'!$O$5:$O$679,0)=0))</f>
        <v>0</v>
      </c>
      <c r="F291" s="1">
        <f t="shared" si="13"/>
        <v>0</v>
      </c>
      <c r="G291" s="1">
        <f t="shared" si="14"/>
        <v>0</v>
      </c>
      <c r="H291" s="1"/>
      <c r="I291" s="1"/>
      <c r="J291" s="1"/>
      <c r="K291" s="1"/>
      <c r="L291" s="1"/>
    </row>
    <row r="292" spans="1:12">
      <c r="A292" s="1" t="str">
        <f>IFERROR(INDEX('02_ツリー'!$E$5:$E$679,MATCH(ROW()-10,'02_ツリー'!$R$5:$R$679,0)),"")</f>
        <v>N_cap_req</v>
      </c>
      <c r="B292" s="1">
        <f>IF($A292="","",SUMIFS('02_ツリー'!$K$5:$K$679,'02_ツリー'!$E$5:$E$679,$A292,'02_ツリー'!$K$5:$K$679,"&gt;0"))</f>
        <v>0</v>
      </c>
      <c r="C292" s="1">
        <f>IF($A292="","",SUMIFS('02_ツリー'!$K$5:$K$679,'02_ツリー'!$E$5:$E$679,$A292,'02_ツリー'!$K$5:$K$679,"&lt;0"))</f>
        <v>0</v>
      </c>
      <c r="D292" s="1">
        <f t="shared" si="12"/>
        <v>0</v>
      </c>
      <c r="E292" s="1">
        <f>IF($A292="","",--(COUNTIFS('02_ツリー'!$E$5:$E$679,$A292,'02_ツリー'!$O$5:$O$679,0)=0))</f>
        <v>0</v>
      </c>
      <c r="F292" s="1">
        <f t="shared" si="13"/>
        <v>0</v>
      </c>
      <c r="G292" s="1">
        <f t="shared" si="14"/>
        <v>0</v>
      </c>
      <c r="H292" s="1"/>
      <c r="I292" s="1"/>
      <c r="J292" s="1"/>
      <c r="K292" s="1"/>
      <c r="L292" s="1"/>
    </row>
    <row r="293" spans="1:12">
      <c r="A293" s="1" t="str">
        <f>IFERROR(INDEX('02_ツリー'!$E$5:$E$679,MATCH(ROW()-10,'02_ツリー'!$R$5:$R$679,0)),"")</f>
        <v>N_cap_ripple</v>
      </c>
      <c r="B293" s="1">
        <f>IF($A293="","",SUMIFS('02_ツリー'!$K$5:$K$679,'02_ツリー'!$E$5:$E$679,$A293,'02_ツリー'!$K$5:$K$679,"&gt;0"))</f>
        <v>0</v>
      </c>
      <c r="C293" s="1">
        <f>IF($A293="","",SUMIFS('02_ツリー'!$K$5:$K$679,'02_ツリー'!$E$5:$E$679,$A293,'02_ツリー'!$K$5:$K$679,"&lt;0"))</f>
        <v>0</v>
      </c>
      <c r="D293" s="1">
        <f t="shared" si="12"/>
        <v>0</v>
      </c>
      <c r="E293" s="1">
        <f>IF($A293="","",--(COUNTIFS('02_ツリー'!$E$5:$E$679,$A293,'02_ツリー'!$O$5:$O$679,0)=0))</f>
        <v>0</v>
      </c>
      <c r="F293" s="1">
        <f t="shared" si="13"/>
        <v>0</v>
      </c>
      <c r="G293" s="1">
        <f t="shared" si="14"/>
        <v>0</v>
      </c>
      <c r="H293" s="1"/>
      <c r="I293" s="1"/>
      <c r="J293" s="1"/>
      <c r="K293" s="1"/>
      <c r="L293" s="1"/>
    </row>
    <row r="294" spans="1:12">
      <c r="A294" s="1" t="str">
        <f>IFERROR(INDEX('02_ツリー'!$E$5:$E$679,MATCH(ROW()-10,'02_ツリー'!$R$5:$R$679,0)),"")</f>
        <v>I_C_rms</v>
      </c>
      <c r="B294" s="1">
        <f>IF($A294="","",SUMIFS('02_ツリー'!$K$5:$K$679,'02_ツリー'!$E$5:$E$679,$A294,'02_ツリー'!$K$5:$K$679,"&gt;0"))</f>
        <v>0</v>
      </c>
      <c r="C294" s="1">
        <f>IF($A294="","",SUMIFS('02_ツリー'!$K$5:$K$679,'02_ツリー'!$E$5:$E$679,$A294,'02_ツリー'!$K$5:$K$679,"&lt;0"))</f>
        <v>0</v>
      </c>
      <c r="D294" s="1">
        <f t="shared" si="12"/>
        <v>0</v>
      </c>
      <c r="E294" s="1">
        <f>IF($A294="","",--(COUNTIFS('02_ツリー'!$E$5:$E$679,$A294,'02_ツリー'!$O$5:$O$679,0)=0))</f>
        <v>0</v>
      </c>
      <c r="F294" s="1">
        <f t="shared" si="13"/>
        <v>0</v>
      </c>
      <c r="G294" s="1">
        <f t="shared" si="14"/>
        <v>0</v>
      </c>
      <c r="H294" s="1"/>
      <c r="I294" s="1"/>
      <c r="J294" s="1"/>
      <c r="K294" s="1"/>
      <c r="L294" s="1"/>
    </row>
    <row r="295" spans="1:12">
      <c r="A295" s="1" t="str">
        <f>IFERROR(INDEX('02_ツリー'!$E$5:$E$679,MATCH(ROW()-10,'02_ツリー'!$R$5:$R$679,0)),"")</f>
        <v>k_Icap_ripple</v>
      </c>
      <c r="B295" s="1">
        <f>IF($A295="","",SUMIFS('02_ツリー'!$K$5:$K$679,'02_ツリー'!$E$5:$E$679,$A295,'02_ツリー'!$K$5:$K$679,"&gt;0"))</f>
        <v>0</v>
      </c>
      <c r="C295" s="1">
        <f>IF($A295="","",SUMIFS('02_ツリー'!$K$5:$K$679,'02_ツリー'!$E$5:$E$679,$A295,'02_ツリー'!$K$5:$K$679,"&lt;0"))</f>
        <v>0</v>
      </c>
      <c r="D295" s="1">
        <f t="shared" si="12"/>
        <v>0</v>
      </c>
      <c r="E295" s="1">
        <f>IF($A295="","",--(COUNTIFS('02_ツリー'!$E$5:$E$679,$A295,'02_ツリー'!$O$5:$O$679,0)=0))</f>
        <v>1</v>
      </c>
      <c r="F295" s="1">
        <f t="shared" si="13"/>
        <v>0</v>
      </c>
      <c r="G295" s="1">
        <f t="shared" si="14"/>
        <v>0</v>
      </c>
      <c r="H295" s="1"/>
      <c r="I295" s="1"/>
      <c r="J295" s="1"/>
      <c r="K295" s="1"/>
      <c r="L295" s="1"/>
    </row>
    <row r="296" spans="1:12">
      <c r="A296" s="1" t="str">
        <f>IFERROR(INDEX('02_ツリー'!$E$5:$E$679,MATCH(ROW()-10,'02_ツリー'!$R$5:$R$679,0)),"")</f>
        <v>I_cap_unit_rating</v>
      </c>
      <c r="B296" s="1">
        <f>IF($A296="","",SUMIFS('02_ツリー'!$K$5:$K$679,'02_ツリー'!$E$5:$E$679,$A296,'02_ツリー'!$K$5:$K$679,"&gt;0"))</f>
        <v>0</v>
      </c>
      <c r="C296" s="1">
        <f>IF($A296="","",SUMIFS('02_ツリー'!$K$5:$K$679,'02_ツリー'!$E$5:$E$679,$A296,'02_ツリー'!$K$5:$K$679,"&lt;0"))</f>
        <v>0</v>
      </c>
      <c r="D296" s="1">
        <f t="shared" si="12"/>
        <v>0</v>
      </c>
      <c r="E296" s="1">
        <f>IF($A296="","",--(COUNTIFS('02_ツリー'!$E$5:$E$679,$A296,'02_ツリー'!$O$5:$O$679,0)=0))</f>
        <v>1</v>
      </c>
      <c r="F296" s="1">
        <f t="shared" si="13"/>
        <v>0</v>
      </c>
      <c r="G296" s="1">
        <f t="shared" si="14"/>
        <v>0</v>
      </c>
      <c r="H296" s="1"/>
      <c r="I296" s="1"/>
      <c r="J296" s="1"/>
      <c r="K296" s="1"/>
      <c r="L296" s="1"/>
    </row>
    <row r="297" spans="1:12">
      <c r="A297" s="1" t="str">
        <f>IFERROR(INDEX('02_ツリー'!$E$5:$E$679,MATCH(ROW()-10,'02_ツリー'!$R$5:$R$679,0)),"")</f>
        <v>k_life_cap</v>
      </c>
      <c r="B297" s="1">
        <f>IF($A297="","",SUMIFS('02_ツリー'!$K$5:$K$679,'02_ツリー'!$E$5:$E$679,$A297,'02_ツリー'!$K$5:$K$679,"&gt;0"))</f>
        <v>0</v>
      </c>
      <c r="C297" s="1">
        <f>IF($A297="","",SUMIFS('02_ツリー'!$K$5:$K$679,'02_ツリー'!$E$5:$E$679,$A297,'02_ツリー'!$K$5:$K$679,"&lt;0"))</f>
        <v>0</v>
      </c>
      <c r="D297" s="1">
        <f t="shared" si="12"/>
        <v>0</v>
      </c>
      <c r="E297" s="1">
        <f>IF($A297="","",--(COUNTIFS('02_ツリー'!$E$5:$E$679,$A297,'02_ツリー'!$O$5:$O$679,0)=0))</f>
        <v>0</v>
      </c>
      <c r="F297" s="1">
        <f t="shared" si="13"/>
        <v>0</v>
      </c>
      <c r="G297" s="1">
        <f t="shared" si="14"/>
        <v>0</v>
      </c>
      <c r="H297" s="1"/>
      <c r="I297" s="1"/>
      <c r="J297" s="1"/>
      <c r="K297" s="1"/>
      <c r="L297" s="1"/>
    </row>
    <row r="298" spans="1:12">
      <c r="A298" s="1" t="str">
        <f>IFERROR(INDEX('02_ツリー'!$E$5:$E$679,MATCH(ROW()-10,'02_ツリー'!$R$5:$R$679,0)),"")</f>
        <v>life_cap</v>
      </c>
      <c r="B298" s="1">
        <f>IF($A298="","",SUMIFS('02_ツリー'!$K$5:$K$679,'02_ツリー'!$E$5:$E$679,$A298,'02_ツリー'!$K$5:$K$679,"&gt;0"))</f>
        <v>0</v>
      </c>
      <c r="C298" s="1">
        <f>IF($A298="","",SUMIFS('02_ツリー'!$K$5:$K$679,'02_ツリー'!$E$5:$E$679,$A298,'02_ツリー'!$K$5:$K$679,"&lt;0"))</f>
        <v>0</v>
      </c>
      <c r="D298" s="1">
        <f t="shared" si="12"/>
        <v>0</v>
      </c>
      <c r="E298" s="1">
        <f>IF($A298="","",--(COUNTIFS('02_ツリー'!$E$5:$E$679,$A298,'02_ツリー'!$O$5:$O$679,0)=0))</f>
        <v>0</v>
      </c>
      <c r="F298" s="1">
        <f t="shared" si="13"/>
        <v>0</v>
      </c>
      <c r="G298" s="1">
        <f t="shared" si="14"/>
        <v>0</v>
      </c>
      <c r="H298" s="1"/>
      <c r="I298" s="1"/>
      <c r="J298" s="1"/>
      <c r="K298" s="1"/>
      <c r="L298" s="1"/>
    </row>
    <row r="299" spans="1:12">
      <c r="A299" s="1" t="str">
        <f>IFERROR(INDEX('02_ツリー'!$E$5:$E$679,MATCH(ROW()-10,'02_ツリー'!$R$5:$R$679,0)),"")</f>
        <v>T_cap_hot</v>
      </c>
      <c r="B299" s="1">
        <f>IF($A299="","",SUMIFS('02_ツリー'!$K$5:$K$679,'02_ツリー'!$E$5:$E$679,$A299,'02_ツリー'!$K$5:$K$679,"&gt;0"))</f>
        <v>0</v>
      </c>
      <c r="C299" s="1">
        <f>IF($A299="","",SUMIFS('02_ツリー'!$K$5:$K$679,'02_ツリー'!$E$5:$E$679,$A299,'02_ツリー'!$K$5:$K$679,"&lt;0"))</f>
        <v>0</v>
      </c>
      <c r="D299" s="1">
        <f t="shared" si="12"/>
        <v>0</v>
      </c>
      <c r="E299" s="1">
        <f>IF($A299="","",--(COUNTIFS('02_ツリー'!$E$5:$E$679,$A299,'02_ツリー'!$O$5:$O$679,0)=0))</f>
        <v>0</v>
      </c>
      <c r="F299" s="1">
        <f t="shared" si="13"/>
        <v>0</v>
      </c>
      <c r="G299" s="1">
        <f t="shared" si="14"/>
        <v>0</v>
      </c>
      <c r="H299" s="1"/>
      <c r="I299" s="1"/>
      <c r="J299" s="1"/>
      <c r="K299" s="1"/>
      <c r="L299" s="1"/>
    </row>
    <row r="300" spans="1:12">
      <c r="A300" s="1" t="str">
        <f>IFERROR(INDEX('02_ツリー'!$E$5:$E$679,MATCH(ROW()-10,'02_ツリー'!$R$5:$R$679,0)),"")</f>
        <v>ESR_cap</v>
      </c>
      <c r="B300" s="1">
        <f>IF($A300="","",SUMIFS('02_ツリー'!$K$5:$K$679,'02_ツリー'!$E$5:$E$679,$A300,'02_ツリー'!$K$5:$K$679,"&gt;0"))</f>
        <v>0</v>
      </c>
      <c r="C300" s="1">
        <f>IF($A300="","",SUMIFS('02_ツリー'!$K$5:$K$679,'02_ツリー'!$E$5:$E$679,$A300,'02_ツリー'!$K$5:$K$679,"&lt;0"))</f>
        <v>0</v>
      </c>
      <c r="D300" s="1">
        <f t="shared" si="12"/>
        <v>0</v>
      </c>
      <c r="E300" s="1">
        <f>IF($A300="","",--(COUNTIFS('02_ツリー'!$E$5:$E$679,$A300,'02_ツリー'!$O$5:$O$679,0)=0))</f>
        <v>1</v>
      </c>
      <c r="F300" s="1">
        <f t="shared" si="13"/>
        <v>0</v>
      </c>
      <c r="G300" s="1">
        <f t="shared" si="14"/>
        <v>0</v>
      </c>
      <c r="H300" s="1"/>
      <c r="I300" s="1"/>
      <c r="J300" s="1"/>
      <c r="K300" s="1"/>
      <c r="L300" s="1"/>
    </row>
    <row r="301" spans="1:12">
      <c r="A301" s="1" t="str">
        <f>IFERROR(INDEX('02_ツリー'!$E$5:$E$679,MATCH(ROW()-10,'02_ツリー'!$R$5:$R$679,0)),"")</f>
        <v>Rth_cap</v>
      </c>
      <c r="B301" s="1">
        <f>IF($A301="","",SUMIFS('02_ツリー'!$K$5:$K$679,'02_ツリー'!$E$5:$E$679,$A301,'02_ツリー'!$K$5:$K$679,"&gt;0"))</f>
        <v>0</v>
      </c>
      <c r="C301" s="1">
        <f>IF($A301="","",SUMIFS('02_ツリー'!$K$5:$K$679,'02_ツリー'!$E$5:$E$679,$A301,'02_ツリー'!$K$5:$K$679,"&lt;0"))</f>
        <v>0</v>
      </c>
      <c r="D301" s="1">
        <f t="shared" si="12"/>
        <v>0</v>
      </c>
      <c r="E301" s="1">
        <f>IF($A301="","",--(COUNTIFS('02_ツリー'!$E$5:$E$679,$A301,'02_ツリー'!$O$5:$O$679,0)=0))</f>
        <v>1</v>
      </c>
      <c r="F301" s="1">
        <f t="shared" si="13"/>
        <v>0</v>
      </c>
      <c r="G301" s="1">
        <f t="shared" si="14"/>
        <v>0</v>
      </c>
      <c r="H301" s="1"/>
      <c r="I301" s="1"/>
      <c r="J301" s="1"/>
      <c r="K301" s="1"/>
      <c r="L301" s="1"/>
    </row>
    <row r="302" spans="1:12">
      <c r="A302" s="1" t="str">
        <f>IFERROR(INDEX('02_ツリー'!$E$5:$E$679,MATCH(ROW()-10,'02_ツリー'!$R$5:$R$679,0)),"")</f>
        <v>T_cap_life_ref</v>
      </c>
      <c r="B302" s="1">
        <f>IF($A302="","",SUMIFS('02_ツリー'!$K$5:$K$679,'02_ツリー'!$E$5:$E$679,$A302,'02_ツリー'!$K$5:$K$679,"&gt;0"))</f>
        <v>0</v>
      </c>
      <c r="C302" s="1">
        <f>IF($A302="","",SUMIFS('02_ツリー'!$K$5:$K$679,'02_ツリー'!$E$5:$E$679,$A302,'02_ツリー'!$K$5:$K$679,"&lt;0"))</f>
        <v>0</v>
      </c>
      <c r="D302" s="1">
        <f t="shared" si="12"/>
        <v>0</v>
      </c>
      <c r="E302" s="1">
        <f>IF($A302="","",--(COUNTIFS('02_ツリー'!$E$5:$E$679,$A302,'02_ツリー'!$O$5:$O$679,0)=0))</f>
        <v>1</v>
      </c>
      <c r="F302" s="1">
        <f t="shared" si="13"/>
        <v>0</v>
      </c>
      <c r="G302" s="1">
        <f t="shared" si="14"/>
        <v>0</v>
      </c>
      <c r="H302" s="1"/>
      <c r="I302" s="1"/>
      <c r="J302" s="1"/>
      <c r="K302" s="1"/>
      <c r="L302" s="1"/>
    </row>
    <row r="303" spans="1:12">
      <c r="A303" s="1" t="str">
        <f>IFERROR(INDEX('02_ツリー'!$E$5:$E$679,MATCH(ROW()-10,'02_ツリー'!$R$5:$R$679,0)),"")</f>
        <v>life_cap_ref</v>
      </c>
      <c r="B303" s="1">
        <f>IF($A303="","",SUMIFS('02_ツリー'!$K$5:$K$679,'02_ツリー'!$E$5:$E$679,$A303,'02_ツリー'!$K$5:$K$679,"&gt;0"))</f>
        <v>0</v>
      </c>
      <c r="C303" s="1">
        <f>IF($A303="","",SUMIFS('02_ツリー'!$K$5:$K$679,'02_ツリー'!$E$5:$E$679,$A303,'02_ツリー'!$K$5:$K$679,"&lt;0"))</f>
        <v>0</v>
      </c>
      <c r="D303" s="1">
        <f t="shared" si="12"/>
        <v>0</v>
      </c>
      <c r="E303" s="1">
        <f>IF($A303="","",--(COUNTIFS('02_ツリー'!$E$5:$E$679,$A303,'02_ツリー'!$O$5:$O$679,0)=0))</f>
        <v>1</v>
      </c>
      <c r="F303" s="1">
        <f t="shared" si="13"/>
        <v>0</v>
      </c>
      <c r="G303" s="1">
        <f t="shared" si="14"/>
        <v>0</v>
      </c>
      <c r="H303" s="1"/>
      <c r="I303" s="1"/>
      <c r="J303" s="1"/>
      <c r="K303" s="1"/>
      <c r="L303" s="1"/>
    </row>
    <row r="304" spans="1:12">
      <c r="A304" s="1" t="str">
        <f>IFERROR(INDEX('02_ツリー'!$E$5:$E$679,MATCH(ROW()-10,'02_ツリー'!$R$5:$R$679,0)),"")</f>
        <v>life_cap_req</v>
      </c>
      <c r="B304" s="1">
        <f>IF($A304="","",SUMIFS('02_ツリー'!$K$5:$K$679,'02_ツリー'!$E$5:$E$679,$A304,'02_ツリー'!$K$5:$K$679,"&gt;0"))</f>
        <v>0</v>
      </c>
      <c r="C304" s="1">
        <f>IF($A304="","",SUMIFS('02_ツリー'!$K$5:$K$679,'02_ツリー'!$E$5:$E$679,$A304,'02_ツリー'!$K$5:$K$679,"&lt;0"))</f>
        <v>0</v>
      </c>
      <c r="D304" s="1">
        <f t="shared" si="12"/>
        <v>0</v>
      </c>
      <c r="E304" s="1">
        <f>IF($A304="","",--(COUNTIFS('02_ツリー'!$E$5:$E$679,$A304,'02_ツリー'!$O$5:$O$679,0)=0))</f>
        <v>1</v>
      </c>
      <c r="F304" s="1">
        <f t="shared" si="13"/>
        <v>0</v>
      </c>
      <c r="G304" s="1">
        <f t="shared" si="14"/>
        <v>0</v>
      </c>
      <c r="H304" s="1"/>
      <c r="I304" s="1"/>
      <c r="J304" s="1"/>
      <c r="K304" s="1"/>
      <c r="L304" s="1"/>
    </row>
    <row r="305" spans="1:12">
      <c r="A305" s="1" t="str">
        <f>IFERROR(INDEX('02_ツリー'!$E$5:$E$679,MATCH(ROW()-10,'02_ツリー'!$R$5:$R$679,0)),"")</f>
        <v>N_cap_energy</v>
      </c>
      <c r="B305" s="1">
        <f>IF($A305="","",SUMIFS('02_ツリー'!$K$5:$K$679,'02_ツリー'!$E$5:$E$679,$A305,'02_ツリー'!$K$5:$K$679,"&gt;0"))</f>
        <v>0</v>
      </c>
      <c r="C305" s="1">
        <f>IF($A305="","",SUMIFS('02_ツリー'!$K$5:$K$679,'02_ツリー'!$E$5:$E$679,$A305,'02_ツリー'!$K$5:$K$679,"&lt;0"))</f>
        <v>0</v>
      </c>
      <c r="D305" s="1">
        <f t="shared" si="12"/>
        <v>0</v>
      </c>
      <c r="E305" s="1">
        <f>IF($A305="","",--(COUNTIFS('02_ツリー'!$E$5:$E$679,$A305,'02_ツリー'!$O$5:$O$679,0)=0))</f>
        <v>0</v>
      </c>
      <c r="F305" s="1">
        <f t="shared" si="13"/>
        <v>0</v>
      </c>
      <c r="G305" s="1">
        <f t="shared" si="14"/>
        <v>0</v>
      </c>
      <c r="H305" s="1"/>
      <c r="I305" s="1"/>
      <c r="J305" s="1"/>
      <c r="K305" s="1"/>
      <c r="L305" s="1"/>
    </row>
    <row r="306" spans="1:12">
      <c r="A306" s="1" t="str">
        <f>IFERROR(INDEX('02_ツリー'!$E$5:$E$679,MATCH(ROW()-10,'02_ツリー'!$R$5:$R$679,0)),"")</f>
        <v>m_cap_unit</v>
      </c>
      <c r="B306" s="1">
        <f>IF($A306="","",SUMIFS('02_ツリー'!$K$5:$K$679,'02_ツリー'!$E$5:$E$679,$A306,'02_ツリー'!$K$5:$K$679,"&gt;0"))</f>
        <v>0</v>
      </c>
      <c r="C306" s="1">
        <f>IF($A306="","",SUMIFS('02_ツリー'!$K$5:$K$679,'02_ツリー'!$E$5:$E$679,$A306,'02_ツリー'!$K$5:$K$679,"&lt;0"))</f>
        <v>0</v>
      </c>
      <c r="D306" s="1">
        <f t="shared" si="12"/>
        <v>0</v>
      </c>
      <c r="E306" s="1">
        <f>IF($A306="","",--(COUNTIFS('02_ツリー'!$E$5:$E$679,$A306,'02_ツリー'!$O$5:$O$679,0)=0))</f>
        <v>1</v>
      </c>
      <c r="F306" s="1">
        <f t="shared" si="13"/>
        <v>0</v>
      </c>
      <c r="G306" s="1">
        <f t="shared" si="14"/>
        <v>0</v>
      </c>
      <c r="H306" s="1"/>
      <c r="I306" s="1"/>
      <c r="J306" s="1"/>
      <c r="K306" s="1"/>
      <c r="L306" s="1"/>
    </row>
    <row r="307" spans="1:12">
      <c r="A307" s="1" t="str">
        <f>IFERROR(INDEX('02_ツリー'!$E$5:$E$679,MATCH(ROW()-10,'02_ツリー'!$R$5:$R$679,0)),"")</f>
        <v>V_slew_ref</v>
      </c>
      <c r="B307" s="1">
        <f>IF($A307="","",SUMIFS('02_ツリー'!$K$5:$K$679,'02_ツリー'!$E$5:$E$679,$A307,'02_ツリー'!$K$5:$K$679,"&gt;0"))</f>
        <v>0</v>
      </c>
      <c r="C307" s="1">
        <f>IF($A307="","",SUMIFS('02_ツリー'!$K$5:$K$679,'02_ツリー'!$E$5:$E$679,$A307,'02_ツリー'!$K$5:$K$679,"&lt;0"))</f>
        <v>0</v>
      </c>
      <c r="D307" s="1">
        <f t="shared" si="12"/>
        <v>0</v>
      </c>
      <c r="E307" s="1">
        <f>IF($A307="","",--(COUNTIFS('02_ツリー'!$E$5:$E$679,$A307,'02_ツリー'!$O$5:$O$679,0)=0))</f>
        <v>1</v>
      </c>
      <c r="F307" s="1">
        <f t="shared" si="13"/>
        <v>0</v>
      </c>
      <c r="G307" s="1">
        <f t="shared" si="14"/>
        <v>0</v>
      </c>
      <c r="H307" s="1"/>
      <c r="I307" s="1"/>
      <c r="J307" s="1"/>
      <c r="K307" s="1"/>
      <c r="L307" s="1"/>
    </row>
    <row r="308" spans="1:12">
      <c r="A308" s="1" t="str">
        <f>IFERROR(INDEX('02_ツリー'!$E$5:$E$679,MATCH(ROW()-10,'02_ツリー'!$R$5:$R$679,0)),"")</f>
        <v>m_split_Rg</v>
      </c>
      <c r="B308" s="1">
        <f>IF($A308="","",SUMIFS('02_ツリー'!$K$5:$K$679,'02_ツリー'!$E$5:$E$679,$A308,'02_ツリー'!$K$5:$K$679,"&gt;0"))</f>
        <v>0</v>
      </c>
      <c r="C308" s="1">
        <f>IF($A308="","",SUMIFS('02_ツリー'!$K$5:$K$679,'02_ツリー'!$E$5:$E$679,$A308,'02_ツリー'!$K$5:$K$679,"&lt;0"))</f>
        <v>0</v>
      </c>
      <c r="D308" s="1">
        <f t="shared" si="12"/>
        <v>0</v>
      </c>
      <c r="E308" s="1">
        <f>IF($A308="","",--(COUNTIFS('02_ツリー'!$E$5:$E$679,$A308,'02_ツリー'!$O$5:$O$679,0)=0))</f>
        <v>1</v>
      </c>
      <c r="F308" s="1">
        <f t="shared" si="13"/>
        <v>0</v>
      </c>
      <c r="G308" s="1">
        <f t="shared" si="14"/>
        <v>0</v>
      </c>
      <c r="H308" s="1"/>
      <c r="I308" s="1"/>
      <c r="J308" s="1"/>
      <c r="K308" s="1"/>
      <c r="L308" s="1"/>
    </row>
    <row r="309" spans="1:12">
      <c r="A309" s="1" t="str">
        <f>IFERROR(INDEX('02_ツリー'!$E$5:$E$679,MATCH(ROW()-10,'02_ツリー'!$R$5:$R$679,0)),"")</f>
        <v>m_adapt_DT</v>
      </c>
      <c r="B309" s="1">
        <f>IF($A309="","",SUMIFS('02_ツリー'!$K$5:$K$679,'02_ツリー'!$E$5:$E$679,$A309,'02_ツリー'!$K$5:$K$679,"&gt;0"))</f>
        <v>0</v>
      </c>
      <c r="C309" s="1">
        <f>IF($A309="","",SUMIFS('02_ツリー'!$K$5:$K$679,'02_ツリー'!$E$5:$E$679,$A309,'02_ツリー'!$K$5:$K$679,"&lt;0"))</f>
        <v>0</v>
      </c>
      <c r="D309" s="1">
        <f t="shared" si="12"/>
        <v>0</v>
      </c>
      <c r="E309" s="1">
        <f>IF($A309="","",--(COUNTIFS('02_ツリー'!$E$5:$E$679,$A309,'02_ツリー'!$O$5:$O$679,0)=0))</f>
        <v>1</v>
      </c>
      <c r="F309" s="1">
        <f t="shared" si="13"/>
        <v>0</v>
      </c>
      <c r="G309" s="1">
        <f t="shared" si="14"/>
        <v>0</v>
      </c>
      <c r="H309" s="1"/>
      <c r="I309" s="1"/>
      <c r="J309" s="1"/>
      <c r="K309" s="1"/>
      <c r="L309" s="1"/>
    </row>
    <row r="310" spans="1:12">
      <c r="A310" s="1" t="str">
        <f>IFERROR(INDEX('02_ツリー'!$E$5:$E$679,MATCH(ROW()-10,'02_ツリー'!$R$5:$R$679,0)),"")</f>
        <v>L_loop_eff</v>
      </c>
      <c r="B310" s="1">
        <f>IF($A310="","",SUMIFS('02_ツリー'!$K$5:$K$679,'02_ツリー'!$E$5:$E$679,$A310,'02_ツリー'!$K$5:$K$679,"&gt;0"))</f>
        <v>4.494644195718126E-6</v>
      </c>
      <c r="C310" s="1">
        <f>IF($A310="","",SUMIFS('02_ツリー'!$K$5:$K$679,'02_ツリー'!$E$5:$E$679,$A310,'02_ツリー'!$K$5:$K$679,"&lt;0"))</f>
        <v>-1.2409672433194188E-6</v>
      </c>
      <c r="D310" s="1">
        <f t="shared" si="12"/>
        <v>3.253676952398707E-6</v>
      </c>
      <c r="E310" s="1">
        <f>IF($A310="","",--(COUNTIFS('02_ツリー'!$E$5:$E$679,$A310,'02_ツリー'!$O$5:$O$679,0)=0))</f>
        <v>0</v>
      </c>
      <c r="F310" s="1">
        <f t="shared" si="13"/>
        <v>1</v>
      </c>
      <c r="G310" s="1">
        <f t="shared" si="14"/>
        <v>0</v>
      </c>
      <c r="H310" s="1"/>
      <c r="I310" s="1"/>
      <c r="J310" s="1"/>
      <c r="K310" s="1"/>
      <c r="L310" s="1"/>
    </row>
    <row r="311" spans="1:12">
      <c r="A311" s="1" t="str">
        <f>IFERROR(INDEX('02_ツリー'!$E$5:$E$679,MATCH(ROW()-10,'02_ツリー'!$R$5:$R$679,0)),"")</f>
        <v>di_dt</v>
      </c>
      <c r="B311" s="1">
        <f>IF($A311="","",SUMIFS('02_ツリー'!$K$5:$K$679,'02_ツリー'!$E$5:$E$679,$A311,'02_ツリー'!$K$5:$K$679,"&gt;0"))</f>
        <v>4.494644195718126E-6</v>
      </c>
      <c r="C311" s="1">
        <f>IF($A311="","",SUMIFS('02_ツリー'!$K$5:$K$679,'02_ツリー'!$E$5:$E$679,$A311,'02_ツリー'!$K$5:$K$679,"&lt;0"))</f>
        <v>-1.2409672433194188E-6</v>
      </c>
      <c r="D311" s="1">
        <f t="shared" si="12"/>
        <v>3.253676952398707E-6</v>
      </c>
      <c r="E311" s="1">
        <f>IF($A311="","",--(COUNTIFS('02_ツリー'!$E$5:$E$679,$A311,'02_ツリー'!$O$5:$O$679,0)=0))</f>
        <v>0</v>
      </c>
      <c r="F311" s="1">
        <f t="shared" si="13"/>
        <v>1</v>
      </c>
      <c r="G311" s="1">
        <f t="shared" si="14"/>
        <v>0</v>
      </c>
      <c r="H311" s="1"/>
      <c r="I311" s="1"/>
      <c r="J311" s="1"/>
      <c r="K311" s="1"/>
      <c r="L311" s="1"/>
    </row>
    <row r="312" spans="1:12">
      <c r="A312" s="1" t="str">
        <f>IFERROR(INDEX('02_ツリー'!$E$5:$E$679,MATCH(ROW()-10,'02_ツリー'!$R$5:$R$679,0)),"")</f>
        <v>k_snub_eff</v>
      </c>
      <c r="B312" s="1">
        <f>IF($A312="","",SUMIFS('02_ツリー'!$K$5:$K$679,'02_ツリー'!$E$5:$E$679,$A312,'02_ツリー'!$K$5:$K$679,"&gt;0"))</f>
        <v>4.494644195718126E-6</v>
      </c>
      <c r="C312" s="1">
        <f>IF($A312="","",SUMIFS('02_ツリー'!$K$5:$K$679,'02_ツリー'!$E$5:$E$679,$A312,'02_ツリー'!$K$5:$K$679,"&lt;0"))</f>
        <v>-1.2409672433194188E-6</v>
      </c>
      <c r="D312" s="1">
        <f t="shared" si="12"/>
        <v>3.253676952398707E-6</v>
      </c>
      <c r="E312" s="1">
        <f>IF($A312="","",--(COUNTIFS('02_ツリー'!$E$5:$E$679,$A312,'02_ツリー'!$O$5:$O$679,0)=0))</f>
        <v>0</v>
      </c>
      <c r="F312" s="1">
        <f t="shared" si="13"/>
        <v>1</v>
      </c>
      <c r="G312" s="1">
        <f t="shared" si="14"/>
        <v>0</v>
      </c>
      <c r="H312" s="1"/>
      <c r="I312" s="1"/>
      <c r="J312" s="1"/>
      <c r="K312" s="1"/>
      <c r="L312" s="1"/>
    </row>
    <row r="313" spans="1:12">
      <c r="A313" s="1" t="str">
        <f>IFERROR(INDEX('02_ツリー'!$E$5:$E$679,MATCH(ROW()-10,'02_ツリー'!$R$5:$R$679,0)),"")</f>
        <v>k_snub_reduce</v>
      </c>
      <c r="B313" s="1">
        <f>IF($A313="","",SUMIFS('02_ツリー'!$K$5:$K$679,'02_ツリー'!$E$5:$E$679,$A313,'02_ツリー'!$K$5:$K$679,"&gt;0"))</f>
        <v>0</v>
      </c>
      <c r="C313" s="1">
        <f>IF($A313="","",SUMIFS('02_ツリー'!$K$5:$K$679,'02_ツリー'!$E$5:$E$679,$A313,'02_ツリー'!$K$5:$K$679,"&lt;0"))</f>
        <v>0</v>
      </c>
      <c r="D313" s="1">
        <f t="shared" si="12"/>
        <v>0</v>
      </c>
      <c r="E313" s="1">
        <f>IF($A313="","",--(COUNTIFS('02_ツリー'!$E$5:$E$679,$A313,'02_ツリー'!$O$5:$O$679,0)=0))</f>
        <v>1</v>
      </c>
      <c r="F313" s="1">
        <f t="shared" si="13"/>
        <v>0</v>
      </c>
      <c r="G313" s="1">
        <f t="shared" si="14"/>
        <v>0</v>
      </c>
      <c r="H313" s="1"/>
      <c r="I313" s="1"/>
      <c r="J313" s="1"/>
      <c r="K313" s="1"/>
      <c r="L313" s="1"/>
    </row>
    <row r="314" spans="1:12">
      <c r="A314" s="1" t="str">
        <f>IFERROR(INDEX('02_ツリー'!$E$5:$E$679,MATCH(ROW()-10,'02_ツリー'!$R$5:$R$679,0)),"")</f>
        <v>ESL_dc</v>
      </c>
      <c r="B314" s="1">
        <f>IF($A314="","",SUMIFS('02_ツリー'!$K$5:$K$679,'02_ツリー'!$E$5:$E$679,$A314,'02_ツリー'!$K$5:$K$679,"&gt;0"))</f>
        <v>1.9976196425413896E-6</v>
      </c>
      <c r="C314" s="1">
        <f>IF($A314="","",SUMIFS('02_ツリー'!$K$5:$K$679,'02_ツリー'!$E$5:$E$679,$A314,'02_ツリー'!$K$5:$K$679,"&lt;0"))</f>
        <v>-5.5154099703085285E-7</v>
      </c>
      <c r="D314" s="1">
        <f t="shared" si="12"/>
        <v>1.4460786455105368E-6</v>
      </c>
      <c r="E314" s="1">
        <f>IF($A314="","",--(COUNTIFS('02_ツリー'!$E$5:$E$679,$A314,'02_ツリー'!$O$5:$O$679,0)=0))</f>
        <v>1</v>
      </c>
      <c r="F314" s="1">
        <f t="shared" si="13"/>
        <v>1</v>
      </c>
      <c r="G314" s="1">
        <f t="shared" si="14"/>
        <v>0</v>
      </c>
      <c r="H314" s="1"/>
      <c r="I314" s="1"/>
      <c r="J314" s="1"/>
      <c r="K314" s="1"/>
      <c r="L314" s="1"/>
    </row>
    <row r="315" spans="1:12">
      <c r="A315" s="1" t="str">
        <f>IFERROR(INDEX('02_ツリー'!$E$5:$E$679,MATCH(ROW()-10,'02_ツリー'!$R$5:$R$679,0)),"")</f>
        <v>gap_bus</v>
      </c>
      <c r="B315" s="1">
        <f>IF($A315="","",SUMIFS('02_ツリー'!$K$5:$K$679,'02_ツリー'!$E$5:$E$679,$A315,'02_ツリー'!$K$5:$K$679,"&gt;0"))</f>
        <v>6.4363574334977604E-3</v>
      </c>
      <c r="C315" s="1">
        <f>IF($A315="","",SUMIFS('02_ツリー'!$K$5:$K$679,'02_ツリー'!$E$5:$E$679,$A315,'02_ツリー'!$K$5:$K$679,"&lt;0"))</f>
        <v>-1.2409672433194188E-6</v>
      </c>
      <c r="D315" s="1">
        <f t="shared" si="12"/>
        <v>6.4351164662544407E-3</v>
      </c>
      <c r="E315" s="1">
        <f>IF($A315="","",--(COUNTIFS('02_ツリー'!$E$5:$E$679,$A315,'02_ツリー'!$O$5:$O$679,0)=0))</f>
        <v>1</v>
      </c>
      <c r="F315" s="1">
        <f t="shared" si="13"/>
        <v>1</v>
      </c>
      <c r="G315" s="1">
        <f t="shared" si="14"/>
        <v>0</v>
      </c>
      <c r="H315" s="1"/>
      <c r="I315" s="1"/>
      <c r="J315" s="1"/>
      <c r="K315" s="1"/>
      <c r="L315" s="1"/>
    </row>
    <row r="316" spans="1:12">
      <c r="A316" s="1" t="str">
        <f>IFERROR(INDEX('02_ツリー'!$E$5:$E$679,MATCH(ROW()-10,'02_ツリー'!$R$5:$R$679,0)),"")</f>
        <v>overlap_bus</v>
      </c>
      <c r="B316" s="1">
        <f>IF($A316="","",SUMIFS('02_ツリー'!$K$5:$K$679,'02_ツリー'!$E$5:$E$679,$A316,'02_ツリー'!$K$5:$K$679,"&gt;0"))</f>
        <v>6.4331037565453619E-3</v>
      </c>
      <c r="C316" s="1">
        <f>IF($A316="","",SUMIFS('02_ツリー'!$K$5:$K$679,'02_ツリー'!$E$5:$E$679,$A316,'02_ツリー'!$K$5:$K$679,"&lt;0"))</f>
        <v>-4.494644195718126E-6</v>
      </c>
      <c r="D316" s="1">
        <f t="shared" si="12"/>
        <v>6.4286091123496435E-3</v>
      </c>
      <c r="E316" s="1">
        <f>IF($A316="","",--(COUNTIFS('02_ツリー'!$E$5:$E$679,$A316,'02_ツリー'!$O$5:$O$679,0)=0))</f>
        <v>1</v>
      </c>
      <c r="F316" s="1">
        <f t="shared" si="13"/>
        <v>1</v>
      </c>
      <c r="G316" s="1">
        <f t="shared" si="14"/>
        <v>0</v>
      </c>
      <c r="H316" s="1"/>
      <c r="I316" s="1"/>
      <c r="J316" s="1"/>
      <c r="K316" s="1"/>
      <c r="L316" s="1"/>
    </row>
    <row r="317" spans="1:12">
      <c r="A317" s="1" t="str">
        <f>IFERROR(INDEX('02_ツリー'!$E$5:$E$679,MATCH(ROW()-10,'02_ツリー'!$R$5:$R$679,0)),"")</f>
        <v>Enable_hf_decouple</v>
      </c>
      <c r="B317" s="1">
        <f>IF($A317="","",SUMIFS('02_ツリー'!$K$5:$K$679,'02_ツリー'!$E$5:$E$679,$A317,'02_ツリー'!$K$5:$K$679,"&gt;0"))</f>
        <v>2.8144984055791375E-3</v>
      </c>
      <c r="C317" s="1">
        <f>IF($A317="","",SUMIFS('02_ツリー'!$K$5:$K$679,'02_ツリー'!$E$5:$E$679,$A317,'02_ツリー'!$K$5:$K$679,"&lt;0"))</f>
        <v>-2.022589888073157E-6</v>
      </c>
      <c r="D317" s="1">
        <f t="shared" si="12"/>
        <v>2.8124758156910642E-3</v>
      </c>
      <c r="E317" s="1">
        <f>IF($A317="","",--(COUNTIFS('02_ツリー'!$E$5:$E$679,$A317,'02_ツリー'!$O$5:$O$679,0)=0))</f>
        <v>1</v>
      </c>
      <c r="F317" s="1">
        <f t="shared" si="13"/>
        <v>1</v>
      </c>
      <c r="G317" s="1">
        <f t="shared" si="14"/>
        <v>1</v>
      </c>
      <c r="H317" s="1"/>
      <c r="I317" s="1"/>
      <c r="J317" s="1"/>
      <c r="K317" s="1"/>
      <c r="L317" s="1"/>
    </row>
    <row r="318" spans="1:12">
      <c r="A318" s="1" t="str">
        <f>IFERROR(INDEX('02_ツリー'!$E$5:$E$679,MATCH(ROW()-10,'02_ツリー'!$R$5:$R$679,0)),"")</f>
        <v>k_hf_L_reduce</v>
      </c>
      <c r="B318" s="1">
        <f>IF($A318="","",SUMIFS('02_ツリー'!$K$5:$K$679,'02_ツリー'!$E$5:$E$679,$A318,'02_ツリー'!$K$5:$K$679,"&gt;0"))</f>
        <v>0</v>
      </c>
      <c r="C318" s="1">
        <f>IF($A318="","",SUMIFS('02_ツリー'!$K$5:$K$679,'02_ツリー'!$E$5:$E$679,$A318,'02_ツリー'!$K$5:$K$679,"&lt;0"))</f>
        <v>0</v>
      </c>
      <c r="D318" s="1">
        <f t="shared" si="12"/>
        <v>0</v>
      </c>
      <c r="E318" s="1">
        <f>IF($A318="","",--(COUNTIFS('02_ツリー'!$E$5:$E$679,$A318,'02_ツリー'!$O$5:$O$679,0)=0))</f>
        <v>1</v>
      </c>
      <c r="F318" s="1">
        <f t="shared" si="13"/>
        <v>0</v>
      </c>
      <c r="G318" s="1">
        <f t="shared" si="14"/>
        <v>0</v>
      </c>
      <c r="H318" s="1"/>
      <c r="I318" s="1"/>
      <c r="J318" s="1"/>
      <c r="K318" s="1"/>
      <c r="L318" s="1"/>
    </row>
    <row r="319" spans="1:12">
      <c r="A319" s="1" t="str">
        <f>IFERROR(INDEX('02_ツリー'!$E$5:$E$679,MATCH(ROW()-10,'02_ツリー'!$R$5:$R$679,0)),"")</f>
        <v>M_hfcap</v>
      </c>
      <c r="B319" s="1">
        <f>IF($A319="","",SUMIFS('02_ツリー'!$K$5:$K$679,'02_ツリー'!$E$5:$E$679,$A319,'02_ツリー'!$K$5:$K$679,"&gt;0"))</f>
        <v>0</v>
      </c>
      <c r="C319" s="1">
        <f>IF($A319="","",SUMIFS('02_ツリー'!$K$5:$K$679,'02_ツリー'!$E$5:$E$679,$A319,'02_ツリー'!$K$5:$K$679,"&lt;0"))</f>
        <v>0</v>
      </c>
      <c r="D319" s="1">
        <f t="shared" si="12"/>
        <v>0</v>
      </c>
      <c r="E319" s="1">
        <f>IF($A319="","",--(COUNTIFS('02_ツリー'!$E$5:$E$679,$A319,'02_ツリー'!$O$5:$O$679,0)=0))</f>
        <v>0</v>
      </c>
      <c r="F319" s="1">
        <f t="shared" si="13"/>
        <v>0</v>
      </c>
      <c r="G319" s="1">
        <f t="shared" si="14"/>
        <v>0</v>
      </c>
      <c r="H319" s="1"/>
      <c r="I319" s="1"/>
      <c r="J319" s="1"/>
      <c r="K319" s="1"/>
      <c r="L319" s="1"/>
    </row>
    <row r="320" spans="1:12">
      <c r="A320" s="1" t="str">
        <f>IFERROR(INDEX('02_ツリー'!$E$5:$E$679,MATCH(ROW()-10,'02_ツリー'!$R$5:$R$679,0)),"")</f>
        <v>m_hfcap</v>
      </c>
      <c r="B320" s="1">
        <f>IF($A320="","",SUMIFS('02_ツリー'!$K$5:$K$679,'02_ツリー'!$E$5:$E$679,$A320,'02_ツリー'!$K$5:$K$679,"&gt;0"))</f>
        <v>0</v>
      </c>
      <c r="C320" s="1">
        <f>IF($A320="","",SUMIFS('02_ツリー'!$K$5:$K$679,'02_ツリー'!$E$5:$E$679,$A320,'02_ツリー'!$K$5:$K$679,"&lt;0"))</f>
        <v>0</v>
      </c>
      <c r="D320" s="1">
        <f t="shared" si="12"/>
        <v>0</v>
      </c>
      <c r="E320" s="1">
        <f>IF($A320="","",--(COUNTIFS('02_ツリー'!$E$5:$E$679,$A320,'02_ツリー'!$O$5:$O$679,0)=0))</f>
        <v>0</v>
      </c>
      <c r="F320" s="1">
        <f t="shared" si="13"/>
        <v>0</v>
      </c>
      <c r="G320" s="1">
        <f t="shared" si="14"/>
        <v>0</v>
      </c>
      <c r="H320" s="1"/>
      <c r="I320" s="1"/>
      <c r="J320" s="1"/>
      <c r="K320" s="1"/>
      <c r="L320" s="1"/>
    </row>
    <row r="321" spans="1:12">
      <c r="A321" s="1" t="str">
        <f>IFERROR(INDEX('02_ツリー'!$E$5:$E$679,MATCH(ROW()-10,'02_ツリー'!$R$5:$R$679,0)),"")</f>
        <v>m_pump</v>
      </c>
      <c r="B321" s="1">
        <f>IF($A321="","",SUMIFS('02_ツリー'!$K$5:$K$679,'02_ツリー'!$E$5:$E$679,$A321,'02_ツリー'!$K$5:$K$679,"&gt;0"))</f>
        <v>1.205974272994133E-2</v>
      </c>
      <c r="C321" s="1">
        <f>IF($A321="","",SUMIFS('02_ツリー'!$K$5:$K$679,'02_ツリー'!$E$5:$E$679,$A321,'02_ツリー'!$K$5:$K$679,"&lt;0"))</f>
        <v>0</v>
      </c>
      <c r="D321" s="1">
        <f t="shared" si="12"/>
        <v>1.205974272994133E-2</v>
      </c>
      <c r="E321" s="1">
        <f>IF($A321="","",--(COUNTIFS('02_ツリー'!$E$5:$E$679,$A321,'02_ツリー'!$O$5:$O$679,0)=0))</f>
        <v>0</v>
      </c>
      <c r="F321" s="1">
        <f t="shared" si="13"/>
        <v>0</v>
      </c>
      <c r="G321" s="1">
        <f t="shared" si="14"/>
        <v>0</v>
      </c>
      <c r="H321" s="1"/>
      <c r="I321" s="1"/>
      <c r="J321" s="1"/>
      <c r="K321" s="1"/>
      <c r="L321" s="1"/>
    </row>
    <row r="322" spans="1:12">
      <c r="A322" s="1" t="str">
        <f>IFERROR(INDEX('02_ツリー'!$E$5:$E$679,MATCH(ROW()-10,'02_ツリー'!$R$5:$R$679,0)),"")</f>
        <v>P_pump</v>
      </c>
      <c r="B322" s="1">
        <f>IF($A322="","",SUMIFS('02_ツリー'!$K$5:$K$679,'02_ツリー'!$E$5:$E$679,$A322,'02_ツリー'!$K$5:$K$679,"&gt;0"))</f>
        <v>3.1422279748356206E-5</v>
      </c>
      <c r="C322" s="1">
        <f>IF($A322="","",SUMIFS('02_ツリー'!$K$5:$K$679,'02_ツリー'!$E$5:$E$679,$A322,'02_ツリー'!$K$5:$K$679,"&lt;0"))</f>
        <v>0</v>
      </c>
      <c r="D322" s="1">
        <f t="shared" si="12"/>
        <v>3.1422279748356206E-5</v>
      </c>
      <c r="E322" s="1">
        <f>IF($A322="","",--(COUNTIFS('02_ツリー'!$E$5:$E$679,$A322,'02_ツリー'!$O$5:$O$679,0)=0))</f>
        <v>0</v>
      </c>
      <c r="F322" s="1">
        <f t="shared" si="13"/>
        <v>0</v>
      </c>
      <c r="G322" s="1">
        <f t="shared" si="14"/>
        <v>0</v>
      </c>
      <c r="H322" s="1"/>
      <c r="I322" s="1"/>
      <c r="J322" s="1"/>
      <c r="K322" s="1"/>
      <c r="L322" s="1"/>
    </row>
    <row r="323" spans="1:12">
      <c r="A323" s="1" t="str">
        <f>IFERROR(INDEX('02_ツリー'!$E$5:$E$679,MATCH(ROW()-10,'02_ツリー'!$R$5:$R$679,0)),"")</f>
        <v>DeltaP</v>
      </c>
      <c r="B323" s="1">
        <f>IF($A323="","",SUMIFS('02_ツリー'!$K$5:$K$679,'02_ツリー'!$E$5:$E$679,$A323,'02_ツリー'!$K$5:$K$679,"&gt;0"))</f>
        <v>3.1422279748356206E-5</v>
      </c>
      <c r="C323" s="1">
        <f>IF($A323="","",SUMIFS('02_ツリー'!$K$5:$K$679,'02_ツリー'!$E$5:$E$679,$A323,'02_ツリー'!$K$5:$K$679,"&lt;0"))</f>
        <v>0</v>
      </c>
      <c r="D323" s="1">
        <f t="shared" si="12"/>
        <v>3.1422279748356206E-5</v>
      </c>
      <c r="E323" s="1">
        <f>IF($A323="","",--(COUNTIFS('02_ツリー'!$E$5:$E$679,$A323,'02_ツリー'!$O$5:$O$679,0)=0))</f>
        <v>0</v>
      </c>
      <c r="F323" s="1">
        <f t="shared" si="13"/>
        <v>0</v>
      </c>
      <c r="G323" s="1">
        <f t="shared" si="14"/>
        <v>0</v>
      </c>
      <c r="H323" s="1"/>
      <c r="I323" s="1"/>
      <c r="J323" s="1"/>
      <c r="K323" s="1"/>
      <c r="L323" s="1"/>
    </row>
    <row r="324" spans="1:12">
      <c r="A324" s="1" t="str">
        <f>IFERROR(INDEX('02_ツリー'!$E$5:$E$679,MATCH(ROW()-10,'02_ツリー'!$R$5:$R$679,0)),"")</f>
        <v>Q_flow</v>
      </c>
      <c r="B324" s="1">
        <f>IF($A324="","",SUMIFS('02_ツリー'!$K$5:$K$679,'02_ツリー'!$E$5:$E$679,$A324,'02_ツリー'!$K$5:$K$679,"&gt;0"))</f>
        <v>5.6560103547041174E-5</v>
      </c>
      <c r="C324" s="1">
        <f>IF($A324="","",SUMIFS('02_ツリー'!$K$5:$K$679,'02_ツリー'!$E$5:$E$679,$A324,'02_ツリー'!$K$5:$K$679,"&lt;0"))</f>
        <v>0</v>
      </c>
      <c r="D324" s="1">
        <f t="shared" si="12"/>
        <v>5.6560103547041174E-5</v>
      </c>
      <c r="E324" s="1">
        <f>IF($A324="","",--(COUNTIFS('02_ツリー'!$E$5:$E$679,$A324,'02_ツリー'!$O$5:$O$679,0)=0))</f>
        <v>1</v>
      </c>
      <c r="F324" s="1">
        <f t="shared" si="13"/>
        <v>0</v>
      </c>
      <c r="G324" s="1">
        <f t="shared" si="14"/>
        <v>0</v>
      </c>
      <c r="H324" s="1"/>
      <c r="I324" s="1"/>
      <c r="J324" s="1"/>
      <c r="K324" s="1"/>
      <c r="L324" s="1"/>
    </row>
    <row r="325" spans="1:12">
      <c r="A325" s="1" t="str">
        <f>IFERROR(INDEX('02_ツリー'!$E$5:$E$679,MATCH(ROW()-10,'02_ツリー'!$R$5:$R$679,0)),"")</f>
        <v>fin_density</v>
      </c>
      <c r="B325" s="1">
        <f>IF($A325="","",SUMIFS('02_ツリー'!$K$5:$K$679,'02_ツリー'!$E$5:$E$679,$A325,'02_ツリー'!$K$5:$K$679,"&gt;0"))</f>
        <v>5.3417875572205546E-5</v>
      </c>
      <c r="C325" s="1">
        <f>IF($A325="","",SUMIFS('02_ツリー'!$K$5:$K$679,'02_ツリー'!$E$5:$E$679,$A325,'02_ツリー'!$K$5:$K$679,"&lt;0"))</f>
        <v>-8.8253880736053291E-4</v>
      </c>
      <c r="D325" s="1">
        <f t="shared" si="12"/>
        <v>-8.2912093178832741E-4</v>
      </c>
      <c r="E325" s="1">
        <f>IF($A325="","",--(COUNTIFS('02_ツリー'!$E$5:$E$679,$A325,'02_ツリー'!$O$5:$O$679,0)=0))</f>
        <v>1</v>
      </c>
      <c r="F325" s="1">
        <f t="shared" si="13"/>
        <v>1</v>
      </c>
      <c r="G325" s="1">
        <f t="shared" si="14"/>
        <v>0</v>
      </c>
      <c r="H325" s="1"/>
      <c r="I325" s="1"/>
      <c r="J325" s="1"/>
      <c r="K325" s="1"/>
      <c r="L325" s="1"/>
    </row>
    <row r="326" spans="1:12">
      <c r="A326" s="1" t="str">
        <f>IFERROR(INDEX('02_ツリー'!$E$5:$E$679,MATCH(ROW()-10,'02_ツリー'!$R$5:$R$679,0)),"")</f>
        <v>eta_pump</v>
      </c>
      <c r="B326" s="1">
        <f>IF($A326="","",SUMIFS('02_ツリー'!$K$5:$K$679,'02_ツリー'!$E$5:$E$679,$A326,'02_ツリー'!$K$5:$K$679,"&gt;0"))</f>
        <v>0</v>
      </c>
      <c r="C326" s="1">
        <f>IF($A326="","",SUMIFS('02_ツリー'!$K$5:$K$679,'02_ツリー'!$E$5:$E$679,$A326,'02_ツリー'!$K$5:$K$679,"&lt;0"))</f>
        <v>-3.1422279748356206E-5</v>
      </c>
      <c r="D326" s="1">
        <f t="shared" si="12"/>
        <v>-3.1422279748356206E-5</v>
      </c>
      <c r="E326" s="1">
        <f>IF($A326="","",--(COUNTIFS('02_ツリー'!$E$5:$E$679,$A326,'02_ツリー'!$O$5:$O$679,0)=0))</f>
        <v>1</v>
      </c>
      <c r="F326" s="1">
        <f t="shared" si="13"/>
        <v>0</v>
      </c>
      <c r="G326" s="1">
        <f t="shared" si="14"/>
        <v>0</v>
      </c>
      <c r="H326" s="1"/>
      <c r="I326" s="1"/>
      <c r="J326" s="1"/>
      <c r="K326" s="1"/>
      <c r="L326" s="1"/>
    </row>
    <row r="327" spans="1:12">
      <c r="A327" s="1" t="str">
        <f>IFERROR(INDEX('02_ツリー'!$E$5:$E$679,MATCH(ROW()-10,'02_ツリー'!$R$5:$R$679,0)),"")</f>
        <v>k_m_pump</v>
      </c>
      <c r="B327" s="1">
        <f>IF($A327="","",SUMIFS('02_ツリー'!$K$5:$K$679,'02_ツリー'!$E$5:$E$679,$A327,'02_ツリー'!$K$5:$K$679,"&gt;0"))</f>
        <v>1.205974272994133E-2</v>
      </c>
      <c r="C327" s="1">
        <f>IF($A327="","",SUMIFS('02_ツリー'!$K$5:$K$679,'02_ツリー'!$E$5:$E$679,$A327,'02_ツリー'!$K$5:$K$679,"&lt;0"))</f>
        <v>0</v>
      </c>
      <c r="D327" s="1">
        <f t="shared" si="12"/>
        <v>1.205974272994133E-2</v>
      </c>
      <c r="E327" s="1">
        <f>IF($A327="","",--(COUNTIFS('02_ツリー'!$E$5:$E$679,$A327,'02_ツリー'!$O$5:$O$679,0)=0))</f>
        <v>1</v>
      </c>
      <c r="F327" s="1">
        <f t="shared" si="13"/>
        <v>0</v>
      </c>
      <c r="G327" s="1">
        <f t="shared" si="14"/>
        <v>0</v>
      </c>
      <c r="H327" s="1"/>
      <c r="I327" s="1"/>
      <c r="J327" s="1"/>
      <c r="K327" s="1"/>
      <c r="L327" s="1"/>
    </row>
    <row r="328" spans="1:12">
      <c r="A328" s="1" t="str">
        <f>IFERROR(INDEX('02_ツリー'!$E$5:$E$679,MATCH(ROW()-10,'02_ツリー'!$R$5:$R$679,0)),"")</f>
        <v>k_fin_density</v>
      </c>
      <c r="B328" s="1">
        <f>IF($A328="","",SUMIFS('02_ツリー'!$K$5:$K$679,'02_ツリー'!$E$5:$E$679,$A328,'02_ツリー'!$K$5:$K$679,"&gt;0"))</f>
        <v>0</v>
      </c>
      <c r="C328" s="1">
        <f>IF($A328="","",SUMIFS('02_ツリー'!$K$5:$K$679,'02_ツリー'!$E$5:$E$679,$A328,'02_ツリー'!$K$5:$K$679,"&lt;0"))</f>
        <v>-1.3577520113238967E-3</v>
      </c>
      <c r="D328" s="1">
        <f t="shared" si="12"/>
        <v>-1.3577520113238967E-3</v>
      </c>
      <c r="E328" s="1">
        <f>IF($A328="","",--(COUNTIFS('02_ツリー'!$E$5:$E$679,$A328,'02_ツリー'!$O$5:$O$679,0)=0))</f>
        <v>0</v>
      </c>
      <c r="F328" s="1">
        <f t="shared" si="13"/>
        <v>0</v>
      </c>
      <c r="G328" s="1">
        <f t="shared" si="14"/>
        <v>0</v>
      </c>
      <c r="H328" s="1"/>
      <c r="I328" s="1"/>
      <c r="J328" s="1"/>
      <c r="K328" s="1"/>
      <c r="L328" s="1"/>
    </row>
    <row r="329" spans="1:12">
      <c r="A329" s="1" t="str">
        <f>IFERROR(INDEX('02_ツリー'!$E$5:$E$679,MATCH(ROW()-10,'02_ツリー'!$R$5:$R$679,0)),"")</f>
        <v>k_TIM_cool</v>
      </c>
      <c r="B329" s="1">
        <f>IF($A329="","",SUMIFS('02_ツリー'!$K$5:$K$679,'02_ツリー'!$E$5:$E$679,$A329,'02_ツリー'!$K$5:$K$679,"&gt;0"))</f>
        <v>1.3577520113238967E-3</v>
      </c>
      <c r="C329" s="1">
        <f>IF($A329="","",SUMIFS('02_ツリー'!$K$5:$K$679,'02_ツリー'!$E$5:$E$679,$A329,'02_ツリー'!$K$5:$K$679,"&lt;0"))</f>
        <v>0</v>
      </c>
      <c r="D329" s="1">
        <f t="shared" si="12"/>
        <v>1.3577520113238967E-3</v>
      </c>
      <c r="E329" s="1">
        <f>IF($A329="","",--(COUNTIFS('02_ツリー'!$E$5:$E$679,$A329,'02_ツリー'!$O$5:$O$679,0)=0))</f>
        <v>0</v>
      </c>
      <c r="F329" s="1">
        <f t="shared" si="13"/>
        <v>0</v>
      </c>
      <c r="G329" s="1">
        <f t="shared" si="14"/>
        <v>0</v>
      </c>
      <c r="H329" s="1"/>
      <c r="I329" s="1"/>
      <c r="J329" s="1"/>
      <c r="K329" s="1"/>
      <c r="L329" s="1"/>
    </row>
    <row r="330" spans="1:12">
      <c r="A330" s="1" t="str">
        <f>IFERROR(INDEX('02_ツリー'!$E$5:$E$679,MATCH(ROW()-10,'02_ツリー'!$R$5:$R$679,0)),"")</f>
        <v>Rth_TIM</v>
      </c>
      <c r="B330" s="1">
        <f>IF($A330="","",SUMIFS('02_ツリー'!$K$5:$K$679,'02_ツリー'!$E$5:$E$679,$A330,'02_ツリー'!$K$5:$K$679,"&gt;0"))</f>
        <v>1.3577520113238967E-3</v>
      </c>
      <c r="C330" s="1">
        <f>IF($A330="","",SUMIFS('02_ツリー'!$K$5:$K$679,'02_ツリー'!$E$5:$E$679,$A330,'02_ツリー'!$K$5:$K$679,"&lt;0"))</f>
        <v>0</v>
      </c>
      <c r="D330" s="1">
        <f t="shared" si="12"/>
        <v>1.3577520113238967E-3</v>
      </c>
      <c r="E330" s="1">
        <f>IF($A330="","",--(COUNTIFS('02_ツリー'!$E$5:$E$679,$A330,'02_ツリー'!$O$5:$O$679,0)=0))</f>
        <v>0</v>
      </c>
      <c r="F330" s="1">
        <f t="shared" si="13"/>
        <v>0</v>
      </c>
      <c r="G330" s="1">
        <f t="shared" si="14"/>
        <v>0</v>
      </c>
      <c r="H330" s="1"/>
      <c r="I330" s="1"/>
      <c r="J330" s="1"/>
      <c r="K330" s="1"/>
      <c r="L330" s="1"/>
    </row>
    <row r="331" spans="1:12">
      <c r="A331" s="1" t="str">
        <f>IFERROR(INDEX('02_ツリー'!$E$5:$E$679,MATCH(ROW()-10,'02_ツリー'!$R$5:$R$679,0)),"")</f>
        <v>t_TIM</v>
      </c>
      <c r="B331" s="1">
        <f>IF($A331="","",SUMIFS('02_ツリー'!$K$5:$K$679,'02_ツリー'!$E$5:$E$679,$A331,'02_ツリー'!$K$5:$K$679,"&gt;0"))</f>
        <v>1.3577520113238967E-3</v>
      </c>
      <c r="C331" s="1">
        <f>IF($A331="","",SUMIFS('02_ツリー'!$K$5:$K$679,'02_ツリー'!$E$5:$E$679,$A331,'02_ツリー'!$K$5:$K$679,"&lt;0"))</f>
        <v>0</v>
      </c>
      <c r="D331" s="1">
        <f t="shared" ref="D331:D394" si="15">IF($A331="","",B331+C331)</f>
        <v>1.3577520113238967E-3</v>
      </c>
      <c r="E331" s="1">
        <f>IF($A331="","",--(COUNTIFS('02_ツリー'!$E$5:$E$679,$A331,'02_ツリー'!$O$5:$O$679,0)=0))</f>
        <v>1</v>
      </c>
      <c r="F331" s="1">
        <f t="shared" ref="F331:F394" si="16">IF($A331="","",--AND(B331&gt;0,C331&lt;0))</f>
        <v>0</v>
      </c>
      <c r="G331" s="1">
        <f t="shared" ref="G331:G394" si="17">IF($A331="","",--(LEFT(A331,7)="Enable_"))</f>
        <v>0</v>
      </c>
      <c r="H331" s="1"/>
      <c r="I331" s="1"/>
      <c r="J331" s="1"/>
      <c r="K331" s="1"/>
      <c r="L331" s="1"/>
    </row>
    <row r="332" spans="1:12">
      <c r="A332" s="1" t="str">
        <f>IFERROR(INDEX('02_ツリー'!$E$5:$E$679,MATCH(ROW()-10,'02_ツリー'!$R$5:$R$679,0)),"")</f>
        <v>k_TIM</v>
      </c>
      <c r="B332" s="1">
        <f>IF($A332="","",SUMIFS('02_ツリー'!$K$5:$K$679,'02_ツリー'!$E$5:$E$679,$A332,'02_ツリー'!$K$5:$K$679,"&gt;0"))</f>
        <v>0</v>
      </c>
      <c r="C332" s="1">
        <f>IF($A332="","",SUMIFS('02_ツリー'!$K$5:$K$679,'02_ツリー'!$E$5:$E$679,$A332,'02_ツリー'!$K$5:$K$679,"&lt;0"))</f>
        <v>-1.3577520113238967E-3</v>
      </c>
      <c r="D332" s="1">
        <f t="shared" si="15"/>
        <v>-1.3577520113238967E-3</v>
      </c>
      <c r="E332" s="1">
        <f>IF($A332="","",--(COUNTIFS('02_ツリー'!$E$5:$E$679,$A332,'02_ツリー'!$O$5:$O$679,0)=0))</f>
        <v>1</v>
      </c>
      <c r="F332" s="1">
        <f t="shared" si="16"/>
        <v>0</v>
      </c>
      <c r="G332" s="1">
        <f t="shared" si="17"/>
        <v>0</v>
      </c>
      <c r="H332" s="1"/>
      <c r="I332" s="1"/>
      <c r="J332" s="1"/>
      <c r="K332" s="1"/>
      <c r="L332" s="1"/>
    </row>
    <row r="333" spans="1:12">
      <c r="A333" s="1" t="str">
        <f>IFERROR(INDEX('02_ツリー'!$E$5:$E$679,MATCH(ROW()-10,'02_ツリー'!$R$5:$R$679,0)),"")</f>
        <v>p_mount</v>
      </c>
      <c r="B333" s="1">
        <f>IF($A333="","",SUMIFS('02_ツリー'!$K$5:$K$679,'02_ツリー'!$E$5:$E$679,$A333,'02_ツリー'!$K$5:$K$679,"&gt;0"))</f>
        <v>2.0099571216568887E-3</v>
      </c>
      <c r="C333" s="1">
        <f>IF($A333="","",SUMIFS('02_ツリー'!$K$5:$K$679,'02_ツリー'!$E$5:$E$679,$A333,'02_ツリー'!$K$5:$K$679,"&lt;0"))</f>
        <v>-3.3943800283097418E-4</v>
      </c>
      <c r="D333" s="1">
        <f t="shared" si="15"/>
        <v>1.6705191188259145E-3</v>
      </c>
      <c r="E333" s="1">
        <f>IF($A333="","",--(COUNTIFS('02_ツリー'!$E$5:$E$679,$A333,'02_ツリー'!$O$5:$O$679,0)=0))</f>
        <v>1</v>
      </c>
      <c r="F333" s="1">
        <f t="shared" si="16"/>
        <v>1</v>
      </c>
      <c r="G333" s="1">
        <f t="shared" si="17"/>
        <v>0</v>
      </c>
      <c r="H333" s="1"/>
      <c r="I333" s="1"/>
      <c r="J333" s="1"/>
      <c r="K333" s="1"/>
      <c r="L333" s="1"/>
    </row>
    <row r="334" spans="1:12">
      <c r="A334" s="1" t="str">
        <f>IFERROR(INDEX('02_ツリー'!$E$5:$E$679,MATCH(ROW()-10,'02_ツリー'!$R$5:$R$679,0)),"")</f>
        <v>m_clamp</v>
      </c>
      <c r="B334" s="1">
        <f>IF($A334="","",SUMIFS('02_ツリー'!$K$5:$K$679,'02_ツリー'!$E$5:$E$679,$A334,'02_ツリー'!$K$5:$K$679,"&gt;0"))</f>
        <v>4.0199142433137774E-3</v>
      </c>
      <c r="C334" s="1">
        <f>IF($A334="","",SUMIFS('02_ツリー'!$K$5:$K$679,'02_ツリー'!$E$5:$E$679,$A334,'02_ツリー'!$K$5:$K$679,"&lt;0"))</f>
        <v>0</v>
      </c>
      <c r="D334" s="1">
        <f t="shared" si="15"/>
        <v>4.0199142433137774E-3</v>
      </c>
      <c r="E334" s="1">
        <f>IF($A334="","",--(COUNTIFS('02_ツリー'!$E$5:$E$679,$A334,'02_ツリー'!$O$5:$O$679,0)=0))</f>
        <v>0</v>
      </c>
      <c r="F334" s="1">
        <f t="shared" si="16"/>
        <v>0</v>
      </c>
      <c r="G334" s="1">
        <f t="shared" si="17"/>
        <v>0</v>
      </c>
      <c r="H334" s="1"/>
      <c r="I334" s="1"/>
      <c r="J334" s="1"/>
      <c r="K334" s="1"/>
      <c r="L334" s="1"/>
    </row>
    <row r="335" spans="1:12">
      <c r="A335" s="1" t="str">
        <f>IFERROR(INDEX('02_ツリー'!$E$5:$E$679,MATCH(ROW()-10,'02_ツリー'!$R$5:$R$679,0)),"")</f>
        <v>k_Tj_cool</v>
      </c>
      <c r="B335" s="1">
        <f>IF($A335="","",SUMIFS('02_ツリー'!$K$5:$K$679,'02_ツリー'!$E$5:$E$679,$A335,'02_ツリー'!$K$5:$K$679,"&gt;0"))</f>
        <v>1.3577520113238967E-3</v>
      </c>
      <c r="C335" s="1">
        <f>IF($A335="","",SUMIFS('02_ツリー'!$K$5:$K$679,'02_ツリー'!$E$5:$E$679,$A335,'02_ツリー'!$K$5:$K$679,"&lt;0"))</f>
        <v>0</v>
      </c>
      <c r="D335" s="1">
        <f t="shared" si="15"/>
        <v>1.3577520113238967E-3</v>
      </c>
      <c r="E335" s="1">
        <f>IF($A335="","",--(COUNTIFS('02_ツリー'!$E$5:$E$679,$A335,'02_ツリー'!$O$5:$O$679,0)=0))</f>
        <v>0</v>
      </c>
      <c r="F335" s="1">
        <f t="shared" si="16"/>
        <v>0</v>
      </c>
      <c r="G335" s="1">
        <f t="shared" si="17"/>
        <v>0</v>
      </c>
      <c r="H335" s="1"/>
      <c r="I335" s="1"/>
      <c r="J335" s="1"/>
      <c r="K335" s="1"/>
      <c r="L335" s="1"/>
    </row>
    <row r="336" spans="1:12">
      <c r="A336" s="1" t="str">
        <f>IFERROR(INDEX('02_ツリー'!$E$5:$E$679,MATCH(ROW()-10,'02_ツリー'!$R$5:$R$679,0)),"")</f>
        <v>Tj_target</v>
      </c>
      <c r="B336" s="1">
        <f>IF($A336="","",SUMIFS('02_ツリー'!$K$5:$K$679,'02_ツリー'!$E$5:$E$679,$A336,'02_ツリー'!$K$5:$K$679,"&gt;0"))</f>
        <v>1.0719580655133723E-5</v>
      </c>
      <c r="C336" s="1">
        <f>IF($A336="","",SUMIFS('02_ツリー'!$K$5:$K$679,'02_ツリー'!$E$5:$E$679,$A336,'02_ツリー'!$K$5:$K$679,"&lt;0"))</f>
        <v>-2.3960329611598177E-3</v>
      </c>
      <c r="D336" s="1">
        <f t="shared" si="15"/>
        <v>-2.3853133805046842E-3</v>
      </c>
      <c r="E336" s="1">
        <f>IF($A336="","",--(COUNTIFS('02_ツリー'!$E$5:$E$679,$A336,'02_ツリー'!$O$5:$O$679,0)=0))</f>
        <v>1</v>
      </c>
      <c r="F336" s="1">
        <f t="shared" si="16"/>
        <v>1</v>
      </c>
      <c r="G336" s="1">
        <f t="shared" si="17"/>
        <v>0</v>
      </c>
      <c r="H336" s="1"/>
      <c r="I336" s="1"/>
      <c r="J336" s="1"/>
      <c r="K336" s="1"/>
      <c r="L336" s="1"/>
    </row>
    <row r="337" spans="1:12">
      <c r="A337" s="1" t="str">
        <f>IFERROR(INDEX('02_ツリー'!$E$5:$E$679,MATCH(ROW()-10,'02_ツリー'!$R$5:$R$679,0)),"")</f>
        <v>k_Ron_T</v>
      </c>
      <c r="B337" s="1">
        <f>IF($A337="","",SUMIFS('02_ツリー'!$K$5:$K$679,'02_ツリー'!$E$5:$E$679,$A337,'02_ツリー'!$K$5:$K$679,"&gt;0"))</f>
        <v>2.2204845642776994E-5</v>
      </c>
      <c r="C337" s="1">
        <f>IF($A337="","",SUMIFS('02_ツリー'!$K$5:$K$679,'02_ツリー'!$E$5:$E$679,$A337,'02_ツリー'!$K$5:$K$679,"&lt;0"))</f>
        <v>0</v>
      </c>
      <c r="D337" s="1">
        <f t="shared" si="15"/>
        <v>2.2204845642776994E-5</v>
      </c>
      <c r="E337" s="1">
        <f>IF($A337="","",--(COUNTIFS('02_ツリー'!$E$5:$E$679,$A337,'02_ツリー'!$O$5:$O$679,0)=0))</f>
        <v>0</v>
      </c>
      <c r="F337" s="1">
        <f t="shared" si="16"/>
        <v>0</v>
      </c>
      <c r="G337" s="1">
        <f t="shared" si="17"/>
        <v>0</v>
      </c>
      <c r="H337" s="1"/>
      <c r="I337" s="1"/>
      <c r="J337" s="1"/>
      <c r="K337" s="1"/>
      <c r="L337" s="1"/>
    </row>
    <row r="338" spans="1:12">
      <c r="A338" s="1" t="str">
        <f>IFERROR(INDEX('02_ツリー'!$E$5:$E$679,MATCH(ROW()-10,'02_ツリー'!$R$5:$R$679,0)),"")</f>
        <v>M_bus_stack</v>
      </c>
      <c r="B338" s="1">
        <f>IF($A338="","",SUMIFS('02_ツリー'!$K$5:$K$679,'02_ツリー'!$E$5:$E$679,$A338,'02_ツリー'!$K$5:$K$679,"&gt;0"))</f>
        <v>6.4318627893020421E-3</v>
      </c>
      <c r="C338" s="1">
        <f>IF($A338="","",SUMIFS('02_ツリー'!$K$5:$K$679,'02_ツリー'!$E$5:$E$679,$A338,'02_ツリー'!$K$5:$K$679,"&lt;0"))</f>
        <v>0</v>
      </c>
      <c r="D338" s="1">
        <f t="shared" si="15"/>
        <v>6.4318627893020421E-3</v>
      </c>
      <c r="E338" s="1">
        <f>IF($A338="","",--(COUNTIFS('02_ツリー'!$E$5:$E$679,$A338,'02_ツリー'!$O$5:$O$679,0)=0))</f>
        <v>0</v>
      </c>
      <c r="F338" s="1">
        <f t="shared" si="16"/>
        <v>0</v>
      </c>
      <c r="G338" s="1">
        <f t="shared" si="17"/>
        <v>0</v>
      </c>
      <c r="H338" s="1"/>
      <c r="I338" s="1"/>
      <c r="J338" s="1"/>
      <c r="K338" s="1"/>
      <c r="L338" s="1"/>
    </row>
    <row r="339" spans="1:12">
      <c r="A339" s="1" t="str">
        <f>IFERROR(INDEX('02_ツリー'!$E$5:$E$679,MATCH(ROW()-10,'02_ツリー'!$R$5:$R$679,0)),"")</f>
        <v>Enable_Al_bus</v>
      </c>
      <c r="B339" s="1">
        <f>IF($A339="","",SUMIFS('02_ツリー'!$K$5:$K$679,'02_ツリー'!$E$5:$E$679,$A339,'02_ツリー'!$K$5:$K$679,"&gt;0"))</f>
        <v>0</v>
      </c>
      <c r="C339" s="1">
        <f>IF($A339="","",SUMIFS('02_ツリー'!$K$5:$K$679,'02_ツリー'!$E$5:$E$679,$A339,'02_ツリー'!$K$5:$K$679,"&lt;0"))</f>
        <v>-4.5941323869407968E-2</v>
      </c>
      <c r="D339" s="1">
        <f t="shared" si="15"/>
        <v>-4.5941323869407968E-2</v>
      </c>
      <c r="E339" s="1">
        <f>IF($A339="","",--(COUNTIFS('02_ツリー'!$E$5:$E$679,$A339,'02_ツリー'!$O$5:$O$679,0)=0))</f>
        <v>1</v>
      </c>
      <c r="F339" s="1">
        <f t="shared" si="16"/>
        <v>0</v>
      </c>
      <c r="G339" s="1">
        <f t="shared" si="17"/>
        <v>1</v>
      </c>
      <c r="H339" s="1"/>
      <c r="I339" s="1"/>
      <c r="J339" s="1"/>
      <c r="K339" s="1"/>
      <c r="L339" s="1"/>
    </row>
    <row r="340" spans="1:12">
      <c r="A340" s="1" t="str">
        <f>IFERROR(INDEX('02_ツリー'!$E$5:$E$679,MATCH(ROW()-10,'02_ツリー'!$R$5:$R$679,0)),"")</f>
        <v>P_bus_ac</v>
      </c>
      <c r="B340" s="1">
        <f>IF($A340="","",SUMIFS('02_ツリー'!$K$5:$K$679,'02_ツリー'!$E$5:$E$679,$A340,'02_ツリー'!$K$5:$K$679,"&gt;0"))</f>
        <v>1.8231163784260635E-5</v>
      </c>
      <c r="C340" s="1">
        <f>IF($A340="","",SUMIFS('02_ツリー'!$K$5:$K$679,'02_ツリー'!$E$5:$E$679,$A340,'02_ツリー'!$K$5:$K$679,"&lt;0"))</f>
        <v>0</v>
      </c>
      <c r="D340" s="1">
        <f t="shared" si="15"/>
        <v>1.8231163784260635E-5</v>
      </c>
      <c r="E340" s="1">
        <f>IF($A340="","",--(COUNTIFS('02_ツリー'!$E$5:$E$679,$A340,'02_ツリー'!$O$5:$O$679,0)=0))</f>
        <v>0</v>
      </c>
      <c r="F340" s="1">
        <f t="shared" si="16"/>
        <v>0</v>
      </c>
      <c r="G340" s="1">
        <f t="shared" si="17"/>
        <v>0</v>
      </c>
      <c r="H340" s="1"/>
      <c r="I340" s="1"/>
      <c r="J340" s="1"/>
      <c r="K340" s="1"/>
      <c r="L340" s="1"/>
    </row>
    <row r="341" spans="1:12">
      <c r="A341" s="1" t="str">
        <f>IFERROR(INDEX('02_ツリー'!$E$5:$E$679,MATCH(ROW()-10,'02_ツリー'!$R$5:$R$679,0)),"")</f>
        <v>k_ac_bus</v>
      </c>
      <c r="B341" s="1">
        <f>IF($A341="","",SUMIFS('02_ツリー'!$K$5:$K$679,'02_ツリー'!$E$5:$E$679,$A341,'02_ツリー'!$K$5:$K$679,"&gt;0"))</f>
        <v>4.0518306533610195E-5</v>
      </c>
      <c r="C341" s="1">
        <f>IF($A341="","",SUMIFS('02_ツリー'!$K$5:$K$679,'02_ツリー'!$E$5:$E$679,$A341,'02_ツリー'!$K$5:$K$679,"&lt;0"))</f>
        <v>0</v>
      </c>
      <c r="D341" s="1">
        <f t="shared" si="15"/>
        <v>4.0518306533610195E-5</v>
      </c>
      <c r="E341" s="1">
        <f>IF($A341="","",--(COUNTIFS('02_ツリー'!$E$5:$E$679,$A341,'02_ツリー'!$O$5:$O$679,0)=0))</f>
        <v>0</v>
      </c>
      <c r="F341" s="1">
        <f t="shared" si="16"/>
        <v>0</v>
      </c>
      <c r="G341" s="1">
        <f t="shared" si="17"/>
        <v>0</v>
      </c>
      <c r="H341" s="1"/>
      <c r="I341" s="1"/>
      <c r="J341" s="1"/>
      <c r="K341" s="1"/>
      <c r="L341" s="1"/>
    </row>
    <row r="342" spans="1:12">
      <c r="A342" s="1" t="str">
        <f>IFERROR(INDEX('02_ツリー'!$E$5:$E$679,MATCH(ROW()-10,'02_ツリー'!$R$5:$R$679,0)),"")</f>
        <v>N_laminate</v>
      </c>
      <c r="B342" s="1">
        <f>IF($A342="","",SUMIFS('02_ツリー'!$K$5:$K$679,'02_ツリー'!$E$5:$E$679,$A342,'02_ツリー'!$K$5:$K$679,"&gt;0"))</f>
        <v>2.8139399703196438E-3</v>
      </c>
      <c r="C342" s="1">
        <f>IF($A342="","",SUMIFS('02_ツリー'!$K$5:$K$679,'02_ツリー'!$E$5:$E$679,$A342,'02_ツリー'!$K$5:$K$679,"&lt;0"))</f>
        <v>-4.0518306533610195E-5</v>
      </c>
      <c r="D342" s="1">
        <f t="shared" si="15"/>
        <v>2.7734216637860334E-3</v>
      </c>
      <c r="E342" s="1">
        <f>IF($A342="","",--(COUNTIFS('02_ツリー'!$E$5:$E$679,$A342,'02_ツリー'!$O$5:$O$679,0)=0))</f>
        <v>1</v>
      </c>
      <c r="F342" s="1">
        <f t="shared" si="16"/>
        <v>1</v>
      </c>
      <c r="G342" s="1">
        <f t="shared" si="17"/>
        <v>0</v>
      </c>
      <c r="H342" s="1"/>
      <c r="I342" s="1"/>
      <c r="J342" s="1"/>
      <c r="K342" s="1"/>
      <c r="L342" s="1"/>
    </row>
    <row r="343" spans="1:12">
      <c r="A343" s="1" t="str">
        <f>IFERROR(INDEX('02_ツリー'!$E$5:$E$679,MATCH(ROW()-10,'02_ツリー'!$R$5:$R$679,0)),"")</f>
        <v>M_laminate</v>
      </c>
      <c r="B343" s="1">
        <f>IF($A343="","",SUMIFS('02_ツリー'!$K$5:$K$679,'02_ツリー'!$E$5:$E$679,$A343,'02_ツリー'!$K$5:$K$679,"&gt;0"))</f>
        <v>2.8139399703196438E-3</v>
      </c>
      <c r="C343" s="1">
        <f>IF($A343="","",SUMIFS('02_ツリー'!$K$5:$K$679,'02_ツリー'!$E$5:$E$679,$A343,'02_ツリー'!$K$5:$K$679,"&lt;0"))</f>
        <v>0</v>
      </c>
      <c r="D343" s="1">
        <f t="shared" si="15"/>
        <v>2.8139399703196438E-3</v>
      </c>
      <c r="E343" s="1">
        <f>IF($A343="","",--(COUNTIFS('02_ツリー'!$E$5:$E$679,$A343,'02_ツリー'!$O$5:$O$679,0)=0))</f>
        <v>0</v>
      </c>
      <c r="F343" s="1">
        <f t="shared" si="16"/>
        <v>0</v>
      </c>
      <c r="G343" s="1">
        <f t="shared" si="17"/>
        <v>0</v>
      </c>
      <c r="H343" s="1"/>
      <c r="I343" s="1"/>
      <c r="J343" s="1"/>
      <c r="K343" s="1"/>
      <c r="L343" s="1"/>
    </row>
    <row r="344" spans="1:12">
      <c r="A344" s="1" t="str">
        <f>IFERROR(INDEX('02_ツリー'!$E$5:$E$679,MATCH(ROW()-10,'02_ツリー'!$R$5:$R$679,0)),"")</f>
        <v>P_dvdt_filter</v>
      </c>
      <c r="B344" s="1">
        <f>IF($A344="","",SUMIFS('02_ツリー'!$K$5:$K$679,'02_ツリー'!$E$5:$E$679,$A344,'02_ツリー'!$K$5:$K$679,"&gt;0"))</f>
        <v>0</v>
      </c>
      <c r="C344" s="1">
        <f>IF($A344="","",SUMIFS('02_ツリー'!$K$5:$K$679,'02_ツリー'!$E$5:$E$679,$A344,'02_ツリー'!$K$5:$K$679,"&lt;0"))</f>
        <v>0</v>
      </c>
      <c r="D344" s="1">
        <f t="shared" si="15"/>
        <v>0</v>
      </c>
      <c r="E344" s="1">
        <f>IF($A344="","",--(COUNTIFS('02_ツリー'!$E$5:$E$679,$A344,'02_ツリー'!$O$5:$O$679,0)=0))</f>
        <v>0</v>
      </c>
      <c r="F344" s="1">
        <f t="shared" si="16"/>
        <v>0</v>
      </c>
      <c r="G344" s="1">
        <f t="shared" si="17"/>
        <v>0</v>
      </c>
      <c r="H344" s="1"/>
      <c r="I344" s="1"/>
      <c r="J344" s="1"/>
      <c r="K344" s="1"/>
      <c r="L344" s="1"/>
    </row>
    <row r="345" spans="1:12">
      <c r="A345" s="1" t="str">
        <f>IFERROR(INDEX('02_ツリー'!$E$5:$E$679,MATCH(ROW()-10,'02_ツリー'!$R$5:$R$679,0)),"")</f>
        <v>Enable_dvdt_filter</v>
      </c>
      <c r="B345" s="1">
        <f>IF($A345="","",SUMIFS('02_ツリー'!$K$5:$K$679,'02_ツリー'!$E$5:$E$679,$A345,'02_ツリー'!$K$5:$K$679,"&gt;0"))</f>
        <v>2.5648723174157301E-3</v>
      </c>
      <c r="C345" s="1">
        <f>IF($A345="","",SUMIFS('02_ツリー'!$K$5:$K$679,'02_ツリー'!$E$5:$E$679,$A345,'02_ツリー'!$K$5:$K$679,"&lt;0"))</f>
        <v>0</v>
      </c>
      <c r="D345" s="1">
        <f t="shared" si="15"/>
        <v>2.5648723174157301E-3</v>
      </c>
      <c r="E345" s="1">
        <f>IF($A345="","",--(COUNTIFS('02_ツリー'!$E$5:$E$679,$A345,'02_ツリー'!$O$5:$O$679,0)=0))</f>
        <v>1</v>
      </c>
      <c r="F345" s="1">
        <f t="shared" si="16"/>
        <v>0</v>
      </c>
      <c r="G345" s="1">
        <f t="shared" si="17"/>
        <v>1</v>
      </c>
      <c r="H345" s="1"/>
      <c r="I345" s="1"/>
      <c r="J345" s="1"/>
      <c r="K345" s="1"/>
      <c r="L345" s="1"/>
    </row>
    <row r="346" spans="1:12">
      <c r="A346" s="1" t="str">
        <f>IFERROR(INDEX('02_ツリー'!$E$5:$E$679,MATCH(ROW()-10,'02_ツリー'!$R$5:$R$679,0)),"")</f>
        <v>M_CM_passive</v>
      </c>
      <c r="B346" s="1">
        <f>IF($A346="","",SUMIFS('02_ツリー'!$K$5:$K$679,'02_ツリー'!$E$5:$E$679,$A346,'02_ツリー'!$K$5:$K$679,"&gt;0"))</f>
        <v>0</v>
      </c>
      <c r="C346" s="1">
        <f>IF($A346="","",SUMIFS('02_ツリー'!$K$5:$K$679,'02_ツリー'!$E$5:$E$679,$A346,'02_ツリー'!$K$5:$K$679,"&lt;0"))</f>
        <v>0</v>
      </c>
      <c r="D346" s="1">
        <f t="shared" si="15"/>
        <v>0</v>
      </c>
      <c r="E346" s="1">
        <f>IF($A346="","",--(COUNTIFS('02_ツリー'!$E$5:$E$679,$A346,'02_ツリー'!$O$5:$O$679,0)=0))</f>
        <v>0</v>
      </c>
      <c r="F346" s="1">
        <f t="shared" si="16"/>
        <v>0</v>
      </c>
      <c r="G346" s="1">
        <f t="shared" si="17"/>
        <v>0</v>
      </c>
      <c r="H346" s="1"/>
      <c r="I346" s="1"/>
      <c r="J346" s="1"/>
      <c r="K346" s="1"/>
      <c r="L346" s="1"/>
    </row>
    <row r="347" spans="1:12">
      <c r="A347" s="1" t="str">
        <f>IFERROR(INDEX('02_ツリー'!$E$5:$E$679,MATCH(ROW()-10,'02_ツリー'!$R$5:$R$679,0)),"")</f>
        <v>M_shield</v>
      </c>
      <c r="B347" s="1">
        <f>IF($A347="","",SUMIFS('02_ツリー'!$K$5:$K$679,'02_ツリー'!$E$5:$E$679,$A347,'02_ツリー'!$K$5:$K$679,"&gt;0"))</f>
        <v>0</v>
      </c>
      <c r="C347" s="1">
        <f>IF($A347="","",SUMIFS('02_ツリー'!$K$5:$K$679,'02_ツリー'!$E$5:$E$679,$A347,'02_ツリー'!$K$5:$K$679,"&lt;0"))</f>
        <v>0</v>
      </c>
      <c r="D347" s="1">
        <f t="shared" si="15"/>
        <v>0</v>
      </c>
      <c r="E347" s="1">
        <f>IF($A347="","",--(COUNTIFS('02_ツリー'!$E$5:$E$679,$A347,'02_ツリー'!$O$5:$O$679,0)=0))</f>
        <v>0</v>
      </c>
      <c r="F347" s="1">
        <f t="shared" si="16"/>
        <v>0</v>
      </c>
      <c r="G347" s="1">
        <f t="shared" si="17"/>
        <v>0</v>
      </c>
      <c r="H347" s="1"/>
      <c r="I347" s="1"/>
      <c r="J347" s="1"/>
      <c r="K347" s="1"/>
      <c r="L347" s="1"/>
    </row>
    <row r="348" spans="1:12">
      <c r="A348" s="1" t="str">
        <f>IFERROR(INDEX('02_ツリー'!$E$5:$E$679,MATCH(ROW()-10,'02_ツリー'!$R$5:$R$679,0)),"")</f>
        <v>Enable_shield</v>
      </c>
      <c r="B348" s="1">
        <f>IF($A348="","",SUMIFS('02_ツリー'!$K$5:$K$679,'02_ツリー'!$E$5:$E$679,$A348,'02_ツリー'!$K$5:$K$679,"&gt;0"))</f>
        <v>9.6477941839530641E-3</v>
      </c>
      <c r="C348" s="1">
        <f>IF($A348="","",SUMIFS('02_ツリー'!$K$5:$K$679,'02_ツリー'!$E$5:$E$679,$A348,'02_ツリー'!$K$5:$K$679,"&lt;0"))</f>
        <v>0</v>
      </c>
      <c r="D348" s="1">
        <f t="shared" si="15"/>
        <v>9.6477941839530641E-3</v>
      </c>
      <c r="E348" s="1">
        <f>IF($A348="","",--(COUNTIFS('02_ツリー'!$E$5:$E$679,$A348,'02_ツリー'!$O$5:$O$679,0)=0))</f>
        <v>1</v>
      </c>
      <c r="F348" s="1">
        <f t="shared" si="16"/>
        <v>0</v>
      </c>
      <c r="G348" s="1">
        <f t="shared" si="17"/>
        <v>1</v>
      </c>
      <c r="H348" s="1"/>
      <c r="I348" s="1"/>
      <c r="J348" s="1"/>
      <c r="K348" s="1"/>
      <c r="L348" s="1"/>
    </row>
    <row r="349" spans="1:12">
      <c r="A349" s="1" t="str">
        <f>IFERROR(INDEX('02_ツリー'!$E$5:$E$679,MATCH(ROW()-10,'02_ツリー'!$R$5:$R$679,0)),"")</f>
        <v>P_shunt</v>
      </c>
      <c r="B349" s="1">
        <f>IF($A349="","",SUMIFS('02_ツリー'!$K$5:$K$679,'02_ツリー'!$E$5:$E$679,$A349,'02_ツリー'!$K$5:$K$679,"&gt;0"))</f>
        <v>7.7091371889265515E-5</v>
      </c>
      <c r="C349" s="1">
        <f>IF($A349="","",SUMIFS('02_ツリー'!$K$5:$K$679,'02_ツリー'!$E$5:$E$679,$A349,'02_ツリー'!$K$5:$K$679,"&lt;0"))</f>
        <v>0</v>
      </c>
      <c r="D349" s="1">
        <f t="shared" si="15"/>
        <v>7.7091371889265515E-5</v>
      </c>
      <c r="E349" s="1">
        <f>IF($A349="","",--(COUNTIFS('02_ツリー'!$E$5:$E$679,$A349,'02_ツリー'!$O$5:$O$679,0)=0))</f>
        <v>0</v>
      </c>
      <c r="F349" s="1">
        <f t="shared" si="16"/>
        <v>0</v>
      </c>
      <c r="G349" s="1">
        <f t="shared" si="17"/>
        <v>0</v>
      </c>
      <c r="H349" s="1"/>
      <c r="I349" s="1"/>
      <c r="J349" s="1"/>
      <c r="K349" s="1"/>
      <c r="L349" s="1"/>
    </row>
    <row r="350" spans="1:12">
      <c r="A350" s="1" t="str">
        <f>IFERROR(INDEX('02_ツリー'!$E$5:$E$679,MATCH(ROW()-10,'02_ツリー'!$R$5:$R$679,0)),"")</f>
        <v>R_shunt</v>
      </c>
      <c r="B350" s="1">
        <f>IF($A350="","",SUMIFS('02_ツリー'!$K$5:$K$679,'02_ツリー'!$E$5:$E$679,$A350,'02_ツリー'!$K$5:$K$679,"&gt;0"))</f>
        <v>7.7091371889265515E-5</v>
      </c>
      <c r="C350" s="1">
        <f>IF($A350="","",SUMIFS('02_ツリー'!$K$5:$K$679,'02_ツリー'!$E$5:$E$679,$A350,'02_ツリー'!$K$5:$K$679,"&lt;0"))</f>
        <v>-8.4418199109589313E-4</v>
      </c>
      <c r="D350" s="1">
        <f t="shared" si="15"/>
        <v>-7.670906192066276E-4</v>
      </c>
      <c r="E350" s="1">
        <f>IF($A350="","",--(COUNTIFS('02_ツリー'!$E$5:$E$679,$A350,'02_ツリー'!$O$5:$O$679,0)=0))</f>
        <v>1</v>
      </c>
      <c r="F350" s="1">
        <f t="shared" si="16"/>
        <v>1</v>
      </c>
      <c r="G350" s="1">
        <f t="shared" si="17"/>
        <v>0</v>
      </c>
      <c r="H350" s="1"/>
      <c r="I350" s="1"/>
      <c r="J350" s="1"/>
      <c r="K350" s="1"/>
      <c r="L350" s="1"/>
    </row>
    <row r="351" spans="1:12">
      <c r="A351" s="1" t="str">
        <f>IFERROR(INDEX('02_ツリー'!$E$5:$E$679,MATCH(ROW()-10,'02_ツリー'!$R$5:$R$679,0)),"")</f>
        <v>M_CSA</v>
      </c>
      <c r="B351" s="1">
        <f>IF($A351="","",SUMIFS('02_ツリー'!$K$5:$K$679,'02_ツリー'!$E$5:$E$679,$A351,'02_ツリー'!$K$5:$K$679,"&gt;0"))</f>
        <v>2.8139399703196438E-3</v>
      </c>
      <c r="C351" s="1">
        <f>IF($A351="","",SUMIFS('02_ツリー'!$K$5:$K$679,'02_ツリー'!$E$5:$E$679,$A351,'02_ツリー'!$K$5:$K$679,"&lt;0"))</f>
        <v>0</v>
      </c>
      <c r="D351" s="1">
        <f t="shared" si="15"/>
        <v>2.8139399703196438E-3</v>
      </c>
      <c r="E351" s="1">
        <f>IF($A351="","",--(COUNTIFS('02_ツリー'!$E$5:$E$679,$A351,'02_ツリー'!$O$5:$O$679,0)=0))</f>
        <v>0</v>
      </c>
      <c r="F351" s="1">
        <f t="shared" si="16"/>
        <v>0</v>
      </c>
      <c r="G351" s="1">
        <f t="shared" si="17"/>
        <v>0</v>
      </c>
      <c r="H351" s="1"/>
      <c r="I351" s="1"/>
      <c r="J351" s="1"/>
      <c r="K351" s="1"/>
      <c r="L351" s="1"/>
    </row>
    <row r="352" spans="1:12">
      <c r="A352" s="1" t="str">
        <f>IFERROR(INDEX('02_ツリー'!$E$5:$E$679,MATCH(ROW()-10,'02_ツリー'!$R$5:$R$679,0)),"")</f>
        <v>M_sensor_option</v>
      </c>
      <c r="B352" s="1">
        <f>IF($A352="","",SUMIFS('02_ツリー'!$K$5:$K$679,'02_ツリー'!$E$5:$E$679,$A352,'02_ツリー'!$K$5:$K$679,"&gt;0"))</f>
        <v>0</v>
      </c>
      <c r="C352" s="1">
        <f>IF($A352="","",SUMIFS('02_ツリー'!$K$5:$K$679,'02_ツリー'!$E$5:$E$679,$A352,'02_ツリー'!$K$5:$K$679,"&lt;0"))</f>
        <v>0</v>
      </c>
      <c r="D352" s="1">
        <f t="shared" si="15"/>
        <v>0</v>
      </c>
      <c r="E352" s="1">
        <f>IF($A352="","",--(COUNTIFS('02_ツリー'!$E$5:$E$679,$A352,'02_ツリー'!$O$5:$O$679,0)=0))</f>
        <v>0</v>
      </c>
      <c r="F352" s="1">
        <f t="shared" si="16"/>
        <v>0</v>
      </c>
      <c r="G352" s="1">
        <f t="shared" si="17"/>
        <v>0</v>
      </c>
      <c r="H352" s="1"/>
      <c r="I352" s="1"/>
      <c r="J352" s="1"/>
      <c r="K352" s="1"/>
      <c r="L352" s="1"/>
    </row>
    <row r="353" spans="1:12">
      <c r="A353" s="1" t="str">
        <f>IFERROR(INDEX('02_ツリー'!$E$5:$E$679,MATCH(ROW()-10,'02_ツリー'!$R$5:$R$679,0)),"")</f>
        <v>Sense_mode</v>
      </c>
      <c r="B353" s="1">
        <f>IF($A353="","",SUMIFS('02_ツリー'!$K$5:$K$679,'02_ツリー'!$E$5:$E$679,$A353,'02_ツリー'!$K$5:$K$679,"&gt;0"))</f>
        <v>0</v>
      </c>
      <c r="C353" s="1">
        <f>IF($A353="","",SUMIFS('02_ツリー'!$K$5:$K$679,'02_ツリー'!$E$5:$E$679,$A353,'02_ツリー'!$K$5:$K$679,"&lt;0"))</f>
        <v>0</v>
      </c>
      <c r="D353" s="1">
        <f t="shared" si="15"/>
        <v>0</v>
      </c>
      <c r="E353" s="1">
        <f>IF($A353="","",--(COUNTIFS('02_ツリー'!$E$5:$E$679,$A353,'02_ツリー'!$O$5:$O$679,0)=0))</f>
        <v>1</v>
      </c>
      <c r="F353" s="1">
        <f t="shared" si="16"/>
        <v>0</v>
      </c>
      <c r="G353" s="1">
        <f t="shared" si="17"/>
        <v>0</v>
      </c>
      <c r="H353" s="1"/>
      <c r="I353" s="1"/>
      <c r="J353" s="1"/>
      <c r="K353" s="1"/>
      <c r="L353" s="1"/>
    </row>
    <row r="354" spans="1:12">
      <c r="A354" s="1" t="str">
        <f>IFERROR(INDEX('02_ツリー'!$E$5:$E$679,MATCH(ROW()-10,'02_ツリー'!$R$5:$R$679,0)),"")</f>
        <v>M_gate_iso</v>
      </c>
      <c r="B354" s="1">
        <f>IF($A354="","",SUMIFS('02_ツリー'!$K$5:$K$679,'02_ツリー'!$E$5:$E$679,$A354,'02_ツリー'!$K$5:$K$679,"&gt;0"))</f>
        <v>7.2358456379647967E-3</v>
      </c>
      <c r="C354" s="1">
        <f>IF($A354="","",SUMIFS('02_ツリー'!$K$5:$K$679,'02_ツリー'!$E$5:$E$679,$A354,'02_ツリー'!$K$5:$K$679,"&lt;0"))</f>
        <v>0</v>
      </c>
      <c r="D354" s="1">
        <f t="shared" si="15"/>
        <v>7.2358456379647967E-3</v>
      </c>
      <c r="E354" s="1">
        <f>IF($A354="","",--(COUNTIFS('02_ツリー'!$E$5:$E$679,$A354,'02_ツリー'!$O$5:$O$679,0)=0))</f>
        <v>0</v>
      </c>
      <c r="F354" s="1">
        <f t="shared" si="16"/>
        <v>0</v>
      </c>
      <c r="G354" s="1">
        <f t="shared" si="17"/>
        <v>0</v>
      </c>
      <c r="H354" s="1"/>
      <c r="I354" s="1"/>
      <c r="J354" s="1"/>
      <c r="K354" s="1"/>
      <c r="L354" s="1"/>
    </row>
    <row r="355" spans="1:12">
      <c r="A355" s="1" t="str">
        <f>IFERROR(INDEX('02_ツリー'!$E$5:$E$679,MATCH(ROW()-10,'02_ツリー'!$R$5:$R$679,0)),"")</f>
        <v>Enable_isolated_bias</v>
      </c>
      <c r="B355" s="1">
        <f>IF($A355="","",SUMIFS('02_ツリー'!$K$5:$K$679,'02_ツリー'!$E$5:$E$679,$A355,'02_ツリー'!$K$5:$K$679,"&gt;0"))</f>
        <v>4.0199142433137765E-3</v>
      </c>
      <c r="C355" s="1">
        <f>IF($A355="","",SUMIFS('02_ツリー'!$K$5:$K$679,'02_ツリー'!$E$5:$E$679,$A355,'02_ツリー'!$K$5:$K$679,"&lt;0"))</f>
        <v>0</v>
      </c>
      <c r="D355" s="1">
        <f t="shared" si="15"/>
        <v>4.0199142433137765E-3</v>
      </c>
      <c r="E355" s="1">
        <f>IF($A355="","",--(COUNTIFS('02_ツリー'!$E$5:$E$679,$A355,'02_ツリー'!$O$5:$O$679,0)=0))</f>
        <v>1</v>
      </c>
      <c r="F355" s="1">
        <f t="shared" si="16"/>
        <v>0</v>
      </c>
      <c r="G355" s="1">
        <f t="shared" si="17"/>
        <v>1</v>
      </c>
      <c r="H355" s="1"/>
      <c r="I355" s="1"/>
      <c r="J355" s="1"/>
      <c r="K355" s="1"/>
      <c r="L355" s="1"/>
    </row>
    <row r="356" spans="1:12">
      <c r="A356" s="1" t="str">
        <f>IFERROR(INDEX('02_ツリー'!$E$5:$E$679,MATCH(ROW()-10,'02_ツリー'!$R$5:$R$679,0)),"")</f>
        <v>M_DESAT</v>
      </c>
      <c r="B356" s="1">
        <f>IF($A356="","",SUMIFS('02_ツリー'!$K$5:$K$679,'02_ツリー'!$E$5:$E$679,$A356,'02_ツリー'!$K$5:$K$679,"&gt;0"))</f>
        <v>2.0099571216568883E-3</v>
      </c>
      <c r="C356" s="1">
        <f>IF($A356="","",SUMIFS('02_ツリー'!$K$5:$K$679,'02_ツリー'!$E$5:$E$679,$A356,'02_ツリー'!$K$5:$K$679,"&lt;0"))</f>
        <v>0</v>
      </c>
      <c r="D356" s="1">
        <f t="shared" si="15"/>
        <v>2.0099571216568883E-3</v>
      </c>
      <c r="E356" s="1">
        <f>IF($A356="","",--(COUNTIFS('02_ツリー'!$E$5:$E$679,$A356,'02_ツリー'!$O$5:$O$679,0)=0))</f>
        <v>0</v>
      </c>
      <c r="F356" s="1">
        <f t="shared" si="16"/>
        <v>0</v>
      </c>
      <c r="G356" s="1">
        <f t="shared" si="17"/>
        <v>0</v>
      </c>
      <c r="H356" s="1"/>
      <c r="I356" s="1"/>
      <c r="J356" s="1"/>
      <c r="K356" s="1"/>
      <c r="L356" s="1"/>
    </row>
    <row r="357" spans="1:12">
      <c r="A357" s="1" t="str">
        <f>IFERROR(INDEX('02_ツリー'!$E$5:$E$679,MATCH(ROW()-10,'02_ツリー'!$R$5:$R$679,0)),"")</f>
        <v>Enable_DESAT</v>
      </c>
      <c r="B357" s="1">
        <f>IF($A357="","",SUMIFS('02_ツリー'!$K$5:$K$679,'02_ツリー'!$E$5:$E$679,$A357,'02_ツリー'!$K$5:$K$679,"&gt;0"))</f>
        <v>2.0099571216568883E-3</v>
      </c>
      <c r="C357" s="1">
        <f>IF($A357="","",SUMIFS('02_ツリー'!$K$5:$K$679,'02_ツリー'!$E$5:$E$679,$A357,'02_ツリー'!$K$5:$K$679,"&lt;0"))</f>
        <v>0</v>
      </c>
      <c r="D357" s="1">
        <f t="shared" si="15"/>
        <v>2.0099571216568883E-3</v>
      </c>
      <c r="E357" s="1">
        <f>IF($A357="","",--(COUNTIFS('02_ツリー'!$E$5:$E$679,$A357,'02_ツリー'!$O$5:$O$679,0)=0))</f>
        <v>1</v>
      </c>
      <c r="F357" s="1">
        <f t="shared" si="16"/>
        <v>0</v>
      </c>
      <c r="G357" s="1">
        <f t="shared" si="17"/>
        <v>1</v>
      </c>
      <c r="H357" s="1"/>
      <c r="I357" s="1"/>
      <c r="J357" s="1"/>
      <c r="K357" s="1"/>
      <c r="L357" s="1"/>
    </row>
    <row r="358" spans="1:12">
      <c r="A358" s="1" t="str">
        <f>IFERROR(INDEX('02_ツリー'!$E$5:$E$679,MATCH(ROW()-10,'02_ツリー'!$R$5:$R$679,0)),"")</f>
        <v>M_active_clamp</v>
      </c>
      <c r="B358" s="1">
        <f>IF($A358="","",SUMIFS('02_ツリー'!$K$5:$K$679,'02_ツリー'!$E$5:$E$679,$A358,'02_ツリー'!$K$5:$K$679,"&gt;0"))</f>
        <v>0</v>
      </c>
      <c r="C358" s="1">
        <f>IF($A358="","",SUMIFS('02_ツリー'!$K$5:$K$679,'02_ツリー'!$E$5:$E$679,$A358,'02_ツリー'!$K$5:$K$679,"&lt;0"))</f>
        <v>0</v>
      </c>
      <c r="D358" s="1">
        <f t="shared" si="15"/>
        <v>0</v>
      </c>
      <c r="E358" s="1">
        <f>IF($A358="","",--(COUNTIFS('02_ツリー'!$E$5:$E$679,$A358,'02_ツリー'!$O$5:$O$679,0)=0))</f>
        <v>0</v>
      </c>
      <c r="F358" s="1">
        <f t="shared" si="16"/>
        <v>0</v>
      </c>
      <c r="G358" s="1">
        <f t="shared" si="17"/>
        <v>0</v>
      </c>
      <c r="H358" s="1"/>
      <c r="I358" s="1"/>
      <c r="J358" s="1"/>
      <c r="K358" s="1"/>
      <c r="L358" s="1"/>
    </row>
    <row r="359" spans="1:12">
      <c r="A359" s="1" t="str">
        <f>IFERROR(INDEX('02_ツリー'!$E$5:$E$679,MATCH(ROW()-10,'02_ツリー'!$R$5:$R$679,0)),"")</f>
        <v>Enable_active_clamp</v>
      </c>
      <c r="B359" s="1">
        <f>IF($A359="","",SUMIFS('02_ツリー'!$K$5:$K$679,'02_ツリー'!$E$5:$E$679,$A359,'02_ツリー'!$K$5:$K$679,"&gt;0"))</f>
        <v>3.1522793831859487E-3</v>
      </c>
      <c r="C359" s="1">
        <f>IF($A359="","",SUMIFS('02_ツリー'!$K$5:$K$679,'02_ツリー'!$E$5:$E$679,$A359,'02_ツリー'!$K$5:$K$679,"&lt;0"))</f>
        <v>0</v>
      </c>
      <c r="D359" s="1">
        <f t="shared" si="15"/>
        <v>3.1522793831859487E-3</v>
      </c>
      <c r="E359" s="1">
        <f>IF($A359="","",--(COUNTIFS('02_ツリー'!$E$5:$E$679,$A359,'02_ツリー'!$O$5:$O$679,0)=0))</f>
        <v>1</v>
      </c>
      <c r="F359" s="1">
        <f t="shared" si="16"/>
        <v>0</v>
      </c>
      <c r="G359" s="1">
        <f t="shared" si="17"/>
        <v>1</v>
      </c>
      <c r="H359" s="1"/>
      <c r="I359" s="1"/>
      <c r="J359" s="1"/>
      <c r="K359" s="1"/>
      <c r="L359" s="1"/>
    </row>
    <row r="360" spans="1:12">
      <c r="A360" s="1" t="str">
        <f>IFERROR(INDEX('02_ツリー'!$E$5:$E$679,MATCH(ROW()-10,'02_ツリー'!$R$5:$R$679,0)),"")</f>
        <v>P_active_clamp</v>
      </c>
      <c r="B360" s="1">
        <f>IF($A360="","",SUMIFS('02_ツリー'!$K$5:$K$679,'02_ツリー'!$E$5:$E$679,$A360,'02_ツリー'!$K$5:$K$679,"&gt;0"))</f>
        <v>0</v>
      </c>
      <c r="C360" s="1">
        <f>IF($A360="","",SUMIFS('02_ツリー'!$K$5:$K$679,'02_ツリー'!$E$5:$E$679,$A360,'02_ツリー'!$K$5:$K$679,"&lt;0"))</f>
        <v>0</v>
      </c>
      <c r="D360" s="1">
        <f t="shared" si="15"/>
        <v>0</v>
      </c>
      <c r="E360" s="1">
        <f>IF($A360="","",--(COUNTIFS('02_ツリー'!$E$5:$E$679,$A360,'02_ツリー'!$O$5:$O$679,0)=0))</f>
        <v>0</v>
      </c>
      <c r="F360" s="1">
        <f t="shared" si="16"/>
        <v>0</v>
      </c>
      <c r="G360" s="1">
        <f t="shared" si="17"/>
        <v>0</v>
      </c>
      <c r="H360" s="1"/>
      <c r="I360" s="1"/>
      <c r="J360" s="1"/>
      <c r="K360" s="1"/>
      <c r="L360" s="1"/>
    </row>
    <row r="361" spans="1:12">
      <c r="A361" s="1" t="str">
        <f>IFERROR(INDEX('02_ツリー'!$E$5:$E$679,MATCH(ROW()-10,'02_ツリー'!$R$5:$R$679,0)),"")</f>
        <v>M_clearance</v>
      </c>
      <c r="B361" s="1">
        <f>IF($A361="","",SUMIFS('02_ツリー'!$K$5:$K$679,'02_ツリー'!$E$5:$E$679,$A361,'02_ツリー'!$K$5:$K$679,"&gt;0"))</f>
        <v>1.4471691275929597E-2</v>
      </c>
      <c r="C361" s="1">
        <f>IF($A361="","",SUMIFS('02_ツリー'!$K$5:$K$679,'02_ツリー'!$E$5:$E$679,$A361,'02_ツリー'!$K$5:$K$679,"&lt;0"))</f>
        <v>0</v>
      </c>
      <c r="D361" s="1">
        <f t="shared" si="15"/>
        <v>1.4471691275929597E-2</v>
      </c>
      <c r="E361" s="1">
        <f>IF($A361="","",--(COUNTIFS('02_ツリー'!$E$5:$E$679,$A361,'02_ツリー'!$O$5:$O$679,0)=0))</f>
        <v>0</v>
      </c>
      <c r="F361" s="1">
        <f t="shared" si="16"/>
        <v>0</v>
      </c>
      <c r="G361" s="1">
        <f t="shared" si="17"/>
        <v>0</v>
      </c>
      <c r="H361" s="1"/>
      <c r="I361" s="1"/>
      <c r="J361" s="1"/>
      <c r="K361" s="1"/>
      <c r="L361" s="1"/>
    </row>
    <row r="362" spans="1:12">
      <c r="A362" s="1" t="str">
        <f>IFERROR(INDEX('02_ツリー'!$E$5:$E$679,MATCH(ROW()-10,'02_ツリー'!$R$5:$R$679,0)),"")</f>
        <v>Enable_hi_ins</v>
      </c>
      <c r="B362" s="1">
        <f>IF($A362="","",SUMIFS('02_ツリー'!$K$5:$K$679,'02_ツリー'!$E$5:$E$679,$A362,'02_ツリー'!$K$5:$K$679,"&gt;0"))</f>
        <v>4.823897091976532E-3</v>
      </c>
      <c r="C362" s="1">
        <f>IF($A362="","",SUMIFS('02_ツリー'!$K$5:$K$679,'02_ツリー'!$E$5:$E$679,$A362,'02_ツリー'!$K$5:$K$679,"&lt;0"))</f>
        <v>-4.3415073827788786E-3</v>
      </c>
      <c r="D362" s="1">
        <f t="shared" si="15"/>
        <v>4.8238970919765346E-4</v>
      </c>
      <c r="E362" s="1">
        <f>IF($A362="","",--(COUNTIFS('02_ツリー'!$E$5:$E$679,$A362,'02_ツリー'!$O$5:$O$679,0)=0))</f>
        <v>1</v>
      </c>
      <c r="F362" s="1">
        <f t="shared" si="16"/>
        <v>1</v>
      </c>
      <c r="G362" s="1">
        <f t="shared" si="17"/>
        <v>1</v>
      </c>
      <c r="H362" s="1"/>
      <c r="I362" s="1"/>
      <c r="J362" s="1"/>
      <c r="K362" s="1"/>
      <c r="L362" s="1"/>
    </row>
    <row r="363" spans="1:12">
      <c r="A363" s="1" t="str">
        <f>IFERROR(INDEX('02_ツリー'!$E$5:$E$679,MATCH(ROW()-10,'02_ツリー'!$R$5:$R$679,0)),"")</f>
        <v>M_hi_ins</v>
      </c>
      <c r="B363" s="1">
        <f>IF($A363="","",SUMIFS('02_ツリー'!$K$5:$K$679,'02_ツリー'!$E$5:$E$679,$A363,'02_ツリー'!$K$5:$K$679,"&gt;0"))</f>
        <v>0</v>
      </c>
      <c r="C363" s="1">
        <f>IF($A363="","",SUMIFS('02_ツリー'!$K$5:$K$679,'02_ツリー'!$E$5:$E$679,$A363,'02_ツリー'!$K$5:$K$679,"&lt;0"))</f>
        <v>0</v>
      </c>
      <c r="D363" s="1">
        <f t="shared" si="15"/>
        <v>0</v>
      </c>
      <c r="E363" s="1">
        <f>IF($A363="","",--(COUNTIFS('02_ツリー'!$E$5:$E$679,$A363,'02_ツリー'!$O$5:$O$679,0)=0))</f>
        <v>0</v>
      </c>
      <c r="F363" s="1">
        <f t="shared" si="16"/>
        <v>0</v>
      </c>
      <c r="G363" s="1">
        <f t="shared" si="17"/>
        <v>0</v>
      </c>
      <c r="H363" s="1"/>
      <c r="I363" s="1"/>
      <c r="J363" s="1"/>
      <c r="K363" s="1"/>
      <c r="L363" s="1"/>
    </row>
    <row r="364" spans="1:12">
      <c r="A364" s="1" t="str">
        <f>IFERROR(INDEX('02_ツリー'!$E$5:$E$679,MATCH(ROW()-10,'02_ツリー'!$R$5:$R$679,0)),"")</f>
        <v>M_potting</v>
      </c>
      <c r="B364" s="1">
        <f>IF($A364="","",SUMIFS('02_ツリー'!$K$5:$K$679,'02_ツリー'!$E$5:$E$679,$A364,'02_ツリー'!$K$5:$K$679,"&gt;0"))</f>
        <v>0</v>
      </c>
      <c r="C364" s="1">
        <f>IF($A364="","",SUMIFS('02_ツリー'!$K$5:$K$679,'02_ツリー'!$E$5:$E$679,$A364,'02_ツリー'!$K$5:$K$679,"&lt;0"))</f>
        <v>0</v>
      </c>
      <c r="D364" s="1">
        <f t="shared" si="15"/>
        <v>0</v>
      </c>
      <c r="E364" s="1">
        <f>IF($A364="","",--(COUNTIFS('02_ツリー'!$E$5:$E$679,$A364,'02_ツリー'!$O$5:$O$679,0)=0))</f>
        <v>0</v>
      </c>
      <c r="F364" s="1">
        <f t="shared" si="16"/>
        <v>0</v>
      </c>
      <c r="G364" s="1">
        <f t="shared" si="17"/>
        <v>0</v>
      </c>
      <c r="H364" s="1"/>
      <c r="I364" s="1"/>
      <c r="J364" s="1"/>
      <c r="K364" s="1"/>
      <c r="L364" s="1"/>
    </row>
    <row r="365" spans="1:12">
      <c r="A365" s="1" t="str">
        <f>IFERROR(INDEX('02_ツリー'!$E$5:$E$679,MATCH(ROW()-10,'02_ツリー'!$R$5:$R$679,0)),"")</f>
        <v>Enable_potting</v>
      </c>
      <c r="B365" s="1">
        <f>IF($A365="","",SUMIFS('02_ツリー'!$K$5:$K$679,'02_ツリー'!$E$5:$E$679,$A365,'02_ツリー'!$K$5:$K$679,"&gt;0"))</f>
        <v>1.7796242831486526E-2</v>
      </c>
      <c r="C365" s="1">
        <f>IF($A365="","",SUMIFS('02_ツリー'!$K$5:$K$679,'02_ツリー'!$E$5:$E$679,$A365,'02_ツリー'!$K$5:$K$679,"&lt;0"))</f>
        <v>-6.5122610741683191E-3</v>
      </c>
      <c r="D365" s="1">
        <f t="shared" si="15"/>
        <v>1.1283981757318207E-2</v>
      </c>
      <c r="E365" s="1">
        <f>IF($A365="","",--(COUNTIFS('02_ツリー'!$E$5:$E$679,$A365,'02_ツリー'!$O$5:$O$679,0)=0))</f>
        <v>1</v>
      </c>
      <c r="F365" s="1">
        <f t="shared" si="16"/>
        <v>1</v>
      </c>
      <c r="G365" s="1">
        <f t="shared" si="17"/>
        <v>1</v>
      </c>
      <c r="H365" s="1"/>
      <c r="I365" s="1"/>
      <c r="J365" s="1"/>
      <c r="K365" s="1"/>
      <c r="L365" s="1"/>
    </row>
    <row r="366" spans="1:12">
      <c r="A366" s="1" t="str">
        <f>IFERROR(INDEX('02_ツリー'!$E$5:$E$679,MATCH(ROW()-10,'02_ツリー'!$R$5:$R$679,0)),"")</f>
        <v>k_pot_thermal_eff</v>
      </c>
      <c r="B366" s="1">
        <f>IF($A366="","",SUMIFS('02_ツリー'!$K$5:$K$679,'02_ツリー'!$E$5:$E$679,$A366,'02_ツリー'!$K$5:$K$679,"&gt;0"))</f>
        <v>1.3577520113238967E-3</v>
      </c>
      <c r="C366" s="1">
        <f>IF($A366="","",SUMIFS('02_ツリー'!$K$5:$K$679,'02_ツリー'!$E$5:$E$679,$A366,'02_ツリー'!$K$5:$K$679,"&lt;0"))</f>
        <v>0</v>
      </c>
      <c r="D366" s="1">
        <f t="shared" si="15"/>
        <v>1.3577520113238967E-3</v>
      </c>
      <c r="E366" s="1">
        <f>IF($A366="","",--(COUNTIFS('02_ツリー'!$E$5:$E$679,$A366,'02_ツリー'!$O$5:$O$679,0)=0))</f>
        <v>0</v>
      </c>
      <c r="F366" s="1">
        <f t="shared" si="16"/>
        <v>0</v>
      </c>
      <c r="G366" s="1">
        <f t="shared" si="17"/>
        <v>0</v>
      </c>
      <c r="H366" s="1"/>
      <c r="I366" s="1"/>
      <c r="J366" s="1"/>
      <c r="K366" s="1"/>
      <c r="L366" s="1"/>
    </row>
    <row r="367" spans="1:12">
      <c r="A367" s="1" t="str">
        <f>IFERROR(INDEX('02_ツリー'!$E$5:$E$679,MATCH(ROW()-10,'02_ツリー'!$R$5:$R$679,0)),"")</f>
        <v>P_bias_loss</v>
      </c>
      <c r="B367" s="1">
        <f>IF($A367="","",SUMIFS('02_ツリー'!$K$5:$K$679,'02_ツリー'!$E$5:$E$679,$A367,'02_ツリー'!$K$5:$K$679,"&gt;0"))</f>
        <v>1.1124406707398535E-7</v>
      </c>
      <c r="C367" s="1">
        <f>IF($A367="","",SUMIFS('02_ツリー'!$K$5:$K$679,'02_ツリー'!$E$5:$E$679,$A367,'02_ツリー'!$K$5:$K$679,"&lt;0"))</f>
        <v>0</v>
      </c>
      <c r="D367" s="1">
        <f t="shared" si="15"/>
        <v>1.1124406707398535E-7</v>
      </c>
      <c r="E367" s="1">
        <f>IF($A367="","",--(COUNTIFS('02_ツリー'!$E$5:$E$679,$A367,'02_ツリー'!$O$5:$O$679,0)=0))</f>
        <v>0</v>
      </c>
      <c r="F367" s="1">
        <f t="shared" si="16"/>
        <v>0</v>
      </c>
      <c r="G367" s="1">
        <f t="shared" si="17"/>
        <v>0</v>
      </c>
      <c r="H367" s="1"/>
      <c r="I367" s="1"/>
      <c r="J367" s="1"/>
      <c r="K367" s="1"/>
      <c r="L367" s="1"/>
    </row>
    <row r="368" spans="1:12">
      <c r="A368" s="1" t="str">
        <f>IFERROR(INDEX('02_ツリー'!$E$5:$E$679,MATCH(ROW()-10,'02_ツリー'!$R$5:$R$679,0)),"")</f>
        <v>eta_bias</v>
      </c>
      <c r="B368" s="1">
        <f>IF($A368="","",SUMIFS('02_ツリー'!$K$5:$K$679,'02_ツリー'!$E$5:$E$679,$A368,'02_ツリー'!$K$5:$K$679,"&gt;0"))</f>
        <v>0</v>
      </c>
      <c r="C368" s="1">
        <f>IF($A368="","",SUMIFS('02_ツリー'!$K$5:$K$679,'02_ツリー'!$E$5:$E$679,$A368,'02_ツリー'!$K$5:$K$679,"&lt;0"))</f>
        <v>-4.7500712198142567E-4</v>
      </c>
      <c r="D368" s="1">
        <f t="shared" si="15"/>
        <v>-4.7500712198142567E-4</v>
      </c>
      <c r="E368" s="1">
        <f>IF($A368="","",--(COUNTIFS('02_ツリー'!$E$5:$E$679,$A368,'02_ツリー'!$O$5:$O$679,0)=0))</f>
        <v>1</v>
      </c>
      <c r="F368" s="1">
        <f t="shared" si="16"/>
        <v>0</v>
      </c>
      <c r="G368" s="1">
        <f t="shared" si="17"/>
        <v>0</v>
      </c>
      <c r="H368" s="1"/>
      <c r="I368" s="1"/>
      <c r="J368" s="1"/>
      <c r="K368" s="1"/>
      <c r="L368" s="1"/>
    </row>
    <row r="369" spans="1:12">
      <c r="A369" s="1" t="str">
        <f>IFERROR(INDEX('02_ツリー'!$E$5:$E$679,MATCH(ROW()-10,'02_ツリー'!$R$5:$R$679,0)),"")</f>
        <v>M_bias_supply</v>
      </c>
      <c r="B369" s="1">
        <f>IF($A369="","",SUMIFS('02_ツリー'!$K$5:$K$679,'02_ツリー'!$E$5:$E$679,$A369,'02_ツリー'!$K$5:$K$679,"&gt;0"))</f>
        <v>4.7438909938657018E-4</v>
      </c>
      <c r="C369" s="1">
        <f>IF($A369="","",SUMIFS('02_ツリー'!$K$5:$K$679,'02_ツリー'!$E$5:$E$679,$A369,'02_ツリー'!$K$5:$K$679,"&lt;0"))</f>
        <v>0</v>
      </c>
      <c r="D369" s="1">
        <f t="shared" si="15"/>
        <v>4.7438909938657018E-4</v>
      </c>
      <c r="E369" s="1">
        <f>IF($A369="","",--(COUNTIFS('02_ツリー'!$E$5:$E$679,$A369,'02_ツリー'!$O$5:$O$679,0)=0))</f>
        <v>0</v>
      </c>
      <c r="F369" s="1">
        <f t="shared" si="16"/>
        <v>0</v>
      </c>
      <c r="G369" s="1">
        <f t="shared" si="17"/>
        <v>0</v>
      </c>
      <c r="H369" s="1"/>
      <c r="I369" s="1"/>
      <c r="J369" s="1"/>
      <c r="K369" s="1"/>
      <c r="L369" s="1"/>
    </row>
    <row r="370" spans="1:12">
      <c r="A370" s="1" t="str">
        <f>IFERROR(INDEX('02_ツリー'!$E$5:$E$679,MATCH(ROW()-10,'02_ツリー'!$R$5:$R$679,0)),"")</f>
        <v>M_precharge</v>
      </c>
      <c r="B370" s="1">
        <f>IF($A370="","",SUMIFS('02_ツリー'!$K$5:$K$679,'02_ツリー'!$E$5:$E$679,$A370,'02_ツリー'!$K$5:$K$679,"&gt;0"))</f>
        <v>8.0398284866275531E-3</v>
      </c>
      <c r="C370" s="1">
        <f>IF($A370="","",SUMIFS('02_ツリー'!$K$5:$K$679,'02_ツリー'!$E$5:$E$679,$A370,'02_ツリー'!$K$5:$K$679,"&lt;0"))</f>
        <v>0</v>
      </c>
      <c r="D370" s="1">
        <f t="shared" si="15"/>
        <v>8.0398284866275531E-3</v>
      </c>
      <c r="E370" s="1">
        <f>IF($A370="","",--(COUNTIFS('02_ツリー'!$E$5:$E$679,$A370,'02_ツリー'!$O$5:$O$679,0)=0))</f>
        <v>0</v>
      </c>
      <c r="F370" s="1">
        <f t="shared" si="16"/>
        <v>0</v>
      </c>
      <c r="G370" s="1">
        <f t="shared" si="17"/>
        <v>0</v>
      </c>
      <c r="H370" s="1"/>
      <c r="I370" s="1"/>
      <c r="J370" s="1"/>
      <c r="K370" s="1"/>
      <c r="L370" s="1"/>
    </row>
    <row r="371" spans="1:12">
      <c r="A371" s="1" t="str">
        <f>IFERROR(INDEX('02_ツリー'!$E$5:$E$679,MATCH(ROW()-10,'02_ツリー'!$R$5:$R$679,0)),"")</f>
        <v>Enable_precharge</v>
      </c>
      <c r="B371" s="1">
        <f>IF($A371="","",SUMIFS('02_ツリー'!$K$5:$K$679,'02_ツリー'!$E$5:$E$679,$A371,'02_ツリー'!$K$5:$K$679,"&gt;0"))</f>
        <v>8.0398284866275531E-3</v>
      </c>
      <c r="C371" s="1">
        <f>IF($A371="","",SUMIFS('02_ツリー'!$K$5:$K$679,'02_ツリー'!$E$5:$E$679,$A371,'02_ツリー'!$K$5:$K$679,"&lt;0"))</f>
        <v>-5.6278799406392866E-3</v>
      </c>
      <c r="D371" s="1">
        <f t="shared" si="15"/>
        <v>2.4119485459882664E-3</v>
      </c>
      <c r="E371" s="1">
        <f>IF($A371="","",--(COUNTIFS('02_ツリー'!$E$5:$E$679,$A371,'02_ツリー'!$O$5:$O$679,0)=0))</f>
        <v>1</v>
      </c>
      <c r="F371" s="1">
        <f t="shared" si="16"/>
        <v>1</v>
      </c>
      <c r="G371" s="1">
        <f t="shared" si="17"/>
        <v>1</v>
      </c>
      <c r="H371" s="1"/>
      <c r="I371" s="1"/>
      <c r="J371" s="1"/>
      <c r="K371" s="1"/>
      <c r="L371" s="1"/>
    </row>
    <row r="372" spans="1:12">
      <c r="A372" s="1" t="str">
        <f>IFERROR(INDEX('02_ツリー'!$E$5:$E$679,MATCH(ROW()-10,'02_ツリー'!$R$5:$R$679,0)),"")</f>
        <v>M_contactor</v>
      </c>
      <c r="B372" s="1">
        <f>IF($A372="","",SUMIFS('02_ツリー'!$K$5:$K$679,'02_ツリー'!$E$5:$E$679,$A372,'02_ツリー'!$K$5:$K$679,"&gt;0"))</f>
        <v>2.2511519762557147E-2</v>
      </c>
      <c r="C372" s="1">
        <f>IF($A372="","",SUMIFS('02_ツリー'!$K$5:$K$679,'02_ツリー'!$E$5:$E$679,$A372,'02_ツリー'!$K$5:$K$679,"&lt;0"))</f>
        <v>0</v>
      </c>
      <c r="D372" s="1">
        <f t="shared" si="15"/>
        <v>2.2511519762557147E-2</v>
      </c>
      <c r="E372" s="1">
        <f>IF($A372="","",--(COUNTIFS('02_ツリー'!$E$5:$E$679,$A372,'02_ツリー'!$O$5:$O$679,0)=0))</f>
        <v>0</v>
      </c>
      <c r="F372" s="1">
        <f t="shared" si="16"/>
        <v>0</v>
      </c>
      <c r="G372" s="1">
        <f t="shared" si="17"/>
        <v>0</v>
      </c>
      <c r="H372" s="1"/>
      <c r="I372" s="1"/>
      <c r="J372" s="1"/>
      <c r="K372" s="1"/>
      <c r="L372" s="1"/>
    </row>
    <row r="373" spans="1:12">
      <c r="A373" s="1" t="str">
        <f>IFERROR(INDEX('02_ツリー'!$E$5:$E$679,MATCH(ROW()-10,'02_ツリー'!$R$5:$R$679,0)),"")</f>
        <v>M_discharge</v>
      </c>
      <c r="B373" s="1">
        <f>IF($A373="","",SUMIFS('02_ツリー'!$K$5:$K$679,'02_ツリー'!$E$5:$E$679,$A373,'02_ツリー'!$K$5:$K$679,"&gt;0"))</f>
        <v>1.5413917654040868E-2</v>
      </c>
      <c r="C373" s="1">
        <f>IF($A373="","",SUMIFS('02_ツリー'!$K$5:$K$679,'02_ツリー'!$E$5:$E$679,$A373,'02_ツリー'!$K$5:$K$679,"&lt;0"))</f>
        <v>0</v>
      </c>
      <c r="D373" s="1">
        <f t="shared" si="15"/>
        <v>1.5413917654040868E-2</v>
      </c>
      <c r="E373" s="1">
        <f>IF($A373="","",--(COUNTIFS('02_ツリー'!$E$5:$E$679,$A373,'02_ツリー'!$O$5:$O$679,0)=0))</f>
        <v>0</v>
      </c>
      <c r="F373" s="1">
        <f t="shared" si="16"/>
        <v>0</v>
      </c>
      <c r="G373" s="1">
        <f t="shared" si="17"/>
        <v>0</v>
      </c>
      <c r="H373" s="1"/>
      <c r="I373" s="1"/>
      <c r="J373" s="1"/>
      <c r="K373" s="1"/>
      <c r="L373" s="1"/>
    </row>
    <row r="374" spans="1:12">
      <c r="A374" s="1" t="str">
        <f>IFERROR(INDEX('02_ツリー'!$E$5:$E$679,MATCH(ROW()-10,'02_ツリー'!$R$5:$R$679,0)),"")</f>
        <v>M_discharge_res</v>
      </c>
      <c r="B374" s="1">
        <f>IF($A374="","",SUMIFS('02_ツリー'!$K$5:$K$679,'02_ツリー'!$E$5:$E$679,$A374,'02_ツリー'!$K$5:$K$679,"&gt;0"))</f>
        <v>1.5413917654040868E-2</v>
      </c>
      <c r="C374" s="1">
        <f>IF($A374="","",SUMIFS('02_ツリー'!$K$5:$K$679,'02_ツリー'!$E$5:$E$679,$A374,'02_ツリー'!$K$5:$K$679,"&lt;0"))</f>
        <v>0</v>
      </c>
      <c r="D374" s="1">
        <f t="shared" si="15"/>
        <v>1.5413917654040868E-2</v>
      </c>
      <c r="E374" s="1">
        <f>IF($A374="","",--(COUNTIFS('02_ツリー'!$E$5:$E$679,$A374,'02_ツリー'!$O$5:$O$679,0)=0))</f>
        <v>0</v>
      </c>
      <c r="F374" s="1">
        <f t="shared" si="16"/>
        <v>0</v>
      </c>
      <c r="G374" s="1">
        <f t="shared" si="17"/>
        <v>0</v>
      </c>
      <c r="H374" s="1"/>
      <c r="I374" s="1"/>
      <c r="J374" s="1"/>
      <c r="K374" s="1"/>
      <c r="L374" s="1"/>
    </row>
    <row r="375" spans="1:12">
      <c r="A375" s="1" t="str">
        <f>IFERROR(INDEX('02_ツリー'!$E$5:$E$679,MATCH(ROW()-10,'02_ツリー'!$R$5:$R$679,0)),"")</f>
        <v>R_discharge</v>
      </c>
      <c r="B375" s="1">
        <f>IF($A375="","",SUMIFS('02_ツリー'!$K$5:$K$679,'02_ツリー'!$E$5:$E$679,$A375,'02_ツリー'!$K$5:$K$679,"&gt;0"))</f>
        <v>0</v>
      </c>
      <c r="C375" s="1">
        <f>IF($A375="","",SUMIFS('02_ツリー'!$K$5:$K$679,'02_ツリー'!$E$5:$E$679,$A375,'02_ツリー'!$K$5:$K$679,"&lt;0"))</f>
        <v>-1.5413917654040868E-2</v>
      </c>
      <c r="D375" s="1">
        <f t="shared" si="15"/>
        <v>-1.5413917654040868E-2</v>
      </c>
      <c r="E375" s="1">
        <f>IF($A375="","",--(COUNTIFS('02_ツリー'!$E$5:$E$679,$A375,'02_ツリー'!$O$5:$O$679,0)=0))</f>
        <v>0</v>
      </c>
      <c r="F375" s="1">
        <f t="shared" si="16"/>
        <v>0</v>
      </c>
      <c r="G375" s="1">
        <f t="shared" si="17"/>
        <v>0</v>
      </c>
      <c r="H375" s="1"/>
      <c r="I375" s="1"/>
      <c r="J375" s="1"/>
      <c r="K375" s="1"/>
      <c r="L375" s="1"/>
    </row>
    <row r="376" spans="1:12">
      <c r="A376" s="1" t="str">
        <f>IFERROR(INDEX('02_ツリー'!$E$5:$E$679,MATCH(ROW()-10,'02_ツリー'!$R$5:$R$679,0)),"")</f>
        <v>C_dc_discharge</v>
      </c>
      <c r="B376" s="1">
        <f>IF($A376="","",SUMIFS('02_ツリー'!$K$5:$K$679,'02_ツリー'!$E$5:$E$679,$A376,'02_ツリー'!$K$5:$K$679,"&gt;0"))</f>
        <v>0</v>
      </c>
      <c r="C376" s="1">
        <f>IF($A376="","",SUMIFS('02_ツリー'!$K$5:$K$679,'02_ツリー'!$E$5:$E$679,$A376,'02_ツリー'!$K$5:$K$679,"&lt;0"))</f>
        <v>0</v>
      </c>
      <c r="D376" s="1">
        <f t="shared" si="15"/>
        <v>0</v>
      </c>
      <c r="E376" s="1">
        <f>IF($A376="","",--(COUNTIFS('02_ツリー'!$E$5:$E$679,$A376,'02_ツリー'!$O$5:$O$679,0)=0))</f>
        <v>1</v>
      </c>
      <c r="F376" s="1">
        <f t="shared" si="16"/>
        <v>0</v>
      </c>
      <c r="G376" s="1">
        <f t="shared" si="17"/>
        <v>0</v>
      </c>
      <c r="H376" s="1"/>
      <c r="I376" s="1"/>
      <c r="J376" s="1"/>
      <c r="K376" s="1"/>
      <c r="L376" s="1"/>
    </row>
    <row r="377" spans="1:12">
      <c r="A377" s="1" t="str">
        <f>IFERROR(INDEX('02_ツリー'!$E$5:$E$679,MATCH(ROW()-10,'02_ツリー'!$R$5:$R$679,0)),"")</f>
        <v>t_discharge_req</v>
      </c>
      <c r="B377" s="1">
        <f>IF($A377="","",SUMIFS('02_ツリー'!$K$5:$K$679,'02_ツリー'!$E$5:$E$679,$A377,'02_ツリー'!$K$5:$K$679,"&gt;0"))</f>
        <v>0</v>
      </c>
      <c r="C377" s="1">
        <f>IF($A377="","",SUMIFS('02_ツリー'!$K$5:$K$679,'02_ツリー'!$E$5:$E$679,$A377,'02_ツリー'!$K$5:$K$679,"&lt;0"))</f>
        <v>0</v>
      </c>
      <c r="D377" s="1">
        <f t="shared" si="15"/>
        <v>0</v>
      </c>
      <c r="E377" s="1">
        <f>IF($A377="","",--(COUNTIFS('02_ツリー'!$E$5:$E$679,$A377,'02_ツリー'!$O$5:$O$679,0)=0))</f>
        <v>1</v>
      </c>
      <c r="F377" s="1">
        <f t="shared" si="16"/>
        <v>0</v>
      </c>
      <c r="G377" s="1">
        <f t="shared" si="17"/>
        <v>0</v>
      </c>
      <c r="H377" s="1"/>
      <c r="I377" s="1"/>
      <c r="J377" s="1"/>
      <c r="K377" s="1"/>
      <c r="L377" s="1"/>
    </row>
    <row r="378" spans="1:12">
      <c r="A378" s="1" t="str">
        <f>IFERROR(INDEX('02_ツリー'!$E$5:$E$679,MATCH(ROW()-10,'02_ツリー'!$R$5:$R$679,0)),"")</f>
        <v>V_safe_discharge</v>
      </c>
      <c r="B378" s="1">
        <f>IF($A378="","",SUMIFS('02_ツリー'!$K$5:$K$679,'02_ツリー'!$E$5:$E$679,$A378,'02_ツリー'!$K$5:$K$679,"&gt;0"))</f>
        <v>0</v>
      </c>
      <c r="C378" s="1">
        <f>IF($A378="","",SUMIFS('02_ツリー'!$K$5:$K$679,'02_ツリー'!$E$5:$E$679,$A378,'02_ツリー'!$K$5:$K$679,"&lt;0"))</f>
        <v>0</v>
      </c>
      <c r="D378" s="1">
        <f t="shared" si="15"/>
        <v>0</v>
      </c>
      <c r="E378" s="1">
        <f>IF($A378="","",--(COUNTIFS('02_ツリー'!$E$5:$E$679,$A378,'02_ツリー'!$O$5:$O$679,0)=0))</f>
        <v>1</v>
      </c>
      <c r="F378" s="1">
        <f t="shared" si="16"/>
        <v>0</v>
      </c>
      <c r="G378" s="1">
        <f t="shared" si="17"/>
        <v>0</v>
      </c>
      <c r="H378" s="1"/>
      <c r="I378" s="1"/>
      <c r="J378" s="1"/>
      <c r="K378" s="1"/>
      <c r="L378" s="1"/>
    </row>
    <row r="379" spans="1:12">
      <c r="A379" s="1" t="str">
        <f>IFERROR(INDEX('02_ツリー'!$E$5:$E$679,MATCH(ROW()-10,'02_ツリー'!$R$5:$R$679,0)),"")</f>
        <v>P_bleed_base</v>
      </c>
      <c r="B379" s="1">
        <f>IF($A379="","",SUMIFS('02_ツリー'!$K$5:$K$679,'02_ツリー'!$E$5:$E$679,$A379,'02_ツリー'!$K$5:$K$679,"&gt;0"))</f>
        <v>1.5413917654040868E-2</v>
      </c>
      <c r="C379" s="1">
        <f>IF($A379="","",SUMIFS('02_ツリー'!$K$5:$K$679,'02_ツリー'!$E$5:$E$679,$A379,'02_ツリー'!$K$5:$K$679,"&lt;0"))</f>
        <v>0</v>
      </c>
      <c r="D379" s="1">
        <f t="shared" si="15"/>
        <v>1.5413917654040868E-2</v>
      </c>
      <c r="E379" s="1">
        <f>IF($A379="","",--(COUNTIFS('02_ツリー'!$E$5:$E$679,$A379,'02_ツリー'!$O$5:$O$679,0)=0))</f>
        <v>0</v>
      </c>
      <c r="F379" s="1">
        <f t="shared" si="16"/>
        <v>0</v>
      </c>
      <c r="G379" s="1">
        <f t="shared" si="17"/>
        <v>0</v>
      </c>
      <c r="H379" s="1"/>
      <c r="I379" s="1"/>
      <c r="J379" s="1"/>
      <c r="K379" s="1"/>
      <c r="L379" s="1"/>
    </row>
    <row r="380" spans="1:12">
      <c r="A380" s="1" t="str">
        <f>IFERROR(INDEX('02_ツリー'!$E$5:$E$679,MATCH(ROW()-10,'02_ツリー'!$R$5:$R$679,0)),"")</f>
        <v>Enable_active_discharge</v>
      </c>
      <c r="B380" s="1">
        <f>IF($A380="","",SUMIFS('02_ツリー'!$K$5:$K$679,'02_ツリー'!$E$5:$E$679,$A380,'02_ツリー'!$K$5:$K$679,"&gt;0"))</f>
        <v>4.0199142433137765E-3</v>
      </c>
      <c r="C380" s="1">
        <f>IF($A380="","",SUMIFS('02_ツリー'!$K$5:$K$679,'02_ツリー'!$E$5:$E$679,$A380,'02_ツリー'!$K$5:$K$679,"&lt;0"))</f>
        <v>-1.1143575614338236E-2</v>
      </c>
      <c r="D380" s="1">
        <f t="shared" si="15"/>
        <v>-7.1236613710244593E-3</v>
      </c>
      <c r="E380" s="1">
        <f>IF($A380="","",--(COUNTIFS('02_ツリー'!$E$5:$E$679,$A380,'02_ツリー'!$O$5:$O$679,0)=0))</f>
        <v>1</v>
      </c>
      <c r="F380" s="1">
        <f t="shared" si="16"/>
        <v>1</v>
      </c>
      <c r="G380" s="1">
        <f t="shared" si="17"/>
        <v>1</v>
      </c>
      <c r="H380" s="1"/>
      <c r="I380" s="1"/>
      <c r="J380" s="1"/>
      <c r="K380" s="1"/>
      <c r="L380" s="1"/>
    </row>
    <row r="381" spans="1:12">
      <c r="A381" s="1" t="str">
        <f>IFERROR(INDEX('02_ツリー'!$E$5:$E$679,MATCH(ROW()-10,'02_ツリー'!$R$5:$R$679,0)),"")</f>
        <v>M_active_discharge_ctrl</v>
      </c>
      <c r="B381" s="1">
        <f>IF($A381="","",SUMIFS('02_ツリー'!$K$5:$K$679,'02_ツリー'!$E$5:$E$679,$A381,'02_ツリー'!$K$5:$K$679,"&gt;0"))</f>
        <v>0</v>
      </c>
      <c r="C381" s="1">
        <f>IF($A381="","",SUMIFS('02_ツリー'!$K$5:$K$679,'02_ツリー'!$E$5:$E$679,$A381,'02_ツリー'!$K$5:$K$679,"&lt;0"))</f>
        <v>0</v>
      </c>
      <c r="D381" s="1">
        <f t="shared" si="15"/>
        <v>0</v>
      </c>
      <c r="E381" s="1">
        <f>IF($A381="","",--(COUNTIFS('02_ツリー'!$E$5:$E$679,$A381,'02_ツリー'!$O$5:$O$679,0)=0))</f>
        <v>0</v>
      </c>
      <c r="F381" s="1">
        <f t="shared" si="16"/>
        <v>0</v>
      </c>
      <c r="G381" s="1">
        <f t="shared" si="17"/>
        <v>0</v>
      </c>
      <c r="H381" s="1"/>
      <c r="I381" s="1"/>
      <c r="J381" s="1"/>
      <c r="K381" s="1"/>
      <c r="L381" s="1"/>
    </row>
    <row r="382" spans="1:12">
      <c r="A382" s="1" t="str">
        <f>IFERROR(INDEX('02_ツリー'!$E$5:$E$679,MATCH(ROW()-10,'02_ツリー'!$R$5:$R$679,0)),"")</f>
        <v>P_discharge_standby</v>
      </c>
      <c r="B382" s="1">
        <f>IF($A382="","",SUMIFS('02_ツリー'!$K$5:$K$679,'02_ツリー'!$E$5:$E$679,$A382,'02_ツリー'!$K$5:$K$679,"&gt;0"))</f>
        <v>1.1474787134812996E-3</v>
      </c>
      <c r="C382" s="1">
        <f>IF($A382="","",SUMIFS('02_ツリー'!$K$5:$K$679,'02_ツリー'!$E$5:$E$679,$A382,'02_ツリー'!$K$5:$K$679,"&lt;0"))</f>
        <v>0</v>
      </c>
      <c r="D382" s="1">
        <f t="shared" si="15"/>
        <v>1.1474787134812996E-3</v>
      </c>
      <c r="E382" s="1">
        <f>IF($A382="","",--(COUNTIFS('02_ツリー'!$E$5:$E$679,$A382,'02_ツリー'!$O$5:$O$679,0)=0))</f>
        <v>0</v>
      </c>
      <c r="F382" s="1">
        <f t="shared" si="16"/>
        <v>0</v>
      </c>
      <c r="G382" s="1">
        <f t="shared" si="17"/>
        <v>0</v>
      </c>
      <c r="H382" s="1"/>
      <c r="I382" s="1"/>
      <c r="J382" s="1"/>
      <c r="K382" s="1"/>
      <c r="L382" s="1"/>
    </row>
    <row r="383" spans="1:12">
      <c r="A383" s="1" t="str">
        <f>IFERROR(INDEX('02_ツリー'!$E$5:$E$679,MATCH(ROW()-10,'02_ツリー'!$R$5:$R$679,0)),"")</f>
        <v>k_pkg_cooling</v>
      </c>
      <c r="B383" s="1">
        <f>IF($A383="","",SUMIFS('02_ツリー'!$K$5:$K$679,'02_ツリー'!$E$5:$E$679,$A383,'02_ツリー'!$K$5:$K$679,"&gt;0"))</f>
        <v>1.3577520113238967E-3</v>
      </c>
      <c r="C383" s="1">
        <f>IF($A383="","",SUMIFS('02_ツリー'!$K$5:$K$679,'02_ツリー'!$E$5:$E$679,$A383,'02_ツリー'!$K$5:$K$679,"&lt;0"))</f>
        <v>0</v>
      </c>
      <c r="D383" s="1">
        <f t="shared" si="15"/>
        <v>1.3577520113238967E-3</v>
      </c>
      <c r="E383" s="1">
        <f>IF($A383="","",--(COUNTIFS('02_ツリー'!$E$5:$E$679,$A383,'02_ツリー'!$O$5:$O$679,0)=0))</f>
        <v>0</v>
      </c>
      <c r="F383" s="1">
        <f t="shared" si="16"/>
        <v>0</v>
      </c>
      <c r="G383" s="1">
        <f t="shared" si="17"/>
        <v>0</v>
      </c>
      <c r="H383" s="1"/>
      <c r="I383" s="1"/>
      <c r="J383" s="1"/>
      <c r="K383" s="1"/>
      <c r="L383" s="1"/>
    </row>
    <row r="384" spans="1:12">
      <c r="A384" s="1" t="str">
        <f>IFERROR(INDEX('02_ツリー'!$E$5:$E$679,MATCH(ROW()-10,'02_ツリー'!$R$5:$R$679,0)),"")</f>
        <v>Package_cooling_mode</v>
      </c>
      <c r="B384" s="1">
        <f>IF($A384="","",SUMIFS('02_ツリー'!$K$5:$K$679,'02_ツリー'!$E$5:$E$679,$A384,'02_ツリー'!$K$5:$K$679,"&gt;0"))</f>
        <v>6.4417490156375374E-3</v>
      </c>
      <c r="C384" s="1">
        <f>IF($A384="","",SUMIFS('02_ツリー'!$K$5:$K$679,'02_ツリー'!$E$5:$E$679,$A384,'02_ツリー'!$K$5:$K$679,"&lt;0"))</f>
        <v>-4.0732560339716903E-4</v>
      </c>
      <c r="D384" s="1">
        <f t="shared" si="15"/>
        <v>6.0344234122403683E-3</v>
      </c>
      <c r="E384" s="1">
        <f>IF($A384="","",--(COUNTIFS('02_ツリー'!$E$5:$E$679,$A384,'02_ツリー'!$O$5:$O$679,0)=0))</f>
        <v>1</v>
      </c>
      <c r="F384" s="1">
        <f t="shared" si="16"/>
        <v>1</v>
      </c>
      <c r="G384" s="1">
        <f t="shared" si="17"/>
        <v>0</v>
      </c>
      <c r="H384" s="1"/>
      <c r="I384" s="1"/>
      <c r="J384" s="1"/>
      <c r="K384" s="1"/>
      <c r="L384" s="1"/>
    </row>
    <row r="385" spans="1:12">
      <c r="A385" s="1" t="str">
        <f>IFERROR(INDEX('02_ツリー'!$E$5:$E$679,MATCH(ROW()-10,'02_ツリー'!$R$5:$R$679,0)),"")</f>
        <v>k_pkg_J</v>
      </c>
      <c r="B385" s="1">
        <f>IF($A385="","",SUMIFS('02_ツリー'!$K$5:$K$679,'02_ツリー'!$E$5:$E$679,$A385,'02_ツリー'!$K$5:$K$679,"&gt;0"))</f>
        <v>0</v>
      </c>
      <c r="C385" s="1">
        <f>IF($A385="","",SUMIFS('02_ツリー'!$K$5:$K$679,'02_ツリー'!$E$5:$E$679,$A385,'02_ツリー'!$K$5:$K$679,"&lt;0"))</f>
        <v>-6.5908175569960757E-5</v>
      </c>
      <c r="D385" s="1">
        <f t="shared" si="15"/>
        <v>-6.5908175569960757E-5</v>
      </c>
      <c r="E385" s="1">
        <f>IF($A385="","",--(COUNTIFS('02_ツリー'!$E$5:$E$679,$A385,'02_ツリー'!$O$5:$O$679,0)=0))</f>
        <v>0</v>
      </c>
      <c r="F385" s="1">
        <f t="shared" si="16"/>
        <v>0</v>
      </c>
      <c r="G385" s="1">
        <f t="shared" si="17"/>
        <v>0</v>
      </c>
      <c r="H385" s="1"/>
      <c r="I385" s="1"/>
      <c r="J385" s="1"/>
      <c r="K385" s="1"/>
      <c r="L385" s="1"/>
    </row>
    <row r="386" spans="1:12">
      <c r="A386" s="1" t="str">
        <f>IFERROR(INDEX('02_ツリー'!$E$5:$E$679,MATCH(ROW()-10,'02_ツリー'!$R$5:$R$679,0)),"")</f>
        <v>M_pkg_advanced</v>
      </c>
      <c r="B386" s="1">
        <f>IF($A386="","",SUMIFS('02_ツリー'!$K$5:$K$679,'02_ツリー'!$E$5:$E$679,$A386,'02_ツリー'!$K$5:$K$679,"&gt;0"))</f>
        <v>0</v>
      </c>
      <c r="C386" s="1">
        <f>IF($A386="","",SUMIFS('02_ツリー'!$K$5:$K$679,'02_ツリー'!$E$5:$E$679,$A386,'02_ツリー'!$K$5:$K$679,"&lt;0"))</f>
        <v>0</v>
      </c>
      <c r="D386" s="1">
        <f t="shared" si="15"/>
        <v>0</v>
      </c>
      <c r="E386" s="1">
        <f>IF($A386="","",--(COUNTIFS('02_ツリー'!$E$5:$E$679,$A386,'02_ツリー'!$O$5:$O$679,0)=0))</f>
        <v>0</v>
      </c>
      <c r="F386" s="1">
        <f t="shared" si="16"/>
        <v>0</v>
      </c>
      <c r="G386" s="1">
        <f t="shared" si="17"/>
        <v>0</v>
      </c>
      <c r="H386" s="1"/>
      <c r="I386" s="1"/>
      <c r="J386" s="1"/>
      <c r="K386" s="1"/>
      <c r="L386" s="1"/>
    </row>
    <row r="387" spans="1:12">
      <c r="A387" s="1" t="str">
        <f>IFERROR(INDEX('02_ツリー'!$E$5:$E$679,MATCH(ROW()-10,'02_ツリー'!$R$5:$R$679,0)),"")</f>
        <v>alpha_Ron_T</v>
      </c>
      <c r="B387" s="1">
        <f>IF($A387="","",SUMIFS('02_ツリー'!$K$5:$K$679,'02_ツリー'!$E$5:$E$679,$A387,'02_ツリー'!$K$5:$K$679,"&gt;0"))</f>
        <v>1.7865967758556204E-6</v>
      </c>
      <c r="C387" s="1">
        <f>IF($A387="","",SUMIFS('02_ツリー'!$K$5:$K$679,'02_ツリー'!$E$5:$E$679,$A387,'02_ツリー'!$K$5:$K$679,"&lt;0"))</f>
        <v>0</v>
      </c>
      <c r="D387" s="1">
        <f t="shared" si="15"/>
        <v>1.7865967758556204E-6</v>
      </c>
      <c r="E387" s="1">
        <f>IF($A387="","",--(COUNTIFS('02_ツリー'!$E$5:$E$679,$A387,'02_ツリー'!$O$5:$O$679,0)=0))</f>
        <v>1</v>
      </c>
      <c r="F387" s="1">
        <f t="shared" si="16"/>
        <v>0</v>
      </c>
      <c r="G387" s="1">
        <f t="shared" si="17"/>
        <v>0</v>
      </c>
      <c r="H387" s="1"/>
      <c r="I387" s="1"/>
      <c r="J387" s="1"/>
      <c r="K387" s="1"/>
      <c r="L387" s="1"/>
    </row>
    <row r="388" spans="1:12">
      <c r="A388" s="1" t="str">
        <f>IFERROR(INDEX('02_ツリー'!$E$5:$E$679,MATCH(ROW()-10,'02_ツリー'!$R$5:$R$679,0)),"")</f>
        <v>Tj_ref</v>
      </c>
      <c r="B388" s="1">
        <f>IF($A388="","",SUMIFS('02_ツリー'!$K$5:$K$679,'02_ツリー'!$E$5:$E$679,$A388,'02_ツリー'!$K$5:$K$679,"&gt;0"))</f>
        <v>0</v>
      </c>
      <c r="C388" s="1">
        <f>IF($A388="","",SUMIFS('02_ツリー'!$K$5:$K$679,'02_ツリー'!$E$5:$E$679,$A388,'02_ツリー'!$K$5:$K$679,"&lt;0"))</f>
        <v>-8.9329838792781016E-6</v>
      </c>
      <c r="D388" s="1">
        <f t="shared" si="15"/>
        <v>-8.9329838792781016E-6</v>
      </c>
      <c r="E388" s="1">
        <f>IF($A388="","",--(COUNTIFS('02_ツリー'!$E$5:$E$679,$A388,'02_ツリー'!$O$5:$O$679,0)=0))</f>
        <v>1</v>
      </c>
      <c r="F388" s="1">
        <f t="shared" si="16"/>
        <v>0</v>
      </c>
      <c r="G388" s="1">
        <f t="shared" si="17"/>
        <v>0</v>
      </c>
      <c r="H388" s="1"/>
      <c r="I388" s="1"/>
      <c r="J388" s="1"/>
      <c r="K388" s="1"/>
      <c r="L388" s="1"/>
    </row>
    <row r="389" spans="1:12">
      <c r="A389" s="1" t="str">
        <f>IFERROR(INDEX('02_ツリー'!$E$5:$E$679,MATCH(ROW()-10,'02_ツリー'!$R$5:$R$679,0)),"")</f>
        <v>L_cable</v>
      </c>
      <c r="B389" s="1">
        <f>IF($A389="","",SUMIFS('02_ツリー'!$K$5:$K$679,'02_ツリー'!$E$5:$E$679,$A389,'02_ツリー'!$K$5:$K$679,"&gt;0"))</f>
        <v>0</v>
      </c>
      <c r="C389" s="1">
        <f>IF($A389="","",SUMIFS('02_ツリー'!$K$5:$K$679,'02_ツリー'!$E$5:$E$679,$A389,'02_ツリー'!$K$5:$K$679,"&lt;0"))</f>
        <v>0</v>
      </c>
      <c r="D389" s="1">
        <f t="shared" si="15"/>
        <v>0</v>
      </c>
      <c r="E389" s="1">
        <f>IF($A389="","",--(COUNTIFS('02_ツリー'!$E$5:$E$679,$A389,'02_ツリー'!$O$5:$O$679,0)=0))</f>
        <v>1</v>
      </c>
      <c r="F389" s="1">
        <f t="shared" si="16"/>
        <v>0</v>
      </c>
      <c r="G389" s="1">
        <f t="shared" si="17"/>
        <v>0</v>
      </c>
      <c r="H389" s="1"/>
      <c r="I389" s="1"/>
      <c r="J389" s="1"/>
      <c r="K389" s="1"/>
      <c r="L389" s="1"/>
    </row>
    <row r="390" spans="1:12">
      <c r="A390" s="1" t="str">
        <f>IFERROR(INDEX('02_ツリー'!$E$5:$E$679,MATCH(ROW()-10,'02_ツリー'!$R$5:$R$679,0)),"")</f>
        <v>C_cable</v>
      </c>
      <c r="B390" s="1">
        <f>IF($A390="","",SUMIFS('02_ツリー'!$K$5:$K$679,'02_ツリー'!$E$5:$E$679,$A390,'02_ツリー'!$K$5:$K$679,"&gt;0"))</f>
        <v>0</v>
      </c>
      <c r="C390" s="1">
        <f>IF($A390="","",SUMIFS('02_ツリー'!$K$5:$K$679,'02_ツリー'!$E$5:$E$679,$A390,'02_ツリー'!$K$5:$K$679,"&lt;0"))</f>
        <v>0</v>
      </c>
      <c r="D390" s="1">
        <f t="shared" si="15"/>
        <v>0</v>
      </c>
      <c r="E390" s="1">
        <f>IF($A390="","",--(COUNTIFS('02_ツリー'!$E$5:$E$679,$A390,'02_ツリー'!$O$5:$O$679,0)=0))</f>
        <v>0</v>
      </c>
      <c r="F390" s="1">
        <f t="shared" si="16"/>
        <v>0</v>
      </c>
      <c r="G390" s="1">
        <f t="shared" si="17"/>
        <v>0</v>
      </c>
      <c r="H390" s="1"/>
      <c r="I390" s="1"/>
      <c r="J390" s="1"/>
      <c r="K390" s="1"/>
      <c r="L390" s="1"/>
    </row>
    <row r="391" spans="1:12">
      <c r="A391" s="1" t="str">
        <f>IFERROR(INDEX('02_ツリー'!$E$5:$E$679,MATCH(ROW()-10,'02_ツリー'!$R$5:$R$679,0)),"")</f>
        <v>I_cm_cable</v>
      </c>
      <c r="B391" s="1">
        <f>IF($A391="","",SUMIFS('02_ツリー'!$K$5:$K$679,'02_ツリー'!$E$5:$E$679,$A391,'02_ツリー'!$K$5:$K$679,"&gt;0"))</f>
        <v>0</v>
      </c>
      <c r="C391" s="1">
        <f>IF($A391="","",SUMIFS('02_ツリー'!$K$5:$K$679,'02_ツリー'!$E$5:$E$679,$A391,'02_ツリー'!$K$5:$K$679,"&lt;0"))</f>
        <v>0</v>
      </c>
      <c r="D391" s="1">
        <f t="shared" si="15"/>
        <v>0</v>
      </c>
      <c r="E391" s="1">
        <f>IF($A391="","",--(COUNTIFS('02_ツリー'!$E$5:$E$679,$A391,'02_ツリー'!$O$5:$O$679,0)=0))</f>
        <v>0</v>
      </c>
      <c r="F391" s="1">
        <f t="shared" si="16"/>
        <v>0</v>
      </c>
      <c r="G391" s="1">
        <f t="shared" si="17"/>
        <v>0</v>
      </c>
      <c r="H391" s="1"/>
      <c r="I391" s="1"/>
      <c r="J391" s="1"/>
      <c r="K391" s="1"/>
      <c r="L391" s="1"/>
    </row>
    <row r="392" spans="1:12">
      <c r="A392" s="1" t="str">
        <f>IFERROR(INDEX('02_ツリー'!$E$5:$E$679,MATCH(ROW()-10,'02_ツリー'!$R$5:$R$679,0)),"")</f>
        <v>k_cable_dvdt</v>
      </c>
      <c r="B392" s="1">
        <f>IF($A392="","",SUMIFS('02_ツリー'!$K$5:$K$679,'02_ツリー'!$E$5:$E$679,$A392,'02_ツリー'!$K$5:$K$679,"&gt;0"))</f>
        <v>0</v>
      </c>
      <c r="C392" s="1">
        <f>IF($A392="","",SUMIFS('02_ツリー'!$K$5:$K$679,'02_ツリー'!$E$5:$E$679,$A392,'02_ツリー'!$K$5:$K$679,"&lt;0"))</f>
        <v>0</v>
      </c>
      <c r="D392" s="1">
        <f t="shared" si="15"/>
        <v>0</v>
      </c>
      <c r="E392" s="1">
        <f>IF($A392="","",--(COUNTIFS('02_ツリー'!$E$5:$E$679,$A392,'02_ツリー'!$O$5:$O$679,0)=0))</f>
        <v>0</v>
      </c>
      <c r="F392" s="1">
        <f t="shared" si="16"/>
        <v>0</v>
      </c>
      <c r="G392" s="1">
        <f t="shared" si="17"/>
        <v>0</v>
      </c>
      <c r="H392" s="1"/>
      <c r="I392" s="1"/>
      <c r="J392" s="1"/>
      <c r="K392" s="1"/>
      <c r="L392" s="1"/>
    </row>
    <row r="393" spans="1:12">
      <c r="A393" s="1" t="str">
        <f>IFERROR(INDEX('02_ツリー'!$E$5:$E$679,MATCH(ROW()-10,'02_ツリー'!$R$5:$R$679,0)),"")</f>
        <v>f_sw_req_detail</v>
      </c>
      <c r="B393" s="1">
        <f>IF($A393="","",SUMIFS('02_ツリー'!$K$5:$K$679,'02_ツリー'!$E$5:$E$679,$A393,'02_ツリー'!$K$5:$K$679,"&gt;0"))</f>
        <v>3.7081095457614869E-5</v>
      </c>
      <c r="C393" s="1">
        <f>IF($A393="","",SUMIFS('02_ツリー'!$K$5:$K$679,'02_ツリー'!$E$5:$E$679,$A393,'02_ツリー'!$K$5:$K$679,"&lt;0"))</f>
        <v>0</v>
      </c>
      <c r="D393" s="1">
        <f t="shared" si="15"/>
        <v>3.7081095457614869E-5</v>
      </c>
      <c r="E393" s="1">
        <f>IF($A393="","",--(COUNTIFS('02_ツリー'!$E$5:$E$679,$A393,'02_ツリー'!$O$5:$O$679,0)=0))</f>
        <v>0</v>
      </c>
      <c r="F393" s="1">
        <f t="shared" si="16"/>
        <v>0</v>
      </c>
      <c r="G393" s="1">
        <f t="shared" si="17"/>
        <v>0</v>
      </c>
      <c r="H393" s="1"/>
      <c r="I393" s="1"/>
      <c r="J393" s="1"/>
      <c r="K393" s="1"/>
      <c r="L393" s="1"/>
    </row>
    <row r="394" spans="1:12">
      <c r="A394" s="1" t="str">
        <f>IFERROR(INDEX('02_ツリー'!$E$5:$E$679,MATCH(ROW()-10,'02_ツリー'!$R$5:$R$679,0)),"")</f>
        <v>f_sw_electric</v>
      </c>
      <c r="B394" s="1">
        <f>IF($A394="","",SUMIFS('02_ツリー'!$K$5:$K$679,'02_ツリー'!$E$5:$E$679,$A394,'02_ツリー'!$K$5:$K$679,"&gt;0"))</f>
        <v>3.7081095457614869E-5</v>
      </c>
      <c r="C394" s="1">
        <f>IF($A394="","",SUMIFS('02_ツリー'!$K$5:$K$679,'02_ツリー'!$E$5:$E$679,$A394,'02_ツリー'!$K$5:$K$679,"&lt;0"))</f>
        <v>0</v>
      </c>
      <c r="D394" s="1">
        <f t="shared" si="15"/>
        <v>3.7081095457614869E-5</v>
      </c>
      <c r="E394" s="1">
        <f>IF($A394="","",--(COUNTIFS('02_ツリー'!$E$5:$E$679,$A394,'02_ツリー'!$O$5:$O$679,0)=0))</f>
        <v>1</v>
      </c>
      <c r="F394" s="1">
        <f t="shared" si="16"/>
        <v>0</v>
      </c>
      <c r="G394" s="1">
        <f t="shared" si="17"/>
        <v>0</v>
      </c>
      <c r="H394" s="1"/>
      <c r="I394" s="1"/>
      <c r="J394" s="1"/>
      <c r="K394" s="1"/>
      <c r="L394" s="1"/>
    </row>
    <row r="395" spans="1:12">
      <c r="A395" s="1" t="str">
        <f>IFERROR(INDEX('02_ツリー'!$E$5:$E$679,MATCH(ROW()-10,'02_ツリー'!$R$5:$R$679,0)),"")</f>
        <v>f_sw_ripple</v>
      </c>
      <c r="B395" s="1">
        <f>IF($A395="","",SUMIFS('02_ツリー'!$K$5:$K$679,'02_ツリー'!$E$5:$E$679,$A395,'02_ツリー'!$K$5:$K$679,"&gt;0"))</f>
        <v>0</v>
      </c>
      <c r="C395" s="1">
        <f>IF($A395="","",SUMIFS('02_ツリー'!$K$5:$K$679,'02_ツリー'!$E$5:$E$679,$A395,'02_ツリー'!$K$5:$K$679,"&lt;0"))</f>
        <v>0</v>
      </c>
      <c r="D395" s="1">
        <f t="shared" ref="D395:D458" si="18">IF($A395="","",B395+C395)</f>
        <v>0</v>
      </c>
      <c r="E395" s="1">
        <f>IF($A395="","",--(COUNTIFS('02_ツリー'!$E$5:$E$679,$A395,'02_ツリー'!$O$5:$O$679,0)=0))</f>
        <v>0</v>
      </c>
      <c r="F395" s="1">
        <f t="shared" ref="F395:F458" si="19">IF($A395="","",--AND(B395&gt;0,C395&lt;0))</f>
        <v>0</v>
      </c>
      <c r="G395" s="1">
        <f t="shared" ref="G395:G458" si="20">IF($A395="","",--(LEFT(A395,7)="Enable_"))</f>
        <v>0</v>
      </c>
      <c r="H395" s="1"/>
      <c r="I395" s="1"/>
      <c r="J395" s="1"/>
      <c r="K395" s="1"/>
      <c r="L395" s="1"/>
    </row>
    <row r="396" spans="1:12">
      <c r="A396" s="1" t="str">
        <f>IFERROR(INDEX('02_ツリー'!$E$5:$E$679,MATCH(ROW()-10,'02_ツリー'!$R$5:$R$679,0)),"")</f>
        <v>ripple_i_req</v>
      </c>
      <c r="B396" s="1">
        <f>IF($A396="","",SUMIFS('02_ツリー'!$K$5:$K$679,'02_ツリー'!$E$5:$E$679,$A396,'02_ツリー'!$K$5:$K$679,"&gt;0"))</f>
        <v>0</v>
      </c>
      <c r="C396" s="1">
        <f>IF($A396="","",SUMIFS('02_ツリー'!$K$5:$K$679,'02_ツリー'!$E$5:$E$679,$A396,'02_ツリー'!$K$5:$K$679,"&lt;0"))</f>
        <v>0</v>
      </c>
      <c r="D396" s="1">
        <f t="shared" si="18"/>
        <v>0</v>
      </c>
      <c r="E396" s="1">
        <f>IF($A396="","",--(COUNTIFS('02_ツリー'!$E$5:$E$679,$A396,'02_ツリー'!$O$5:$O$679,0)=0))</f>
        <v>1</v>
      </c>
      <c r="F396" s="1">
        <f t="shared" si="19"/>
        <v>0</v>
      </c>
      <c r="G396" s="1">
        <f t="shared" si="20"/>
        <v>0</v>
      </c>
      <c r="H396" s="1"/>
      <c r="I396" s="1"/>
      <c r="J396" s="1"/>
      <c r="K396" s="1"/>
      <c r="L396" s="1"/>
    </row>
    <row r="397" spans="1:12">
      <c r="A397" s="1" t="str">
        <f>IFERROR(INDEX('02_ツリー'!$E$5:$E$679,MATCH(ROW()-10,'02_ツリー'!$R$5:$R$679,0)),"")</f>
        <v>L_motor</v>
      </c>
      <c r="B397" s="1">
        <f>IF($A397="","",SUMIFS('02_ツリー'!$K$5:$K$679,'02_ツリー'!$E$5:$E$679,$A397,'02_ツリー'!$K$5:$K$679,"&gt;0"))</f>
        <v>0</v>
      </c>
      <c r="C397" s="1">
        <f>IF($A397="","",SUMIFS('02_ツリー'!$K$5:$K$679,'02_ツリー'!$E$5:$E$679,$A397,'02_ツリー'!$K$5:$K$679,"&lt;0"))</f>
        <v>0</v>
      </c>
      <c r="D397" s="1">
        <f t="shared" si="18"/>
        <v>0</v>
      </c>
      <c r="E397" s="1">
        <f>IF($A397="","",--(COUNTIFS('02_ツリー'!$E$5:$E$679,$A397,'02_ツリー'!$O$5:$O$679,0)=0))</f>
        <v>1</v>
      </c>
      <c r="F397" s="1">
        <f t="shared" si="19"/>
        <v>0</v>
      </c>
      <c r="G397" s="1">
        <f t="shared" si="20"/>
        <v>0</v>
      </c>
      <c r="H397" s="1"/>
      <c r="I397" s="1"/>
      <c r="J397" s="1"/>
      <c r="K397" s="1"/>
      <c r="L397" s="1"/>
    </row>
    <row r="398" spans="1:12">
      <c r="A398" s="1" t="str">
        <f>IFERROR(INDEX('02_ツリー'!$E$5:$E$679,MATCH(ROW()-10,'02_ツリー'!$R$5:$R$679,0)),"")</f>
        <v>f_sw_bw</v>
      </c>
      <c r="B398" s="1">
        <f>IF($A398="","",SUMIFS('02_ツリー'!$K$5:$K$679,'02_ツリー'!$E$5:$E$679,$A398,'02_ツリー'!$K$5:$K$679,"&gt;0"))</f>
        <v>0</v>
      </c>
      <c r="C398" s="1">
        <f>IF($A398="","",SUMIFS('02_ツリー'!$K$5:$K$679,'02_ツリー'!$E$5:$E$679,$A398,'02_ツリー'!$K$5:$K$679,"&lt;0"))</f>
        <v>0</v>
      </c>
      <c r="D398" s="1">
        <f t="shared" si="18"/>
        <v>0</v>
      </c>
      <c r="E398" s="1">
        <f>IF($A398="","",--(COUNTIFS('02_ツリー'!$E$5:$E$679,$A398,'02_ツリー'!$O$5:$O$679,0)=0))</f>
        <v>0</v>
      </c>
      <c r="F398" s="1">
        <f t="shared" si="19"/>
        <v>0</v>
      </c>
      <c r="G398" s="1">
        <f t="shared" si="20"/>
        <v>0</v>
      </c>
      <c r="H398" s="1"/>
      <c r="I398" s="1"/>
      <c r="J398" s="1"/>
      <c r="K398" s="1"/>
      <c r="L398" s="1"/>
    </row>
    <row r="399" spans="1:12">
      <c r="A399" s="1" t="str">
        <f>IFERROR(INDEX('02_ツリー'!$E$5:$E$679,MATCH(ROW()-10,'02_ツリー'!$R$5:$R$679,0)),"")</f>
        <v>BW_current</v>
      </c>
      <c r="B399" s="1">
        <f>IF($A399="","",SUMIFS('02_ツリー'!$K$5:$K$679,'02_ツリー'!$E$5:$E$679,$A399,'02_ツリー'!$K$5:$K$679,"&gt;0"))</f>
        <v>0</v>
      </c>
      <c r="C399" s="1">
        <f>IF($A399="","",SUMIFS('02_ツリー'!$K$5:$K$679,'02_ツリー'!$E$5:$E$679,$A399,'02_ツリー'!$K$5:$K$679,"&lt;0"))</f>
        <v>0</v>
      </c>
      <c r="D399" s="1">
        <f t="shared" si="18"/>
        <v>0</v>
      </c>
      <c r="E399" s="1">
        <f>IF($A399="","",--(COUNTIFS('02_ツリー'!$E$5:$E$679,$A399,'02_ツリー'!$O$5:$O$679,0)=0))</f>
        <v>1</v>
      </c>
      <c r="F399" s="1">
        <f t="shared" si="19"/>
        <v>0</v>
      </c>
      <c r="G399" s="1">
        <f t="shared" si="20"/>
        <v>0</v>
      </c>
      <c r="H399" s="1"/>
      <c r="I399" s="1"/>
      <c r="J399" s="1"/>
      <c r="K399" s="1"/>
      <c r="L399" s="1"/>
    </row>
    <row r="400" spans="1:12">
      <c r="A400" s="1" t="str">
        <f>IFERROR(INDEX('02_ツリー'!$E$5:$E$679,MATCH(ROW()-10,'02_ツリー'!$R$5:$R$679,0)),"")</f>
        <v>k_miller_sw</v>
      </c>
      <c r="B400" s="1">
        <f>IF($A400="","",SUMIFS('02_ツリー'!$K$5:$K$679,'02_ツリー'!$E$5:$E$679,$A400,'02_ツリー'!$K$5:$K$679,"&gt;0"))</f>
        <v>3.7081095457614869E-5</v>
      </c>
      <c r="C400" s="1">
        <f>IF($A400="","",SUMIFS('02_ツリー'!$K$5:$K$679,'02_ツリー'!$E$5:$E$679,$A400,'02_ツリー'!$K$5:$K$679,"&lt;0"))</f>
        <v>0</v>
      </c>
      <c r="D400" s="1">
        <f t="shared" si="18"/>
        <v>3.7081095457614869E-5</v>
      </c>
      <c r="E400" s="1">
        <f>IF($A400="","",--(COUNTIFS('02_ツリー'!$E$5:$E$679,$A400,'02_ツリー'!$O$5:$O$679,0)=0))</f>
        <v>0</v>
      </c>
      <c r="F400" s="1">
        <f t="shared" si="19"/>
        <v>0</v>
      </c>
      <c r="G400" s="1">
        <f t="shared" si="20"/>
        <v>0</v>
      </c>
      <c r="H400" s="1"/>
      <c r="I400" s="1"/>
      <c r="J400" s="1"/>
      <c r="K400" s="1"/>
      <c r="L400" s="1"/>
    </row>
    <row r="401" spans="1:12">
      <c r="A401" s="1" t="str">
        <f>IFERROR(INDEX('02_ツリー'!$E$5:$E$679,MATCH(ROW()-10,'02_ツリー'!$R$5:$R$679,0)),"")</f>
        <v>Enable_Miller_clamp</v>
      </c>
      <c r="B401" s="1">
        <f>IF($A401="","",SUMIFS('02_ツリー'!$K$5:$K$679,'02_ツリー'!$E$5:$E$679,$A401,'02_ツリー'!$K$5:$K$679,"&gt;0"))</f>
        <v>1.6079656973255107E-3</v>
      </c>
      <c r="C401" s="1">
        <f>IF($A401="","",SUMIFS('02_ツリー'!$K$5:$K$679,'02_ツリー'!$E$5:$E$679,$A401,'02_ツリー'!$K$5:$K$679,"&lt;0"))</f>
        <v>-3.7081095457614872E-6</v>
      </c>
      <c r="D401" s="1">
        <f t="shared" si="18"/>
        <v>1.6042575877797493E-3</v>
      </c>
      <c r="E401" s="1">
        <f>IF($A401="","",--(COUNTIFS('02_ツリー'!$E$5:$E$679,$A401,'02_ツリー'!$O$5:$O$679,0)=0))</f>
        <v>1</v>
      </c>
      <c r="F401" s="1">
        <f t="shared" si="19"/>
        <v>1</v>
      </c>
      <c r="G401" s="1">
        <f t="shared" si="20"/>
        <v>1</v>
      </c>
      <c r="H401" s="1"/>
      <c r="I401" s="1"/>
      <c r="J401" s="1"/>
      <c r="K401" s="1"/>
      <c r="L401" s="1"/>
    </row>
    <row r="402" spans="1:12">
      <c r="A402" s="1" t="str">
        <f>IFERROR(INDEX('02_ツリー'!$E$5:$E$679,MATCH(ROW()-10,'02_ツリー'!$R$5:$R$679,0)),"")</f>
        <v>M_miller_clamp</v>
      </c>
      <c r="B402" s="1">
        <f>IF($A402="","",SUMIFS('02_ツリー'!$K$5:$K$679,'02_ツリー'!$E$5:$E$679,$A402,'02_ツリー'!$K$5:$K$679,"&gt;0"))</f>
        <v>0</v>
      </c>
      <c r="C402" s="1">
        <f>IF($A402="","",SUMIFS('02_ツリー'!$K$5:$K$679,'02_ツリー'!$E$5:$E$679,$A402,'02_ツリー'!$K$5:$K$679,"&lt;0"))</f>
        <v>0</v>
      </c>
      <c r="D402" s="1">
        <f t="shared" si="18"/>
        <v>0</v>
      </c>
      <c r="E402" s="1">
        <f>IF($A402="","",--(COUNTIFS('02_ツリー'!$E$5:$E$679,$A402,'02_ツリー'!$O$5:$O$679,0)=0))</f>
        <v>0</v>
      </c>
      <c r="F402" s="1">
        <f t="shared" si="19"/>
        <v>0</v>
      </c>
      <c r="G402" s="1">
        <f t="shared" si="20"/>
        <v>0</v>
      </c>
      <c r="H402" s="1"/>
      <c r="I402" s="1"/>
      <c r="J402" s="1"/>
      <c r="K402" s="1"/>
      <c r="L402" s="1"/>
    </row>
    <row r="403" spans="1:12">
      <c r="A403" s="1" t="str">
        <f>IFERROR(INDEX('02_ツリー'!$E$5:$E$679,MATCH(ROW()-10,'02_ツリー'!$R$5:$R$679,0)),"")</f>
        <v>M_DCDC</v>
      </c>
      <c r="B403" s="1">
        <f>IF($A403="","",SUMIFS('02_ツリー'!$K$5:$K$679,'02_ツリー'!$E$5:$E$679,$A403,'02_ツリー'!$K$5:$K$679,"&gt;0"))</f>
        <v>0</v>
      </c>
      <c r="C403" s="1">
        <f>IF($A403="","",SUMIFS('02_ツリー'!$K$5:$K$679,'02_ツリー'!$E$5:$E$679,$A403,'02_ツリー'!$K$5:$K$679,"&lt;0"))</f>
        <v>0</v>
      </c>
      <c r="D403" s="1">
        <f t="shared" si="18"/>
        <v>0</v>
      </c>
      <c r="E403" s="1">
        <f>IF($A403="","",--(COUNTIFS('02_ツリー'!$E$5:$E$679,$A403,'02_ツリー'!$O$5:$O$679,0)=0))</f>
        <v>0</v>
      </c>
      <c r="F403" s="1">
        <f t="shared" si="19"/>
        <v>0</v>
      </c>
      <c r="G403" s="1">
        <f t="shared" si="20"/>
        <v>0</v>
      </c>
      <c r="H403" s="1"/>
      <c r="I403" s="1"/>
      <c r="J403" s="1"/>
      <c r="K403" s="1"/>
      <c r="L403" s="1"/>
    </row>
    <row r="404" spans="1:12">
      <c r="A404" s="1" t="str">
        <f>IFERROR(INDEX('02_ツリー'!$E$5:$E$679,MATCH(ROW()-10,'02_ツリー'!$R$5:$R$679,0)),"")</f>
        <v>Enable_DCDC_stage</v>
      </c>
      <c r="B404" s="1">
        <f>IF($A404="","",SUMIFS('02_ツリー'!$K$5:$K$679,'02_ツリー'!$E$5:$E$679,$A404,'02_ツリー'!$K$5:$K$679,"&gt;0"))</f>
        <v>0</v>
      </c>
      <c r="C404" s="1">
        <f>IF($A404="","",SUMIFS('02_ツリー'!$K$5:$K$679,'02_ツリー'!$E$5:$E$679,$A404,'02_ツリー'!$K$5:$K$679,"&lt;0"))</f>
        <v>0</v>
      </c>
      <c r="D404" s="1">
        <f t="shared" si="18"/>
        <v>0</v>
      </c>
      <c r="E404" s="1">
        <f>IF($A404="","",--(COUNTIFS('02_ツリー'!$E$5:$E$679,$A404,'02_ツリー'!$O$5:$O$679,0)=0))</f>
        <v>1</v>
      </c>
      <c r="F404" s="1">
        <f t="shared" si="19"/>
        <v>0</v>
      </c>
      <c r="G404" s="1">
        <f t="shared" si="20"/>
        <v>1</v>
      </c>
      <c r="H404" s="1"/>
      <c r="I404" s="1"/>
      <c r="J404" s="1"/>
      <c r="K404" s="1"/>
      <c r="L404" s="1"/>
    </row>
    <row r="405" spans="1:12">
      <c r="A405" s="1" t="str">
        <f>IFERROR(INDEX('02_ツリー'!$E$5:$E$679,MATCH(ROW()-10,'02_ツリー'!$R$5:$R$679,0)),"")</f>
        <v>M_DCDC_power</v>
      </c>
      <c r="B405" s="1">
        <f>IF($A405="","",SUMIFS('02_ツリー'!$K$5:$K$679,'02_ツリー'!$E$5:$E$679,$A405,'02_ツリー'!$K$5:$K$679,"&gt;0"))</f>
        <v>0</v>
      </c>
      <c r="C405" s="1">
        <f>IF($A405="","",SUMIFS('02_ツリー'!$K$5:$K$679,'02_ツリー'!$E$5:$E$679,$A405,'02_ツリー'!$K$5:$K$679,"&lt;0"))</f>
        <v>0</v>
      </c>
      <c r="D405" s="1">
        <f t="shared" si="18"/>
        <v>0</v>
      </c>
      <c r="E405" s="1">
        <f>IF($A405="","",--(COUNTIFS('02_ツリー'!$E$5:$E$679,$A405,'02_ツリー'!$O$5:$O$679,0)=0))</f>
        <v>0</v>
      </c>
      <c r="F405" s="1">
        <f t="shared" si="19"/>
        <v>0</v>
      </c>
      <c r="G405" s="1">
        <f t="shared" si="20"/>
        <v>0</v>
      </c>
      <c r="H405" s="1"/>
      <c r="I405" s="1"/>
      <c r="J405" s="1"/>
      <c r="K405" s="1"/>
      <c r="L405" s="1"/>
    </row>
    <row r="406" spans="1:12">
      <c r="A406" s="1" t="str">
        <f>IFERROR(INDEX('02_ツリー'!$E$5:$E$679,MATCH(ROW()-10,'02_ツリー'!$R$5:$R$679,0)),"")</f>
        <v>N_switch_DCDC</v>
      </c>
      <c r="B406" s="1">
        <f>IF($A406="","",SUMIFS('02_ツリー'!$K$5:$K$679,'02_ツリー'!$E$5:$E$679,$A406,'02_ツリー'!$K$5:$K$679,"&gt;0"))</f>
        <v>0</v>
      </c>
      <c r="C406" s="1">
        <f>IF($A406="","",SUMIFS('02_ツリー'!$K$5:$K$679,'02_ツリー'!$E$5:$E$679,$A406,'02_ツリー'!$K$5:$K$679,"&lt;0"))</f>
        <v>0</v>
      </c>
      <c r="D406" s="1">
        <f t="shared" si="18"/>
        <v>0</v>
      </c>
      <c r="E406" s="1">
        <f>IF($A406="","",--(COUNTIFS('02_ツリー'!$E$5:$E$679,$A406,'02_ツリー'!$O$5:$O$679,0)=0))</f>
        <v>0</v>
      </c>
      <c r="F406" s="1">
        <f t="shared" si="19"/>
        <v>0</v>
      </c>
      <c r="G406" s="1">
        <f t="shared" si="20"/>
        <v>0</v>
      </c>
      <c r="H406" s="1"/>
      <c r="I406" s="1"/>
      <c r="J406" s="1"/>
      <c r="K406" s="1"/>
      <c r="L406" s="1"/>
    </row>
    <row r="407" spans="1:12">
      <c r="A407" s="1" t="str">
        <f>IFERROR(INDEX('02_ツリー'!$E$5:$E$679,MATCH(ROW()-10,'02_ツリー'!$R$5:$R$679,0)),"")</f>
        <v>N_switch_DCDC_ref</v>
      </c>
      <c r="B407" s="1">
        <f>IF($A407="","",SUMIFS('02_ツリー'!$K$5:$K$679,'02_ツリー'!$E$5:$E$679,$A407,'02_ツリー'!$K$5:$K$679,"&gt;0"))</f>
        <v>0</v>
      </c>
      <c r="C407" s="1">
        <f>IF($A407="","",SUMIFS('02_ツリー'!$K$5:$K$679,'02_ツリー'!$E$5:$E$679,$A407,'02_ツリー'!$K$5:$K$679,"&lt;0"))</f>
        <v>0</v>
      </c>
      <c r="D407" s="1">
        <f t="shared" si="18"/>
        <v>0</v>
      </c>
      <c r="E407" s="1">
        <f>IF($A407="","",--(COUNTIFS('02_ツリー'!$E$5:$E$679,$A407,'02_ツリー'!$O$5:$O$679,0)=0))</f>
        <v>1</v>
      </c>
      <c r="F407" s="1">
        <f t="shared" si="19"/>
        <v>0</v>
      </c>
      <c r="G407" s="1">
        <f t="shared" si="20"/>
        <v>0</v>
      </c>
      <c r="H407" s="1"/>
      <c r="I407" s="1"/>
      <c r="J407" s="1"/>
      <c r="K407" s="1"/>
      <c r="L407" s="1"/>
    </row>
    <row r="408" spans="1:12">
      <c r="A408" s="1" t="str">
        <f>IFERROR(INDEX('02_ツリー'!$E$5:$E$679,MATCH(ROW()-10,'02_ツリー'!$R$5:$R$679,0)),"")</f>
        <v>m_switch_DCDC</v>
      </c>
      <c r="B408" s="1">
        <f>IF($A408="","",SUMIFS('02_ツリー'!$K$5:$K$679,'02_ツリー'!$E$5:$E$679,$A408,'02_ツリー'!$K$5:$K$679,"&gt;0"))</f>
        <v>0</v>
      </c>
      <c r="C408" s="1">
        <f>IF($A408="","",SUMIFS('02_ツリー'!$K$5:$K$679,'02_ツリー'!$E$5:$E$679,$A408,'02_ツリー'!$K$5:$K$679,"&lt;0"))</f>
        <v>0</v>
      </c>
      <c r="D408" s="1">
        <f t="shared" si="18"/>
        <v>0</v>
      </c>
      <c r="E408" s="1">
        <f>IF($A408="","",--(COUNTIFS('02_ツリー'!$E$5:$E$679,$A408,'02_ツリー'!$O$5:$O$679,0)=0))</f>
        <v>1</v>
      </c>
      <c r="F408" s="1">
        <f t="shared" si="19"/>
        <v>0</v>
      </c>
      <c r="G408" s="1">
        <f t="shared" si="20"/>
        <v>0</v>
      </c>
      <c r="H408" s="1"/>
      <c r="I408" s="1"/>
      <c r="J408" s="1"/>
      <c r="K408" s="1"/>
      <c r="L408" s="1"/>
    </row>
    <row r="409" spans="1:12">
      <c r="A409" s="1" t="str">
        <f>IFERROR(INDEX('02_ツリー'!$E$5:$E$679,MATCH(ROW()-10,'02_ツリー'!$R$5:$R$679,0)),"")</f>
        <v>M_DCDC_ctrl</v>
      </c>
      <c r="B409" s="1">
        <f>IF($A409="","",SUMIFS('02_ツリー'!$K$5:$K$679,'02_ツリー'!$E$5:$E$679,$A409,'02_ツリー'!$K$5:$K$679,"&gt;0"))</f>
        <v>0</v>
      </c>
      <c r="C409" s="1">
        <f>IF($A409="","",SUMIFS('02_ツリー'!$K$5:$K$679,'02_ツリー'!$E$5:$E$679,$A409,'02_ツリー'!$K$5:$K$679,"&lt;0"))</f>
        <v>0</v>
      </c>
      <c r="D409" s="1">
        <f t="shared" si="18"/>
        <v>0</v>
      </c>
      <c r="E409" s="1">
        <f>IF($A409="","",--(COUNTIFS('02_ツリー'!$E$5:$E$679,$A409,'02_ツリー'!$O$5:$O$679,0)=0))</f>
        <v>0</v>
      </c>
      <c r="F409" s="1">
        <f t="shared" si="19"/>
        <v>0</v>
      </c>
      <c r="G409" s="1">
        <f t="shared" si="20"/>
        <v>0</v>
      </c>
      <c r="H409" s="1"/>
      <c r="I409" s="1"/>
      <c r="J409" s="1"/>
      <c r="K409" s="1"/>
      <c r="L409" s="1"/>
    </row>
    <row r="410" spans="1:12">
      <c r="A410" s="1" t="str">
        <f>IFERROR(INDEX('02_ツリー'!$E$5:$E$679,MATCH(ROW()-10,'02_ツリー'!$R$5:$R$679,0)),"")</f>
        <v>m_DCDC_ctrl</v>
      </c>
      <c r="B410" s="1">
        <f>IF($A410="","",SUMIFS('02_ツリー'!$K$5:$K$679,'02_ツリー'!$E$5:$E$679,$A410,'02_ツリー'!$K$5:$K$679,"&gt;0"))</f>
        <v>0</v>
      </c>
      <c r="C410" s="1">
        <f>IF($A410="","",SUMIFS('02_ツリー'!$K$5:$K$679,'02_ツリー'!$E$5:$E$679,$A410,'02_ツリー'!$K$5:$K$679,"&lt;0"))</f>
        <v>0</v>
      </c>
      <c r="D410" s="1">
        <f t="shared" si="18"/>
        <v>0</v>
      </c>
      <c r="E410" s="1">
        <f>IF($A410="","",--(COUNTIFS('02_ツリー'!$E$5:$E$679,$A410,'02_ツリー'!$O$5:$O$679,0)=0))</f>
        <v>0</v>
      </c>
      <c r="F410" s="1">
        <f t="shared" si="19"/>
        <v>0</v>
      </c>
      <c r="G410" s="1">
        <f t="shared" si="20"/>
        <v>0</v>
      </c>
      <c r="H410" s="1"/>
      <c r="I410" s="1"/>
      <c r="J410" s="1"/>
      <c r="K410" s="1"/>
      <c r="L410" s="1"/>
    </row>
    <row r="411" spans="1:12">
      <c r="A411" s="1" t="str">
        <f>IFERROR(INDEX('02_ツリー'!$E$5:$E$679,MATCH(ROW()-10,'02_ツリー'!$R$5:$R$679,0)),"")</f>
        <v>P_DCDC</v>
      </c>
      <c r="B411" s="1">
        <f>IF($A411="","",SUMIFS('02_ツリー'!$K$5:$K$679,'02_ツリー'!$E$5:$E$679,$A411,'02_ツリー'!$K$5:$K$679,"&gt;0"))</f>
        <v>0</v>
      </c>
      <c r="C411" s="1">
        <f>IF($A411="","",SUMIFS('02_ツリー'!$K$5:$K$679,'02_ツリー'!$E$5:$E$679,$A411,'02_ツリー'!$K$5:$K$679,"&lt;0"))</f>
        <v>0</v>
      </c>
      <c r="D411" s="1">
        <f t="shared" si="18"/>
        <v>0</v>
      </c>
      <c r="E411" s="1">
        <f>IF($A411="","",--(COUNTIFS('02_ツリー'!$E$5:$E$679,$A411,'02_ツリー'!$O$5:$O$679,0)=0))</f>
        <v>0</v>
      </c>
      <c r="F411" s="1">
        <f t="shared" si="19"/>
        <v>0</v>
      </c>
      <c r="G411" s="1">
        <f t="shared" si="20"/>
        <v>0</v>
      </c>
      <c r="H411" s="1"/>
      <c r="I411" s="1"/>
      <c r="J411" s="1"/>
      <c r="K411" s="1"/>
      <c r="L411" s="1"/>
    </row>
    <row r="412" spans="1:12">
      <c r="A412" s="1" t="str">
        <f>IFERROR(INDEX('02_ツリー'!$E$5:$E$679,MATCH(ROW()-10,'02_ツリー'!$R$5:$R$679,0)),"")</f>
        <v>eta_DCDC</v>
      </c>
      <c r="B412" s="1">
        <f>IF($A412="","",SUMIFS('02_ツリー'!$K$5:$K$679,'02_ツリー'!$E$5:$E$679,$A412,'02_ツリー'!$K$5:$K$679,"&gt;0"))</f>
        <v>0</v>
      </c>
      <c r="C412" s="1">
        <f>IF($A412="","",SUMIFS('02_ツリー'!$K$5:$K$679,'02_ツリー'!$E$5:$E$679,$A412,'02_ツリー'!$K$5:$K$679,"&lt;0"))</f>
        <v>0</v>
      </c>
      <c r="D412" s="1">
        <f t="shared" si="18"/>
        <v>0</v>
      </c>
      <c r="E412" s="1">
        <f>IF($A412="","",--(COUNTIFS('02_ツリー'!$E$5:$E$679,$A412,'02_ツリー'!$O$5:$O$679,0)=0))</f>
        <v>1</v>
      </c>
      <c r="F412" s="1">
        <f t="shared" si="19"/>
        <v>0</v>
      </c>
      <c r="G412" s="1">
        <f t="shared" si="20"/>
        <v>0</v>
      </c>
      <c r="H412" s="1"/>
      <c r="I412" s="1"/>
      <c r="J412" s="1"/>
      <c r="K412" s="1"/>
      <c r="L412" s="1"/>
    </row>
    <row r="413" spans="1:12">
      <c r="A413" s="1" t="str">
        <f>IFERROR(INDEX('02_ツリー'!$E$5:$E$679,MATCH(ROW()-10,'02_ツリー'!$R$5:$R$679,0)),"")</f>
        <v>M_L_dc</v>
      </c>
      <c r="B413" s="1">
        <f>IF($A413="","",SUMIFS('02_ツリー'!$K$5:$K$679,'02_ツリー'!$E$5:$E$679,$A413,'02_ツリー'!$K$5:$K$679,"&gt;0"))</f>
        <v>0</v>
      </c>
      <c r="C413" s="1">
        <f>IF($A413="","",SUMIFS('02_ツリー'!$K$5:$K$679,'02_ツリー'!$E$5:$E$679,$A413,'02_ツリー'!$K$5:$K$679,"&lt;0"))</f>
        <v>0</v>
      </c>
      <c r="D413" s="1">
        <f t="shared" si="18"/>
        <v>0</v>
      </c>
      <c r="E413" s="1">
        <f>IF($A413="","",--(COUNTIFS('02_ツリー'!$E$5:$E$679,$A413,'02_ツリー'!$O$5:$O$679,0)=0))</f>
        <v>0</v>
      </c>
      <c r="F413" s="1">
        <f t="shared" si="19"/>
        <v>0</v>
      </c>
      <c r="G413" s="1">
        <f t="shared" si="20"/>
        <v>0</v>
      </c>
      <c r="H413" s="1"/>
      <c r="I413" s="1"/>
      <c r="J413" s="1"/>
      <c r="K413" s="1"/>
      <c r="L413" s="1"/>
    </row>
    <row r="414" spans="1:12">
      <c r="A414" s="1" t="str">
        <f>IFERROR(INDEX('02_ツリー'!$E$5:$E$679,MATCH(ROW()-10,'02_ツリー'!$R$5:$R$679,0)),"")</f>
        <v>Enable_L_dc</v>
      </c>
      <c r="B414" s="1">
        <f>IF($A414="","",SUMIFS('02_ツリー'!$K$5:$K$679,'02_ツリー'!$E$5:$E$679,$A414,'02_ツリー'!$K$5:$K$679,"&gt;0"))</f>
        <v>0</v>
      </c>
      <c r="C414" s="1">
        <f>IF($A414="","",SUMIFS('02_ツリー'!$K$5:$K$679,'02_ツリー'!$E$5:$E$679,$A414,'02_ツリー'!$K$5:$K$679,"&lt;0"))</f>
        <v>0</v>
      </c>
      <c r="D414" s="1">
        <f t="shared" si="18"/>
        <v>0</v>
      </c>
      <c r="E414" s="1">
        <f>IF($A414="","",--(COUNTIFS('02_ツリー'!$E$5:$E$679,$A414,'02_ツリー'!$O$5:$O$679,0)=0))</f>
        <v>0</v>
      </c>
      <c r="F414" s="1">
        <f t="shared" si="19"/>
        <v>0</v>
      </c>
      <c r="G414" s="1">
        <f t="shared" si="20"/>
        <v>1</v>
      </c>
      <c r="H414" s="1"/>
      <c r="I414" s="1"/>
      <c r="J414" s="1"/>
      <c r="K414" s="1"/>
      <c r="L414" s="1"/>
    </row>
    <row r="415" spans="1:12">
      <c r="A415" s="1" t="str">
        <f>IFERROR(INDEX('02_ツリー'!$E$5:$E$679,MATCH(ROW()-10,'02_ツリー'!$R$5:$R$679,0)),"")</f>
        <v>Enable_CSI</v>
      </c>
      <c r="B415" s="1">
        <f>IF($A415="","",SUMIFS('02_ツリー'!$K$5:$K$679,'02_ツリー'!$E$5:$E$679,$A415,'02_ツリー'!$K$5:$K$679,"&gt;0"))</f>
        <v>6.4753773249255436E-2</v>
      </c>
      <c r="C415" s="1">
        <f>IF($A415="","",SUMIFS('02_ツリー'!$K$5:$K$679,'02_ツリー'!$E$5:$E$679,$A415,'02_ツリー'!$K$5:$K$679,"&lt;0"))</f>
        <v>0</v>
      </c>
      <c r="D415" s="1">
        <f t="shared" si="18"/>
        <v>6.4753773249255436E-2</v>
      </c>
      <c r="E415" s="1">
        <f>IF($A415="","",--(COUNTIFS('02_ツリー'!$E$5:$E$679,$A415,'02_ツリー'!$O$5:$O$679,0)=0))</f>
        <v>1</v>
      </c>
      <c r="F415" s="1">
        <f t="shared" si="19"/>
        <v>0</v>
      </c>
      <c r="G415" s="1">
        <f t="shared" si="20"/>
        <v>1</v>
      </c>
      <c r="H415" s="1"/>
      <c r="I415" s="1"/>
      <c r="J415" s="1"/>
      <c r="K415" s="1"/>
      <c r="L415" s="1"/>
    </row>
    <row r="416" spans="1:12">
      <c r="A416" s="1" t="str">
        <f>IFERROR(INDEX('02_ツリー'!$E$5:$E$679,MATCH(ROW()-10,'02_ツリー'!$R$5:$R$679,0)),"")</f>
        <v>M_Ldc_normal</v>
      </c>
      <c r="B416" s="1">
        <f>IF($A416="","",SUMIFS('02_ツリー'!$K$5:$K$679,'02_ツリー'!$E$5:$E$679,$A416,'02_ツリー'!$K$5:$K$679,"&gt;0"))</f>
        <v>0</v>
      </c>
      <c r="C416" s="1">
        <f>IF($A416="","",SUMIFS('02_ツリー'!$K$5:$K$679,'02_ツリー'!$E$5:$E$679,$A416,'02_ツリー'!$K$5:$K$679,"&lt;0"))</f>
        <v>0</v>
      </c>
      <c r="D416" s="1">
        <f t="shared" si="18"/>
        <v>0</v>
      </c>
      <c r="E416" s="1">
        <f>IF($A416="","",--(COUNTIFS('02_ツリー'!$E$5:$E$679,$A416,'02_ツリー'!$O$5:$O$679,0)=0))</f>
        <v>0</v>
      </c>
      <c r="F416" s="1">
        <f t="shared" si="19"/>
        <v>0</v>
      </c>
      <c r="G416" s="1">
        <f t="shared" si="20"/>
        <v>0</v>
      </c>
      <c r="H416" s="1"/>
      <c r="I416" s="1"/>
      <c r="J416" s="1"/>
      <c r="K416" s="1"/>
      <c r="L416" s="1"/>
    </row>
    <row r="417" spans="1:12">
      <c r="A417" s="1" t="str">
        <f>IFERROR(INDEX('02_ツリー'!$E$5:$E$679,MATCH(ROW()-10,'02_ツリー'!$R$5:$R$679,0)),"")</f>
        <v>L_dc</v>
      </c>
      <c r="B417" s="1">
        <f>IF($A417="","",SUMIFS('02_ツリー'!$K$5:$K$679,'02_ツリー'!$E$5:$E$679,$A417,'02_ツリー'!$K$5:$K$679,"&gt;0"))</f>
        <v>0</v>
      </c>
      <c r="C417" s="1">
        <f>IF($A417="","",SUMIFS('02_ツリー'!$K$5:$K$679,'02_ツリー'!$E$5:$E$679,$A417,'02_ツリー'!$K$5:$K$679,"&lt;0"))</f>
        <v>0</v>
      </c>
      <c r="D417" s="1">
        <f t="shared" si="18"/>
        <v>0</v>
      </c>
      <c r="E417" s="1">
        <f>IF($A417="","",--(COUNTIFS('02_ツリー'!$E$5:$E$679,$A417,'02_ツリー'!$O$5:$O$679,0)=0))</f>
        <v>0</v>
      </c>
      <c r="F417" s="1">
        <f t="shared" si="19"/>
        <v>0</v>
      </c>
      <c r="G417" s="1">
        <f t="shared" si="20"/>
        <v>0</v>
      </c>
      <c r="H417" s="1"/>
      <c r="I417" s="1"/>
      <c r="J417" s="1"/>
      <c r="K417" s="1"/>
      <c r="L417" s="1"/>
    </row>
    <row r="418" spans="1:12">
      <c r="A418" s="1" t="str">
        <f>IFERROR(INDEX('02_ツリー'!$E$5:$E$679,MATCH(ROW()-10,'02_ツリー'!$R$5:$R$679,0)),"")</f>
        <v>L_dc_ref</v>
      </c>
      <c r="B418" s="1">
        <f>IF($A418="","",SUMIFS('02_ツリー'!$K$5:$K$679,'02_ツリー'!$E$5:$E$679,$A418,'02_ツリー'!$K$5:$K$679,"&gt;0"))</f>
        <v>0</v>
      </c>
      <c r="C418" s="1">
        <f>IF($A418="","",SUMIFS('02_ツリー'!$K$5:$K$679,'02_ツリー'!$E$5:$E$679,$A418,'02_ツリー'!$K$5:$K$679,"&lt;0"))</f>
        <v>0</v>
      </c>
      <c r="D418" s="1">
        <f t="shared" si="18"/>
        <v>0</v>
      </c>
      <c r="E418" s="1">
        <f>IF($A418="","",--(COUNTIFS('02_ツリー'!$E$5:$E$679,$A418,'02_ツリー'!$O$5:$O$679,0)=0))</f>
        <v>1</v>
      </c>
      <c r="F418" s="1">
        <f t="shared" si="19"/>
        <v>0</v>
      </c>
      <c r="G418" s="1">
        <f t="shared" si="20"/>
        <v>0</v>
      </c>
      <c r="H418" s="1"/>
      <c r="I418" s="1"/>
      <c r="J418" s="1"/>
      <c r="K418" s="1"/>
      <c r="L418" s="1"/>
    </row>
    <row r="419" spans="1:12">
      <c r="A419" s="1" t="str">
        <f>IFERROR(INDEX('02_ツリー'!$E$5:$E$679,MATCH(ROW()-10,'02_ツリー'!$R$5:$R$679,0)),"")</f>
        <v>Enable_APD_DClink</v>
      </c>
      <c r="B419" s="1">
        <f>IF($A419="","",SUMIFS('02_ツリー'!$K$5:$K$679,'02_ツリー'!$E$5:$E$679,$A419,'02_ツリー'!$K$5:$K$679,"&gt;0"))</f>
        <v>0</v>
      </c>
      <c r="C419" s="1">
        <f>IF($A419="","",SUMIFS('02_ツリー'!$K$5:$K$679,'02_ツリー'!$E$5:$E$679,$A419,'02_ツリー'!$K$5:$K$679,"&lt;0"))</f>
        <v>0</v>
      </c>
      <c r="D419" s="1">
        <f t="shared" si="18"/>
        <v>0</v>
      </c>
      <c r="E419" s="1">
        <f>IF($A419="","",--(COUNTIFS('02_ツリー'!$E$5:$E$679,$A419,'02_ツリー'!$O$5:$O$679,0)=0))</f>
        <v>1</v>
      </c>
      <c r="F419" s="1">
        <f t="shared" si="19"/>
        <v>0</v>
      </c>
      <c r="G419" s="1">
        <f t="shared" si="20"/>
        <v>1</v>
      </c>
      <c r="H419" s="1"/>
      <c r="I419" s="1"/>
      <c r="J419" s="1"/>
      <c r="K419" s="1"/>
      <c r="L419" s="1"/>
    </row>
    <row r="420" spans="1:12">
      <c r="A420" s="1" t="str">
        <f>IFERROR(INDEX('02_ツリー'!$E$5:$E$679,MATCH(ROW()-10,'02_ツリー'!$R$5:$R$679,0)),"")</f>
        <v>k_APD_L_reduce</v>
      </c>
      <c r="B420" s="1">
        <f>IF($A420="","",SUMIFS('02_ツリー'!$K$5:$K$679,'02_ツリー'!$E$5:$E$679,$A420,'02_ツリー'!$K$5:$K$679,"&gt;0"))</f>
        <v>0</v>
      </c>
      <c r="C420" s="1">
        <f>IF($A420="","",SUMIFS('02_ツリー'!$K$5:$K$679,'02_ツリー'!$E$5:$E$679,$A420,'02_ツリー'!$K$5:$K$679,"&lt;0"))</f>
        <v>0</v>
      </c>
      <c r="D420" s="1">
        <f t="shared" si="18"/>
        <v>0</v>
      </c>
      <c r="E420" s="1">
        <f>IF($A420="","",--(COUNTIFS('02_ツリー'!$E$5:$E$679,$A420,'02_ツリー'!$O$5:$O$679,0)=0))</f>
        <v>1</v>
      </c>
      <c r="F420" s="1">
        <f t="shared" si="19"/>
        <v>0</v>
      </c>
      <c r="G420" s="1">
        <f t="shared" si="20"/>
        <v>0</v>
      </c>
      <c r="H420" s="1"/>
      <c r="I420" s="1"/>
      <c r="J420" s="1"/>
      <c r="K420" s="1"/>
      <c r="L420" s="1"/>
    </row>
    <row r="421" spans="1:12">
      <c r="A421" s="1" t="str">
        <f>IFERROR(INDEX('02_ツリー'!$E$5:$E$679,MATCH(ROW()-10,'02_ツリー'!$R$5:$R$679,0)),"")</f>
        <v>k_m_Ldc_energy</v>
      </c>
      <c r="B421" s="1">
        <f>IF($A421="","",SUMIFS('02_ツリー'!$K$5:$K$679,'02_ツリー'!$E$5:$E$679,$A421,'02_ツリー'!$K$5:$K$679,"&gt;0"))</f>
        <v>0</v>
      </c>
      <c r="C421" s="1">
        <f>IF($A421="","",SUMIFS('02_ツリー'!$K$5:$K$679,'02_ツリー'!$E$5:$E$679,$A421,'02_ツリー'!$K$5:$K$679,"&lt;0"))</f>
        <v>0</v>
      </c>
      <c r="D421" s="1">
        <f t="shared" si="18"/>
        <v>0</v>
      </c>
      <c r="E421" s="1">
        <f>IF($A421="","",--(COUNTIFS('02_ツリー'!$E$5:$E$679,$A421,'02_ツリー'!$O$5:$O$679,0)=0))</f>
        <v>1</v>
      </c>
      <c r="F421" s="1">
        <f t="shared" si="19"/>
        <v>0</v>
      </c>
      <c r="G421" s="1">
        <f t="shared" si="20"/>
        <v>0</v>
      </c>
      <c r="H421" s="1"/>
      <c r="I421" s="1"/>
      <c r="J421" s="1"/>
      <c r="K421" s="1"/>
      <c r="L421" s="1"/>
    </row>
    <row r="422" spans="1:12">
      <c r="A422" s="1" t="str">
        <f>IFERROR(INDEX('02_ツリー'!$E$5:$E$679,MATCH(ROW()-10,'02_ツリー'!$R$5:$R$679,0)),"")</f>
        <v>Enable_HTS_Ldc</v>
      </c>
      <c r="B422" s="1">
        <f>IF($A422="","",SUMIFS('02_ツリー'!$K$5:$K$679,'02_ツリー'!$E$5:$E$679,$A422,'02_ツリー'!$K$5:$K$679,"&gt;0"))</f>
        <v>0</v>
      </c>
      <c r="C422" s="1">
        <f>IF($A422="","",SUMIFS('02_ツリー'!$K$5:$K$679,'02_ツリー'!$E$5:$E$679,$A422,'02_ツリー'!$K$5:$K$679,"&lt;0"))</f>
        <v>0</v>
      </c>
      <c r="D422" s="1">
        <f t="shared" si="18"/>
        <v>0</v>
      </c>
      <c r="E422" s="1">
        <f>IF($A422="","",--(COUNTIFS('02_ツリー'!$E$5:$E$679,$A422,'02_ツリー'!$O$5:$O$679,0)=0))</f>
        <v>1</v>
      </c>
      <c r="F422" s="1">
        <f t="shared" si="19"/>
        <v>0</v>
      </c>
      <c r="G422" s="1">
        <f t="shared" si="20"/>
        <v>1</v>
      </c>
      <c r="H422" s="1"/>
      <c r="I422" s="1"/>
      <c r="J422" s="1"/>
      <c r="K422" s="1"/>
      <c r="L422" s="1"/>
    </row>
    <row r="423" spans="1:12">
      <c r="A423" s="1" t="str">
        <f>IFERROR(INDEX('02_ツリー'!$E$5:$E$679,MATCH(ROW()-10,'02_ツリー'!$R$5:$R$679,0)),"")</f>
        <v>M_Ldc_HTS_coil</v>
      </c>
      <c r="B423" s="1">
        <f>IF($A423="","",SUMIFS('02_ツリー'!$K$5:$K$679,'02_ツリー'!$E$5:$E$679,$A423,'02_ツリー'!$K$5:$K$679,"&gt;0"))</f>
        <v>0</v>
      </c>
      <c r="C423" s="1">
        <f>IF($A423="","",SUMIFS('02_ツリー'!$K$5:$K$679,'02_ツリー'!$E$5:$E$679,$A423,'02_ツリー'!$K$5:$K$679,"&lt;0"))</f>
        <v>0</v>
      </c>
      <c r="D423" s="1">
        <f t="shared" si="18"/>
        <v>0</v>
      </c>
      <c r="E423" s="1">
        <f>IF($A423="","",--(COUNTIFS('02_ツリー'!$E$5:$E$679,$A423,'02_ツリー'!$O$5:$O$679,0)=0))</f>
        <v>0</v>
      </c>
      <c r="F423" s="1">
        <f t="shared" si="19"/>
        <v>0</v>
      </c>
      <c r="G423" s="1">
        <f t="shared" si="20"/>
        <v>0</v>
      </c>
      <c r="H423" s="1"/>
      <c r="I423" s="1"/>
      <c r="J423" s="1"/>
      <c r="K423" s="1"/>
      <c r="L423" s="1"/>
    </row>
    <row r="424" spans="1:12">
      <c r="A424" s="1" t="str">
        <f>IFERROR(INDEX('02_ツリー'!$E$5:$E$679,MATCH(ROW()-10,'02_ツリー'!$R$5:$R$679,0)),"")</f>
        <v>k_HTS_Ldc_mass_reduce</v>
      </c>
      <c r="B424" s="1">
        <f>IF($A424="","",SUMIFS('02_ツリー'!$K$5:$K$679,'02_ツリー'!$E$5:$E$679,$A424,'02_ツリー'!$K$5:$K$679,"&gt;0"))</f>
        <v>0</v>
      </c>
      <c r="C424" s="1">
        <f>IF($A424="","",SUMIFS('02_ツリー'!$K$5:$K$679,'02_ツリー'!$E$5:$E$679,$A424,'02_ツリー'!$K$5:$K$679,"&lt;0"))</f>
        <v>0</v>
      </c>
      <c r="D424" s="1">
        <f t="shared" si="18"/>
        <v>0</v>
      </c>
      <c r="E424" s="1">
        <f>IF($A424="","",--(COUNTIFS('02_ツリー'!$E$5:$E$679,$A424,'02_ツリー'!$O$5:$O$679,0)=0))</f>
        <v>1</v>
      </c>
      <c r="F424" s="1">
        <f t="shared" si="19"/>
        <v>0</v>
      </c>
      <c r="G424" s="1">
        <f t="shared" si="20"/>
        <v>0</v>
      </c>
      <c r="H424" s="1"/>
      <c r="I424" s="1"/>
      <c r="J424" s="1"/>
      <c r="K424" s="1"/>
      <c r="L424" s="1"/>
    </row>
    <row r="425" spans="1:12">
      <c r="A425" s="1" t="str">
        <f>IFERROR(INDEX('02_ツリー'!$E$5:$E$679,MATCH(ROW()-10,'02_ツリー'!$R$5:$R$679,0)),"")</f>
        <v>M_cryo_HTS</v>
      </c>
      <c r="B425" s="1">
        <f>IF($A425="","",SUMIFS('02_ツリー'!$K$5:$K$679,'02_ツリー'!$E$5:$E$679,$A425,'02_ツリー'!$K$5:$K$679,"&gt;0"))</f>
        <v>0</v>
      </c>
      <c r="C425" s="1">
        <f>IF($A425="","",SUMIFS('02_ツリー'!$K$5:$K$679,'02_ツリー'!$E$5:$E$679,$A425,'02_ツリー'!$K$5:$K$679,"&lt;0"))</f>
        <v>0</v>
      </c>
      <c r="D425" s="1">
        <f t="shared" si="18"/>
        <v>0</v>
      </c>
      <c r="E425" s="1">
        <f>IF($A425="","",--(COUNTIFS('02_ツリー'!$E$5:$E$679,$A425,'02_ツリー'!$O$5:$O$679,0)=0))</f>
        <v>0</v>
      </c>
      <c r="F425" s="1">
        <f t="shared" si="19"/>
        <v>0</v>
      </c>
      <c r="G425" s="1">
        <f t="shared" si="20"/>
        <v>0</v>
      </c>
      <c r="H425" s="1"/>
      <c r="I425" s="1"/>
      <c r="J425" s="1"/>
      <c r="K425" s="1"/>
      <c r="L425" s="1"/>
    </row>
    <row r="426" spans="1:12">
      <c r="A426" s="1" t="str">
        <f>IFERROR(INDEX('02_ツリー'!$E$5:$E$679,MATCH(ROW()-10,'02_ツリー'!$R$5:$R$679,0)),"")</f>
        <v>m_cryo_HTS_ref</v>
      </c>
      <c r="B426" s="1">
        <f>IF($A426="","",SUMIFS('02_ツリー'!$K$5:$K$679,'02_ツリー'!$E$5:$E$679,$A426,'02_ツリー'!$K$5:$K$679,"&gt;0"))</f>
        <v>0</v>
      </c>
      <c r="C426" s="1">
        <f>IF($A426="","",SUMIFS('02_ツリー'!$K$5:$K$679,'02_ツリー'!$E$5:$E$679,$A426,'02_ツリー'!$K$5:$K$679,"&lt;0"))</f>
        <v>0</v>
      </c>
      <c r="D426" s="1">
        <f t="shared" si="18"/>
        <v>0</v>
      </c>
      <c r="E426" s="1">
        <f>IF($A426="","",--(COUNTIFS('02_ツリー'!$E$5:$E$679,$A426,'02_ツリー'!$O$5:$O$679,0)=0))</f>
        <v>1</v>
      </c>
      <c r="F426" s="1">
        <f t="shared" si="19"/>
        <v>0</v>
      </c>
      <c r="G426" s="1">
        <f t="shared" si="20"/>
        <v>0</v>
      </c>
      <c r="H426" s="1"/>
      <c r="I426" s="1"/>
      <c r="J426" s="1"/>
      <c r="K426" s="1"/>
      <c r="L426" s="1"/>
    </row>
    <row r="427" spans="1:12">
      <c r="A427" s="1" t="str">
        <f>IFERROR(INDEX('02_ツリー'!$E$5:$E$679,MATCH(ROW()-10,'02_ツリー'!$R$5:$R$679,0)),"")</f>
        <v>M_current_lead_HTS</v>
      </c>
      <c r="B427" s="1">
        <f>IF($A427="","",SUMIFS('02_ツリー'!$K$5:$K$679,'02_ツリー'!$E$5:$E$679,$A427,'02_ツリー'!$K$5:$K$679,"&gt;0"))</f>
        <v>0</v>
      </c>
      <c r="C427" s="1">
        <f>IF($A427="","",SUMIFS('02_ツリー'!$K$5:$K$679,'02_ツリー'!$E$5:$E$679,$A427,'02_ツリー'!$K$5:$K$679,"&lt;0"))</f>
        <v>0</v>
      </c>
      <c r="D427" s="1">
        <f t="shared" si="18"/>
        <v>0</v>
      </c>
      <c r="E427" s="1">
        <f>IF($A427="","",--(COUNTIFS('02_ツリー'!$E$5:$E$679,$A427,'02_ツリー'!$O$5:$O$679,0)=0))</f>
        <v>0</v>
      </c>
      <c r="F427" s="1">
        <f t="shared" si="19"/>
        <v>0</v>
      </c>
      <c r="G427" s="1">
        <f t="shared" si="20"/>
        <v>0</v>
      </c>
      <c r="H427" s="1"/>
      <c r="I427" s="1"/>
      <c r="J427" s="1"/>
      <c r="K427" s="1"/>
      <c r="L427" s="1"/>
    </row>
    <row r="428" spans="1:12">
      <c r="A428" s="1" t="str">
        <f>IFERROR(INDEX('02_ツリー'!$E$5:$E$679,MATCH(ROW()-10,'02_ツリー'!$R$5:$R$679,0)),"")</f>
        <v>m_current_lead_HTS_ref</v>
      </c>
      <c r="B428" s="1">
        <f>IF($A428="","",SUMIFS('02_ツリー'!$K$5:$K$679,'02_ツリー'!$E$5:$E$679,$A428,'02_ツリー'!$K$5:$K$679,"&gt;0"))</f>
        <v>0</v>
      </c>
      <c r="C428" s="1">
        <f>IF($A428="","",SUMIFS('02_ツリー'!$K$5:$K$679,'02_ツリー'!$E$5:$E$679,$A428,'02_ツリー'!$K$5:$K$679,"&lt;0"))</f>
        <v>0</v>
      </c>
      <c r="D428" s="1">
        <f t="shared" si="18"/>
        <v>0</v>
      </c>
      <c r="E428" s="1">
        <f>IF($A428="","",--(COUNTIFS('02_ツリー'!$E$5:$E$679,$A428,'02_ツリー'!$O$5:$O$679,0)=0))</f>
        <v>1</v>
      </c>
      <c r="F428" s="1">
        <f t="shared" si="19"/>
        <v>0</v>
      </c>
      <c r="G428" s="1">
        <f t="shared" si="20"/>
        <v>0</v>
      </c>
      <c r="H428" s="1"/>
      <c r="I428" s="1"/>
      <c r="J428" s="1"/>
      <c r="K428" s="1"/>
      <c r="L428" s="1"/>
    </row>
    <row r="429" spans="1:12">
      <c r="A429" s="1" t="str">
        <f>IFERROR(INDEX('02_ツリー'!$E$5:$E$679,MATCH(ROW()-10,'02_ツリー'!$R$5:$R$679,0)),"")</f>
        <v>M_quench_protection</v>
      </c>
      <c r="B429" s="1">
        <f>IF($A429="","",SUMIFS('02_ツリー'!$K$5:$K$679,'02_ツリー'!$E$5:$E$679,$A429,'02_ツリー'!$K$5:$K$679,"&gt;0"))</f>
        <v>0</v>
      </c>
      <c r="C429" s="1">
        <f>IF($A429="","",SUMIFS('02_ツリー'!$K$5:$K$679,'02_ツリー'!$E$5:$E$679,$A429,'02_ツリー'!$K$5:$K$679,"&lt;0"))</f>
        <v>0</v>
      </c>
      <c r="D429" s="1">
        <f t="shared" si="18"/>
        <v>0</v>
      </c>
      <c r="E429" s="1">
        <f>IF($A429="","",--(COUNTIFS('02_ツリー'!$E$5:$E$679,$A429,'02_ツリー'!$O$5:$O$679,0)=0))</f>
        <v>0</v>
      </c>
      <c r="F429" s="1">
        <f t="shared" si="19"/>
        <v>0</v>
      </c>
      <c r="G429" s="1">
        <f t="shared" si="20"/>
        <v>0</v>
      </c>
      <c r="H429" s="1"/>
      <c r="I429" s="1"/>
      <c r="J429" s="1"/>
      <c r="K429" s="1"/>
      <c r="L429" s="1"/>
    </row>
    <row r="430" spans="1:12">
      <c r="A430" s="1" t="str">
        <f>IFERROR(INDEX('02_ツリー'!$E$5:$E$679,MATCH(ROW()-10,'02_ツリー'!$R$5:$R$679,0)),"")</f>
        <v>m_quench_protection_ref</v>
      </c>
      <c r="B430" s="1">
        <f>IF($A430="","",SUMIFS('02_ツリー'!$K$5:$K$679,'02_ツリー'!$E$5:$E$679,$A430,'02_ツリー'!$K$5:$K$679,"&gt;0"))</f>
        <v>0</v>
      </c>
      <c r="C430" s="1">
        <f>IF($A430="","",SUMIFS('02_ツリー'!$K$5:$K$679,'02_ツリー'!$E$5:$E$679,$A430,'02_ツリー'!$K$5:$K$679,"&lt;0"))</f>
        <v>0</v>
      </c>
      <c r="D430" s="1">
        <f t="shared" si="18"/>
        <v>0</v>
      </c>
      <c r="E430" s="1">
        <f>IF($A430="","",--(COUNTIFS('02_ツリー'!$E$5:$E$679,$A430,'02_ツリー'!$O$5:$O$679,0)=0))</f>
        <v>1</v>
      </c>
      <c r="F430" s="1">
        <f t="shared" si="19"/>
        <v>0</v>
      </c>
      <c r="G430" s="1">
        <f t="shared" si="20"/>
        <v>0</v>
      </c>
      <c r="H430" s="1"/>
      <c r="I430" s="1"/>
      <c r="J430" s="1"/>
      <c r="K430" s="1"/>
      <c r="L430" s="1"/>
    </row>
    <row r="431" spans="1:12">
      <c r="A431" s="1" t="str">
        <f>IFERROR(INDEX('02_ツリー'!$E$5:$E$679,MATCH(ROW()-10,'02_ツリー'!$R$5:$R$679,0)),"")</f>
        <v>AC_loss_HTS_ripple</v>
      </c>
      <c r="B431" s="1">
        <f>IF($A431="","",SUMIFS('02_ツリー'!$K$5:$K$679,'02_ツリー'!$E$5:$E$679,$A431,'02_ツリー'!$K$5:$K$679,"&gt;0"))</f>
        <v>0</v>
      </c>
      <c r="C431" s="1">
        <f>IF($A431="","",SUMIFS('02_ツリー'!$K$5:$K$679,'02_ツリー'!$E$5:$E$679,$A431,'02_ツリー'!$K$5:$K$679,"&lt;0"))</f>
        <v>0</v>
      </c>
      <c r="D431" s="1">
        <f t="shared" si="18"/>
        <v>0</v>
      </c>
      <c r="E431" s="1">
        <f>IF($A431="","",--(COUNTIFS('02_ツリー'!$E$5:$E$679,$A431,'02_ツリー'!$O$5:$O$679,0)=0))</f>
        <v>0</v>
      </c>
      <c r="F431" s="1">
        <f t="shared" si="19"/>
        <v>0</v>
      </c>
      <c r="G431" s="1">
        <f t="shared" si="20"/>
        <v>0</v>
      </c>
      <c r="H431" s="1"/>
      <c r="I431" s="1"/>
      <c r="J431" s="1"/>
      <c r="K431" s="1"/>
      <c r="L431" s="1"/>
    </row>
    <row r="432" spans="1:12">
      <c r="A432" s="1" t="str">
        <f>IFERROR(INDEX('02_ツリー'!$E$5:$E$679,MATCH(ROW()-10,'02_ツリー'!$R$5:$R$679,0)),"")</f>
        <v>P_HTS_ac_ref</v>
      </c>
      <c r="B432" s="1">
        <f>IF($A432="","",SUMIFS('02_ツリー'!$K$5:$K$679,'02_ツリー'!$E$5:$E$679,$A432,'02_ツリー'!$K$5:$K$679,"&gt;0"))</f>
        <v>0</v>
      </c>
      <c r="C432" s="1">
        <f>IF($A432="","",SUMIFS('02_ツリー'!$K$5:$K$679,'02_ツリー'!$E$5:$E$679,$A432,'02_ツリー'!$K$5:$K$679,"&lt;0"))</f>
        <v>0</v>
      </c>
      <c r="D432" s="1">
        <f t="shared" si="18"/>
        <v>0</v>
      </c>
      <c r="E432" s="1">
        <f>IF($A432="","",--(COUNTIFS('02_ツリー'!$E$5:$E$679,$A432,'02_ツリー'!$O$5:$O$679,0)=0))</f>
        <v>1</v>
      </c>
      <c r="F432" s="1">
        <f t="shared" si="19"/>
        <v>0</v>
      </c>
      <c r="G432" s="1">
        <f t="shared" si="20"/>
        <v>0</v>
      </c>
      <c r="H432" s="1"/>
      <c r="I432" s="1"/>
      <c r="J432" s="1"/>
      <c r="K432" s="1"/>
      <c r="L432" s="1"/>
    </row>
    <row r="433" spans="1:12">
      <c r="A433" s="1" t="str">
        <f>IFERROR(INDEX('02_ツリー'!$E$5:$E$679,MATCH(ROW()-10,'02_ツリー'!$R$5:$R$679,0)),"")</f>
        <v>P_L_dc</v>
      </c>
      <c r="B433" s="1">
        <f>IF($A433="","",SUMIFS('02_ツリー'!$K$5:$K$679,'02_ツリー'!$E$5:$E$679,$A433,'02_ツリー'!$K$5:$K$679,"&gt;0"))</f>
        <v>0</v>
      </c>
      <c r="C433" s="1">
        <f>IF($A433="","",SUMIFS('02_ツリー'!$K$5:$K$679,'02_ツリー'!$E$5:$E$679,$A433,'02_ツリー'!$K$5:$K$679,"&lt;0"))</f>
        <v>0</v>
      </c>
      <c r="D433" s="1">
        <f t="shared" si="18"/>
        <v>0</v>
      </c>
      <c r="E433" s="1">
        <f>IF($A433="","",--(COUNTIFS('02_ツリー'!$E$5:$E$679,$A433,'02_ツリー'!$O$5:$O$679,0)=0))</f>
        <v>0</v>
      </c>
      <c r="F433" s="1">
        <f t="shared" si="19"/>
        <v>0</v>
      </c>
      <c r="G433" s="1">
        <f t="shared" si="20"/>
        <v>0</v>
      </c>
      <c r="H433" s="1"/>
      <c r="I433" s="1"/>
      <c r="J433" s="1"/>
      <c r="K433" s="1"/>
      <c r="L433" s="1"/>
    </row>
    <row r="434" spans="1:12">
      <c r="A434" s="1" t="str">
        <f>IFERROR(INDEX('02_ツリー'!$E$5:$E$679,MATCH(ROW()-10,'02_ツリー'!$R$5:$R$679,0)),"")</f>
        <v>R_Ldc</v>
      </c>
      <c r="B434" s="1">
        <f>IF($A434="","",SUMIFS('02_ツリー'!$K$5:$K$679,'02_ツリー'!$E$5:$E$679,$A434,'02_ツリー'!$K$5:$K$679,"&gt;0"))</f>
        <v>0</v>
      </c>
      <c r="C434" s="1">
        <f>IF($A434="","",SUMIFS('02_ツリー'!$K$5:$K$679,'02_ツリー'!$E$5:$E$679,$A434,'02_ツリー'!$K$5:$K$679,"&lt;0"))</f>
        <v>0</v>
      </c>
      <c r="D434" s="1">
        <f t="shared" si="18"/>
        <v>0</v>
      </c>
      <c r="E434" s="1">
        <f>IF($A434="","",--(COUNTIFS('02_ツリー'!$E$5:$E$679,$A434,'02_ツリー'!$O$5:$O$679,0)=0))</f>
        <v>1</v>
      </c>
      <c r="F434" s="1">
        <f t="shared" si="19"/>
        <v>0</v>
      </c>
      <c r="G434" s="1">
        <f t="shared" si="20"/>
        <v>0</v>
      </c>
      <c r="H434" s="1"/>
      <c r="I434" s="1"/>
      <c r="J434" s="1"/>
      <c r="K434" s="1"/>
      <c r="L434" s="1"/>
    </row>
    <row r="435" spans="1:12">
      <c r="A435" s="1" t="str">
        <f>IFERROR(INDEX('02_ツリー'!$E$5:$E$679,MATCH(ROW()-10,'02_ツリー'!$R$5:$R$679,0)),"")</f>
        <v>I_dc_ripple</v>
      </c>
      <c r="B435" s="1">
        <f>IF($A435="","",SUMIFS('02_ツリー'!$K$5:$K$679,'02_ツリー'!$E$5:$E$679,$A435,'02_ツリー'!$K$5:$K$679,"&gt;0"))</f>
        <v>0</v>
      </c>
      <c r="C435" s="1">
        <f>IF($A435="","",SUMIFS('02_ツリー'!$K$5:$K$679,'02_ツリー'!$E$5:$E$679,$A435,'02_ツリー'!$K$5:$K$679,"&lt;0"))</f>
        <v>0</v>
      </c>
      <c r="D435" s="1">
        <f t="shared" si="18"/>
        <v>0</v>
      </c>
      <c r="E435" s="1">
        <f>IF($A435="","",--(COUNTIFS('02_ツリー'!$E$5:$E$679,$A435,'02_ツリー'!$O$5:$O$679,0)=0))</f>
        <v>0</v>
      </c>
      <c r="F435" s="1">
        <f t="shared" si="19"/>
        <v>0</v>
      </c>
      <c r="G435" s="1">
        <f t="shared" si="20"/>
        <v>0</v>
      </c>
      <c r="H435" s="1"/>
      <c r="I435" s="1"/>
      <c r="J435" s="1"/>
      <c r="K435" s="1"/>
      <c r="L435" s="1"/>
    </row>
    <row r="436" spans="1:12">
      <c r="A436" s="1" t="str">
        <f>IFERROR(INDEX('02_ツリー'!$E$5:$E$679,MATCH(ROW()-10,'02_ツリー'!$R$5:$R$679,0)),"")</f>
        <v>r_Idc_ripple</v>
      </c>
      <c r="B436" s="1">
        <f>IF($A436="","",SUMIFS('02_ツリー'!$K$5:$K$679,'02_ツリー'!$E$5:$E$679,$A436,'02_ツリー'!$K$5:$K$679,"&gt;0"))</f>
        <v>0</v>
      </c>
      <c r="C436" s="1">
        <f>IF($A436="","",SUMIFS('02_ツリー'!$K$5:$K$679,'02_ツリー'!$E$5:$E$679,$A436,'02_ツリー'!$K$5:$K$679,"&lt;0"))</f>
        <v>0</v>
      </c>
      <c r="D436" s="1">
        <f t="shared" si="18"/>
        <v>0</v>
      </c>
      <c r="E436" s="1">
        <f>IF($A436="","",--(COUNTIFS('02_ツリー'!$E$5:$E$679,$A436,'02_ツリー'!$O$5:$O$679,0)=0))</f>
        <v>1</v>
      </c>
      <c r="F436" s="1">
        <f t="shared" si="19"/>
        <v>0</v>
      </c>
      <c r="G436" s="1">
        <f t="shared" si="20"/>
        <v>0</v>
      </c>
      <c r="H436" s="1"/>
      <c r="I436" s="1"/>
      <c r="J436" s="1"/>
      <c r="K436" s="1"/>
      <c r="L436" s="1"/>
    </row>
    <row r="437" spans="1:12">
      <c r="A437" s="1" t="str">
        <f>IFERROR(INDEX('02_ツリー'!$E$5:$E$679,MATCH(ROW()-10,'02_ツリー'!$R$5:$R$679,0)),"")</f>
        <v>k_APD_ripple_reduce</v>
      </c>
      <c r="B437" s="1">
        <f>IF($A437="","",SUMIFS('02_ツリー'!$K$5:$K$679,'02_ツリー'!$E$5:$E$679,$A437,'02_ツリー'!$K$5:$K$679,"&gt;0"))</f>
        <v>0</v>
      </c>
      <c r="C437" s="1">
        <f>IF($A437="","",SUMIFS('02_ツリー'!$K$5:$K$679,'02_ツリー'!$E$5:$E$679,$A437,'02_ツリー'!$K$5:$K$679,"&lt;0"))</f>
        <v>0</v>
      </c>
      <c r="D437" s="1">
        <f t="shared" si="18"/>
        <v>0</v>
      </c>
      <c r="E437" s="1">
        <f>IF($A437="","",--(COUNTIFS('02_ツリー'!$E$5:$E$679,$A437,'02_ツリー'!$O$5:$O$679,0)=0))</f>
        <v>1</v>
      </c>
      <c r="F437" s="1">
        <f t="shared" si="19"/>
        <v>0</v>
      </c>
      <c r="G437" s="1">
        <f t="shared" si="20"/>
        <v>0</v>
      </c>
      <c r="H437" s="1"/>
      <c r="I437" s="1"/>
      <c r="J437" s="1"/>
      <c r="K437" s="1"/>
      <c r="L437" s="1"/>
    </row>
    <row r="438" spans="1:12">
      <c r="A438" s="1" t="str">
        <f>IFERROR(INDEX('02_ツリー'!$E$5:$E$679,MATCH(ROW()-10,'02_ツリー'!$R$5:$R$679,0)),"")</f>
        <v>M_APD</v>
      </c>
      <c r="B438" s="1">
        <f>IF($A438="","",SUMIFS('02_ツリー'!$K$5:$K$679,'02_ツリー'!$E$5:$E$679,$A438,'02_ツリー'!$K$5:$K$679,"&gt;0"))</f>
        <v>0</v>
      </c>
      <c r="C438" s="1">
        <f>IF($A438="","",SUMIFS('02_ツリー'!$K$5:$K$679,'02_ツリー'!$E$5:$E$679,$A438,'02_ツリー'!$K$5:$K$679,"&lt;0"))</f>
        <v>0</v>
      </c>
      <c r="D438" s="1">
        <f t="shared" si="18"/>
        <v>0</v>
      </c>
      <c r="E438" s="1">
        <f>IF($A438="","",--(COUNTIFS('02_ツリー'!$E$5:$E$679,$A438,'02_ツリー'!$O$5:$O$679,0)=0))</f>
        <v>0</v>
      </c>
      <c r="F438" s="1">
        <f t="shared" si="19"/>
        <v>0</v>
      </c>
      <c r="G438" s="1">
        <f t="shared" si="20"/>
        <v>0</v>
      </c>
      <c r="H438" s="1"/>
      <c r="I438" s="1"/>
      <c r="J438" s="1"/>
      <c r="K438" s="1"/>
      <c r="L438" s="1"/>
    </row>
    <row r="439" spans="1:12">
      <c r="A439" s="1" t="str">
        <f>IFERROR(INDEX('02_ツリー'!$E$5:$E$679,MATCH(ROW()-10,'02_ツリー'!$R$5:$R$679,0)),"")</f>
        <v>m_APD</v>
      </c>
      <c r="B439" s="1">
        <f>IF($A439="","",SUMIFS('02_ツリー'!$K$5:$K$679,'02_ツリー'!$E$5:$E$679,$A439,'02_ツリー'!$K$5:$K$679,"&gt;0"))</f>
        <v>0</v>
      </c>
      <c r="C439" s="1">
        <f>IF($A439="","",SUMIFS('02_ツリー'!$K$5:$K$679,'02_ツリー'!$E$5:$E$679,$A439,'02_ツリー'!$K$5:$K$679,"&lt;0"))</f>
        <v>0</v>
      </c>
      <c r="D439" s="1">
        <f t="shared" si="18"/>
        <v>0</v>
      </c>
      <c r="E439" s="1">
        <f>IF($A439="","",--(COUNTIFS('02_ツリー'!$E$5:$E$679,$A439,'02_ツリー'!$O$5:$O$679,0)=0))</f>
        <v>0</v>
      </c>
      <c r="F439" s="1">
        <f t="shared" si="19"/>
        <v>0</v>
      </c>
      <c r="G439" s="1">
        <f t="shared" si="20"/>
        <v>0</v>
      </c>
      <c r="H439" s="1"/>
      <c r="I439" s="1"/>
      <c r="J439" s="1"/>
      <c r="K439" s="1"/>
      <c r="L439" s="1"/>
    </row>
    <row r="440" spans="1:12">
      <c r="A440" s="1" t="str">
        <f>IFERROR(INDEX('02_ツリー'!$E$5:$E$679,MATCH(ROW()-10,'02_ツリー'!$R$5:$R$679,0)),"")</f>
        <v>M_CM_active</v>
      </c>
      <c r="B440" s="1">
        <f>IF($A440="","",SUMIFS('02_ツリー'!$K$5:$K$679,'02_ツリー'!$E$5:$E$679,$A440,'02_ツリー'!$K$5:$K$679,"&gt;0"))</f>
        <v>0</v>
      </c>
      <c r="C440" s="1">
        <f>IF($A440="","",SUMIFS('02_ツリー'!$K$5:$K$679,'02_ツリー'!$E$5:$E$679,$A440,'02_ツリー'!$K$5:$K$679,"&lt;0"))</f>
        <v>0</v>
      </c>
      <c r="D440" s="1">
        <f t="shared" si="18"/>
        <v>0</v>
      </c>
      <c r="E440" s="1">
        <f>IF($A440="","",--(COUNTIFS('02_ツリー'!$E$5:$E$679,$A440,'02_ツリー'!$O$5:$O$679,0)=0))</f>
        <v>0</v>
      </c>
      <c r="F440" s="1">
        <f t="shared" si="19"/>
        <v>0</v>
      </c>
      <c r="G440" s="1">
        <f t="shared" si="20"/>
        <v>0</v>
      </c>
      <c r="H440" s="1"/>
      <c r="I440" s="1"/>
      <c r="J440" s="1"/>
      <c r="K440" s="1"/>
      <c r="L440" s="1"/>
    </row>
    <row r="441" spans="1:12">
      <c r="A441" s="1" t="str">
        <f>IFERROR(INDEX('02_ツリー'!$E$5:$E$679,MATCH(ROW()-10,'02_ツリー'!$R$5:$R$679,0)),"")</f>
        <v>Enable_CM_active</v>
      </c>
      <c r="B441" s="1">
        <f>IF($A441="","",SUMIFS('02_ツリー'!$K$5:$K$679,'02_ツリー'!$E$5:$E$679,$A441,'02_ツリー'!$K$5:$K$679,"&gt;0"))</f>
        <v>0</v>
      </c>
      <c r="C441" s="1">
        <f>IF($A441="","",SUMIFS('02_ツリー'!$K$5:$K$679,'02_ツリー'!$E$5:$E$679,$A441,'02_ツリー'!$K$5:$K$679,"&lt;0"))</f>
        <v>0</v>
      </c>
      <c r="D441" s="1">
        <f t="shared" si="18"/>
        <v>0</v>
      </c>
      <c r="E441" s="1">
        <f>IF($A441="","",--(COUNTIFS('02_ツリー'!$E$5:$E$679,$A441,'02_ツリー'!$O$5:$O$679,0)=0))</f>
        <v>1</v>
      </c>
      <c r="F441" s="1">
        <f t="shared" si="19"/>
        <v>0</v>
      </c>
      <c r="G441" s="1">
        <f t="shared" si="20"/>
        <v>1</v>
      </c>
      <c r="H441" s="1"/>
      <c r="I441" s="1"/>
      <c r="J441" s="1"/>
      <c r="K441" s="1"/>
      <c r="L441" s="1"/>
    </row>
    <row r="442" spans="1:12">
      <c r="A442" s="1" t="str">
        <f>IFERROR(INDEX('02_ツリー'!$E$5:$E$679,MATCH(ROW()-10,'02_ツリー'!$R$5:$R$679,0)),"")</f>
        <v>m_CM_active_ref</v>
      </c>
      <c r="B442" s="1">
        <f>IF($A442="","",SUMIFS('02_ツリー'!$K$5:$K$679,'02_ツリー'!$E$5:$E$679,$A442,'02_ツリー'!$K$5:$K$679,"&gt;0"))</f>
        <v>0</v>
      </c>
      <c r="C442" s="1">
        <f>IF($A442="","",SUMIFS('02_ツリー'!$K$5:$K$679,'02_ツリー'!$E$5:$E$679,$A442,'02_ツリー'!$K$5:$K$679,"&lt;0"))</f>
        <v>0</v>
      </c>
      <c r="D442" s="1">
        <f t="shared" si="18"/>
        <v>0</v>
      </c>
      <c r="E442" s="1">
        <f>IF($A442="","",--(COUNTIFS('02_ツリー'!$E$5:$E$679,$A442,'02_ツリー'!$O$5:$O$679,0)=0))</f>
        <v>1</v>
      </c>
      <c r="F442" s="1">
        <f t="shared" si="19"/>
        <v>0</v>
      </c>
      <c r="G442" s="1">
        <f t="shared" si="20"/>
        <v>0</v>
      </c>
      <c r="H442" s="1"/>
      <c r="I442" s="1"/>
      <c r="J442" s="1"/>
      <c r="K442" s="1"/>
      <c r="L442" s="1"/>
    </row>
    <row r="443" spans="1:12">
      <c r="A443" s="1" t="str">
        <f>IFERROR(INDEX('02_ツリー'!$E$5:$E$679,MATCH(ROW()-10,'02_ツリー'!$R$5:$R$679,0)),"")</f>
        <v>a_CM_active_mass</v>
      </c>
      <c r="B443" s="1">
        <f>IF($A443="","",SUMIFS('02_ツリー'!$K$5:$K$679,'02_ツリー'!$E$5:$E$679,$A443,'02_ツリー'!$K$5:$K$679,"&gt;0"))</f>
        <v>0</v>
      </c>
      <c r="C443" s="1">
        <f>IF($A443="","",SUMIFS('02_ツリー'!$K$5:$K$679,'02_ツリー'!$E$5:$E$679,$A443,'02_ツリー'!$K$5:$K$679,"&lt;0"))</f>
        <v>0</v>
      </c>
      <c r="D443" s="1">
        <f t="shared" si="18"/>
        <v>0</v>
      </c>
      <c r="E443" s="1">
        <f>IF($A443="","",--(COUNTIFS('02_ツリー'!$E$5:$E$679,$A443,'02_ツリー'!$O$5:$O$679,0)=0))</f>
        <v>1</v>
      </c>
      <c r="F443" s="1">
        <f t="shared" si="19"/>
        <v>0</v>
      </c>
      <c r="G443" s="1">
        <f t="shared" si="20"/>
        <v>0</v>
      </c>
      <c r="H443" s="1"/>
      <c r="I443" s="1"/>
      <c r="J443" s="1"/>
      <c r="K443" s="1"/>
      <c r="L443" s="1"/>
    </row>
    <row r="444" spans="1:12">
      <c r="A444" s="1" t="str">
        <f>IFERROR(INDEX('02_ツリー'!$E$5:$E$679,MATCH(ROW()-10,'02_ツリー'!$R$5:$R$679,0)),"")</f>
        <v>k_CSI_dvdt_residual</v>
      </c>
      <c r="B444" s="1">
        <f>IF($A444="","",SUMIFS('02_ツリー'!$K$5:$K$679,'02_ツリー'!$E$5:$E$679,$A444,'02_ツリー'!$K$5:$K$679,"&gt;0"))</f>
        <v>0</v>
      </c>
      <c r="C444" s="1">
        <f>IF($A444="","",SUMIFS('02_ツリー'!$K$5:$K$679,'02_ツリー'!$E$5:$E$679,$A444,'02_ツリー'!$K$5:$K$679,"&lt;0"))</f>
        <v>0</v>
      </c>
      <c r="D444" s="1">
        <f t="shared" si="18"/>
        <v>0</v>
      </c>
      <c r="E444" s="1">
        <f>IF($A444="","",--(COUNTIFS('02_ツリー'!$E$5:$E$679,$A444,'02_ツリー'!$O$5:$O$679,0)=0))</f>
        <v>1</v>
      </c>
      <c r="F444" s="1">
        <f t="shared" si="19"/>
        <v>0</v>
      </c>
      <c r="G444" s="1">
        <f t="shared" si="20"/>
        <v>0</v>
      </c>
      <c r="H444" s="1"/>
      <c r="I444" s="1"/>
      <c r="J444" s="1"/>
      <c r="K444" s="1"/>
      <c r="L444" s="1"/>
    </row>
    <row r="445" spans="1:12">
      <c r="A445" s="1" t="str">
        <f>IFERROR(INDEX('02_ツリー'!$E$5:$E$679,MATCH(ROW()-10,'02_ツリー'!$R$5:$R$679,0)),"")</f>
        <v>f_sw_CM_ref</v>
      </c>
      <c r="B445" s="1">
        <f>IF($A445="","",SUMIFS('02_ツリー'!$K$5:$K$679,'02_ツリー'!$E$5:$E$679,$A445,'02_ツリー'!$K$5:$K$679,"&gt;0"))</f>
        <v>0</v>
      </c>
      <c r="C445" s="1">
        <f>IF($A445="","",SUMIFS('02_ツリー'!$K$5:$K$679,'02_ツリー'!$E$5:$E$679,$A445,'02_ツリー'!$K$5:$K$679,"&lt;0"))</f>
        <v>0</v>
      </c>
      <c r="D445" s="1">
        <f t="shared" si="18"/>
        <v>0</v>
      </c>
      <c r="E445" s="1">
        <f>IF($A445="","",--(COUNTIFS('02_ツリー'!$E$5:$E$679,$A445,'02_ツリー'!$O$5:$O$679,0)=0))</f>
        <v>1</v>
      </c>
      <c r="F445" s="1">
        <f t="shared" si="19"/>
        <v>0</v>
      </c>
      <c r="G445" s="1">
        <f t="shared" si="20"/>
        <v>0</v>
      </c>
      <c r="H445" s="1"/>
      <c r="I445" s="1"/>
      <c r="J445" s="1"/>
      <c r="K445" s="1"/>
      <c r="L445" s="1"/>
    </row>
    <row r="446" spans="1:12">
      <c r="A446" s="1" t="str">
        <f>IFERROR(INDEX('02_ツリー'!$E$5:$E$679,MATCH(ROW()-10,'02_ツリー'!$R$5:$R$679,0)),"")</f>
        <v>a_CM_fsw</v>
      </c>
      <c r="B446" s="1">
        <f>IF($A446="","",SUMIFS('02_ツリー'!$K$5:$K$679,'02_ツリー'!$E$5:$E$679,$A446,'02_ツリー'!$K$5:$K$679,"&gt;0"))</f>
        <v>0</v>
      </c>
      <c r="C446" s="1">
        <f>IF($A446="","",SUMIFS('02_ツリー'!$K$5:$K$679,'02_ツリー'!$E$5:$E$679,$A446,'02_ツリー'!$K$5:$K$679,"&lt;0"))</f>
        <v>0</v>
      </c>
      <c r="D446" s="1">
        <f t="shared" si="18"/>
        <v>0</v>
      </c>
      <c r="E446" s="1">
        <f>IF($A446="","",--(COUNTIFS('02_ツリー'!$E$5:$E$679,$A446,'02_ツリー'!$O$5:$O$679,0)=0))</f>
        <v>1</v>
      </c>
      <c r="F446" s="1">
        <f t="shared" si="19"/>
        <v>0</v>
      </c>
      <c r="G446" s="1">
        <f t="shared" si="20"/>
        <v>0</v>
      </c>
      <c r="H446" s="1"/>
      <c r="I446" s="1"/>
      <c r="J446" s="1"/>
      <c r="K446" s="1"/>
      <c r="L446" s="1"/>
    </row>
    <row r="447" spans="1:12">
      <c r="A447" s="1" t="str">
        <f>IFERROR(INDEX('02_ツリー'!$E$5:$E$679,MATCH(ROW()-10,'02_ツリー'!$R$5:$R$679,0)),"")</f>
        <v>M_CM_L</v>
      </c>
      <c r="B447" s="1">
        <f>IF($A447="","",SUMIFS('02_ツリー'!$K$5:$K$679,'02_ツリー'!$E$5:$E$679,$A447,'02_ツリー'!$K$5:$K$679,"&gt;0"))</f>
        <v>0</v>
      </c>
      <c r="C447" s="1">
        <f>IF($A447="","",SUMIFS('02_ツリー'!$K$5:$K$679,'02_ツリー'!$E$5:$E$679,$A447,'02_ツリー'!$K$5:$K$679,"&lt;0"))</f>
        <v>0</v>
      </c>
      <c r="D447" s="1">
        <f t="shared" si="18"/>
        <v>0</v>
      </c>
      <c r="E447" s="1">
        <f>IF($A447="","",--(COUNTIFS('02_ツリー'!$E$5:$E$679,$A447,'02_ツリー'!$O$5:$O$679,0)=0))</f>
        <v>0</v>
      </c>
      <c r="F447" s="1">
        <f t="shared" si="19"/>
        <v>0</v>
      </c>
      <c r="G447" s="1">
        <f t="shared" si="20"/>
        <v>0</v>
      </c>
      <c r="H447" s="1"/>
      <c r="I447" s="1"/>
      <c r="J447" s="1"/>
      <c r="K447" s="1"/>
      <c r="L447" s="1"/>
    </row>
    <row r="448" spans="1:12">
      <c r="A448" s="1" t="str">
        <f>IFERROR(INDEX('02_ツリー'!$E$5:$E$679,MATCH(ROW()-10,'02_ツリー'!$R$5:$R$679,0)),"")</f>
        <v>M_CM_C</v>
      </c>
      <c r="B448" s="1">
        <f>IF($A448="","",SUMIFS('02_ツリー'!$K$5:$K$679,'02_ツリー'!$E$5:$E$679,$A448,'02_ツリー'!$K$5:$K$679,"&gt;0"))</f>
        <v>0</v>
      </c>
      <c r="C448" s="1">
        <f>IF($A448="","",SUMIFS('02_ツリー'!$K$5:$K$679,'02_ツリー'!$E$5:$E$679,$A448,'02_ツリー'!$K$5:$K$679,"&lt;0"))</f>
        <v>0</v>
      </c>
      <c r="D448" s="1">
        <f t="shared" si="18"/>
        <v>0</v>
      </c>
      <c r="E448" s="1">
        <f>IF($A448="","",--(COUNTIFS('02_ツリー'!$E$5:$E$679,$A448,'02_ツリー'!$O$5:$O$679,0)=0))</f>
        <v>0</v>
      </c>
      <c r="F448" s="1">
        <f t="shared" si="19"/>
        <v>0</v>
      </c>
      <c r="G448" s="1">
        <f t="shared" si="20"/>
        <v>0</v>
      </c>
      <c r="H448" s="1"/>
      <c r="I448" s="1"/>
      <c r="J448" s="1"/>
      <c r="K448" s="1"/>
      <c r="L448" s="1"/>
    </row>
    <row r="449" spans="1:12">
      <c r="A449" s="1" t="str">
        <f>IFERROR(INDEX('02_ツリー'!$E$5:$E$679,MATCH(ROW()-10,'02_ツリー'!$R$5:$R$679,0)),"")</f>
        <v>R_g_ref_off</v>
      </c>
      <c r="B449" s="1">
        <f>IF($A449="","",SUMIFS('02_ツリー'!$K$5:$K$679,'02_ツリー'!$E$5:$E$679,$A449,'02_ツリー'!$K$5:$K$679,"&gt;0"))</f>
        <v>0</v>
      </c>
      <c r="C449" s="1">
        <f>IF($A449="","",SUMIFS('02_ツリー'!$K$5:$K$679,'02_ツリー'!$E$5:$E$679,$A449,'02_ツリー'!$K$5:$K$679,"&lt;0"))</f>
        <v>-1.8540547728807434E-5</v>
      </c>
      <c r="D449" s="1">
        <f t="shared" si="18"/>
        <v>-1.8540547728807434E-5</v>
      </c>
      <c r="E449" s="1">
        <f>IF($A449="","",--(COUNTIFS('02_ツリー'!$E$5:$E$679,$A449,'02_ツリー'!$O$5:$O$679,0)=0))</f>
        <v>1</v>
      </c>
      <c r="F449" s="1">
        <f t="shared" si="19"/>
        <v>0</v>
      </c>
      <c r="G449" s="1">
        <f t="shared" si="20"/>
        <v>0</v>
      </c>
      <c r="H449" s="1"/>
      <c r="I449" s="1"/>
      <c r="J449" s="1"/>
      <c r="K449" s="1"/>
      <c r="L449" s="1"/>
    </row>
    <row r="450" spans="1:12">
      <c r="A450" s="1" t="str">
        <f>IFERROR(INDEX('02_ツリー'!$E$5:$E$679,MATCH(ROW()-10,'02_ツリー'!$R$5:$R$679,0)),"")</f>
        <v>N_sw_cond_eq</v>
      </c>
      <c r="B450" s="1">
        <f>IF($A450="","",SUMIFS('02_ツリー'!$K$5:$K$679,'02_ツリー'!$E$5:$E$679,$A450,'02_ツリー'!$K$5:$K$679,"&gt;0"))</f>
        <v>2.2204845642776994E-5</v>
      </c>
      <c r="C450" s="1">
        <f>IF($A450="","",SUMIFS('02_ツリー'!$K$5:$K$679,'02_ツリー'!$E$5:$E$679,$A450,'02_ツリー'!$K$5:$K$679,"&lt;0"))</f>
        <v>0</v>
      </c>
      <c r="D450" s="1">
        <f t="shared" si="18"/>
        <v>2.2204845642776994E-5</v>
      </c>
      <c r="E450" s="1">
        <f>IF($A450="","",--(COUNTIFS('02_ツリー'!$E$5:$E$679,$A450,'02_ツリー'!$O$5:$O$679,0)=0))</f>
        <v>1</v>
      </c>
      <c r="F450" s="1">
        <f t="shared" si="19"/>
        <v>0</v>
      </c>
      <c r="G450" s="1">
        <f t="shared" si="20"/>
        <v>0</v>
      </c>
      <c r="H450" s="1"/>
      <c r="I450" s="1"/>
      <c r="J450" s="1"/>
      <c r="K450" s="1"/>
      <c r="L450" s="1"/>
    </row>
    <row r="451" spans="1:12">
      <c r="A451" s="1" t="str">
        <f>IFERROR(INDEX('02_ツリー'!$E$5:$E$679,MATCH(ROW()-10,'02_ツリー'!$R$5:$R$679,0)),"")</f>
        <v>N_diode_cond_eq</v>
      </c>
      <c r="B451" s="1">
        <f>IF($A451="","",SUMIFS('02_ツリー'!$K$5:$K$679,'02_ツリー'!$E$5:$E$679,$A451,'02_ツリー'!$K$5:$K$679,"&gt;0"))</f>
        <v>0</v>
      </c>
      <c r="C451" s="1">
        <f>IF($A451="","",SUMIFS('02_ツリー'!$K$5:$K$679,'02_ツリー'!$E$5:$E$679,$A451,'02_ツリー'!$K$5:$K$679,"&lt;0"))</f>
        <v>0</v>
      </c>
      <c r="D451" s="1">
        <f t="shared" si="18"/>
        <v>0</v>
      </c>
      <c r="E451" s="1">
        <f>IF($A451="","",--(COUNTIFS('02_ツリー'!$E$5:$E$679,$A451,'02_ツリー'!$O$5:$O$679,0)=0))</f>
        <v>0</v>
      </c>
      <c r="F451" s="1">
        <f t="shared" si="19"/>
        <v>0</v>
      </c>
      <c r="G451" s="1">
        <f t="shared" si="20"/>
        <v>0</v>
      </c>
      <c r="H451" s="1"/>
      <c r="I451" s="1"/>
      <c r="J451" s="1"/>
      <c r="K451" s="1"/>
      <c r="L451" s="1"/>
    </row>
    <row r="452" spans="1:12">
      <c r="A452" s="1" t="str">
        <f>IFERROR(INDEX('02_ツリー'!$E$5:$E$679,MATCH(ROW()-10,'02_ツリー'!$R$5:$R$679,0)),"")</f>
        <v>I_cond</v>
      </c>
      <c r="B452" s="1">
        <f>IF($A452="","",SUMIFS('02_ツリー'!$K$5:$K$679,'02_ツリー'!$E$5:$E$679,$A452,'02_ツリー'!$K$5:$K$679,"&gt;0"))</f>
        <v>4.4409691285553988E-5</v>
      </c>
      <c r="C452" s="1">
        <f>IF($A452="","",SUMIFS('02_ツリー'!$K$5:$K$679,'02_ツリー'!$E$5:$E$679,$A452,'02_ツリー'!$K$5:$K$679,"&lt;0"))</f>
        <v>0</v>
      </c>
      <c r="D452" s="1">
        <f t="shared" si="18"/>
        <v>4.4409691285553988E-5</v>
      </c>
      <c r="E452" s="1">
        <f>IF($A452="","",--(COUNTIFS('02_ツリー'!$E$5:$E$679,$A452,'02_ツリー'!$O$5:$O$679,0)=0))</f>
        <v>1</v>
      </c>
      <c r="F452" s="1">
        <f t="shared" si="19"/>
        <v>0</v>
      </c>
      <c r="G452" s="1">
        <f t="shared" si="20"/>
        <v>0</v>
      </c>
      <c r="H452" s="1"/>
      <c r="I452" s="1"/>
      <c r="J452" s="1"/>
      <c r="K452" s="1"/>
      <c r="L452" s="1"/>
    </row>
    <row r="453" spans="1:12">
      <c r="A453" s="1" t="str">
        <f>IFERROR(INDEX('02_ツリー'!$E$5:$E$679,MATCH(ROW()-10,'02_ツリー'!$R$5:$R$679,0)),"")</f>
        <v>Vf_diode</v>
      </c>
      <c r="B453" s="1">
        <f>IF($A453="","",SUMIFS('02_ツリー'!$K$5:$K$679,'02_ツリー'!$E$5:$E$679,$A453,'02_ツリー'!$K$5:$K$679,"&gt;0"))</f>
        <v>0</v>
      </c>
      <c r="C453" s="1">
        <f>IF($A453="","",SUMIFS('02_ツリー'!$K$5:$K$679,'02_ツリー'!$E$5:$E$679,$A453,'02_ツリー'!$K$5:$K$679,"&lt;0"))</f>
        <v>0</v>
      </c>
      <c r="D453" s="1">
        <f t="shared" si="18"/>
        <v>0</v>
      </c>
      <c r="E453" s="1">
        <f>IF($A453="","",--(COUNTIFS('02_ツリー'!$E$5:$E$679,$A453,'02_ツリー'!$O$5:$O$679,0)=0))</f>
        <v>1</v>
      </c>
      <c r="F453" s="1">
        <f t="shared" si="19"/>
        <v>0</v>
      </c>
      <c r="G453" s="1">
        <f t="shared" si="20"/>
        <v>0</v>
      </c>
      <c r="H453" s="1"/>
      <c r="I453" s="1"/>
      <c r="J453" s="1"/>
      <c r="K453" s="1"/>
      <c r="L453" s="1"/>
    </row>
    <row r="454" spans="1:12">
      <c r="A454" s="1" t="str">
        <f>IFERROR(INDEX('02_ツリー'!$E$5:$E$679,MATCH(ROW()-10,'02_ツリー'!$R$5:$R$679,0)),"")</f>
        <v>N_diode_extra</v>
      </c>
      <c r="B454" s="1">
        <f>IF($A454="","",SUMIFS('02_ツリー'!$K$5:$K$679,'02_ツリー'!$E$5:$E$679,$A454,'02_ツリー'!$K$5:$K$679,"&gt;0"))</f>
        <v>0</v>
      </c>
      <c r="C454" s="1">
        <f>IF($A454="","",SUMIFS('02_ツリー'!$K$5:$K$679,'02_ツリー'!$E$5:$E$679,$A454,'02_ツリー'!$K$5:$K$679,"&lt;0"))</f>
        <v>0</v>
      </c>
      <c r="D454" s="1">
        <f t="shared" si="18"/>
        <v>0</v>
      </c>
      <c r="E454" s="1">
        <f>IF($A454="","",--(COUNTIFS('02_ツリー'!$E$5:$E$679,$A454,'02_ツリー'!$O$5:$O$679,0)=0))</f>
        <v>1</v>
      </c>
      <c r="F454" s="1">
        <f t="shared" si="19"/>
        <v>0</v>
      </c>
      <c r="G454" s="1">
        <f t="shared" si="20"/>
        <v>0</v>
      </c>
      <c r="H454" s="1"/>
      <c r="I454" s="1"/>
      <c r="J454" s="1"/>
      <c r="K454" s="1"/>
      <c r="L454" s="1"/>
    </row>
    <row r="455" spans="1:12">
      <c r="A455" s="1" t="str">
        <f>IFERROR(INDEX('02_ツリー'!$E$5:$E$679,MATCH(ROW()-10,'02_ツリー'!$R$5:$R$679,0)),"")</f>
        <v>Enable_BD_GaN_eff</v>
      </c>
      <c r="B455" s="1">
        <f>IF($A455="","",SUMIFS('02_ツリー'!$K$5:$K$679,'02_ツリー'!$E$5:$E$679,$A455,'02_ツリー'!$K$5:$K$679,"&gt;0"))</f>
        <v>0</v>
      </c>
      <c r="C455" s="1">
        <f>IF($A455="","",SUMIFS('02_ツリー'!$K$5:$K$679,'02_ツリー'!$E$5:$E$679,$A455,'02_ツリー'!$K$5:$K$679,"&lt;0"))</f>
        <v>0</v>
      </c>
      <c r="D455" s="1">
        <f t="shared" si="18"/>
        <v>0</v>
      </c>
      <c r="E455" s="1">
        <f>IF($A455="","",--(COUNTIFS('02_ツリー'!$E$5:$E$679,$A455,'02_ツリー'!$O$5:$O$679,0)=0))</f>
        <v>1</v>
      </c>
      <c r="F455" s="1">
        <f t="shared" si="19"/>
        <v>0</v>
      </c>
      <c r="G455" s="1">
        <f t="shared" si="20"/>
        <v>1</v>
      </c>
      <c r="H455" s="1"/>
      <c r="I455" s="1"/>
      <c r="J455" s="1"/>
      <c r="K455" s="1"/>
      <c r="L455" s="1"/>
    </row>
    <row r="456" spans="1:12">
      <c r="A456" s="1" t="str">
        <f>IFERROR(INDEX('02_ツリー'!$E$5:$E$679,MATCH(ROW()-10,'02_ツリー'!$R$5:$R$679,0)),"")</f>
        <v>R_BD_GaN_eff</v>
      </c>
      <c r="B456" s="1">
        <f>IF($A456="","",SUMIFS('02_ツリー'!$K$5:$K$679,'02_ツリー'!$E$5:$E$679,$A456,'02_ツリー'!$K$5:$K$679,"&gt;0"))</f>
        <v>0</v>
      </c>
      <c r="C456" s="1">
        <f>IF($A456="","",SUMIFS('02_ツリー'!$K$5:$K$679,'02_ツリー'!$E$5:$E$679,$A456,'02_ツリー'!$K$5:$K$679,"&lt;0"))</f>
        <v>0</v>
      </c>
      <c r="D456" s="1">
        <f t="shared" si="18"/>
        <v>0</v>
      </c>
      <c r="E456" s="1">
        <f>IF($A456="","",--(COUNTIFS('02_ツリー'!$E$5:$E$679,$A456,'02_ツリー'!$O$5:$O$679,0)=0))</f>
        <v>0</v>
      </c>
      <c r="F456" s="1">
        <f t="shared" si="19"/>
        <v>0</v>
      </c>
      <c r="G456" s="1">
        <f t="shared" si="20"/>
        <v>0</v>
      </c>
      <c r="H456" s="1"/>
      <c r="I456" s="1"/>
      <c r="J456" s="1"/>
      <c r="K456" s="1"/>
      <c r="L456" s="1"/>
    </row>
    <row r="457" spans="1:12">
      <c r="A457" s="1" t="str">
        <f>IFERROR(INDEX('02_ツリー'!$E$5:$E$679,MATCH(ROW()-10,'02_ツリー'!$R$5:$R$679,0)),"")</f>
        <v>k_BD_GaN_Ron_ratio</v>
      </c>
      <c r="B457" s="1">
        <f>IF($A457="","",SUMIFS('02_ツリー'!$K$5:$K$679,'02_ツリー'!$E$5:$E$679,$A457,'02_ツリー'!$K$5:$K$679,"&gt;0"))</f>
        <v>0</v>
      </c>
      <c r="C457" s="1">
        <f>IF($A457="","",SUMIFS('02_ツリー'!$K$5:$K$679,'02_ツリー'!$E$5:$E$679,$A457,'02_ツリー'!$K$5:$K$679,"&lt;0"))</f>
        <v>0</v>
      </c>
      <c r="D457" s="1">
        <f t="shared" si="18"/>
        <v>0</v>
      </c>
      <c r="E457" s="1">
        <f>IF($A457="","",--(COUNTIFS('02_ツリー'!$E$5:$E$679,$A457,'02_ツリー'!$O$5:$O$679,0)=0))</f>
        <v>1</v>
      </c>
      <c r="F457" s="1">
        <f t="shared" si="19"/>
        <v>0</v>
      </c>
      <c r="G457" s="1">
        <f t="shared" si="20"/>
        <v>0</v>
      </c>
      <c r="H457" s="1"/>
      <c r="I457" s="1"/>
      <c r="J457" s="1"/>
      <c r="K457" s="1"/>
      <c r="L457" s="1"/>
    </row>
    <row r="458" spans="1:12">
      <c r="A458" s="1" t="str">
        <f>IFERROR(INDEX('02_ツリー'!$E$5:$E$679,MATCH(ROW()-10,'02_ツリー'!$R$5:$R$679,0)),"")</f>
        <v>k_dyn_Ron_BD_GaN</v>
      </c>
      <c r="B458" s="1">
        <f>IF($A458="","",SUMIFS('02_ツリー'!$K$5:$K$679,'02_ツリー'!$E$5:$E$679,$A458,'02_ツリー'!$K$5:$K$679,"&gt;0"))</f>
        <v>0</v>
      </c>
      <c r="C458" s="1">
        <f>IF($A458="","",SUMIFS('02_ツリー'!$K$5:$K$679,'02_ツリー'!$E$5:$E$679,$A458,'02_ツリー'!$K$5:$K$679,"&lt;0"))</f>
        <v>0</v>
      </c>
      <c r="D458" s="1">
        <f t="shared" si="18"/>
        <v>0</v>
      </c>
      <c r="E458" s="1">
        <f>IF($A458="","",--(COUNTIFS('02_ツリー'!$E$5:$E$679,$A458,'02_ツリー'!$O$5:$O$679,0)=0))</f>
        <v>1</v>
      </c>
      <c r="F458" s="1">
        <f t="shared" si="19"/>
        <v>0</v>
      </c>
      <c r="G458" s="1">
        <f t="shared" si="20"/>
        <v>0</v>
      </c>
      <c r="H458" s="1"/>
      <c r="I458" s="1"/>
      <c r="J458" s="1"/>
      <c r="K458" s="1"/>
      <c r="L458" s="1"/>
    </row>
    <row r="459" spans="1:12">
      <c r="A459" s="1" t="str">
        <f>IFERROR(INDEX('02_ツリー'!$E$5:$E$679,MATCH(ROW()-10,'02_ツリー'!$R$5:$R$679,0)),"")</f>
        <v>E_sw_BD_GaN</v>
      </c>
      <c r="B459" s="1">
        <f>IF($A459="","",SUMIFS('02_ツリー'!$K$5:$K$679,'02_ツリー'!$E$5:$E$679,$A459,'02_ツリー'!$K$5:$K$679,"&gt;0"))</f>
        <v>0</v>
      </c>
      <c r="C459" s="1">
        <f>IF($A459="","",SUMIFS('02_ツリー'!$K$5:$K$679,'02_ツリー'!$E$5:$E$679,$A459,'02_ツリー'!$K$5:$K$679,"&lt;0"))</f>
        <v>0</v>
      </c>
      <c r="D459" s="1">
        <f t="shared" ref="D459:D522" si="21">IF($A459="","",B459+C459)</f>
        <v>0</v>
      </c>
      <c r="E459" s="1">
        <f>IF($A459="","",--(COUNTIFS('02_ツリー'!$E$5:$E$679,$A459,'02_ツリー'!$O$5:$O$679,0)=0))</f>
        <v>0</v>
      </c>
      <c r="F459" s="1">
        <f t="shared" ref="F459:F504" si="22">IF($A459="","",--AND(B459&gt;0,C459&lt;0))</f>
        <v>0</v>
      </c>
      <c r="G459" s="1">
        <f t="shared" ref="G459:G504" si="23">IF($A459="","",--(LEFT(A459,7)="Enable_"))</f>
        <v>0</v>
      </c>
      <c r="H459" s="1"/>
      <c r="I459" s="1"/>
      <c r="J459" s="1"/>
      <c r="K459" s="1"/>
      <c r="L459" s="1"/>
    </row>
    <row r="460" spans="1:12">
      <c r="A460" s="1" t="str">
        <f>IFERROR(INDEX('02_ツリー'!$E$5:$E$679,MATCH(ROW()-10,'02_ツリー'!$R$5:$R$679,0)),"")</f>
        <v>k_BD_GaN_Esw_ratio</v>
      </c>
      <c r="B460" s="1">
        <f>IF($A460="","",SUMIFS('02_ツリー'!$K$5:$K$679,'02_ツリー'!$E$5:$E$679,$A460,'02_ツリー'!$K$5:$K$679,"&gt;0"))</f>
        <v>0</v>
      </c>
      <c r="C460" s="1">
        <f>IF($A460="","",SUMIFS('02_ツリー'!$K$5:$K$679,'02_ツリー'!$E$5:$E$679,$A460,'02_ツリー'!$K$5:$K$679,"&lt;0"))</f>
        <v>0</v>
      </c>
      <c r="D460" s="1">
        <f t="shared" si="21"/>
        <v>0</v>
      </c>
      <c r="E460" s="1">
        <f>IF($A460="","",--(COUNTIFS('02_ツリー'!$E$5:$E$679,$A460,'02_ツリー'!$O$5:$O$679,0)=0))</f>
        <v>1</v>
      </c>
      <c r="F460" s="1">
        <f t="shared" si="22"/>
        <v>0</v>
      </c>
      <c r="G460" s="1">
        <f t="shared" si="23"/>
        <v>0</v>
      </c>
      <c r="H460" s="1"/>
      <c r="I460" s="1"/>
      <c r="J460" s="1"/>
      <c r="K460" s="1"/>
      <c r="L460" s="1"/>
    </row>
    <row r="461" spans="1:12">
      <c r="A461" s="1" t="str">
        <f>IFERROR(INDEX('02_ツリー'!$E$5:$E$679,MATCH(ROW()-10,'02_ツリー'!$R$5:$R$679,0)),"")</f>
        <v>Eon_BD_GaN</v>
      </c>
      <c r="B461" s="1">
        <f>IF($A461="","",SUMIFS('02_ツリー'!$K$5:$K$679,'02_ツリー'!$E$5:$E$679,$A461,'02_ツリー'!$K$5:$K$679,"&gt;0"))</f>
        <v>0</v>
      </c>
      <c r="C461" s="1">
        <f>IF($A461="","",SUMIFS('02_ツリー'!$K$5:$K$679,'02_ツリー'!$E$5:$E$679,$A461,'02_ツリー'!$K$5:$K$679,"&lt;0"))</f>
        <v>0</v>
      </c>
      <c r="D461" s="1">
        <f t="shared" si="21"/>
        <v>0</v>
      </c>
      <c r="E461" s="1">
        <f>IF($A461="","",--(COUNTIFS('02_ツリー'!$E$5:$E$679,$A461,'02_ツリー'!$O$5:$O$679,0)=0))</f>
        <v>1</v>
      </c>
      <c r="F461" s="1">
        <f t="shared" si="22"/>
        <v>0</v>
      </c>
      <c r="G461" s="1">
        <f t="shared" si="23"/>
        <v>0</v>
      </c>
      <c r="H461" s="1"/>
      <c r="I461" s="1"/>
      <c r="J461" s="1"/>
      <c r="K461" s="1"/>
      <c r="L461" s="1"/>
    </row>
    <row r="462" spans="1:12">
      <c r="A462" s="1" t="str">
        <f>IFERROR(INDEX('02_ツリー'!$E$5:$E$679,MATCH(ROW()-10,'02_ツリー'!$R$5:$R$679,0)),"")</f>
        <v>Eoff_BD_GaN</v>
      </c>
      <c r="B462" s="1">
        <f>IF($A462="","",SUMIFS('02_ツリー'!$K$5:$K$679,'02_ツリー'!$E$5:$E$679,$A462,'02_ツリー'!$K$5:$K$679,"&gt;0"))</f>
        <v>0</v>
      </c>
      <c r="C462" s="1">
        <f>IF($A462="","",SUMIFS('02_ツリー'!$K$5:$K$679,'02_ツリー'!$E$5:$E$679,$A462,'02_ツリー'!$K$5:$K$679,"&lt;0"))</f>
        <v>0</v>
      </c>
      <c r="D462" s="1">
        <f t="shared" si="21"/>
        <v>0</v>
      </c>
      <c r="E462" s="1">
        <f>IF($A462="","",--(COUNTIFS('02_ツリー'!$E$5:$E$679,$A462,'02_ツリー'!$O$5:$O$679,0)=0))</f>
        <v>1</v>
      </c>
      <c r="F462" s="1">
        <f t="shared" si="22"/>
        <v>0</v>
      </c>
      <c r="G462" s="1">
        <f t="shared" si="23"/>
        <v>0</v>
      </c>
      <c r="H462" s="1"/>
      <c r="I462" s="1"/>
      <c r="J462" s="1"/>
      <c r="K462" s="1"/>
      <c r="L462" s="1"/>
    </row>
    <row r="463" spans="1:12">
      <c r="A463" s="1" t="str">
        <f>IFERROR(INDEX('02_ツリー'!$E$5:$E$679,MATCH(ROW()-10,'02_ツリー'!$R$5:$R$679,0)),"")</f>
        <v>Eoss_BD_GaN</v>
      </c>
      <c r="B463" s="1">
        <f>IF($A463="","",SUMIFS('02_ツリー'!$K$5:$K$679,'02_ツリー'!$E$5:$E$679,$A463,'02_ツリー'!$K$5:$K$679,"&gt;0"))</f>
        <v>0</v>
      </c>
      <c r="C463" s="1">
        <f>IF($A463="","",SUMIFS('02_ツリー'!$K$5:$K$679,'02_ツリー'!$E$5:$E$679,$A463,'02_ツリー'!$K$5:$K$679,"&lt;0"))</f>
        <v>0</v>
      </c>
      <c r="D463" s="1">
        <f t="shared" si="21"/>
        <v>0</v>
      </c>
      <c r="E463" s="1">
        <f>IF($A463="","",--(COUNTIFS('02_ツリー'!$E$5:$E$679,$A463,'02_ツリー'!$O$5:$O$679,0)=0))</f>
        <v>1</v>
      </c>
      <c r="F463" s="1">
        <f t="shared" si="22"/>
        <v>0</v>
      </c>
      <c r="G463" s="1">
        <f t="shared" si="23"/>
        <v>0</v>
      </c>
      <c r="H463" s="1"/>
      <c r="I463" s="1"/>
      <c r="J463" s="1"/>
      <c r="K463" s="1"/>
      <c r="L463" s="1"/>
    </row>
    <row r="464" spans="1:12" ht="28.5">
      <c r="A464" s="1" t="str">
        <f>IFERROR(INDEX('02_ツリー'!$E$5:$E$679,MATCH(ROW()-10,'02_ツリー'!$R$5:$R$679,0)),"")</f>
        <v>Enable_BD_GaN_substrate_management</v>
      </c>
      <c r="B464" s="1">
        <f>IF($A464="","",SUMIFS('02_ツリー'!$K$5:$K$679,'02_ツリー'!$E$5:$E$679,$A464,'02_ツリー'!$K$5:$K$679,"&gt;0"))</f>
        <v>0</v>
      </c>
      <c r="C464" s="1">
        <f>IF($A464="","",SUMIFS('02_ツリー'!$K$5:$K$679,'02_ツリー'!$E$5:$E$679,$A464,'02_ツリー'!$K$5:$K$679,"&lt;0"))</f>
        <v>0</v>
      </c>
      <c r="D464" s="1">
        <f t="shared" si="21"/>
        <v>0</v>
      </c>
      <c r="E464" s="1">
        <f>IF($A464="","",--(COUNTIFS('02_ツリー'!$E$5:$E$679,$A464,'02_ツリー'!$O$5:$O$679,0)=0))</f>
        <v>1</v>
      </c>
      <c r="F464" s="1">
        <f t="shared" si="22"/>
        <v>0</v>
      </c>
      <c r="G464" s="1">
        <f t="shared" si="23"/>
        <v>1</v>
      </c>
      <c r="H464" s="1"/>
      <c r="I464" s="1"/>
      <c r="J464" s="1"/>
      <c r="K464" s="1"/>
      <c r="L464" s="1"/>
    </row>
    <row r="465" spans="1:12">
      <c r="A465" s="1" t="str">
        <f>IFERROR(INDEX('02_ツリー'!$E$5:$E$679,MATCH(ROW()-10,'02_ツリー'!$R$5:$R$679,0)),"")</f>
        <v>m_BD_GaN_substrate_mgmt</v>
      </c>
      <c r="B465" s="1">
        <f>IF($A465="","",SUMIFS('02_ツリー'!$K$5:$K$679,'02_ツリー'!$E$5:$E$679,$A465,'02_ツリー'!$K$5:$K$679,"&gt;0"))</f>
        <v>0</v>
      </c>
      <c r="C465" s="1">
        <f>IF($A465="","",SUMIFS('02_ツリー'!$K$5:$K$679,'02_ツリー'!$E$5:$E$679,$A465,'02_ツリー'!$K$5:$K$679,"&lt;0"))</f>
        <v>0</v>
      </c>
      <c r="D465" s="1">
        <f t="shared" si="21"/>
        <v>0</v>
      </c>
      <c r="E465" s="1">
        <f>IF($A465="","",--(COUNTIFS('02_ツリー'!$E$5:$E$679,$A465,'02_ツリー'!$O$5:$O$679,0)=0))</f>
        <v>1</v>
      </c>
      <c r="F465" s="1">
        <f t="shared" si="22"/>
        <v>0</v>
      </c>
      <c r="G465" s="1">
        <f t="shared" si="23"/>
        <v>0</v>
      </c>
      <c r="H465" s="1"/>
      <c r="I465" s="1"/>
      <c r="J465" s="1"/>
      <c r="K465" s="1"/>
      <c r="L465" s="1"/>
    </row>
    <row r="466" spans="1:12">
      <c r="A466" s="1" t="str">
        <f>IFERROR(INDEX('02_ツリー'!$E$5:$E$679,MATCH(ROW()-10,'02_ツリー'!$R$5:$R$679,0)),"")</f>
        <v>P_BD_GaN_substrate_mgmt</v>
      </c>
      <c r="B466" s="1">
        <f>IF($A466="","",SUMIFS('02_ツリー'!$K$5:$K$679,'02_ツリー'!$E$5:$E$679,$A466,'02_ツリー'!$K$5:$K$679,"&gt;0"))</f>
        <v>0</v>
      </c>
      <c r="C466" s="1">
        <f>IF($A466="","",SUMIFS('02_ツリー'!$K$5:$K$679,'02_ツリー'!$E$5:$E$679,$A466,'02_ツリー'!$K$5:$K$679,"&lt;0"))</f>
        <v>0</v>
      </c>
      <c r="D466" s="1">
        <f t="shared" si="21"/>
        <v>0</v>
      </c>
      <c r="E466" s="1">
        <f>IF($A466="","",--(COUNTIFS('02_ツリー'!$E$5:$E$679,$A466,'02_ツリー'!$O$5:$O$679,0)=0))</f>
        <v>1</v>
      </c>
      <c r="F466" s="1">
        <f t="shared" si="22"/>
        <v>0</v>
      </c>
      <c r="G466" s="1">
        <f t="shared" si="23"/>
        <v>0</v>
      </c>
      <c r="H466" s="1"/>
      <c r="I466" s="1"/>
      <c r="J466" s="1"/>
      <c r="K466" s="1"/>
      <c r="L466" s="1"/>
    </row>
    <row r="467" spans="1:12">
      <c r="A467" s="1" t="str">
        <f>IFERROR(INDEX('02_ツリー'!$E$5:$E$679,MATCH(ROW()-10,'02_ツリー'!$R$5:$R$679,0)),"")</f>
        <v>N_gate_per_BD_GaN</v>
      </c>
      <c r="B467" s="1">
        <f>IF($A467="","",SUMIFS('02_ツリー'!$K$5:$K$679,'02_ツリー'!$E$5:$E$679,$A467,'02_ツリー'!$K$5:$K$679,"&gt;0"))</f>
        <v>0</v>
      </c>
      <c r="C467" s="1">
        <f>IF($A467="","",SUMIFS('02_ツリー'!$K$5:$K$679,'02_ツリー'!$E$5:$E$679,$A467,'02_ツリー'!$K$5:$K$679,"&lt;0"))</f>
        <v>0</v>
      </c>
      <c r="D467" s="1">
        <f t="shared" si="21"/>
        <v>0</v>
      </c>
      <c r="E467" s="1">
        <f>IF($A467="","",--(COUNTIFS('02_ツリー'!$E$5:$E$679,$A467,'02_ツリー'!$O$5:$O$679,0)=0))</f>
        <v>1</v>
      </c>
      <c r="F467" s="1">
        <f t="shared" si="22"/>
        <v>0</v>
      </c>
      <c r="G467" s="1">
        <f t="shared" si="23"/>
        <v>0</v>
      </c>
      <c r="H467" s="1"/>
      <c r="I467" s="1"/>
      <c r="J467" s="1"/>
      <c r="K467" s="1"/>
      <c r="L467" s="1"/>
    </row>
    <row r="468" spans="1:12">
      <c r="A468" s="1" t="str">
        <f>IFERROR(INDEX('02_ツリー'!$E$5:$E$679,MATCH(ROW()-10,'02_ツリー'!$R$5:$R$679,0)),"")</f>
        <v>N_BD_GaN</v>
      </c>
      <c r="B468" s="1">
        <f>IF($A468="","",SUMIFS('02_ツリー'!$K$5:$K$679,'02_ツリー'!$E$5:$E$679,$A468,'02_ツリー'!$K$5:$K$679,"&gt;0"))</f>
        <v>0</v>
      </c>
      <c r="C468" s="1">
        <f>IF($A468="","",SUMIFS('02_ツリー'!$K$5:$K$679,'02_ツリー'!$E$5:$E$679,$A468,'02_ツリー'!$K$5:$K$679,"&lt;0"))</f>
        <v>0</v>
      </c>
      <c r="D468" s="1">
        <f t="shared" si="21"/>
        <v>0</v>
      </c>
      <c r="E468" s="1">
        <f>IF($A468="","",--(COUNTIFS('02_ツリー'!$E$5:$E$679,$A468,'02_ツリー'!$O$5:$O$679,0)=0))</f>
        <v>1</v>
      </c>
      <c r="F468" s="1">
        <f t="shared" si="22"/>
        <v>0</v>
      </c>
      <c r="G468" s="1">
        <f t="shared" si="23"/>
        <v>0</v>
      </c>
      <c r="H468" s="1"/>
      <c r="I468" s="1"/>
      <c r="J468" s="1"/>
      <c r="K468" s="1"/>
      <c r="L468" s="1"/>
    </row>
    <row r="469" spans="1:12">
      <c r="A469" s="1" t="str">
        <f>IFERROR(INDEX('02_ツリー'!$E$5:$E$679,MATCH(ROW()-10,'02_ツリー'!$R$5:$R$679,0)),"")</f>
        <v>k_DPWM_ripple_eff_C</v>
      </c>
      <c r="B469" s="1">
        <f>IF($A469="","",SUMIFS('02_ツリー'!$K$5:$K$679,'02_ツリー'!$E$5:$E$679,$A469,'02_ツリー'!$K$5:$K$679,"&gt;0"))</f>
        <v>1.0021228429447072E-2</v>
      </c>
      <c r="C469" s="1">
        <f>IF($A469="","",SUMIFS('02_ツリー'!$K$5:$K$679,'02_ツリー'!$E$5:$E$679,$A469,'02_ツリー'!$K$5:$K$679,"&lt;0"))</f>
        <v>0</v>
      </c>
      <c r="D469" s="1">
        <f t="shared" si="21"/>
        <v>1.0021228429447072E-2</v>
      </c>
      <c r="E469" s="1">
        <f>IF($A469="","",--(COUNTIFS('02_ツリー'!$E$5:$E$679,$A469,'02_ツリー'!$O$5:$O$679,0)=0))</f>
        <v>0</v>
      </c>
      <c r="F469" s="1">
        <f t="shared" si="22"/>
        <v>0</v>
      </c>
      <c r="G469" s="1">
        <f t="shared" si="23"/>
        <v>0</v>
      </c>
      <c r="H469" s="1"/>
      <c r="I469" s="1"/>
      <c r="J469" s="1"/>
      <c r="K469" s="1"/>
      <c r="L469" s="1"/>
    </row>
    <row r="470" spans="1:12">
      <c r="A470" s="1" t="str">
        <f>IFERROR(INDEX('02_ツリー'!$E$5:$E$679,MATCH(ROW()-10,'02_ツリー'!$R$5:$R$679,0)),"")</f>
        <v>k_CM_req_PL</v>
      </c>
      <c r="B470" s="1">
        <f>IF($A470="","",SUMIFS('02_ツリー'!$K$5:$K$679,'02_ツリー'!$E$5:$E$679,$A470,'02_ツリー'!$K$5:$K$679,"&gt;0"))</f>
        <v>0</v>
      </c>
      <c r="C470" s="1">
        <f>IF($A470="","",SUMIFS('02_ツリー'!$K$5:$K$679,'02_ツリー'!$E$5:$E$679,$A470,'02_ツリー'!$K$5:$K$679,"&lt;0"))</f>
        <v>0</v>
      </c>
      <c r="D470" s="1">
        <f t="shared" si="21"/>
        <v>0</v>
      </c>
      <c r="E470" s="1">
        <f>IF($A470="","",--(COUNTIFS('02_ツリー'!$E$5:$E$679,$A470,'02_ツリー'!$O$5:$O$679,0)=0))</f>
        <v>0</v>
      </c>
      <c r="F470" s="1">
        <f t="shared" si="22"/>
        <v>0</v>
      </c>
      <c r="G470" s="1">
        <f t="shared" si="23"/>
        <v>0</v>
      </c>
      <c r="H470" s="1"/>
      <c r="I470" s="1"/>
      <c r="J470" s="1"/>
      <c r="K470" s="1"/>
      <c r="L470" s="1"/>
    </row>
    <row r="471" spans="1:12">
      <c r="A471" s="1" t="str">
        <f>IFERROR(INDEX('02_ツリー'!$E$5:$E$679,MATCH(ROW()-10,'02_ツリー'!$R$5:$R$679,0)),"")</f>
        <v>k_CM_req_PC</v>
      </c>
      <c r="B471" s="1">
        <f>IF($A471="","",SUMIFS('02_ツリー'!$K$5:$K$679,'02_ツリー'!$E$5:$E$679,$A471,'02_ツリー'!$K$5:$K$679,"&gt;0"))</f>
        <v>0</v>
      </c>
      <c r="C471" s="1">
        <f>IF($A471="","",SUMIFS('02_ツリー'!$K$5:$K$679,'02_ツリー'!$E$5:$E$679,$A471,'02_ツリー'!$K$5:$K$679,"&lt;0"))</f>
        <v>0</v>
      </c>
      <c r="D471" s="1">
        <f t="shared" si="21"/>
        <v>0</v>
      </c>
      <c r="E471" s="1">
        <f>IF($A471="","",--(COUNTIFS('02_ツリー'!$E$5:$E$679,$A471,'02_ツリー'!$O$5:$O$679,0)=0))</f>
        <v>1</v>
      </c>
      <c r="F471" s="1">
        <f t="shared" si="22"/>
        <v>0</v>
      </c>
      <c r="G471" s="1">
        <f t="shared" si="23"/>
        <v>0</v>
      </c>
      <c r="H471" s="1"/>
      <c r="I471" s="1"/>
      <c r="J471" s="1"/>
      <c r="K471" s="1"/>
      <c r="L471" s="1"/>
    </row>
    <row r="472" spans="1:12">
      <c r="A472" s="1" t="str">
        <f>IFERROR(INDEX('02_ツリー'!$E$5:$E$679,MATCH(ROW()-10,'02_ツリー'!$R$5:$R$679,0)),"")</f>
        <v>k_CM_req_A</v>
      </c>
      <c r="B472" s="1">
        <f>IF($A472="","",SUMIFS('02_ツリー'!$K$5:$K$679,'02_ツリー'!$E$5:$E$679,$A472,'02_ツリー'!$K$5:$K$679,"&gt;0"))</f>
        <v>0</v>
      </c>
      <c r="C472" s="1">
        <f>IF($A472="","",SUMIFS('02_ツリー'!$K$5:$K$679,'02_ツリー'!$E$5:$E$679,$A472,'02_ツリー'!$K$5:$K$679,"&lt;0"))</f>
        <v>0</v>
      </c>
      <c r="D472" s="1">
        <f t="shared" si="21"/>
        <v>0</v>
      </c>
      <c r="E472" s="1">
        <f>IF($A472="","",--(COUNTIFS('02_ツリー'!$E$5:$E$679,$A472,'02_ツリー'!$O$5:$O$679,0)=0))</f>
        <v>1</v>
      </c>
      <c r="F472" s="1">
        <f t="shared" si="22"/>
        <v>0</v>
      </c>
      <c r="G472" s="1">
        <f t="shared" si="23"/>
        <v>0</v>
      </c>
      <c r="H472" s="1"/>
      <c r="I472" s="1"/>
      <c r="J472" s="1"/>
      <c r="K472" s="1"/>
      <c r="L472" s="1"/>
    </row>
    <row r="473" spans="1:12">
      <c r="A473" s="1" t="str">
        <f>IFERROR(INDEX('02_ツリー'!$E$5:$E$679,MATCH(ROW()-10,'02_ツリー'!$R$5:$R$679,0)),"")</f>
        <v>Enable_DCDC_stage_local</v>
      </c>
      <c r="B473" s="1">
        <f>IF($A473="","",SUMIFS('02_ツリー'!$K$5:$K$679,'02_ツリー'!$E$5:$E$679,$A473,'02_ツリー'!$K$5:$K$679,"&gt;0"))</f>
        <v>0</v>
      </c>
      <c r="C473" s="1">
        <f>IF($A473="","",SUMIFS('02_ツリー'!$K$5:$K$679,'02_ツリー'!$E$5:$E$679,$A473,'02_ツリー'!$K$5:$K$679,"&lt;0"))</f>
        <v>0</v>
      </c>
      <c r="D473" s="1">
        <f t="shared" si="21"/>
        <v>0</v>
      </c>
      <c r="E473" s="1">
        <f>IF($A473="","",--(COUNTIFS('02_ツリー'!$E$5:$E$679,$A473,'02_ツリー'!$O$5:$O$679,0)=0))</f>
        <v>1</v>
      </c>
      <c r="F473" s="1">
        <f t="shared" si="22"/>
        <v>0</v>
      </c>
      <c r="G473" s="1">
        <f t="shared" si="23"/>
        <v>1</v>
      </c>
      <c r="H473" s="1"/>
      <c r="I473" s="1"/>
      <c r="J473" s="1"/>
      <c r="K473" s="1"/>
      <c r="L473" s="1"/>
    </row>
    <row r="474" spans="1:12">
      <c r="A474" s="1" t="str">
        <f>IFERROR(INDEX('02_ツリー'!$E$5:$E$679,MATCH(ROW()-10,'02_ツリー'!$R$5:$R$679,0)),"")</f>
        <v>M_damping_resistor</v>
      </c>
      <c r="B474" s="1">
        <f>IF($A474="","",SUMIFS('02_ツリー'!$K$5:$K$679,'02_ツリー'!$E$5:$E$679,$A474,'02_ツリー'!$K$5:$K$679,"&gt;0"))</f>
        <v>0</v>
      </c>
      <c r="C474" s="1">
        <f>IF($A474="","",SUMIFS('02_ツリー'!$K$5:$K$679,'02_ツリー'!$E$5:$E$679,$A474,'02_ツリー'!$K$5:$K$679,"&lt;0"))</f>
        <v>0</v>
      </c>
      <c r="D474" s="1">
        <f t="shared" si="21"/>
        <v>0</v>
      </c>
      <c r="E474" s="1">
        <f>IF($A474="","",--(COUNTIFS('02_ツリー'!$E$5:$E$679,$A474,'02_ツリー'!$O$5:$O$679,0)=0))</f>
        <v>0</v>
      </c>
      <c r="F474" s="1">
        <f t="shared" si="22"/>
        <v>0</v>
      </c>
      <c r="G474" s="1">
        <f t="shared" si="23"/>
        <v>0</v>
      </c>
      <c r="H474" s="1"/>
      <c r="I474" s="1"/>
      <c r="J474" s="1"/>
      <c r="K474" s="1"/>
      <c r="L474" s="1"/>
    </row>
    <row r="475" spans="1:12">
      <c r="A475" s="1" t="str">
        <f>IFERROR(INDEX('02_ツリー'!$E$5:$E$679,MATCH(ROW()-10,'02_ツリー'!$R$5:$R$679,0)),"")</f>
        <v>Enable_passive_damping</v>
      </c>
      <c r="B475" s="1">
        <f>IF($A475="","",SUMIFS('02_ツリー'!$K$5:$K$679,'02_ツリー'!$E$5:$E$679,$A475,'02_ツリー'!$K$5:$K$679,"&gt;0"))</f>
        <v>0</v>
      </c>
      <c r="C475" s="1">
        <f>IF($A475="","",SUMIFS('02_ツリー'!$K$5:$K$679,'02_ツリー'!$E$5:$E$679,$A475,'02_ツリー'!$K$5:$K$679,"&lt;0"))</f>
        <v>0</v>
      </c>
      <c r="D475" s="1">
        <f t="shared" si="21"/>
        <v>0</v>
      </c>
      <c r="E475" s="1">
        <f>IF($A475="","",--(COUNTIFS('02_ツリー'!$E$5:$E$679,$A475,'02_ツリー'!$O$5:$O$679,0)=0))</f>
        <v>1</v>
      </c>
      <c r="F475" s="1">
        <f t="shared" si="22"/>
        <v>0</v>
      </c>
      <c r="G475" s="1">
        <f t="shared" si="23"/>
        <v>1</v>
      </c>
      <c r="H475" s="1"/>
      <c r="I475" s="1"/>
      <c r="J475" s="1"/>
      <c r="K475" s="1"/>
      <c r="L475" s="1"/>
    </row>
    <row r="476" spans="1:12">
      <c r="A476" s="1" t="str">
        <f>IFERROR(INDEX('02_ツリー'!$E$5:$E$679,MATCH(ROW()-10,'02_ツリー'!$R$5:$R$679,0)),"")</f>
        <v>m_damping_resistor_ref</v>
      </c>
      <c r="B476" s="1">
        <f>IF($A476="","",SUMIFS('02_ツリー'!$K$5:$K$679,'02_ツリー'!$E$5:$E$679,$A476,'02_ツリー'!$K$5:$K$679,"&gt;0"))</f>
        <v>0</v>
      </c>
      <c r="C476" s="1">
        <f>IF($A476="","",SUMIFS('02_ツリー'!$K$5:$K$679,'02_ツリー'!$E$5:$E$679,$A476,'02_ツリー'!$K$5:$K$679,"&lt;0"))</f>
        <v>0</v>
      </c>
      <c r="D476" s="1">
        <f t="shared" si="21"/>
        <v>0</v>
      </c>
      <c r="E476" s="1">
        <f>IF($A476="","",--(COUNTIFS('02_ツリー'!$E$5:$E$679,$A476,'02_ツリー'!$O$5:$O$679,0)=0))</f>
        <v>1</v>
      </c>
      <c r="F476" s="1">
        <f t="shared" si="22"/>
        <v>0</v>
      </c>
      <c r="G476" s="1">
        <f t="shared" si="23"/>
        <v>0</v>
      </c>
      <c r="H476" s="1"/>
      <c r="I476" s="1"/>
      <c r="J476" s="1"/>
      <c r="K476" s="1"/>
      <c r="L476" s="1"/>
    </row>
    <row r="477" spans="1:12">
      <c r="A477" s="1" t="str">
        <f>IFERROR(INDEX('02_ツリー'!$E$5:$E$679,MATCH(ROW()-10,'02_ツリー'!$R$5:$R$679,0)),"")</f>
        <v>P_damping</v>
      </c>
      <c r="B477" s="1">
        <f>IF($A477="","",SUMIFS('02_ツリー'!$K$5:$K$679,'02_ツリー'!$E$5:$E$679,$A477,'02_ツリー'!$K$5:$K$679,"&gt;0"))</f>
        <v>0</v>
      </c>
      <c r="C477" s="1">
        <f>IF($A477="","",SUMIFS('02_ツリー'!$K$5:$K$679,'02_ツリー'!$E$5:$E$679,$A477,'02_ツリー'!$K$5:$K$679,"&lt;0"))</f>
        <v>0</v>
      </c>
      <c r="D477" s="1">
        <f t="shared" si="21"/>
        <v>0</v>
      </c>
      <c r="E477" s="1">
        <f>IF($A477="","",--(COUNTIFS('02_ツリー'!$E$5:$E$679,$A477,'02_ツリー'!$O$5:$O$679,0)=0))</f>
        <v>0</v>
      </c>
      <c r="F477" s="1">
        <f t="shared" si="22"/>
        <v>0</v>
      </c>
      <c r="G477" s="1">
        <f t="shared" si="23"/>
        <v>0</v>
      </c>
      <c r="H477" s="1"/>
      <c r="I477" s="1"/>
      <c r="J477" s="1"/>
      <c r="K477" s="1"/>
      <c r="L477" s="1"/>
    </row>
    <row r="478" spans="1:12">
      <c r="A478" s="1" t="str">
        <f>IFERROR(INDEX('02_ツリー'!$E$5:$E$679,MATCH(ROW()-10,'02_ツリー'!$R$5:$R$679,0)),"")</f>
        <v>P_damping_ref</v>
      </c>
      <c r="B478" s="1">
        <f>IF($A478="","",SUMIFS('02_ツリー'!$K$5:$K$679,'02_ツリー'!$E$5:$E$679,$A478,'02_ツリー'!$K$5:$K$679,"&gt;0"))</f>
        <v>0</v>
      </c>
      <c r="C478" s="1">
        <f>IF($A478="","",SUMIFS('02_ツリー'!$K$5:$K$679,'02_ツリー'!$E$5:$E$679,$A478,'02_ツリー'!$K$5:$K$679,"&lt;0"))</f>
        <v>0</v>
      </c>
      <c r="D478" s="1">
        <f t="shared" si="21"/>
        <v>0</v>
      </c>
      <c r="E478" s="1">
        <f>IF($A478="","",--(COUNTIFS('02_ツリー'!$E$5:$E$679,$A478,'02_ツリー'!$O$5:$O$679,0)=0))</f>
        <v>1</v>
      </c>
      <c r="F478" s="1">
        <f t="shared" si="22"/>
        <v>0</v>
      </c>
      <c r="G478" s="1">
        <f t="shared" si="23"/>
        <v>0</v>
      </c>
      <c r="H478" s="1"/>
      <c r="I478" s="1"/>
      <c r="J478" s="1"/>
      <c r="K478" s="1"/>
      <c r="L478" s="1"/>
    </row>
    <row r="479" spans="1:12">
      <c r="A479" s="1" t="str">
        <f>IFERROR(INDEX('02_ツリー'!$E$5:$E$679,MATCH(ROW()-10,'02_ツリー'!$R$5:$R$679,0)),"")</f>
        <v/>
      </c>
      <c r="B479" s="1" t="str">
        <f>IF($A479="","",SUMIFS('02_ツリー'!$K$5:$K$679,'02_ツリー'!$E$5:$E$679,$A479,'02_ツリー'!$K$5:$K$679,"&gt;0"))</f>
        <v/>
      </c>
      <c r="C479" s="1" t="str">
        <f>IF($A479="","",SUMIFS('02_ツリー'!$K$5:$K$679,'02_ツリー'!$E$5:$E$679,$A479,'02_ツリー'!$K$5:$K$679,"&lt;0"))</f>
        <v/>
      </c>
      <c r="D479" s="1" t="str">
        <f t="shared" si="21"/>
        <v/>
      </c>
      <c r="E479" s="1" t="str">
        <f>IF($A479="","",--(COUNTIFS('02_ツリー'!$E$5:$E$679,$A479,'02_ツリー'!$O$5:$O$679,0)=0))</f>
        <v/>
      </c>
      <c r="F479" s="1" t="str">
        <f t="shared" si="22"/>
        <v/>
      </c>
      <c r="G479" s="1" t="str">
        <f t="shared" si="23"/>
        <v/>
      </c>
      <c r="H479" s="1"/>
      <c r="I479" s="1"/>
      <c r="J479" s="1"/>
      <c r="K479" s="1"/>
      <c r="L479" s="1"/>
    </row>
    <row r="480" spans="1:12">
      <c r="A480" s="1" t="str">
        <f>IFERROR(INDEX('02_ツリー'!$E$5:$E$679,MATCH(ROW()-10,'02_ツリー'!$R$5:$R$679,0)),"")</f>
        <v/>
      </c>
      <c r="B480" s="1" t="str">
        <f>IF($A480="","",SUMIFS('02_ツリー'!$K$5:$K$679,'02_ツリー'!$E$5:$E$679,$A480,'02_ツリー'!$K$5:$K$679,"&gt;0"))</f>
        <v/>
      </c>
      <c r="C480" s="1" t="str">
        <f>IF($A480="","",SUMIFS('02_ツリー'!$K$5:$K$679,'02_ツリー'!$E$5:$E$679,$A480,'02_ツリー'!$K$5:$K$679,"&lt;0"))</f>
        <v/>
      </c>
      <c r="D480" s="1" t="str">
        <f t="shared" si="21"/>
        <v/>
      </c>
      <c r="E480" s="1" t="str">
        <f>IF($A480="","",--(COUNTIFS('02_ツリー'!$E$5:$E$679,$A480,'02_ツリー'!$O$5:$O$679,0)=0))</f>
        <v/>
      </c>
      <c r="F480" s="1" t="str">
        <f t="shared" si="22"/>
        <v/>
      </c>
      <c r="G480" s="1" t="str">
        <f t="shared" si="23"/>
        <v/>
      </c>
      <c r="H480" s="1"/>
      <c r="I480" s="1"/>
      <c r="J480" s="1"/>
      <c r="K480" s="1"/>
      <c r="L480" s="1"/>
    </row>
    <row r="481" spans="1:12">
      <c r="A481" s="1" t="str">
        <f>IFERROR(INDEX('02_ツリー'!$E$5:$E$679,MATCH(ROW()-10,'02_ツリー'!$R$5:$R$679,0)),"")</f>
        <v/>
      </c>
      <c r="B481" s="1" t="str">
        <f>IF($A481="","",SUMIFS('02_ツリー'!$K$5:$K$679,'02_ツリー'!$E$5:$E$679,$A481,'02_ツリー'!$K$5:$K$679,"&gt;0"))</f>
        <v/>
      </c>
      <c r="C481" s="1" t="str">
        <f>IF($A481="","",SUMIFS('02_ツリー'!$K$5:$K$679,'02_ツリー'!$E$5:$E$679,$A481,'02_ツリー'!$K$5:$K$679,"&lt;0"))</f>
        <v/>
      </c>
      <c r="D481" s="1" t="str">
        <f t="shared" si="21"/>
        <v/>
      </c>
      <c r="E481" s="1" t="str">
        <f>IF($A481="","",--(COUNTIFS('02_ツリー'!$E$5:$E$679,$A481,'02_ツリー'!$O$5:$O$679,0)=0))</f>
        <v/>
      </c>
      <c r="F481" s="1" t="str">
        <f t="shared" si="22"/>
        <v/>
      </c>
      <c r="G481" s="1" t="str">
        <f t="shared" si="23"/>
        <v/>
      </c>
      <c r="H481" s="1"/>
      <c r="I481" s="1"/>
      <c r="J481" s="1"/>
      <c r="K481" s="1"/>
      <c r="L481" s="1"/>
    </row>
    <row r="482" spans="1:12">
      <c r="A482" s="1" t="str">
        <f>IFERROR(INDEX('02_ツリー'!$E$5:$E$679,MATCH(ROW()-10,'02_ツリー'!$R$5:$R$679,0)),"")</f>
        <v/>
      </c>
      <c r="B482" s="1" t="str">
        <f>IF($A482="","",SUMIFS('02_ツリー'!$K$5:$K$679,'02_ツリー'!$E$5:$E$679,$A482,'02_ツリー'!$K$5:$K$679,"&gt;0"))</f>
        <v/>
      </c>
      <c r="C482" s="1" t="str">
        <f>IF($A482="","",SUMIFS('02_ツリー'!$K$5:$K$679,'02_ツリー'!$E$5:$E$679,$A482,'02_ツリー'!$K$5:$K$679,"&lt;0"))</f>
        <v/>
      </c>
      <c r="D482" s="1" t="str">
        <f t="shared" si="21"/>
        <v/>
      </c>
      <c r="E482" s="1" t="str">
        <f>IF($A482="","",--(COUNTIFS('02_ツリー'!$E$5:$E$679,$A482,'02_ツリー'!$O$5:$O$679,0)=0))</f>
        <v/>
      </c>
      <c r="F482" s="1" t="str">
        <f t="shared" si="22"/>
        <v/>
      </c>
      <c r="G482" s="1" t="str">
        <f t="shared" si="23"/>
        <v/>
      </c>
      <c r="H482" s="1"/>
      <c r="I482" s="1"/>
      <c r="J482" s="1"/>
      <c r="K482" s="1"/>
      <c r="L482" s="1"/>
    </row>
    <row r="483" spans="1:12">
      <c r="A483" s="1" t="str">
        <f>IFERROR(INDEX('02_ツリー'!$E$5:$E$679,MATCH(ROW()-10,'02_ツリー'!$R$5:$R$679,0)),"")</f>
        <v/>
      </c>
      <c r="B483" s="1" t="str">
        <f>IF($A483="","",SUMIFS('02_ツリー'!$K$5:$K$679,'02_ツリー'!$E$5:$E$679,$A483,'02_ツリー'!$K$5:$K$679,"&gt;0"))</f>
        <v/>
      </c>
      <c r="C483" s="1" t="str">
        <f>IF($A483="","",SUMIFS('02_ツリー'!$K$5:$K$679,'02_ツリー'!$E$5:$E$679,$A483,'02_ツリー'!$K$5:$K$679,"&lt;0"))</f>
        <v/>
      </c>
      <c r="D483" s="1" t="str">
        <f t="shared" si="21"/>
        <v/>
      </c>
      <c r="E483" s="1" t="str">
        <f>IF($A483="","",--(COUNTIFS('02_ツリー'!$E$5:$E$679,$A483,'02_ツリー'!$O$5:$O$679,0)=0))</f>
        <v/>
      </c>
      <c r="F483" s="1" t="str">
        <f t="shared" si="22"/>
        <v/>
      </c>
      <c r="G483" s="1" t="str">
        <f t="shared" si="23"/>
        <v/>
      </c>
      <c r="H483" s="1"/>
      <c r="I483" s="1"/>
      <c r="J483" s="1"/>
      <c r="K483" s="1"/>
      <c r="L483" s="1"/>
    </row>
    <row r="484" spans="1:12">
      <c r="A484" s="1" t="str">
        <f>IFERROR(INDEX('02_ツリー'!$E$5:$E$679,MATCH(ROW()-10,'02_ツリー'!$R$5:$R$679,0)),"")</f>
        <v/>
      </c>
      <c r="B484" s="1" t="str">
        <f>IF($A484="","",SUMIFS('02_ツリー'!$K$5:$K$679,'02_ツリー'!$E$5:$E$679,$A484,'02_ツリー'!$K$5:$K$679,"&gt;0"))</f>
        <v/>
      </c>
      <c r="C484" s="1" t="str">
        <f>IF($A484="","",SUMIFS('02_ツリー'!$K$5:$K$679,'02_ツリー'!$E$5:$E$679,$A484,'02_ツリー'!$K$5:$K$679,"&lt;0"))</f>
        <v/>
      </c>
      <c r="D484" s="1" t="str">
        <f t="shared" si="21"/>
        <v/>
      </c>
      <c r="E484" s="1" t="str">
        <f>IF($A484="","",--(COUNTIFS('02_ツリー'!$E$5:$E$679,$A484,'02_ツリー'!$O$5:$O$679,0)=0))</f>
        <v/>
      </c>
      <c r="F484" s="1" t="str">
        <f t="shared" si="22"/>
        <v/>
      </c>
      <c r="G484" s="1" t="str">
        <f t="shared" si="23"/>
        <v/>
      </c>
      <c r="H484" s="1"/>
      <c r="I484" s="1"/>
      <c r="J484" s="1"/>
      <c r="K484" s="1"/>
      <c r="L484" s="1"/>
    </row>
    <row r="485" spans="1:12">
      <c r="A485" s="1" t="str">
        <f>IFERROR(INDEX('02_ツリー'!$E$5:$E$679,MATCH(ROW()-10,'02_ツリー'!$R$5:$R$679,0)),"")</f>
        <v/>
      </c>
      <c r="B485" s="1" t="str">
        <f>IF($A485="","",SUMIFS('02_ツリー'!$K$5:$K$679,'02_ツリー'!$E$5:$E$679,$A485,'02_ツリー'!$K$5:$K$679,"&gt;0"))</f>
        <v/>
      </c>
      <c r="C485" s="1" t="str">
        <f>IF($A485="","",SUMIFS('02_ツリー'!$K$5:$K$679,'02_ツリー'!$E$5:$E$679,$A485,'02_ツリー'!$K$5:$K$679,"&lt;0"))</f>
        <v/>
      </c>
      <c r="D485" s="1" t="str">
        <f t="shared" si="21"/>
        <v/>
      </c>
      <c r="E485" s="1" t="str">
        <f>IF($A485="","",--(COUNTIFS('02_ツリー'!$E$5:$E$679,$A485,'02_ツリー'!$O$5:$O$679,0)=0))</f>
        <v/>
      </c>
      <c r="F485" s="1" t="str">
        <f t="shared" si="22"/>
        <v/>
      </c>
      <c r="G485" s="1" t="str">
        <f t="shared" si="23"/>
        <v/>
      </c>
      <c r="H485" s="1"/>
      <c r="I485" s="1"/>
      <c r="J485" s="1"/>
      <c r="K485" s="1"/>
      <c r="L485" s="1"/>
    </row>
    <row r="486" spans="1:12">
      <c r="A486" s="1" t="str">
        <f>IFERROR(INDEX('02_ツリー'!$E$5:$E$679,MATCH(ROW()-10,'02_ツリー'!$R$5:$R$679,0)),"")</f>
        <v/>
      </c>
      <c r="B486" s="1" t="str">
        <f>IF($A486="","",SUMIFS('02_ツリー'!$K$5:$K$679,'02_ツリー'!$E$5:$E$679,$A486,'02_ツリー'!$K$5:$K$679,"&gt;0"))</f>
        <v/>
      </c>
      <c r="C486" s="1" t="str">
        <f>IF($A486="","",SUMIFS('02_ツリー'!$K$5:$K$679,'02_ツリー'!$E$5:$E$679,$A486,'02_ツリー'!$K$5:$K$679,"&lt;0"))</f>
        <v/>
      </c>
      <c r="D486" s="1" t="str">
        <f t="shared" si="21"/>
        <v/>
      </c>
      <c r="E486" s="1" t="str">
        <f>IF($A486="","",--(COUNTIFS('02_ツリー'!$E$5:$E$679,$A486,'02_ツリー'!$O$5:$O$679,0)=0))</f>
        <v/>
      </c>
      <c r="F486" s="1" t="str">
        <f t="shared" si="22"/>
        <v/>
      </c>
      <c r="G486" s="1" t="str">
        <f t="shared" si="23"/>
        <v/>
      </c>
      <c r="H486" s="1"/>
      <c r="I486" s="1"/>
      <c r="J486" s="1"/>
      <c r="K486" s="1"/>
      <c r="L486" s="1"/>
    </row>
    <row r="487" spans="1:12">
      <c r="A487" s="1" t="str">
        <f>IFERROR(INDEX('02_ツリー'!$E$5:$E$679,MATCH(ROW()-10,'02_ツリー'!$R$5:$R$679,0)),"")</f>
        <v/>
      </c>
      <c r="B487" s="1" t="str">
        <f>IF($A487="","",SUMIFS('02_ツリー'!$K$5:$K$679,'02_ツリー'!$E$5:$E$679,$A487,'02_ツリー'!$K$5:$K$679,"&gt;0"))</f>
        <v/>
      </c>
      <c r="C487" s="1" t="str">
        <f>IF($A487="","",SUMIFS('02_ツリー'!$K$5:$K$679,'02_ツリー'!$E$5:$E$679,$A487,'02_ツリー'!$K$5:$K$679,"&lt;0"))</f>
        <v/>
      </c>
      <c r="D487" s="1" t="str">
        <f t="shared" si="21"/>
        <v/>
      </c>
      <c r="E487" s="1" t="str">
        <f>IF($A487="","",--(COUNTIFS('02_ツリー'!$E$5:$E$679,$A487,'02_ツリー'!$O$5:$O$679,0)=0))</f>
        <v/>
      </c>
      <c r="F487" s="1" t="str">
        <f t="shared" si="22"/>
        <v/>
      </c>
      <c r="G487" s="1" t="str">
        <f t="shared" si="23"/>
        <v/>
      </c>
    </row>
    <row r="488" spans="1:12">
      <c r="A488" s="1" t="str">
        <f>IFERROR(INDEX('02_ツリー'!$E$5:$E$679,MATCH(ROW()-10,'02_ツリー'!$R$5:$R$679,0)),"")</f>
        <v/>
      </c>
      <c r="B488" s="1" t="str">
        <f>IF($A488="","",SUMIFS('02_ツリー'!$K$5:$K$679,'02_ツリー'!$E$5:$E$679,$A488,'02_ツリー'!$K$5:$K$679,"&gt;0"))</f>
        <v/>
      </c>
      <c r="C488" s="1" t="str">
        <f>IF($A488="","",SUMIFS('02_ツリー'!$K$5:$K$679,'02_ツリー'!$E$5:$E$679,$A488,'02_ツリー'!$K$5:$K$679,"&lt;0"))</f>
        <v/>
      </c>
      <c r="D488" s="1" t="str">
        <f t="shared" si="21"/>
        <v/>
      </c>
      <c r="E488" s="1" t="str">
        <f>IF($A488="","",--(COUNTIFS('02_ツリー'!$E$5:$E$679,$A488,'02_ツリー'!$O$5:$O$679,0)=0))</f>
        <v/>
      </c>
      <c r="F488" s="1" t="str">
        <f t="shared" si="22"/>
        <v/>
      </c>
      <c r="G488" s="1" t="str">
        <f t="shared" si="23"/>
        <v/>
      </c>
    </row>
    <row r="489" spans="1:12">
      <c r="A489" s="1" t="str">
        <f>IFERROR(INDEX('02_ツリー'!$E$5:$E$679,MATCH(ROW()-10,'02_ツリー'!$R$5:$R$679,0)),"")</f>
        <v/>
      </c>
      <c r="B489" s="1" t="str">
        <f>IF($A489="","",SUMIFS('02_ツリー'!$K$5:$K$679,'02_ツリー'!$E$5:$E$679,$A489,'02_ツリー'!$K$5:$K$679,"&gt;0"))</f>
        <v/>
      </c>
      <c r="C489" s="1" t="str">
        <f>IF($A489="","",SUMIFS('02_ツリー'!$K$5:$K$679,'02_ツリー'!$E$5:$E$679,$A489,'02_ツリー'!$K$5:$K$679,"&lt;0"))</f>
        <v/>
      </c>
      <c r="D489" s="1" t="str">
        <f t="shared" si="21"/>
        <v/>
      </c>
      <c r="E489" s="1" t="str">
        <f>IF($A489="","",--(COUNTIFS('02_ツリー'!$E$5:$E$679,$A489,'02_ツリー'!$O$5:$O$679,0)=0))</f>
        <v/>
      </c>
      <c r="F489" s="1" t="str">
        <f t="shared" si="22"/>
        <v/>
      </c>
      <c r="G489" s="1" t="str">
        <f t="shared" si="23"/>
        <v/>
      </c>
    </row>
    <row r="490" spans="1:12">
      <c r="A490" s="1" t="str">
        <f>IFERROR(INDEX('02_ツリー'!$E$5:$E$679,MATCH(ROW()-10,'02_ツリー'!$R$5:$R$679,0)),"")</f>
        <v/>
      </c>
      <c r="B490" s="1" t="str">
        <f>IF($A490="","",SUMIFS('02_ツリー'!$K$5:$K$679,'02_ツリー'!$E$5:$E$679,$A490,'02_ツリー'!$K$5:$K$679,"&gt;0"))</f>
        <v/>
      </c>
      <c r="C490" s="1" t="str">
        <f>IF($A490="","",SUMIFS('02_ツリー'!$K$5:$K$679,'02_ツリー'!$E$5:$E$679,$A490,'02_ツリー'!$K$5:$K$679,"&lt;0"))</f>
        <v/>
      </c>
      <c r="D490" s="1" t="str">
        <f t="shared" si="21"/>
        <v/>
      </c>
      <c r="E490" s="1" t="str">
        <f>IF($A490="","",--(COUNTIFS('02_ツリー'!$E$5:$E$679,$A490,'02_ツリー'!$O$5:$O$679,0)=0))</f>
        <v/>
      </c>
      <c r="F490" s="1" t="str">
        <f t="shared" si="22"/>
        <v/>
      </c>
      <c r="G490" s="1" t="str">
        <f t="shared" si="23"/>
        <v/>
      </c>
    </row>
    <row r="491" spans="1:12">
      <c r="A491" s="1" t="str">
        <f>IFERROR(INDEX('02_ツリー'!$E$5:$E$679,MATCH(ROW()-10,'02_ツリー'!$R$5:$R$679,0)),"")</f>
        <v/>
      </c>
      <c r="B491" s="1" t="str">
        <f>IF($A491="","",SUMIFS('02_ツリー'!$K$5:$K$679,'02_ツリー'!$E$5:$E$679,$A491,'02_ツリー'!$K$5:$K$679,"&gt;0"))</f>
        <v/>
      </c>
      <c r="C491" s="1" t="str">
        <f>IF($A491="","",SUMIFS('02_ツリー'!$K$5:$K$679,'02_ツリー'!$E$5:$E$679,$A491,'02_ツリー'!$K$5:$K$679,"&lt;0"))</f>
        <v/>
      </c>
      <c r="D491" s="1" t="str">
        <f t="shared" si="21"/>
        <v/>
      </c>
      <c r="E491" s="1" t="str">
        <f>IF($A491="","",--(COUNTIFS('02_ツリー'!$E$5:$E$679,$A491,'02_ツリー'!$O$5:$O$679,0)=0))</f>
        <v/>
      </c>
      <c r="F491" s="1" t="str">
        <f t="shared" si="22"/>
        <v/>
      </c>
      <c r="G491" s="1" t="str">
        <f t="shared" si="23"/>
        <v/>
      </c>
    </row>
    <row r="492" spans="1:12">
      <c r="A492" s="1" t="str">
        <f>IFERROR(INDEX('02_ツリー'!$E$5:$E$679,MATCH(ROW()-10,'02_ツリー'!$R$5:$R$679,0)),"")</f>
        <v/>
      </c>
      <c r="B492" s="1" t="str">
        <f>IF($A492="","",SUMIFS('02_ツリー'!$K$5:$K$679,'02_ツリー'!$E$5:$E$679,$A492,'02_ツリー'!$K$5:$K$679,"&gt;0"))</f>
        <v/>
      </c>
      <c r="C492" s="1" t="str">
        <f>IF($A492="","",SUMIFS('02_ツリー'!$K$5:$K$679,'02_ツリー'!$E$5:$E$679,$A492,'02_ツリー'!$K$5:$K$679,"&lt;0"))</f>
        <v/>
      </c>
      <c r="D492" s="1" t="str">
        <f t="shared" si="21"/>
        <v/>
      </c>
      <c r="E492" s="1" t="str">
        <f>IF($A492="","",--(COUNTIFS('02_ツリー'!$E$5:$E$679,$A492,'02_ツリー'!$O$5:$O$679,0)=0))</f>
        <v/>
      </c>
      <c r="F492" s="1" t="str">
        <f t="shared" si="22"/>
        <v/>
      </c>
      <c r="G492" s="1" t="str">
        <f t="shared" si="23"/>
        <v/>
      </c>
    </row>
    <row r="493" spans="1:12">
      <c r="A493" s="1" t="str">
        <f>IFERROR(INDEX('02_ツリー'!$E$5:$E$679,MATCH(ROW()-10,'02_ツリー'!$R$5:$R$679,0)),"")</f>
        <v/>
      </c>
      <c r="B493" s="1" t="str">
        <f>IF($A493="","",SUMIFS('02_ツリー'!$K$5:$K$679,'02_ツリー'!$E$5:$E$679,$A493,'02_ツリー'!$K$5:$K$679,"&gt;0"))</f>
        <v/>
      </c>
      <c r="C493" s="1" t="str">
        <f>IF($A493="","",SUMIFS('02_ツリー'!$K$5:$K$679,'02_ツリー'!$E$5:$E$679,$A493,'02_ツリー'!$K$5:$K$679,"&lt;0"))</f>
        <v/>
      </c>
      <c r="D493" s="1" t="str">
        <f t="shared" si="21"/>
        <v/>
      </c>
      <c r="E493" s="1" t="str">
        <f>IF($A493="","",--(COUNTIFS('02_ツリー'!$E$5:$E$679,$A493,'02_ツリー'!$O$5:$O$679,0)=0))</f>
        <v/>
      </c>
      <c r="F493" s="1" t="str">
        <f t="shared" si="22"/>
        <v/>
      </c>
      <c r="G493" s="1" t="str">
        <f t="shared" si="23"/>
        <v/>
      </c>
    </row>
    <row r="494" spans="1:12">
      <c r="A494" s="1" t="str">
        <f>IFERROR(INDEX('02_ツリー'!$E$5:$E$679,MATCH(ROW()-10,'02_ツリー'!$R$5:$R$679,0)),"")</f>
        <v/>
      </c>
      <c r="B494" s="1" t="str">
        <f>IF($A494="","",SUMIFS('02_ツリー'!$K$5:$K$679,'02_ツリー'!$E$5:$E$679,$A494,'02_ツリー'!$K$5:$K$679,"&gt;0"))</f>
        <v/>
      </c>
      <c r="C494" s="1" t="str">
        <f>IF($A494="","",SUMIFS('02_ツリー'!$K$5:$K$679,'02_ツリー'!$E$5:$E$679,$A494,'02_ツリー'!$K$5:$K$679,"&lt;0"))</f>
        <v/>
      </c>
      <c r="D494" s="1" t="str">
        <f t="shared" si="21"/>
        <v/>
      </c>
      <c r="E494" s="1" t="str">
        <f>IF($A494="","",--(COUNTIFS('02_ツリー'!$E$5:$E$679,$A494,'02_ツリー'!$O$5:$O$679,0)=0))</f>
        <v/>
      </c>
      <c r="F494" s="1" t="str">
        <f t="shared" si="22"/>
        <v/>
      </c>
      <c r="G494" s="1" t="str">
        <f t="shared" si="23"/>
        <v/>
      </c>
    </row>
    <row r="495" spans="1:12">
      <c r="A495" s="1" t="str">
        <f>IFERROR(INDEX('02_ツリー'!$E$5:$E$679,MATCH(ROW()-10,'02_ツリー'!$R$5:$R$679,0)),"")</f>
        <v/>
      </c>
      <c r="B495" s="1" t="str">
        <f>IF($A495="","",SUMIFS('02_ツリー'!$K$5:$K$679,'02_ツリー'!$E$5:$E$679,$A495,'02_ツリー'!$K$5:$K$679,"&gt;0"))</f>
        <v/>
      </c>
      <c r="C495" s="1" t="str">
        <f>IF($A495="","",SUMIFS('02_ツリー'!$K$5:$K$679,'02_ツリー'!$E$5:$E$679,$A495,'02_ツリー'!$K$5:$K$679,"&lt;0"))</f>
        <v/>
      </c>
      <c r="D495" s="1" t="str">
        <f t="shared" si="21"/>
        <v/>
      </c>
      <c r="E495" s="1" t="str">
        <f>IF($A495="","",--(COUNTIFS('02_ツリー'!$E$5:$E$679,$A495,'02_ツリー'!$O$5:$O$679,0)=0))</f>
        <v/>
      </c>
      <c r="F495" s="1" t="str">
        <f t="shared" si="22"/>
        <v/>
      </c>
      <c r="G495" s="1" t="str">
        <f t="shared" si="23"/>
        <v/>
      </c>
    </row>
    <row r="496" spans="1:12">
      <c r="A496" s="1" t="str">
        <f>IFERROR(INDEX('02_ツリー'!$E$5:$E$679,MATCH(ROW()-10,'02_ツリー'!$R$5:$R$679,0)),"")</f>
        <v/>
      </c>
      <c r="B496" s="1" t="str">
        <f>IF($A496="","",SUMIFS('02_ツリー'!$K$5:$K$679,'02_ツリー'!$E$5:$E$679,$A496,'02_ツリー'!$K$5:$K$679,"&gt;0"))</f>
        <v/>
      </c>
      <c r="C496" s="1" t="str">
        <f>IF($A496="","",SUMIFS('02_ツリー'!$K$5:$K$679,'02_ツリー'!$E$5:$E$679,$A496,'02_ツリー'!$K$5:$K$679,"&lt;0"))</f>
        <v/>
      </c>
      <c r="D496" s="1" t="str">
        <f t="shared" si="21"/>
        <v/>
      </c>
      <c r="E496" s="1" t="str">
        <f>IF($A496="","",--(COUNTIFS('02_ツリー'!$E$5:$E$679,$A496,'02_ツリー'!$O$5:$O$679,0)=0))</f>
        <v/>
      </c>
      <c r="F496" s="1" t="str">
        <f t="shared" si="22"/>
        <v/>
      </c>
      <c r="G496" s="1" t="str">
        <f t="shared" si="23"/>
        <v/>
      </c>
    </row>
    <row r="497" spans="1:7">
      <c r="A497" s="1" t="str">
        <f>IFERROR(INDEX('02_ツリー'!$E$5:$E$679,MATCH(ROW()-10,'02_ツリー'!$R$5:$R$679,0)),"")</f>
        <v/>
      </c>
      <c r="B497" s="1" t="str">
        <f>IF($A497="","",SUMIFS('02_ツリー'!$K$5:$K$679,'02_ツリー'!$E$5:$E$679,$A497,'02_ツリー'!$K$5:$K$679,"&gt;0"))</f>
        <v/>
      </c>
      <c r="C497" s="1" t="str">
        <f>IF($A497="","",SUMIFS('02_ツリー'!$K$5:$K$679,'02_ツリー'!$E$5:$E$679,$A497,'02_ツリー'!$K$5:$K$679,"&lt;0"))</f>
        <v/>
      </c>
      <c r="D497" s="1" t="str">
        <f t="shared" si="21"/>
        <v/>
      </c>
      <c r="E497" s="1" t="str">
        <f>IF($A497="","",--(COUNTIFS('02_ツリー'!$E$5:$E$679,$A497,'02_ツリー'!$O$5:$O$679,0)=0))</f>
        <v/>
      </c>
      <c r="F497" s="1" t="str">
        <f t="shared" si="22"/>
        <v/>
      </c>
      <c r="G497" s="1" t="str">
        <f t="shared" si="23"/>
        <v/>
      </c>
    </row>
    <row r="498" spans="1:7">
      <c r="A498" s="1" t="str">
        <f>IFERROR(INDEX('02_ツリー'!$E$5:$E$679,MATCH(ROW()-10,'02_ツリー'!$R$5:$R$679,0)),"")</f>
        <v/>
      </c>
      <c r="B498" s="1" t="str">
        <f>IF($A498="","",SUMIFS('02_ツリー'!$K$5:$K$679,'02_ツリー'!$E$5:$E$679,$A498,'02_ツリー'!$K$5:$K$679,"&gt;0"))</f>
        <v/>
      </c>
      <c r="C498" s="1" t="str">
        <f>IF($A498="","",SUMIFS('02_ツリー'!$K$5:$K$679,'02_ツリー'!$E$5:$E$679,$A498,'02_ツリー'!$K$5:$K$679,"&lt;0"))</f>
        <v/>
      </c>
      <c r="D498" s="1" t="str">
        <f t="shared" si="21"/>
        <v/>
      </c>
      <c r="E498" s="1" t="str">
        <f>IF($A498="","",--(COUNTIFS('02_ツリー'!$E$5:$E$679,$A498,'02_ツリー'!$O$5:$O$679,0)=0))</f>
        <v/>
      </c>
      <c r="F498" s="1" t="str">
        <f t="shared" si="22"/>
        <v/>
      </c>
      <c r="G498" s="1" t="str">
        <f t="shared" si="23"/>
        <v/>
      </c>
    </row>
    <row r="499" spans="1:7">
      <c r="A499" s="1" t="str">
        <f>IFERROR(INDEX('02_ツリー'!$E$5:$E$679,MATCH(ROW()-10,'02_ツリー'!$R$5:$R$679,0)),"")</f>
        <v/>
      </c>
      <c r="B499" s="1" t="str">
        <f>IF($A499="","",SUMIFS('02_ツリー'!$K$5:$K$679,'02_ツリー'!$E$5:$E$679,$A499,'02_ツリー'!$K$5:$K$679,"&gt;0"))</f>
        <v/>
      </c>
      <c r="C499" s="1" t="str">
        <f>IF($A499="","",SUMIFS('02_ツリー'!$K$5:$K$679,'02_ツリー'!$E$5:$E$679,$A499,'02_ツリー'!$K$5:$K$679,"&lt;0"))</f>
        <v/>
      </c>
      <c r="D499" s="1" t="str">
        <f t="shared" si="21"/>
        <v/>
      </c>
      <c r="E499" s="1" t="str">
        <f>IF($A499="","",--(COUNTIFS('02_ツリー'!$E$5:$E$679,$A499,'02_ツリー'!$O$5:$O$679,0)=0))</f>
        <v/>
      </c>
      <c r="F499" s="1" t="str">
        <f t="shared" si="22"/>
        <v/>
      </c>
      <c r="G499" s="1" t="str">
        <f t="shared" si="23"/>
        <v/>
      </c>
    </row>
    <row r="500" spans="1:7">
      <c r="A500" s="1" t="str">
        <f>IFERROR(INDEX('02_ツリー'!$E$5:$E$679,MATCH(ROW()-10,'02_ツリー'!$R$5:$R$679,0)),"")</f>
        <v/>
      </c>
      <c r="B500" s="1" t="str">
        <f>IF($A500="","",SUMIFS('02_ツリー'!$K$5:$K$679,'02_ツリー'!$E$5:$E$679,$A500,'02_ツリー'!$K$5:$K$679,"&gt;0"))</f>
        <v/>
      </c>
      <c r="C500" s="1" t="str">
        <f>IF($A500="","",SUMIFS('02_ツリー'!$K$5:$K$679,'02_ツリー'!$E$5:$E$679,$A500,'02_ツリー'!$K$5:$K$679,"&lt;0"))</f>
        <v/>
      </c>
      <c r="D500" s="1" t="str">
        <f t="shared" si="21"/>
        <v/>
      </c>
      <c r="E500" s="1" t="str">
        <f>IF($A500="","",--(COUNTIFS('02_ツリー'!$E$5:$E$679,$A500,'02_ツリー'!$O$5:$O$679,0)=0))</f>
        <v/>
      </c>
      <c r="F500" s="1" t="str">
        <f t="shared" si="22"/>
        <v/>
      </c>
      <c r="G500" s="1" t="str">
        <f t="shared" si="23"/>
        <v/>
      </c>
    </row>
    <row r="501" spans="1:7">
      <c r="A501" s="1" t="str">
        <f>IFERROR(INDEX('02_ツリー'!$E$5:$E$679,MATCH(ROW()-10,'02_ツリー'!$R$5:$R$679,0)),"")</f>
        <v/>
      </c>
      <c r="B501" s="1" t="str">
        <f>IF($A501="","",SUMIFS('02_ツリー'!$K$5:$K$679,'02_ツリー'!$E$5:$E$679,$A501,'02_ツリー'!$K$5:$K$679,"&gt;0"))</f>
        <v/>
      </c>
      <c r="C501" s="1" t="str">
        <f>IF($A501="","",SUMIFS('02_ツリー'!$K$5:$K$679,'02_ツリー'!$E$5:$E$679,$A501,'02_ツリー'!$K$5:$K$679,"&lt;0"))</f>
        <v/>
      </c>
      <c r="D501" s="1" t="str">
        <f t="shared" si="21"/>
        <v/>
      </c>
      <c r="E501" s="1" t="str">
        <f>IF($A501="","",--(COUNTIFS('02_ツリー'!$E$5:$E$679,$A501,'02_ツリー'!$O$5:$O$679,0)=0))</f>
        <v/>
      </c>
      <c r="F501" s="1" t="str">
        <f t="shared" si="22"/>
        <v/>
      </c>
      <c r="G501" s="1" t="str">
        <f t="shared" si="23"/>
        <v/>
      </c>
    </row>
    <row r="502" spans="1:7">
      <c r="A502" s="1" t="str">
        <f>IFERROR(INDEX('02_ツリー'!$E$5:$E$679,MATCH(ROW()-10,'02_ツリー'!$R$5:$R$679,0)),"")</f>
        <v/>
      </c>
      <c r="B502" s="1" t="str">
        <f>IF($A502="","",SUMIFS('02_ツリー'!$K$5:$K$679,'02_ツリー'!$E$5:$E$679,$A502,'02_ツリー'!$K$5:$K$679,"&gt;0"))</f>
        <v/>
      </c>
      <c r="C502" s="1" t="str">
        <f>IF($A502="","",SUMIFS('02_ツリー'!$K$5:$K$679,'02_ツリー'!$E$5:$E$679,$A502,'02_ツリー'!$K$5:$K$679,"&lt;0"))</f>
        <v/>
      </c>
      <c r="D502" s="1" t="str">
        <f t="shared" si="21"/>
        <v/>
      </c>
      <c r="E502" s="1" t="str">
        <f>IF($A502="","",--(COUNTIFS('02_ツリー'!$E$5:$E$679,$A502,'02_ツリー'!$O$5:$O$679,0)=0))</f>
        <v/>
      </c>
      <c r="F502" s="1" t="str">
        <f t="shared" si="22"/>
        <v/>
      </c>
      <c r="G502" s="1" t="str">
        <f t="shared" si="23"/>
        <v/>
      </c>
    </row>
    <row r="503" spans="1:7">
      <c r="A503" s="1" t="str">
        <f>IFERROR(INDEX('02_ツリー'!$E$5:$E$679,MATCH(ROW()-10,'02_ツリー'!$R$5:$R$679,0)),"")</f>
        <v/>
      </c>
      <c r="B503" s="1" t="str">
        <f>IF($A503="","",SUMIFS('02_ツリー'!$K$5:$K$679,'02_ツリー'!$E$5:$E$679,$A503,'02_ツリー'!$K$5:$K$679,"&gt;0"))</f>
        <v/>
      </c>
      <c r="C503" s="1" t="str">
        <f>IF($A503="","",SUMIFS('02_ツリー'!$K$5:$K$679,'02_ツリー'!$E$5:$E$679,$A503,'02_ツリー'!$K$5:$K$679,"&lt;0"))</f>
        <v/>
      </c>
      <c r="D503" s="1" t="str">
        <f t="shared" si="21"/>
        <v/>
      </c>
      <c r="E503" s="1" t="str">
        <f>IF($A503="","",--(COUNTIFS('02_ツリー'!$E$5:$E$679,$A503,'02_ツリー'!$O$5:$O$679,0)=0))</f>
        <v/>
      </c>
      <c r="F503" s="1" t="str">
        <f t="shared" si="22"/>
        <v/>
      </c>
      <c r="G503" s="1" t="str">
        <f t="shared" si="23"/>
        <v/>
      </c>
    </row>
    <row r="504" spans="1:7">
      <c r="A504" s="1" t="str">
        <f>IFERROR(INDEX('02_ツリー'!$E$5:$E$679,MATCH(ROW()-10,'02_ツリー'!$R$5:$R$679,0)),"")</f>
        <v/>
      </c>
      <c r="B504" s="1" t="str">
        <f>IF($A504="","",SUMIFS('02_ツリー'!$K$5:$K$679,'02_ツリー'!$E$5:$E$679,$A504,'02_ツリー'!$K$5:$K$679,"&gt;0"))</f>
        <v/>
      </c>
      <c r="C504" s="1" t="str">
        <f>IF($A504="","",SUMIFS('02_ツリー'!$K$5:$K$679,'02_ツリー'!$E$5:$E$679,$A504,'02_ツリー'!$K$5:$K$679,"&lt;0"))</f>
        <v/>
      </c>
      <c r="D504" s="1" t="str">
        <f t="shared" si="21"/>
        <v/>
      </c>
      <c r="E504" s="1" t="str">
        <f>IF($A504="","",--(COUNTIFS('02_ツリー'!$E$5:$E$679,$A504,'02_ツリー'!$O$5:$O$679,0)=0))</f>
        <v/>
      </c>
      <c r="F504" s="1" t="str">
        <f t="shared" si="22"/>
        <v/>
      </c>
      <c r="G504" s="1" t="str">
        <f t="shared" si="23"/>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00"/>
  <sheetViews>
    <sheetView tabSelected="1" workbookViewId="0">
      <selection activeCell="F12" sqref="F12"/>
    </sheetView>
  </sheetViews>
  <sheetFormatPr defaultRowHeight="14.25"/>
  <cols>
    <col min="1" max="1" width="12" customWidth="1"/>
    <col min="2" max="2" width="28" customWidth="1"/>
    <col min="3" max="3" width="24" customWidth="1"/>
    <col min="4" max="4" width="14" customWidth="1"/>
    <col min="5" max="5" width="10" customWidth="1"/>
    <col min="6" max="6" width="16" customWidth="1"/>
    <col min="7" max="7" width="24" customWidth="1"/>
    <col min="8" max="8" width="54" customWidth="1"/>
    <col min="9" max="9" width="3" customWidth="1"/>
    <col min="10" max="10" width="10" customWidth="1"/>
    <col min="11" max="11" width="28" customWidth="1"/>
    <col min="12" max="12" width="26" customWidth="1"/>
    <col min="13" max="13" width="14" customWidth="1"/>
    <col min="14" max="14" width="10" customWidth="1"/>
    <col min="15" max="15" width="14" customWidth="1"/>
    <col min="16" max="16" width="50" customWidth="1"/>
    <col min="17" max="17" width="36" customWidth="1"/>
  </cols>
  <sheetData>
    <row r="1" spans="1:17" ht="19.5">
      <c r="A1" s="19" t="s">
        <v>2851</v>
      </c>
      <c r="B1" s="6"/>
      <c r="C1" s="6"/>
      <c r="D1" s="6"/>
      <c r="E1" s="6"/>
      <c r="F1" s="6"/>
      <c r="G1" s="6"/>
      <c r="H1" s="6"/>
      <c r="I1" s="6"/>
      <c r="J1" s="6"/>
      <c r="K1" s="6"/>
      <c r="L1" s="6"/>
      <c r="M1" s="6"/>
      <c r="N1" s="6"/>
      <c r="O1" s="6"/>
      <c r="P1" s="6"/>
      <c r="Q1" s="6"/>
    </row>
    <row r="2" spans="1:17">
      <c r="A2" s="1"/>
      <c r="B2" s="1"/>
      <c r="C2" s="1"/>
      <c r="D2" s="1"/>
      <c r="E2" s="1"/>
      <c r="F2" s="1"/>
      <c r="G2" s="1"/>
      <c r="H2" s="1"/>
      <c r="I2" s="1"/>
      <c r="J2" s="1"/>
      <c r="K2" s="1"/>
      <c r="L2" s="1"/>
      <c r="M2" s="1"/>
      <c r="N2" s="1"/>
      <c r="O2" s="1"/>
      <c r="P2" s="1"/>
      <c r="Q2" s="1"/>
    </row>
    <row r="3" spans="1:17">
      <c r="A3" s="1"/>
      <c r="B3" s="1"/>
      <c r="C3" s="1"/>
      <c r="D3" s="1"/>
      <c r="E3" s="1"/>
      <c r="F3" s="1"/>
      <c r="G3" s="1"/>
      <c r="H3" s="1"/>
      <c r="I3" s="1"/>
      <c r="J3" s="1"/>
      <c r="K3" s="1"/>
      <c r="L3" s="1"/>
      <c r="M3" s="1"/>
      <c r="N3" s="1"/>
      <c r="O3" s="1"/>
      <c r="P3" s="1"/>
      <c r="Q3" s="1"/>
    </row>
    <row r="4" spans="1:17" ht="15">
      <c r="A4" s="20" t="s">
        <v>2852</v>
      </c>
      <c r="B4" s="7"/>
      <c r="C4" s="7"/>
      <c r="D4" s="7"/>
      <c r="E4" s="7"/>
      <c r="F4" s="7"/>
      <c r="G4" s="7"/>
      <c r="H4" s="7"/>
      <c r="I4" s="7"/>
      <c r="J4" s="7"/>
      <c r="K4" s="7"/>
      <c r="L4" s="7"/>
      <c r="M4" s="7"/>
      <c r="N4" s="7"/>
      <c r="O4" s="7"/>
      <c r="P4" s="7"/>
      <c r="Q4" s="7"/>
    </row>
    <row r="5" spans="1:17">
      <c r="A5" s="1"/>
      <c r="B5" s="1"/>
      <c r="C5" s="1"/>
      <c r="D5" s="1"/>
      <c r="E5" s="1"/>
      <c r="F5" s="1"/>
      <c r="G5" s="1"/>
      <c r="H5" s="1"/>
      <c r="I5" s="1"/>
      <c r="J5" s="1"/>
      <c r="K5" s="1"/>
      <c r="L5" s="1"/>
      <c r="M5" s="1"/>
      <c r="N5" s="1"/>
      <c r="O5" s="1"/>
      <c r="P5" s="1"/>
      <c r="Q5" s="1"/>
    </row>
    <row r="6" spans="1:17">
      <c r="A6" s="1"/>
      <c r="B6" s="1"/>
      <c r="C6" s="1"/>
      <c r="D6" s="1"/>
      <c r="E6" s="1"/>
      <c r="F6" s="1"/>
      <c r="G6" s="1"/>
      <c r="H6" s="1"/>
      <c r="I6" s="1"/>
      <c r="J6" s="1"/>
      <c r="K6" s="1"/>
      <c r="L6" s="1"/>
      <c r="M6" s="1"/>
      <c r="N6" s="1"/>
      <c r="O6" s="1"/>
      <c r="P6" s="1"/>
      <c r="Q6" s="1"/>
    </row>
    <row r="7" spans="1:17">
      <c r="A7" s="1"/>
      <c r="B7" s="1"/>
      <c r="C7" s="1"/>
      <c r="D7" s="1"/>
      <c r="E7" s="1"/>
      <c r="F7" s="1"/>
      <c r="G7" s="1"/>
      <c r="H7" s="1"/>
      <c r="I7" s="1"/>
      <c r="J7" s="1"/>
      <c r="K7" s="1"/>
      <c r="L7" s="1"/>
      <c r="M7" s="1"/>
      <c r="N7" s="1"/>
      <c r="O7" s="1"/>
      <c r="P7" s="1"/>
      <c r="Q7" s="1"/>
    </row>
    <row r="8" spans="1:17" ht="15">
      <c r="A8" s="8" t="s">
        <v>2853</v>
      </c>
      <c r="B8" s="8" t="s">
        <v>2854</v>
      </c>
      <c r="C8" s="8" t="s">
        <v>50</v>
      </c>
      <c r="D8" s="8" t="s">
        <v>51</v>
      </c>
      <c r="E8" s="8" t="s">
        <v>52</v>
      </c>
      <c r="F8" s="8" t="s">
        <v>2855</v>
      </c>
      <c r="G8" s="8" t="s">
        <v>2856</v>
      </c>
      <c r="H8" s="8" t="s">
        <v>2857</v>
      </c>
      <c r="I8" s="1"/>
      <c r="J8" s="9" t="s">
        <v>2858</v>
      </c>
      <c r="K8" s="9" t="s">
        <v>2859</v>
      </c>
      <c r="L8" s="9" t="s">
        <v>50</v>
      </c>
      <c r="M8" s="9" t="s">
        <v>2860</v>
      </c>
      <c r="N8" s="9" t="s">
        <v>52</v>
      </c>
      <c r="O8" s="9" t="s">
        <v>2861</v>
      </c>
      <c r="P8" s="9" t="s">
        <v>2862</v>
      </c>
      <c r="Q8" s="9" t="s">
        <v>2863</v>
      </c>
    </row>
    <row r="9" spans="1:17">
      <c r="A9" s="10" t="s">
        <v>2864</v>
      </c>
      <c r="B9" s="10" t="s">
        <v>58</v>
      </c>
      <c r="C9" s="10" t="s">
        <v>2865</v>
      </c>
      <c r="D9" s="11">
        <v>100</v>
      </c>
      <c r="E9" s="10" t="s">
        <v>60</v>
      </c>
      <c r="F9" s="10" t="s">
        <v>2866</v>
      </c>
      <c r="G9" s="10" t="s">
        <v>59</v>
      </c>
      <c r="H9" s="10" t="s">
        <v>2867</v>
      </c>
      <c r="I9" s="1"/>
      <c r="J9" s="10" t="s">
        <v>2868</v>
      </c>
      <c r="K9" s="12" t="s">
        <v>2869</v>
      </c>
      <c r="L9" s="10" t="s">
        <v>2870</v>
      </c>
      <c r="M9" s="10">
        <f>D10*D11/60</f>
        <v>800</v>
      </c>
      <c r="N9" s="10" t="s">
        <v>96</v>
      </c>
      <c r="O9" s="10" t="s">
        <v>1347</v>
      </c>
      <c r="P9" s="10" t="s">
        <v>2871</v>
      </c>
      <c r="Q9" s="10" t="s">
        <v>2872</v>
      </c>
    </row>
    <row r="10" spans="1:17" ht="28.5">
      <c r="A10" s="10" t="s">
        <v>2873</v>
      </c>
      <c r="B10" s="10" t="s">
        <v>2874</v>
      </c>
      <c r="C10" s="10" t="s">
        <v>2875</v>
      </c>
      <c r="D10" s="11">
        <v>12000</v>
      </c>
      <c r="E10" s="10" t="s">
        <v>2876</v>
      </c>
      <c r="F10" s="10" t="s">
        <v>2866</v>
      </c>
      <c r="G10" s="10" t="s">
        <v>2877</v>
      </c>
      <c r="H10" s="10" t="s">
        <v>2878</v>
      </c>
      <c r="I10" s="1"/>
      <c r="J10" s="10" t="s">
        <v>2879</v>
      </c>
      <c r="K10" s="12" t="s">
        <v>2880</v>
      </c>
      <c r="L10" s="10" t="s">
        <v>95</v>
      </c>
      <c r="M10" s="10">
        <f>MAX(M9*D16,IF(D17=1,20000,0),M22,M23)</f>
        <v>16000</v>
      </c>
      <c r="N10" s="10" t="s">
        <v>96</v>
      </c>
      <c r="O10" s="10" t="s">
        <v>2881</v>
      </c>
      <c r="P10" s="10" t="s">
        <v>2882</v>
      </c>
      <c r="Q10" s="10" t="s">
        <v>2883</v>
      </c>
    </row>
    <row r="11" spans="1:17">
      <c r="A11" s="10" t="s">
        <v>2873</v>
      </c>
      <c r="B11" s="10" t="s">
        <v>2884</v>
      </c>
      <c r="C11" s="10" t="s">
        <v>2885</v>
      </c>
      <c r="D11" s="11">
        <v>4</v>
      </c>
      <c r="E11" s="10" t="s">
        <v>86</v>
      </c>
      <c r="F11" s="10" t="s">
        <v>2866</v>
      </c>
      <c r="G11" s="10" t="s">
        <v>2877</v>
      </c>
      <c r="H11" s="10" t="s">
        <v>2886</v>
      </c>
      <c r="I11" s="1"/>
      <c r="J11" s="10" t="s">
        <v>2887</v>
      </c>
      <c r="K11" s="12" t="s">
        <v>1496</v>
      </c>
      <c r="L11" s="10" t="s">
        <v>2888</v>
      </c>
      <c r="M11" s="10">
        <f>D9*1000/(SQRT(3)*D12*D14*D15)</f>
        <v>156.63327975844433</v>
      </c>
      <c r="N11" s="10" t="s">
        <v>808</v>
      </c>
      <c r="O11" s="10" t="s">
        <v>1347</v>
      </c>
      <c r="P11" s="10" t="s">
        <v>2889</v>
      </c>
      <c r="Q11" s="10" t="s">
        <v>2890</v>
      </c>
    </row>
    <row r="12" spans="1:17">
      <c r="A12" s="10" t="s">
        <v>2873</v>
      </c>
      <c r="B12" s="10" t="s">
        <v>2891</v>
      </c>
      <c r="C12" s="10" t="s">
        <v>2892</v>
      </c>
      <c r="D12" s="11">
        <v>400</v>
      </c>
      <c r="E12" s="10" t="s">
        <v>73</v>
      </c>
      <c r="F12" s="10" t="s">
        <v>2893</v>
      </c>
      <c r="G12" s="10" t="s">
        <v>2894</v>
      </c>
      <c r="H12" s="10" t="s">
        <v>2895</v>
      </c>
      <c r="I12" s="1"/>
      <c r="J12" s="10" t="s">
        <v>2896</v>
      </c>
      <c r="K12" s="12" t="s">
        <v>2897</v>
      </c>
      <c r="L12" s="10" t="s">
        <v>2898</v>
      </c>
      <c r="M12" s="10">
        <f>D9*1000/(D13*D15)</f>
        <v>128.86597938144331</v>
      </c>
      <c r="N12" s="10" t="s">
        <v>808</v>
      </c>
      <c r="O12" s="10" t="s">
        <v>1347</v>
      </c>
      <c r="P12" s="10" t="s">
        <v>2899</v>
      </c>
      <c r="Q12" s="10" t="s">
        <v>2890</v>
      </c>
    </row>
    <row r="13" spans="1:17" ht="28.5">
      <c r="A13" s="10" t="s">
        <v>2900</v>
      </c>
      <c r="B13" s="10" t="s">
        <v>77</v>
      </c>
      <c r="C13" s="10" t="s">
        <v>2901</v>
      </c>
      <c r="D13" s="11">
        <v>800</v>
      </c>
      <c r="E13" s="10" t="s">
        <v>73</v>
      </c>
      <c r="F13" s="10" t="s">
        <v>2866</v>
      </c>
      <c r="G13" s="10" t="s">
        <v>2902</v>
      </c>
      <c r="H13" s="10" t="s">
        <v>2903</v>
      </c>
      <c r="I13" s="1"/>
      <c r="J13" s="10" t="s">
        <v>2904</v>
      </c>
      <c r="K13" s="12" t="s">
        <v>2905</v>
      </c>
      <c r="L13" s="10" t="s">
        <v>2906</v>
      </c>
      <c r="M13" s="10">
        <f>IF(AND('01_入力仕様'!D296=0,OR(D25="3L-NPC",D25="3L-ANPC")),0.5*D13+'02_ツリー'!F347,D13+'02_ツリー'!F347)</f>
        <v>884.58197106955993</v>
      </c>
      <c r="N13" s="10" t="s">
        <v>73</v>
      </c>
      <c r="O13" s="10" t="s">
        <v>1347</v>
      </c>
      <c r="P13" s="10" t="s">
        <v>2907</v>
      </c>
      <c r="Q13" s="10" t="s">
        <v>2908</v>
      </c>
    </row>
    <row r="14" spans="1:17" ht="28.5">
      <c r="A14" s="10" t="s">
        <v>2909</v>
      </c>
      <c r="B14" s="10" t="s">
        <v>88</v>
      </c>
      <c r="C14" s="10" t="s">
        <v>2910</v>
      </c>
      <c r="D14" s="11">
        <v>0.95</v>
      </c>
      <c r="E14" s="10" t="s">
        <v>86</v>
      </c>
      <c r="F14" s="10" t="s">
        <v>2866</v>
      </c>
      <c r="G14" s="10" t="s">
        <v>2911</v>
      </c>
      <c r="H14" s="10" t="s">
        <v>2912</v>
      </c>
      <c r="I14" s="1"/>
      <c r="J14" s="10" t="s">
        <v>2913</v>
      </c>
      <c r="K14" s="12" t="s">
        <v>2914</v>
      </c>
      <c r="L14" s="10" t="s">
        <v>2915</v>
      </c>
      <c r="M14" s="10">
        <f>IF(M13&lt;=650,650,IF(M13&lt;=1200,1200,IF(M13&lt;=1700,1700,3300)))</f>
        <v>1200</v>
      </c>
      <c r="N14" s="10" t="s">
        <v>73</v>
      </c>
      <c r="O14" s="10" t="s">
        <v>83</v>
      </c>
      <c r="P14" s="10" t="s">
        <v>2916</v>
      </c>
      <c r="Q14" s="10" t="s">
        <v>2917</v>
      </c>
    </row>
    <row r="15" spans="1:17" ht="28.5">
      <c r="A15" s="10" t="s">
        <v>2909</v>
      </c>
      <c r="B15" s="10" t="s">
        <v>93</v>
      </c>
      <c r="C15" s="10" t="s">
        <v>2918</v>
      </c>
      <c r="D15" s="11">
        <v>0.97</v>
      </c>
      <c r="E15" s="10" t="s">
        <v>86</v>
      </c>
      <c r="F15" s="10" t="s">
        <v>2866</v>
      </c>
      <c r="G15" s="10" t="s">
        <v>2919</v>
      </c>
      <c r="H15" s="10" t="s">
        <v>2920</v>
      </c>
      <c r="I15" s="1"/>
      <c r="J15" s="10" t="s">
        <v>2921</v>
      </c>
      <c r="K15" s="12" t="s">
        <v>2922</v>
      </c>
      <c r="L15" s="10" t="s">
        <v>2923</v>
      </c>
      <c r="M15" s="10">
        <f>'01_入力仕様'!D25*(M11/'02_ツリー'!F12)*(M14/1200)^0.6</f>
        <v>100</v>
      </c>
      <c r="N15" s="10" t="s">
        <v>2924</v>
      </c>
      <c r="O15" s="10" t="s">
        <v>83</v>
      </c>
      <c r="P15" s="10" t="s">
        <v>2925</v>
      </c>
      <c r="Q15" s="10" t="s">
        <v>2926</v>
      </c>
    </row>
    <row r="16" spans="1:17" ht="28.5">
      <c r="A16" s="10" t="s">
        <v>1191</v>
      </c>
      <c r="B16" s="10" t="s">
        <v>2927</v>
      </c>
      <c r="C16" s="10" t="s">
        <v>2928</v>
      </c>
      <c r="D16" s="11">
        <v>20</v>
      </c>
      <c r="E16" s="10" t="s">
        <v>86</v>
      </c>
      <c r="F16" s="10" t="s">
        <v>2929</v>
      </c>
      <c r="G16" s="10" t="s">
        <v>95</v>
      </c>
      <c r="H16" s="10" t="s">
        <v>2930</v>
      </c>
      <c r="I16" s="1"/>
      <c r="J16" s="10" t="s">
        <v>2931</v>
      </c>
      <c r="K16" s="12" t="s">
        <v>2932</v>
      </c>
      <c r="L16" s="10" t="s">
        <v>2933</v>
      </c>
      <c r="M16" s="10">
        <f>MAX(1,CEILING(D26*M11/('01_入力仕様'!D33*'01_入力仕様'!D34*'01_入力仕様'!D25),1))</f>
        <v>3</v>
      </c>
      <c r="N16" s="10" t="s">
        <v>86</v>
      </c>
      <c r="O16" s="10" t="s">
        <v>83</v>
      </c>
      <c r="P16" s="10" t="s">
        <v>2934</v>
      </c>
      <c r="Q16" s="10" t="s">
        <v>2935</v>
      </c>
    </row>
    <row r="17" spans="1:17">
      <c r="A17" s="10" t="s">
        <v>1191</v>
      </c>
      <c r="B17" s="10" t="s">
        <v>2936</v>
      </c>
      <c r="C17" s="10" t="s">
        <v>2937</v>
      </c>
      <c r="D17" s="11">
        <v>0</v>
      </c>
      <c r="E17" s="10" t="s">
        <v>415</v>
      </c>
      <c r="F17" s="10" t="s">
        <v>2866</v>
      </c>
      <c r="G17" s="10" t="s">
        <v>95</v>
      </c>
      <c r="H17" s="10" t="s">
        <v>2938</v>
      </c>
      <c r="I17" s="1"/>
      <c r="J17" s="10" t="s">
        <v>2939</v>
      </c>
      <c r="K17" s="12" t="s">
        <v>2940</v>
      </c>
      <c r="L17" s="10" t="s">
        <v>2941</v>
      </c>
      <c r="M17" s="10">
        <f>1.5*MAX('01_入力仕様'!D153*'01_入力仕様'!D150/'01_入力仕様'!D152,'01_入力仕様'!D154*'01_入力仕様'!D151/'01_入力仕様'!D152)</f>
        <v>7.4999999999999997E-8</v>
      </c>
      <c r="N17" s="10" t="s">
        <v>109</v>
      </c>
      <c r="O17" s="10" t="s">
        <v>83</v>
      </c>
      <c r="P17" s="10" t="s">
        <v>2942</v>
      </c>
      <c r="Q17" s="10" t="s">
        <v>2943</v>
      </c>
    </row>
    <row r="18" spans="1:17" ht="28.5">
      <c r="A18" s="10" t="s">
        <v>2944</v>
      </c>
      <c r="B18" s="10" t="s">
        <v>2945</v>
      </c>
      <c r="C18" s="10" t="s">
        <v>2946</v>
      </c>
      <c r="D18" s="11">
        <v>45</v>
      </c>
      <c r="E18" s="10" t="s">
        <v>918</v>
      </c>
      <c r="F18" s="10" t="s">
        <v>2866</v>
      </c>
      <c r="G18" s="10" t="s">
        <v>2947</v>
      </c>
      <c r="H18" s="10" t="s">
        <v>2948</v>
      </c>
      <c r="I18" s="1"/>
      <c r="J18" s="10" t="s">
        <v>2949</v>
      </c>
      <c r="K18" s="12" t="s">
        <v>577</v>
      </c>
      <c r="L18" s="10" t="s">
        <v>2950</v>
      </c>
      <c r="M18" s="10">
        <f>IF('01_入力仕様'!D296=1,IF('01_入力仕様'!D334=1,6*'01_入力仕様'!D344,6),IF(D25="2L-VSI",6,IF(D25="3L-NPC",12,IF(D25="3L-ANPC",18,6))))</f>
        <v>6</v>
      </c>
      <c r="N18" s="10" t="s">
        <v>114</v>
      </c>
      <c r="O18" s="10" t="s">
        <v>2951</v>
      </c>
      <c r="P18" s="10" t="s">
        <v>2952</v>
      </c>
      <c r="Q18" s="10" t="s">
        <v>2953</v>
      </c>
    </row>
    <row r="19" spans="1:17" ht="28.5">
      <c r="A19" s="10" t="s">
        <v>2944</v>
      </c>
      <c r="B19" s="10" t="s">
        <v>2954</v>
      </c>
      <c r="C19" s="10" t="s">
        <v>2955</v>
      </c>
      <c r="D19" s="11">
        <v>65</v>
      </c>
      <c r="E19" s="10" t="s">
        <v>918</v>
      </c>
      <c r="F19" s="10" t="s">
        <v>2866</v>
      </c>
      <c r="G19" s="10" t="s">
        <v>924</v>
      </c>
      <c r="H19" s="10" t="s">
        <v>2956</v>
      </c>
      <c r="I19" s="1"/>
      <c r="J19" s="10" t="s">
        <v>2957</v>
      </c>
      <c r="K19" s="12" t="s">
        <v>2958</v>
      </c>
      <c r="L19" s="10" t="s">
        <v>2959</v>
      </c>
      <c r="M19" s="10">
        <f>'02_ツリー'!F98</f>
        <v>1.6521279407877341</v>
      </c>
      <c r="N19" s="10" t="s">
        <v>1689</v>
      </c>
      <c r="O19" s="10" t="s">
        <v>1347</v>
      </c>
      <c r="P19" s="10" t="s">
        <v>2960</v>
      </c>
      <c r="Q19" s="10" t="s">
        <v>2961</v>
      </c>
    </row>
    <row r="20" spans="1:17">
      <c r="A20" s="10" t="s">
        <v>2944</v>
      </c>
      <c r="B20" s="10" t="s">
        <v>916</v>
      </c>
      <c r="C20" s="10" t="s">
        <v>2962</v>
      </c>
      <c r="D20" s="11">
        <v>150</v>
      </c>
      <c r="E20" s="10" t="s">
        <v>918</v>
      </c>
      <c r="F20" s="10" t="s">
        <v>2963</v>
      </c>
      <c r="G20" s="10" t="s">
        <v>917</v>
      </c>
      <c r="H20" s="10" t="s">
        <v>2964</v>
      </c>
      <c r="I20" s="1"/>
      <c r="J20" s="10" t="s">
        <v>2965</v>
      </c>
      <c r="K20" s="12" t="s">
        <v>2966</v>
      </c>
      <c r="L20" s="10" t="s">
        <v>2967</v>
      </c>
      <c r="M20" s="10">
        <f>'02_ツリー'!F115</f>
        <v>32.216494845360828</v>
      </c>
      <c r="N20" s="10" t="s">
        <v>2924</v>
      </c>
      <c r="O20" s="10" t="s">
        <v>1347</v>
      </c>
      <c r="P20" s="10" t="s">
        <v>2968</v>
      </c>
      <c r="Q20" s="10" t="s">
        <v>2969</v>
      </c>
    </row>
    <row r="21" spans="1:17" ht="42.75">
      <c r="A21" s="10" t="s">
        <v>2970</v>
      </c>
      <c r="B21" s="10" t="s">
        <v>831</v>
      </c>
      <c r="C21" s="10" t="s">
        <v>2971</v>
      </c>
      <c r="D21" s="11">
        <v>150000</v>
      </c>
      <c r="E21" s="10" t="s">
        <v>829</v>
      </c>
      <c r="F21" s="10" t="s">
        <v>2866</v>
      </c>
      <c r="G21" s="10" t="s">
        <v>832</v>
      </c>
      <c r="H21" s="10" t="s">
        <v>2972</v>
      </c>
      <c r="I21" s="1"/>
      <c r="J21" s="10" t="s">
        <v>2973</v>
      </c>
      <c r="K21" s="12" t="s">
        <v>2974</v>
      </c>
      <c r="L21" s="10" t="s">
        <v>2975</v>
      </c>
      <c r="M21" s="10">
        <f>'02_ツリー'!F44*('01_入力仕様'!D25/M15)*(M14/MAX(M13,1))^2.2</f>
        <v>2.8170006414203458E-4</v>
      </c>
      <c r="N21" s="10" t="s">
        <v>1015</v>
      </c>
      <c r="O21" s="10" t="s">
        <v>83</v>
      </c>
      <c r="P21" s="10" t="s">
        <v>2976</v>
      </c>
      <c r="Q21" s="10" t="s">
        <v>2977</v>
      </c>
    </row>
    <row r="22" spans="1:17">
      <c r="A22" s="10" t="s">
        <v>2978</v>
      </c>
      <c r="B22" s="10" t="s">
        <v>1130</v>
      </c>
      <c r="C22" s="10" t="s">
        <v>2979</v>
      </c>
      <c r="D22" s="11">
        <v>2</v>
      </c>
      <c r="E22" s="10" t="s">
        <v>262</v>
      </c>
      <c r="F22" s="10" t="s">
        <v>2866</v>
      </c>
      <c r="G22" s="10" t="s">
        <v>2980</v>
      </c>
      <c r="H22" s="10" t="s">
        <v>2981</v>
      </c>
      <c r="I22" s="1"/>
      <c r="J22" s="10" t="s">
        <v>2982</v>
      </c>
      <c r="K22" s="12" t="s">
        <v>2983</v>
      </c>
      <c r="L22" s="10" t="s">
        <v>1194</v>
      </c>
      <c r="M22" s="10">
        <f>'01_入力仕様'!D289*D13/(D24*D23*SQRT(2)*M11)</f>
        <v>12898.313131283991</v>
      </c>
      <c r="N22" s="10" t="s">
        <v>96</v>
      </c>
      <c r="O22" s="10" t="s">
        <v>1347</v>
      </c>
      <c r="P22" s="10" t="s">
        <v>2984</v>
      </c>
      <c r="Q22" s="10" t="s">
        <v>2985</v>
      </c>
    </row>
    <row r="23" spans="1:17">
      <c r="A23" s="10" t="s">
        <v>1191</v>
      </c>
      <c r="B23" s="10" t="s">
        <v>1136</v>
      </c>
      <c r="C23" s="10" t="s">
        <v>2986</v>
      </c>
      <c r="D23" s="11">
        <v>0.1</v>
      </c>
      <c r="E23" s="10" t="s">
        <v>86</v>
      </c>
      <c r="F23" s="10" t="s">
        <v>2866</v>
      </c>
      <c r="G23" s="10" t="s">
        <v>2987</v>
      </c>
      <c r="H23" s="10" t="s">
        <v>2988</v>
      </c>
      <c r="I23" s="1"/>
      <c r="J23" s="10" t="s">
        <v>2989</v>
      </c>
      <c r="K23" s="12" t="s">
        <v>2990</v>
      </c>
      <c r="L23" s="10" t="s">
        <v>1198</v>
      </c>
      <c r="M23" s="10">
        <f>'01_入力仕様'!D290*D30</f>
        <v>10000</v>
      </c>
      <c r="N23" s="10" t="s">
        <v>96</v>
      </c>
      <c r="O23" s="10" t="s">
        <v>1347</v>
      </c>
      <c r="P23" s="10" t="s">
        <v>2579</v>
      </c>
      <c r="Q23" s="10" t="s">
        <v>1199</v>
      </c>
    </row>
    <row r="24" spans="1:17" ht="28.5">
      <c r="A24" s="10" t="s">
        <v>2873</v>
      </c>
      <c r="B24" s="10" t="s">
        <v>2991</v>
      </c>
      <c r="C24" s="10" t="s">
        <v>2992</v>
      </c>
      <c r="D24" s="11">
        <v>3.5E-4</v>
      </c>
      <c r="E24" s="10" t="s">
        <v>741</v>
      </c>
      <c r="F24" s="10" t="s">
        <v>2993</v>
      </c>
      <c r="G24" s="10" t="s">
        <v>2994</v>
      </c>
      <c r="H24" s="10" t="s">
        <v>2995</v>
      </c>
      <c r="I24" s="1"/>
      <c r="J24" s="10" t="s">
        <v>2996</v>
      </c>
      <c r="K24" s="12" t="s">
        <v>112</v>
      </c>
      <c r="L24" s="10" t="s">
        <v>2997</v>
      </c>
      <c r="M24" s="10">
        <f>IF('01_入力仕様'!D296=1,IF('01_入力仕様'!D334=1,6,12),IF(D25="2L-VSI",6,IF(D25="3L-NPC",18,IF(D25="3L-ANPC",18,6))))</f>
        <v>6</v>
      </c>
      <c r="N24" s="10" t="s">
        <v>114</v>
      </c>
      <c r="O24" s="10" t="s">
        <v>2951</v>
      </c>
      <c r="P24" s="10" t="s">
        <v>2998</v>
      </c>
      <c r="Q24" s="10" t="s">
        <v>2999</v>
      </c>
    </row>
    <row r="25" spans="1:17" ht="42.75">
      <c r="A25" s="10" t="s">
        <v>3000</v>
      </c>
      <c r="B25" s="10" t="s">
        <v>3001</v>
      </c>
      <c r="C25" s="10" t="s">
        <v>3002</v>
      </c>
      <c r="D25" s="11" t="s">
        <v>3003</v>
      </c>
      <c r="E25" s="10" t="s">
        <v>86</v>
      </c>
      <c r="F25" s="10" t="s">
        <v>3004</v>
      </c>
      <c r="G25" s="10" t="s">
        <v>3005</v>
      </c>
      <c r="H25" s="10" t="s">
        <v>3006</v>
      </c>
      <c r="I25" s="1"/>
      <c r="J25" s="10" t="s">
        <v>3007</v>
      </c>
      <c r="K25" s="12" t="s">
        <v>1335</v>
      </c>
      <c r="L25" s="10" t="s">
        <v>3008</v>
      </c>
      <c r="M25" s="10">
        <f>IF('01_入力仕様'!D296=1,IF('01_入力仕様'!D334=1,0,6),IF(D25="3L-NPC",6,0))</f>
        <v>0</v>
      </c>
      <c r="N25" s="10" t="s">
        <v>114</v>
      </c>
      <c r="O25" s="10" t="s">
        <v>2951</v>
      </c>
      <c r="P25" s="10" t="s">
        <v>3009</v>
      </c>
      <c r="Q25" s="10" t="s">
        <v>3010</v>
      </c>
    </row>
    <row r="26" spans="1:17">
      <c r="A26" s="10" t="s">
        <v>1049</v>
      </c>
      <c r="B26" s="10" t="s">
        <v>3011</v>
      </c>
      <c r="C26" s="10" t="s">
        <v>3012</v>
      </c>
      <c r="D26" s="11">
        <v>1.5</v>
      </c>
      <c r="E26" s="10" t="s">
        <v>3013</v>
      </c>
      <c r="F26" s="10" t="s">
        <v>2866</v>
      </c>
      <c r="G26" s="10" t="s">
        <v>3014</v>
      </c>
      <c r="H26" s="10" t="s">
        <v>3015</v>
      </c>
      <c r="I26" s="1"/>
      <c r="J26" s="10"/>
      <c r="K26" s="12"/>
      <c r="L26" s="10"/>
      <c r="M26" s="10"/>
      <c r="N26" s="10"/>
      <c r="O26" s="10"/>
      <c r="P26" s="10"/>
      <c r="Q26" s="10"/>
    </row>
    <row r="27" spans="1:17">
      <c r="A27" s="10" t="s">
        <v>1075</v>
      </c>
      <c r="B27" s="10" t="s">
        <v>3016</v>
      </c>
      <c r="C27" s="10" t="s">
        <v>3017</v>
      </c>
      <c r="D27" s="11">
        <v>10</v>
      </c>
      <c r="E27" s="10" t="s">
        <v>3018</v>
      </c>
      <c r="F27" s="10" t="s">
        <v>2866</v>
      </c>
      <c r="G27" s="10" t="s">
        <v>3019</v>
      </c>
      <c r="H27" s="10" t="s">
        <v>3020</v>
      </c>
      <c r="I27" s="1"/>
      <c r="J27" s="10"/>
      <c r="K27" s="12"/>
      <c r="L27" s="10"/>
      <c r="M27" s="10"/>
      <c r="N27" s="10"/>
      <c r="O27" s="10"/>
      <c r="P27" s="10"/>
      <c r="Q27" s="10"/>
    </row>
    <row r="28" spans="1:17">
      <c r="A28" s="1" t="s">
        <v>3021</v>
      </c>
      <c r="B28" s="1" t="s">
        <v>1140</v>
      </c>
      <c r="C28" s="1" t="s">
        <v>3022</v>
      </c>
      <c r="D28" s="1">
        <v>5</v>
      </c>
      <c r="E28" s="1" t="s">
        <v>109</v>
      </c>
      <c r="F28" s="1" t="s">
        <v>2866</v>
      </c>
      <c r="G28" s="1" t="s">
        <v>3023</v>
      </c>
      <c r="H28" s="1" t="s">
        <v>3024</v>
      </c>
      <c r="I28" s="1"/>
      <c r="J28" s="1"/>
      <c r="K28" s="1"/>
      <c r="L28" s="1"/>
      <c r="M28" s="1"/>
      <c r="N28" s="1"/>
      <c r="O28" s="1"/>
      <c r="P28" s="1"/>
      <c r="Q28" s="1"/>
    </row>
    <row r="29" spans="1:17">
      <c r="A29" s="1" t="s">
        <v>3021</v>
      </c>
      <c r="B29" s="1" t="s">
        <v>1143</v>
      </c>
      <c r="C29" s="1" t="s">
        <v>3025</v>
      </c>
      <c r="D29" s="1">
        <v>60</v>
      </c>
      <c r="E29" s="1" t="s">
        <v>73</v>
      </c>
      <c r="F29" s="1" t="s">
        <v>2866</v>
      </c>
      <c r="G29" s="1" t="s">
        <v>3023</v>
      </c>
      <c r="H29" s="1" t="s">
        <v>3026</v>
      </c>
      <c r="I29" s="1"/>
      <c r="J29" s="1"/>
      <c r="K29" s="1"/>
      <c r="L29" s="1"/>
      <c r="M29" s="1"/>
      <c r="N29" s="1"/>
      <c r="O29" s="1"/>
      <c r="P29" s="1"/>
      <c r="Q29" s="1"/>
    </row>
    <row r="30" spans="1:17">
      <c r="A30" s="1" t="s">
        <v>1191</v>
      </c>
      <c r="B30" s="1" t="s">
        <v>1145</v>
      </c>
      <c r="C30" s="1" t="s">
        <v>3027</v>
      </c>
      <c r="D30" s="1">
        <v>1000</v>
      </c>
      <c r="E30" s="1" t="s">
        <v>96</v>
      </c>
      <c r="F30" s="1" t="s">
        <v>2866</v>
      </c>
      <c r="G30" s="1" t="s">
        <v>95</v>
      </c>
      <c r="H30" s="1" t="s">
        <v>3028</v>
      </c>
      <c r="I30" s="1"/>
      <c r="J30" s="1"/>
      <c r="K30" s="1"/>
      <c r="L30" s="1"/>
      <c r="M30" s="1"/>
      <c r="N30" s="1"/>
      <c r="O30" s="1"/>
      <c r="P30" s="1"/>
      <c r="Q30" s="1"/>
    </row>
    <row r="31" spans="1:17">
      <c r="A31" s="1"/>
      <c r="B31" s="1"/>
      <c r="C31" s="1"/>
      <c r="D31" s="1"/>
      <c r="E31" s="1"/>
      <c r="F31" s="1"/>
      <c r="G31" s="1"/>
      <c r="H31" s="1"/>
      <c r="I31" s="1"/>
      <c r="J31" s="1"/>
      <c r="K31" s="1"/>
      <c r="L31" s="1"/>
      <c r="M31" s="1"/>
      <c r="N31" s="1"/>
      <c r="O31" s="1"/>
      <c r="P31" s="1"/>
      <c r="Q31" s="1"/>
    </row>
    <row r="32" spans="1:17">
      <c r="A32" s="1"/>
      <c r="B32" s="1"/>
      <c r="C32" s="1"/>
      <c r="D32" s="1"/>
      <c r="E32" s="1"/>
      <c r="F32" s="1"/>
      <c r="G32" s="1"/>
      <c r="H32" s="1"/>
      <c r="I32" s="1"/>
      <c r="J32" s="1"/>
      <c r="K32" s="1"/>
      <c r="L32" s="1"/>
      <c r="M32" s="1"/>
      <c r="N32" s="1"/>
      <c r="O32" s="1"/>
      <c r="P32" s="1"/>
      <c r="Q32" s="1"/>
    </row>
    <row r="33" spans="1:17">
      <c r="A33" s="1"/>
      <c r="B33" s="1"/>
      <c r="C33" s="1"/>
      <c r="D33" s="1"/>
      <c r="E33" s="1"/>
      <c r="F33" s="1"/>
      <c r="G33" s="1"/>
      <c r="H33" s="1"/>
      <c r="I33" s="1"/>
      <c r="J33" s="1"/>
      <c r="K33" s="1"/>
      <c r="L33" s="1"/>
      <c r="M33" s="1"/>
      <c r="N33" s="1"/>
      <c r="O33" s="1"/>
      <c r="P33" s="1"/>
      <c r="Q33" s="1"/>
    </row>
    <row r="34" spans="1:17">
      <c r="A34" s="1"/>
      <c r="B34" s="1"/>
      <c r="C34" s="1"/>
      <c r="D34" s="1"/>
      <c r="E34" s="1"/>
      <c r="F34" s="1"/>
      <c r="G34" s="1"/>
      <c r="H34" s="1"/>
      <c r="I34" s="1"/>
      <c r="J34" s="1"/>
      <c r="K34" s="1"/>
      <c r="L34" s="1"/>
      <c r="M34" s="1"/>
      <c r="N34" s="1"/>
      <c r="O34" s="1"/>
      <c r="P34" s="1"/>
      <c r="Q34" s="1"/>
    </row>
    <row r="35" spans="1:17">
      <c r="A35" s="1"/>
      <c r="B35" s="1"/>
      <c r="C35" s="1"/>
      <c r="D35" s="1"/>
      <c r="E35" s="1"/>
      <c r="F35" s="1"/>
      <c r="G35" s="1"/>
      <c r="H35" s="1"/>
      <c r="I35" s="1"/>
      <c r="J35" s="1"/>
      <c r="K35" s="1"/>
      <c r="L35" s="1"/>
      <c r="M35" s="1"/>
      <c r="N35" s="1"/>
      <c r="O35" s="1"/>
      <c r="P35" s="1"/>
      <c r="Q35" s="1"/>
    </row>
    <row r="36" spans="1:17">
      <c r="A36" s="1"/>
      <c r="B36" s="1"/>
      <c r="C36" s="1"/>
      <c r="D36" s="1"/>
      <c r="E36" s="1"/>
      <c r="F36" s="1"/>
      <c r="G36" s="1"/>
      <c r="H36" s="1"/>
      <c r="I36" s="1"/>
      <c r="J36" s="1"/>
      <c r="K36" s="1"/>
      <c r="L36" s="1"/>
      <c r="M36" s="1"/>
      <c r="N36" s="1"/>
      <c r="O36" s="1"/>
      <c r="P36" s="1"/>
      <c r="Q36" s="1"/>
    </row>
    <row r="37" spans="1:17">
      <c r="A37" s="1"/>
      <c r="B37" s="1"/>
      <c r="C37" s="1"/>
      <c r="D37" s="1"/>
      <c r="E37" s="1"/>
      <c r="F37" s="1"/>
      <c r="G37" s="1"/>
      <c r="H37" s="1"/>
      <c r="I37" s="1"/>
      <c r="J37" s="1"/>
      <c r="K37" s="1"/>
      <c r="L37" s="1"/>
      <c r="M37" s="1"/>
      <c r="N37" s="1"/>
      <c r="O37" s="1"/>
      <c r="P37" s="1"/>
      <c r="Q37" s="1"/>
    </row>
    <row r="38" spans="1:17">
      <c r="A38" s="1"/>
      <c r="B38" s="1"/>
      <c r="C38" s="1"/>
      <c r="D38" s="1"/>
      <c r="E38" s="1"/>
      <c r="F38" s="1"/>
      <c r="G38" s="1"/>
      <c r="H38" s="1"/>
      <c r="I38" s="1"/>
      <c r="J38" s="1"/>
      <c r="K38" s="1"/>
      <c r="L38" s="1"/>
      <c r="M38" s="1"/>
      <c r="N38" s="1"/>
      <c r="O38" s="1"/>
      <c r="P38" s="1"/>
      <c r="Q38" s="1"/>
    </row>
    <row r="39" spans="1:17">
      <c r="A39" s="1"/>
      <c r="B39" s="1"/>
      <c r="C39" s="1"/>
      <c r="D39" s="1"/>
      <c r="E39" s="1"/>
      <c r="F39" s="1"/>
      <c r="G39" s="1"/>
      <c r="H39" s="1"/>
      <c r="I39" s="1"/>
      <c r="J39" s="1"/>
      <c r="K39" s="1"/>
      <c r="L39" s="1"/>
      <c r="M39" s="1"/>
      <c r="N39" s="1"/>
      <c r="O39" s="1"/>
      <c r="P39" s="1"/>
      <c r="Q39" s="1"/>
    </row>
    <row r="40" spans="1:17">
      <c r="A40" s="1"/>
      <c r="B40" s="1"/>
      <c r="C40" s="1"/>
      <c r="D40" s="1"/>
      <c r="E40" s="1"/>
      <c r="F40" s="1"/>
      <c r="G40" s="1"/>
      <c r="H40" s="1"/>
      <c r="I40" s="1"/>
      <c r="J40" s="1"/>
      <c r="K40" s="1"/>
      <c r="L40" s="1"/>
      <c r="M40" s="1"/>
      <c r="N40" s="1"/>
      <c r="O40" s="1"/>
      <c r="P40" s="1"/>
      <c r="Q40" s="1"/>
    </row>
    <row r="41" spans="1:17">
      <c r="A41" s="1"/>
      <c r="B41" s="1"/>
      <c r="C41" s="1"/>
      <c r="D41" s="1"/>
      <c r="E41" s="1"/>
      <c r="F41" s="1"/>
      <c r="G41" s="1"/>
      <c r="H41" s="1"/>
      <c r="I41" s="1"/>
      <c r="J41" s="1"/>
      <c r="K41" s="1"/>
      <c r="L41" s="1"/>
      <c r="M41" s="1"/>
      <c r="N41" s="1"/>
      <c r="O41" s="1"/>
      <c r="P41" s="1"/>
      <c r="Q41" s="1"/>
    </row>
    <row r="42" spans="1:17">
      <c r="A42" s="1"/>
      <c r="B42" s="1"/>
      <c r="C42" s="1"/>
      <c r="D42" s="1"/>
      <c r="E42" s="1"/>
      <c r="F42" s="1"/>
      <c r="G42" s="1"/>
      <c r="H42" s="1"/>
      <c r="I42" s="1"/>
      <c r="J42" s="1"/>
      <c r="K42" s="1"/>
      <c r="L42" s="1"/>
      <c r="M42" s="1"/>
      <c r="N42" s="1"/>
      <c r="O42" s="1"/>
      <c r="P42" s="1"/>
      <c r="Q42" s="1"/>
    </row>
    <row r="43" spans="1:17">
      <c r="A43" s="1"/>
      <c r="B43" s="1"/>
      <c r="C43" s="1"/>
      <c r="D43" s="1"/>
      <c r="E43" s="1"/>
      <c r="F43" s="1"/>
      <c r="G43" s="1"/>
      <c r="H43" s="1"/>
      <c r="I43" s="1"/>
      <c r="J43" s="1"/>
      <c r="K43" s="1"/>
      <c r="L43" s="1"/>
      <c r="M43" s="1"/>
      <c r="N43" s="1"/>
      <c r="O43" s="1"/>
      <c r="P43" s="1"/>
      <c r="Q43" s="1"/>
    </row>
    <row r="44" spans="1:17">
      <c r="A44" s="1"/>
      <c r="B44" s="1"/>
      <c r="C44" s="1"/>
      <c r="D44" s="1"/>
      <c r="E44" s="1"/>
      <c r="F44" s="1"/>
      <c r="G44" s="1"/>
      <c r="H44" s="1"/>
      <c r="I44" s="1"/>
      <c r="J44" s="1"/>
      <c r="K44" s="1"/>
      <c r="L44" s="1"/>
      <c r="M44" s="1"/>
      <c r="N44" s="1"/>
      <c r="O44" s="1"/>
      <c r="P44" s="1"/>
      <c r="Q44" s="1"/>
    </row>
    <row r="45" spans="1:17">
      <c r="A45" s="1"/>
      <c r="B45" s="1"/>
      <c r="C45" s="1"/>
      <c r="D45" s="1"/>
      <c r="E45" s="1"/>
      <c r="F45" s="1"/>
      <c r="G45" s="1"/>
      <c r="H45" s="1"/>
      <c r="I45" s="1"/>
      <c r="J45" s="1"/>
      <c r="K45" s="1"/>
      <c r="L45" s="1"/>
      <c r="M45" s="1"/>
      <c r="N45" s="1"/>
      <c r="O45" s="1"/>
      <c r="P45" s="1"/>
      <c r="Q45" s="1"/>
    </row>
    <row r="46" spans="1:17">
      <c r="A46" s="1"/>
      <c r="B46" s="1"/>
      <c r="C46" s="1"/>
      <c r="D46" s="1"/>
      <c r="E46" s="1"/>
      <c r="F46" s="1"/>
      <c r="G46" s="1"/>
      <c r="H46" s="1"/>
      <c r="I46" s="1"/>
      <c r="J46" s="1"/>
      <c r="K46" s="1"/>
      <c r="L46" s="1"/>
      <c r="M46" s="1"/>
      <c r="N46" s="1"/>
      <c r="O46" s="1"/>
      <c r="P46" s="1"/>
      <c r="Q46" s="1"/>
    </row>
    <row r="47" spans="1:17">
      <c r="A47" s="1"/>
      <c r="B47" s="1"/>
      <c r="C47" s="1"/>
      <c r="D47" s="1"/>
      <c r="E47" s="1"/>
      <c r="F47" s="1"/>
      <c r="G47" s="1"/>
      <c r="H47" s="1"/>
      <c r="I47" s="1"/>
      <c r="J47" s="1"/>
      <c r="K47" s="1"/>
      <c r="L47" s="1"/>
      <c r="M47" s="1"/>
      <c r="N47" s="1"/>
      <c r="O47" s="1"/>
      <c r="P47" s="1"/>
      <c r="Q47" s="1"/>
    </row>
    <row r="48" spans="1:17">
      <c r="A48" s="1"/>
      <c r="B48" s="1"/>
      <c r="C48" s="1"/>
      <c r="D48" s="1"/>
      <c r="E48" s="1"/>
      <c r="F48" s="1"/>
      <c r="G48" s="1"/>
      <c r="H48" s="1"/>
      <c r="I48" s="1"/>
      <c r="J48" s="1"/>
      <c r="K48" s="1"/>
      <c r="L48" s="1"/>
      <c r="M48" s="1"/>
      <c r="N48" s="1"/>
      <c r="O48" s="1"/>
      <c r="P48" s="1"/>
      <c r="Q48" s="1"/>
    </row>
    <row r="49" spans="1:17">
      <c r="A49" s="1"/>
      <c r="B49" s="1"/>
      <c r="C49" s="1"/>
      <c r="D49" s="1"/>
      <c r="E49" s="1"/>
      <c r="F49" s="1"/>
      <c r="G49" s="1"/>
      <c r="H49" s="1"/>
      <c r="I49" s="1"/>
      <c r="J49" s="1"/>
      <c r="K49" s="1"/>
      <c r="L49" s="1"/>
      <c r="M49" s="1"/>
      <c r="N49" s="1"/>
      <c r="O49" s="1"/>
      <c r="P49" s="1"/>
      <c r="Q49" s="1"/>
    </row>
    <row r="50" spans="1:17">
      <c r="A50" s="1"/>
      <c r="B50" s="1"/>
      <c r="C50" s="1"/>
      <c r="D50" s="1"/>
      <c r="E50" s="1"/>
      <c r="F50" s="1"/>
      <c r="G50" s="1"/>
      <c r="H50" s="1"/>
      <c r="I50" s="1"/>
      <c r="J50" s="1"/>
      <c r="K50" s="1"/>
      <c r="L50" s="1"/>
      <c r="M50" s="1"/>
      <c r="N50" s="1"/>
      <c r="O50" s="1"/>
      <c r="P50" s="1"/>
      <c r="Q50" s="1"/>
    </row>
    <row r="51" spans="1:17">
      <c r="A51" s="1"/>
      <c r="B51" s="1"/>
      <c r="C51" s="1"/>
      <c r="D51" s="1"/>
      <c r="E51" s="1"/>
      <c r="F51" s="1"/>
      <c r="G51" s="1"/>
      <c r="H51" s="1"/>
      <c r="I51" s="1"/>
      <c r="J51" s="1"/>
      <c r="K51" s="1"/>
      <c r="L51" s="1"/>
      <c r="M51" s="1"/>
      <c r="N51" s="1"/>
      <c r="O51" s="1"/>
      <c r="P51" s="1"/>
      <c r="Q51" s="1"/>
    </row>
    <row r="52" spans="1:17">
      <c r="A52" s="1"/>
      <c r="B52" s="1"/>
      <c r="C52" s="1"/>
      <c r="D52" s="1"/>
      <c r="E52" s="1"/>
      <c r="F52" s="1"/>
      <c r="G52" s="1"/>
      <c r="H52" s="1"/>
      <c r="I52" s="1"/>
      <c r="J52" s="1"/>
      <c r="K52" s="1"/>
      <c r="L52" s="1"/>
      <c r="M52" s="1"/>
      <c r="N52" s="1"/>
      <c r="O52" s="1"/>
      <c r="P52" s="1"/>
      <c r="Q52" s="1"/>
    </row>
    <row r="53" spans="1:17">
      <c r="A53" s="1"/>
      <c r="B53" s="1"/>
      <c r="C53" s="1"/>
      <c r="D53" s="1"/>
      <c r="E53" s="1"/>
      <c r="F53" s="1"/>
      <c r="G53" s="1"/>
      <c r="H53" s="1"/>
      <c r="I53" s="1"/>
      <c r="J53" s="1"/>
      <c r="K53" s="1"/>
      <c r="L53" s="1"/>
      <c r="M53" s="1"/>
      <c r="N53" s="1"/>
      <c r="O53" s="1"/>
      <c r="P53" s="1"/>
      <c r="Q53" s="1"/>
    </row>
    <row r="54" spans="1:17">
      <c r="A54" s="1"/>
      <c r="B54" s="1"/>
      <c r="C54" s="1"/>
      <c r="D54" s="1"/>
      <c r="E54" s="1"/>
      <c r="F54" s="1"/>
      <c r="G54" s="1"/>
      <c r="H54" s="1"/>
      <c r="I54" s="1"/>
      <c r="J54" s="1"/>
      <c r="K54" s="1"/>
      <c r="L54" s="1"/>
      <c r="M54" s="1"/>
      <c r="N54" s="1"/>
      <c r="O54" s="1"/>
      <c r="P54" s="1"/>
      <c r="Q54" s="1"/>
    </row>
    <row r="55" spans="1:17">
      <c r="A55" s="1"/>
      <c r="B55" s="1"/>
      <c r="C55" s="1"/>
      <c r="D55" s="1"/>
      <c r="E55" s="1"/>
      <c r="F55" s="1"/>
      <c r="G55" s="1"/>
      <c r="H55" s="1"/>
      <c r="I55" s="1"/>
      <c r="J55" s="1"/>
      <c r="K55" s="1"/>
      <c r="L55" s="1"/>
      <c r="M55" s="1"/>
      <c r="N55" s="1"/>
      <c r="O55" s="1"/>
      <c r="P55" s="1"/>
      <c r="Q55" s="1"/>
    </row>
    <row r="56" spans="1:17">
      <c r="A56" s="1"/>
      <c r="B56" s="1"/>
      <c r="C56" s="1"/>
      <c r="D56" s="1"/>
      <c r="E56" s="1"/>
      <c r="F56" s="1"/>
      <c r="G56" s="1"/>
      <c r="H56" s="1"/>
      <c r="I56" s="1"/>
      <c r="J56" s="1"/>
      <c r="K56" s="1"/>
      <c r="L56" s="1"/>
      <c r="M56" s="1"/>
      <c r="N56" s="1"/>
      <c r="O56" s="1"/>
      <c r="P56" s="1"/>
      <c r="Q56" s="1"/>
    </row>
    <row r="57" spans="1:17">
      <c r="A57" s="1"/>
      <c r="B57" s="1"/>
      <c r="C57" s="1"/>
      <c r="D57" s="1"/>
      <c r="E57" s="1"/>
      <c r="F57" s="1"/>
      <c r="G57" s="1"/>
      <c r="H57" s="1"/>
      <c r="I57" s="1"/>
      <c r="J57" s="1"/>
      <c r="K57" s="1"/>
      <c r="L57" s="1"/>
      <c r="M57" s="1"/>
      <c r="N57" s="1"/>
      <c r="O57" s="1"/>
      <c r="P57" s="1"/>
      <c r="Q57" s="1"/>
    </row>
    <row r="58" spans="1:17">
      <c r="A58" s="1"/>
      <c r="B58" s="1"/>
      <c r="C58" s="1"/>
      <c r="D58" s="1"/>
      <c r="E58" s="1"/>
      <c r="F58" s="1"/>
      <c r="G58" s="1"/>
      <c r="H58" s="1"/>
      <c r="I58" s="1"/>
      <c r="J58" s="1"/>
      <c r="K58" s="1"/>
      <c r="L58" s="1"/>
      <c r="M58" s="1"/>
      <c r="N58" s="1"/>
      <c r="O58" s="1"/>
      <c r="P58" s="1"/>
      <c r="Q58" s="1"/>
    </row>
    <row r="59" spans="1:17">
      <c r="A59" s="1"/>
      <c r="B59" s="1"/>
      <c r="C59" s="1"/>
      <c r="D59" s="1"/>
      <c r="E59" s="1"/>
      <c r="F59" s="1"/>
      <c r="G59" s="1"/>
      <c r="H59" s="1"/>
      <c r="I59" s="1"/>
      <c r="J59" s="1"/>
      <c r="K59" s="1"/>
      <c r="L59" s="1"/>
      <c r="M59" s="1"/>
      <c r="N59" s="1"/>
      <c r="O59" s="1"/>
      <c r="P59" s="1"/>
      <c r="Q59" s="1"/>
    </row>
    <row r="60" spans="1:17">
      <c r="A60" s="1"/>
      <c r="B60" s="1"/>
      <c r="C60" s="1"/>
      <c r="D60" s="1"/>
      <c r="E60" s="1"/>
      <c r="F60" s="1"/>
      <c r="G60" s="1"/>
      <c r="H60" s="1"/>
      <c r="I60" s="1"/>
      <c r="J60" s="1"/>
      <c r="K60" s="1"/>
      <c r="L60" s="1"/>
      <c r="M60" s="1"/>
      <c r="N60" s="1"/>
      <c r="O60" s="1"/>
      <c r="P60" s="1"/>
      <c r="Q60" s="1"/>
    </row>
    <row r="61" spans="1:17">
      <c r="A61" s="1"/>
      <c r="B61" s="1"/>
      <c r="C61" s="1"/>
      <c r="D61" s="1"/>
      <c r="E61" s="1"/>
      <c r="F61" s="1"/>
      <c r="G61" s="1"/>
      <c r="H61" s="1"/>
      <c r="I61" s="1"/>
      <c r="J61" s="1"/>
      <c r="K61" s="1"/>
      <c r="L61" s="1"/>
      <c r="M61" s="1"/>
      <c r="N61" s="1"/>
      <c r="O61" s="1"/>
      <c r="P61" s="1"/>
      <c r="Q61" s="1"/>
    </row>
    <row r="62" spans="1:17">
      <c r="A62" s="1"/>
      <c r="B62" s="1"/>
      <c r="C62" s="1"/>
      <c r="D62" s="1"/>
      <c r="E62" s="1"/>
      <c r="F62" s="1"/>
      <c r="G62" s="1"/>
      <c r="H62" s="1"/>
      <c r="I62" s="1"/>
      <c r="J62" s="1"/>
      <c r="K62" s="1"/>
      <c r="L62" s="1"/>
      <c r="M62" s="1"/>
      <c r="N62" s="1"/>
      <c r="O62" s="1"/>
      <c r="P62" s="1"/>
      <c r="Q62" s="1"/>
    </row>
    <row r="63" spans="1:17">
      <c r="A63" s="1"/>
      <c r="B63" s="1"/>
      <c r="C63" s="1"/>
      <c r="D63" s="1"/>
      <c r="E63" s="1"/>
      <c r="F63" s="1"/>
      <c r="G63" s="1"/>
      <c r="H63" s="1"/>
      <c r="I63" s="1"/>
      <c r="J63" s="1"/>
      <c r="K63" s="1"/>
      <c r="L63" s="1"/>
      <c r="M63" s="1"/>
      <c r="N63" s="1"/>
      <c r="O63" s="1"/>
      <c r="P63" s="1"/>
      <c r="Q63" s="1"/>
    </row>
    <row r="64" spans="1:17">
      <c r="A64" s="1"/>
      <c r="B64" s="1"/>
      <c r="C64" s="1"/>
      <c r="D64" s="1"/>
      <c r="E64" s="1"/>
      <c r="F64" s="1"/>
      <c r="G64" s="1"/>
      <c r="H64" s="1"/>
      <c r="I64" s="1"/>
      <c r="J64" s="1"/>
      <c r="K64" s="1"/>
      <c r="L64" s="1"/>
      <c r="M64" s="1"/>
      <c r="N64" s="1"/>
      <c r="O64" s="1"/>
      <c r="P64" s="1"/>
      <c r="Q64" s="1"/>
    </row>
    <row r="65" spans="1:17">
      <c r="A65" s="1"/>
      <c r="B65" s="1"/>
      <c r="C65" s="1"/>
      <c r="D65" s="1"/>
      <c r="E65" s="1"/>
      <c r="F65" s="1"/>
      <c r="G65" s="1"/>
      <c r="H65" s="1"/>
      <c r="I65" s="1"/>
      <c r="J65" s="1"/>
      <c r="K65" s="1"/>
      <c r="L65" s="1"/>
      <c r="M65" s="1"/>
      <c r="N65" s="1"/>
      <c r="O65" s="1"/>
      <c r="P65" s="1"/>
      <c r="Q65" s="1"/>
    </row>
    <row r="66" spans="1:17">
      <c r="A66" s="1"/>
      <c r="B66" s="1"/>
      <c r="C66" s="1"/>
      <c r="D66" s="1"/>
      <c r="E66" s="1"/>
      <c r="F66" s="1"/>
      <c r="G66" s="1"/>
      <c r="H66" s="1"/>
      <c r="I66" s="1"/>
      <c r="J66" s="1"/>
      <c r="K66" s="1"/>
      <c r="L66" s="1"/>
      <c r="M66" s="1"/>
      <c r="N66" s="1"/>
      <c r="O66" s="1"/>
      <c r="P66" s="1"/>
      <c r="Q66" s="1"/>
    </row>
    <row r="67" spans="1:17">
      <c r="A67" s="1"/>
      <c r="B67" s="1"/>
      <c r="C67" s="1"/>
      <c r="D67" s="1"/>
      <c r="E67" s="1"/>
      <c r="F67" s="1"/>
      <c r="G67" s="1"/>
      <c r="H67" s="1"/>
      <c r="I67" s="1"/>
      <c r="J67" s="1"/>
      <c r="K67" s="1"/>
      <c r="L67" s="1"/>
      <c r="M67" s="1"/>
      <c r="N67" s="1"/>
      <c r="O67" s="1"/>
      <c r="P67" s="1"/>
      <c r="Q67" s="1"/>
    </row>
    <row r="68" spans="1:17">
      <c r="A68" s="1"/>
      <c r="B68" s="1"/>
      <c r="C68" s="1"/>
      <c r="D68" s="1"/>
      <c r="E68" s="1"/>
      <c r="F68" s="1"/>
      <c r="G68" s="1"/>
      <c r="H68" s="1"/>
      <c r="I68" s="1"/>
      <c r="J68" s="1"/>
      <c r="K68" s="1"/>
      <c r="L68" s="1"/>
      <c r="M68" s="1"/>
      <c r="N68" s="1"/>
      <c r="O68" s="1"/>
      <c r="P68" s="1"/>
      <c r="Q68" s="1"/>
    </row>
    <row r="69" spans="1:17">
      <c r="A69" s="1"/>
      <c r="B69" s="1"/>
      <c r="C69" s="1"/>
      <c r="D69" s="1"/>
      <c r="E69" s="1"/>
      <c r="F69" s="1"/>
      <c r="G69" s="1"/>
      <c r="H69" s="1"/>
      <c r="I69" s="1"/>
      <c r="J69" s="1"/>
      <c r="K69" s="1"/>
      <c r="L69" s="1"/>
      <c r="M69" s="1"/>
      <c r="N69" s="1"/>
      <c r="O69" s="1"/>
      <c r="P69" s="1"/>
      <c r="Q69" s="1"/>
    </row>
    <row r="70" spans="1:17">
      <c r="A70" s="1"/>
      <c r="B70" s="1"/>
      <c r="C70" s="1"/>
      <c r="D70" s="1"/>
      <c r="E70" s="1"/>
      <c r="F70" s="1"/>
      <c r="G70" s="1"/>
      <c r="H70" s="1"/>
      <c r="I70" s="1"/>
      <c r="J70" s="1"/>
      <c r="K70" s="1"/>
      <c r="L70" s="1"/>
      <c r="M70" s="1"/>
      <c r="N70" s="1"/>
      <c r="O70" s="1"/>
      <c r="P70" s="1"/>
      <c r="Q70" s="1"/>
    </row>
    <row r="71" spans="1:17">
      <c r="A71" s="1"/>
      <c r="B71" s="1"/>
      <c r="C71" s="1"/>
      <c r="D71" s="1"/>
      <c r="E71" s="1"/>
      <c r="F71" s="1"/>
      <c r="G71" s="1"/>
      <c r="H71" s="1"/>
      <c r="I71" s="1"/>
      <c r="J71" s="1"/>
      <c r="K71" s="1"/>
      <c r="L71" s="1"/>
      <c r="M71" s="1"/>
      <c r="N71" s="1"/>
      <c r="O71" s="1"/>
      <c r="P71" s="1"/>
      <c r="Q71" s="1"/>
    </row>
    <row r="72" spans="1:17">
      <c r="A72" s="1"/>
      <c r="B72" s="1"/>
      <c r="C72" s="1"/>
      <c r="D72" s="1"/>
      <c r="E72" s="1"/>
      <c r="F72" s="1"/>
      <c r="G72" s="1"/>
      <c r="H72" s="1"/>
      <c r="I72" s="1"/>
      <c r="J72" s="1"/>
      <c r="K72" s="1"/>
      <c r="L72" s="1"/>
      <c r="M72" s="1"/>
      <c r="N72" s="1"/>
      <c r="O72" s="1"/>
      <c r="P72" s="1"/>
      <c r="Q72" s="1"/>
    </row>
    <row r="73" spans="1:17">
      <c r="A73" s="1"/>
      <c r="B73" s="1"/>
      <c r="C73" s="1"/>
      <c r="D73" s="1"/>
      <c r="E73" s="1"/>
      <c r="F73" s="1"/>
      <c r="G73" s="1"/>
      <c r="H73" s="1"/>
      <c r="I73" s="1"/>
      <c r="J73" s="1"/>
      <c r="K73" s="1"/>
      <c r="L73" s="1"/>
      <c r="M73" s="1"/>
      <c r="N73" s="1"/>
      <c r="O73" s="1"/>
      <c r="P73" s="1"/>
      <c r="Q73" s="1"/>
    </row>
    <row r="74" spans="1:17">
      <c r="A74" s="1"/>
      <c r="B74" s="1"/>
      <c r="C74" s="1"/>
      <c r="D74" s="1"/>
      <c r="E74" s="1"/>
      <c r="F74" s="1"/>
      <c r="G74" s="1"/>
      <c r="H74" s="1"/>
      <c r="I74" s="1"/>
      <c r="J74" s="1"/>
      <c r="K74" s="1"/>
      <c r="L74" s="1"/>
      <c r="M74" s="1"/>
      <c r="N74" s="1"/>
      <c r="O74" s="1"/>
      <c r="P74" s="1"/>
      <c r="Q74" s="1"/>
    </row>
    <row r="75" spans="1:17">
      <c r="A75" s="1"/>
      <c r="B75" s="1"/>
      <c r="C75" s="1"/>
      <c r="D75" s="1"/>
      <c r="E75" s="1"/>
      <c r="F75" s="1"/>
      <c r="G75" s="1"/>
      <c r="H75" s="1"/>
      <c r="I75" s="1"/>
      <c r="J75" s="1"/>
      <c r="K75" s="1"/>
      <c r="L75" s="1"/>
      <c r="M75" s="1"/>
      <c r="N75" s="1"/>
      <c r="O75" s="1"/>
      <c r="P75" s="1"/>
      <c r="Q75" s="1"/>
    </row>
    <row r="76" spans="1:17">
      <c r="A76" s="1"/>
      <c r="B76" s="1"/>
      <c r="C76" s="1"/>
      <c r="D76" s="1"/>
      <c r="E76" s="1"/>
      <c r="F76" s="1"/>
      <c r="G76" s="1"/>
      <c r="H76" s="1"/>
      <c r="I76" s="1"/>
      <c r="J76" s="1"/>
      <c r="K76" s="1"/>
      <c r="L76" s="1"/>
      <c r="M76" s="1"/>
      <c r="N76" s="1"/>
      <c r="O76" s="1"/>
      <c r="P76" s="1"/>
      <c r="Q76" s="1"/>
    </row>
    <row r="77" spans="1:17">
      <c r="A77" s="1"/>
      <c r="B77" s="1"/>
      <c r="C77" s="1"/>
      <c r="D77" s="1"/>
      <c r="E77" s="1"/>
      <c r="F77" s="1"/>
      <c r="G77" s="1"/>
      <c r="H77" s="1"/>
      <c r="I77" s="1"/>
      <c r="J77" s="1"/>
      <c r="K77" s="1"/>
      <c r="L77" s="1"/>
      <c r="M77" s="1"/>
      <c r="N77" s="1"/>
      <c r="O77" s="1"/>
      <c r="P77" s="1"/>
      <c r="Q77" s="1"/>
    </row>
    <row r="78" spans="1:17">
      <c r="A78" s="1"/>
      <c r="B78" s="1"/>
      <c r="C78" s="1"/>
      <c r="D78" s="1"/>
      <c r="E78" s="1"/>
      <c r="F78" s="1"/>
      <c r="G78" s="1"/>
      <c r="H78" s="1"/>
      <c r="I78" s="1"/>
      <c r="J78" s="1"/>
      <c r="K78" s="1"/>
      <c r="L78" s="1"/>
      <c r="M78" s="1"/>
      <c r="N78" s="1"/>
      <c r="O78" s="1"/>
      <c r="P78" s="1"/>
      <c r="Q78" s="1"/>
    </row>
    <row r="79" spans="1:17">
      <c r="A79" s="1"/>
      <c r="B79" s="1"/>
      <c r="C79" s="1"/>
      <c r="D79" s="1"/>
      <c r="E79" s="1"/>
      <c r="F79" s="1"/>
      <c r="G79" s="1"/>
      <c r="H79" s="1"/>
      <c r="I79" s="1"/>
      <c r="J79" s="1"/>
      <c r="K79" s="1"/>
      <c r="L79" s="1"/>
      <c r="M79" s="1"/>
      <c r="N79" s="1"/>
      <c r="O79" s="1"/>
      <c r="P79" s="1"/>
      <c r="Q79" s="1"/>
    </row>
    <row r="80" spans="1:17">
      <c r="A80" s="1"/>
      <c r="B80" s="1"/>
      <c r="C80" s="1"/>
      <c r="D80" s="1"/>
      <c r="E80" s="1"/>
      <c r="F80" s="1"/>
      <c r="G80" s="1"/>
      <c r="H80" s="1"/>
      <c r="I80" s="1"/>
      <c r="J80" s="1"/>
      <c r="K80" s="1"/>
      <c r="L80" s="1"/>
      <c r="M80" s="1"/>
      <c r="N80" s="1"/>
      <c r="O80" s="1"/>
      <c r="P80" s="1"/>
      <c r="Q80" s="1"/>
    </row>
    <row r="81" spans="1:17">
      <c r="A81" s="1"/>
      <c r="B81" s="1"/>
      <c r="C81" s="1"/>
      <c r="D81" s="1"/>
      <c r="E81" s="1"/>
      <c r="F81" s="1"/>
      <c r="G81" s="1"/>
      <c r="H81" s="1"/>
      <c r="I81" s="1"/>
      <c r="J81" s="1"/>
      <c r="K81" s="1"/>
      <c r="L81" s="1"/>
      <c r="M81" s="1"/>
      <c r="N81" s="1"/>
      <c r="O81" s="1"/>
      <c r="P81" s="1"/>
      <c r="Q81" s="1"/>
    </row>
    <row r="82" spans="1:17">
      <c r="A82" s="1"/>
      <c r="B82" s="1"/>
      <c r="C82" s="1"/>
      <c r="D82" s="1"/>
      <c r="E82" s="1"/>
      <c r="F82" s="1"/>
      <c r="G82" s="1"/>
      <c r="H82" s="1"/>
      <c r="I82" s="1"/>
      <c r="J82" s="1"/>
      <c r="K82" s="1"/>
      <c r="L82" s="1"/>
      <c r="M82" s="1"/>
      <c r="N82" s="1"/>
      <c r="O82" s="1"/>
      <c r="P82" s="1"/>
      <c r="Q82" s="1"/>
    </row>
    <row r="83" spans="1:17">
      <c r="A83" s="1"/>
      <c r="B83" s="1"/>
      <c r="C83" s="1"/>
      <c r="D83" s="1"/>
      <c r="E83" s="1"/>
      <c r="F83" s="1"/>
      <c r="G83" s="1"/>
      <c r="H83" s="1"/>
      <c r="I83" s="1"/>
      <c r="J83" s="1"/>
      <c r="K83" s="1"/>
      <c r="L83" s="1"/>
      <c r="M83" s="1"/>
      <c r="N83" s="1"/>
      <c r="O83" s="1"/>
      <c r="P83" s="1"/>
      <c r="Q83" s="1"/>
    </row>
    <row r="84" spans="1:17">
      <c r="A84" s="1"/>
      <c r="B84" s="1"/>
      <c r="C84" s="1"/>
      <c r="D84" s="1"/>
      <c r="E84" s="1"/>
      <c r="F84" s="1"/>
      <c r="G84" s="1"/>
      <c r="H84" s="1"/>
      <c r="I84" s="1"/>
      <c r="J84" s="1"/>
      <c r="K84" s="1"/>
      <c r="L84" s="1"/>
      <c r="M84" s="1"/>
      <c r="N84" s="1"/>
      <c r="O84" s="1"/>
      <c r="P84" s="1"/>
      <c r="Q84" s="1"/>
    </row>
    <row r="85" spans="1:17">
      <c r="A85" s="1"/>
      <c r="B85" s="1"/>
      <c r="C85" s="1"/>
      <c r="D85" s="1"/>
      <c r="E85" s="1"/>
      <c r="F85" s="1"/>
      <c r="G85" s="1"/>
      <c r="H85" s="1"/>
      <c r="I85" s="1"/>
      <c r="J85" s="1"/>
      <c r="K85" s="1"/>
      <c r="L85" s="1"/>
      <c r="M85" s="1"/>
      <c r="N85" s="1"/>
      <c r="O85" s="1"/>
      <c r="P85" s="1"/>
      <c r="Q85" s="1"/>
    </row>
    <row r="86" spans="1:17">
      <c r="A86" s="1"/>
      <c r="B86" s="1"/>
      <c r="C86" s="1"/>
      <c r="D86" s="1"/>
      <c r="E86" s="1"/>
      <c r="F86" s="1"/>
      <c r="G86" s="1"/>
      <c r="H86" s="1"/>
      <c r="I86" s="1"/>
      <c r="J86" s="1"/>
      <c r="K86" s="1"/>
      <c r="L86" s="1"/>
      <c r="M86" s="1"/>
      <c r="N86" s="1"/>
      <c r="O86" s="1"/>
      <c r="P86" s="1"/>
      <c r="Q86" s="1"/>
    </row>
    <row r="87" spans="1:17">
      <c r="A87" s="1"/>
      <c r="B87" s="1"/>
      <c r="C87" s="1"/>
      <c r="D87" s="1"/>
      <c r="E87" s="1"/>
      <c r="F87" s="1"/>
      <c r="G87" s="1"/>
      <c r="H87" s="1"/>
      <c r="I87" s="1"/>
      <c r="J87" s="1"/>
      <c r="K87" s="1"/>
      <c r="L87" s="1"/>
      <c r="M87" s="1"/>
      <c r="N87" s="1"/>
      <c r="O87" s="1"/>
      <c r="P87" s="1"/>
      <c r="Q87" s="1"/>
    </row>
    <row r="88" spans="1:17">
      <c r="A88" s="1"/>
      <c r="B88" s="1"/>
      <c r="C88" s="1"/>
      <c r="D88" s="1"/>
      <c r="E88" s="1"/>
      <c r="F88" s="1"/>
      <c r="G88" s="1"/>
      <c r="H88" s="1"/>
      <c r="I88" s="1"/>
      <c r="J88" s="1"/>
      <c r="K88" s="1"/>
      <c r="L88" s="1"/>
      <c r="M88" s="1"/>
      <c r="N88" s="1"/>
      <c r="O88" s="1"/>
      <c r="P88" s="1"/>
      <c r="Q88" s="1"/>
    </row>
    <row r="89" spans="1:17">
      <c r="A89" s="1"/>
      <c r="B89" s="1"/>
      <c r="C89" s="1"/>
      <c r="D89" s="1"/>
      <c r="E89" s="1"/>
      <c r="F89" s="1"/>
      <c r="G89" s="1"/>
      <c r="H89" s="1"/>
      <c r="I89" s="1"/>
      <c r="J89" s="1"/>
      <c r="K89" s="1"/>
      <c r="L89" s="1"/>
      <c r="M89" s="1"/>
      <c r="N89" s="1"/>
      <c r="O89" s="1"/>
      <c r="P89" s="1"/>
      <c r="Q89" s="1"/>
    </row>
    <row r="90" spans="1:17">
      <c r="A90" s="1"/>
      <c r="B90" s="1"/>
      <c r="C90" s="1"/>
      <c r="D90" s="1"/>
      <c r="E90" s="1"/>
      <c r="F90" s="1"/>
      <c r="G90" s="1"/>
      <c r="H90" s="1"/>
      <c r="I90" s="1"/>
      <c r="J90" s="1"/>
      <c r="K90" s="1"/>
      <c r="L90" s="1"/>
      <c r="M90" s="1"/>
      <c r="N90" s="1"/>
      <c r="O90" s="1"/>
      <c r="P90" s="1"/>
      <c r="Q90" s="1"/>
    </row>
    <row r="91" spans="1:17">
      <c r="A91" s="1"/>
      <c r="B91" s="1"/>
      <c r="C91" s="1"/>
      <c r="D91" s="1"/>
      <c r="E91" s="1"/>
      <c r="F91" s="1"/>
      <c r="G91" s="1"/>
      <c r="H91" s="1"/>
      <c r="I91" s="1"/>
      <c r="J91" s="1"/>
      <c r="K91" s="1"/>
      <c r="L91" s="1"/>
      <c r="M91" s="1"/>
      <c r="N91" s="1"/>
      <c r="O91" s="1"/>
      <c r="P91" s="1"/>
      <c r="Q91" s="1"/>
    </row>
    <row r="92" spans="1:17">
      <c r="A92" s="1"/>
      <c r="B92" s="1"/>
      <c r="C92" s="1"/>
      <c r="D92" s="1"/>
      <c r="E92" s="1"/>
      <c r="F92" s="1"/>
      <c r="G92" s="1"/>
      <c r="H92" s="1"/>
      <c r="I92" s="1"/>
      <c r="J92" s="1"/>
      <c r="K92" s="1"/>
      <c r="L92" s="1"/>
      <c r="M92" s="1"/>
      <c r="N92" s="1"/>
      <c r="O92" s="1"/>
      <c r="P92" s="1"/>
      <c r="Q92" s="1"/>
    </row>
    <row r="93" spans="1:17">
      <c r="A93" s="1"/>
      <c r="B93" s="1"/>
      <c r="C93" s="1"/>
      <c r="D93" s="1"/>
      <c r="E93" s="1"/>
      <c r="F93" s="1"/>
      <c r="G93" s="1"/>
      <c r="H93" s="1"/>
      <c r="I93" s="1"/>
      <c r="J93" s="1"/>
      <c r="K93" s="1"/>
      <c r="L93" s="1"/>
      <c r="M93" s="1"/>
      <c r="N93" s="1"/>
      <c r="O93" s="1"/>
      <c r="P93" s="1"/>
      <c r="Q93" s="1"/>
    </row>
    <row r="94" spans="1:17">
      <c r="A94" s="1"/>
      <c r="B94" s="1"/>
      <c r="C94" s="1"/>
      <c r="D94" s="1"/>
      <c r="E94" s="1"/>
      <c r="F94" s="1"/>
      <c r="G94" s="1"/>
      <c r="H94" s="1"/>
      <c r="I94" s="1"/>
      <c r="J94" s="1"/>
      <c r="K94" s="1"/>
      <c r="L94" s="1"/>
      <c r="M94" s="1"/>
      <c r="N94" s="1"/>
      <c r="O94" s="1"/>
      <c r="P94" s="1"/>
      <c r="Q94" s="1"/>
    </row>
    <row r="95" spans="1:17">
      <c r="A95" s="1"/>
      <c r="B95" s="1"/>
      <c r="C95" s="1"/>
      <c r="D95" s="1"/>
      <c r="E95" s="1"/>
      <c r="F95" s="1"/>
      <c r="G95" s="1"/>
      <c r="H95" s="1"/>
      <c r="I95" s="1"/>
      <c r="J95" s="1"/>
      <c r="K95" s="1"/>
      <c r="L95" s="1"/>
      <c r="M95" s="1"/>
      <c r="N95" s="1"/>
      <c r="O95" s="1"/>
      <c r="P95" s="1"/>
      <c r="Q95" s="1"/>
    </row>
    <row r="96" spans="1:17">
      <c r="A96" s="1"/>
      <c r="B96" s="1"/>
      <c r="C96" s="1"/>
      <c r="D96" s="1"/>
      <c r="E96" s="1"/>
      <c r="F96" s="1"/>
      <c r="G96" s="1"/>
      <c r="H96" s="1"/>
      <c r="I96" s="1"/>
      <c r="J96" s="1"/>
      <c r="K96" s="1"/>
      <c r="L96" s="1"/>
      <c r="M96" s="1"/>
      <c r="N96" s="1"/>
      <c r="O96" s="1"/>
      <c r="P96" s="1"/>
      <c r="Q96" s="1"/>
    </row>
    <row r="97" spans="1:17">
      <c r="A97" s="1"/>
      <c r="B97" s="1"/>
      <c r="C97" s="1"/>
      <c r="D97" s="1"/>
      <c r="E97" s="1"/>
      <c r="F97" s="1"/>
      <c r="G97" s="1"/>
      <c r="H97" s="1"/>
      <c r="I97" s="1"/>
      <c r="J97" s="1"/>
      <c r="K97" s="1"/>
      <c r="L97" s="1"/>
      <c r="M97" s="1"/>
      <c r="N97" s="1"/>
      <c r="O97" s="1"/>
      <c r="P97" s="1"/>
      <c r="Q97" s="1"/>
    </row>
    <row r="98" spans="1:17">
      <c r="A98" s="1"/>
      <c r="B98" s="1"/>
      <c r="C98" s="1"/>
      <c r="D98" s="1"/>
      <c r="E98" s="1"/>
      <c r="F98" s="1"/>
      <c r="G98" s="1"/>
      <c r="H98" s="1"/>
      <c r="I98" s="1"/>
      <c r="J98" s="1"/>
      <c r="K98" s="1"/>
      <c r="L98" s="1"/>
      <c r="M98" s="1"/>
      <c r="N98" s="1"/>
      <c r="O98" s="1"/>
      <c r="P98" s="1"/>
      <c r="Q98" s="1"/>
    </row>
    <row r="99" spans="1:17">
      <c r="A99" s="1"/>
      <c r="B99" s="1"/>
      <c r="C99" s="1"/>
      <c r="D99" s="1"/>
      <c r="E99" s="1"/>
      <c r="F99" s="1"/>
      <c r="G99" s="1"/>
      <c r="H99" s="1"/>
      <c r="I99" s="1"/>
      <c r="J99" s="1"/>
      <c r="K99" s="1"/>
      <c r="L99" s="1"/>
      <c r="M99" s="1"/>
      <c r="N99" s="1"/>
      <c r="O99" s="1"/>
      <c r="P99" s="1"/>
      <c r="Q99" s="1"/>
    </row>
    <row r="100" spans="1:17">
      <c r="A100" s="1"/>
      <c r="B100" s="1"/>
      <c r="C100" s="1"/>
      <c r="D100" s="1"/>
      <c r="E100" s="1"/>
      <c r="F100" s="1"/>
      <c r="G100" s="1"/>
      <c r="H100" s="1"/>
      <c r="I100" s="1"/>
      <c r="J100" s="1"/>
      <c r="K100" s="1"/>
      <c r="L100" s="1"/>
      <c r="M100" s="1"/>
      <c r="N100" s="1"/>
      <c r="O100" s="1"/>
      <c r="P100" s="1"/>
      <c r="Q100" s="1"/>
    </row>
    <row r="101" spans="1:17">
      <c r="A101" s="1"/>
      <c r="B101" s="1"/>
      <c r="C101" s="1"/>
      <c r="D101" s="1"/>
      <c r="E101" s="1"/>
      <c r="F101" s="1"/>
      <c r="G101" s="1"/>
      <c r="H101" s="1"/>
      <c r="I101" s="1"/>
      <c r="J101" s="1"/>
      <c r="K101" s="1"/>
      <c r="L101" s="1"/>
      <c r="M101" s="1"/>
      <c r="N101" s="1"/>
      <c r="O101" s="1"/>
      <c r="P101" s="1"/>
      <c r="Q101" s="1"/>
    </row>
    <row r="102" spans="1:17">
      <c r="A102" s="1"/>
      <c r="B102" s="1"/>
      <c r="C102" s="1"/>
      <c r="D102" s="1"/>
      <c r="E102" s="1"/>
      <c r="F102" s="1"/>
      <c r="G102" s="1"/>
      <c r="H102" s="1"/>
      <c r="I102" s="1"/>
      <c r="J102" s="1"/>
      <c r="K102" s="1"/>
      <c r="L102" s="1"/>
      <c r="M102" s="1"/>
      <c r="N102" s="1"/>
      <c r="O102" s="1"/>
      <c r="P102" s="1"/>
      <c r="Q102" s="1"/>
    </row>
    <row r="103" spans="1:17">
      <c r="A103" s="1"/>
      <c r="B103" s="1"/>
      <c r="C103" s="1"/>
      <c r="D103" s="1"/>
      <c r="E103" s="1"/>
      <c r="F103" s="1"/>
      <c r="G103" s="1"/>
      <c r="H103" s="1"/>
      <c r="I103" s="1"/>
      <c r="J103" s="1"/>
      <c r="K103" s="1"/>
      <c r="L103" s="1"/>
      <c r="M103" s="1"/>
      <c r="N103" s="1"/>
      <c r="O103" s="1"/>
      <c r="P103" s="1"/>
      <c r="Q103" s="1"/>
    </row>
    <row r="104" spans="1:17">
      <c r="A104" s="1"/>
      <c r="B104" s="1"/>
      <c r="C104" s="1"/>
      <c r="D104" s="1"/>
      <c r="E104" s="1"/>
      <c r="F104" s="1"/>
      <c r="G104" s="1"/>
      <c r="H104" s="1"/>
      <c r="I104" s="1"/>
      <c r="J104" s="1"/>
      <c r="K104" s="1"/>
      <c r="L104" s="1"/>
      <c r="M104" s="1"/>
      <c r="N104" s="1"/>
      <c r="O104" s="1"/>
      <c r="P104" s="1"/>
      <c r="Q104" s="1"/>
    </row>
    <row r="105" spans="1:17">
      <c r="A105" s="1"/>
      <c r="B105" s="1"/>
      <c r="C105" s="1"/>
      <c r="D105" s="1"/>
      <c r="E105" s="1"/>
      <c r="F105" s="1"/>
      <c r="G105" s="1"/>
      <c r="H105" s="1"/>
      <c r="I105" s="1"/>
      <c r="J105" s="1"/>
      <c r="K105" s="1"/>
      <c r="L105" s="1"/>
      <c r="M105" s="1"/>
      <c r="N105" s="1"/>
      <c r="O105" s="1"/>
      <c r="P105" s="1"/>
      <c r="Q105" s="1"/>
    </row>
    <row r="106" spans="1:17">
      <c r="A106" s="1"/>
      <c r="B106" s="1"/>
      <c r="C106" s="1"/>
      <c r="D106" s="1"/>
      <c r="E106" s="1"/>
      <c r="F106" s="1"/>
      <c r="G106" s="1"/>
      <c r="H106" s="1"/>
      <c r="I106" s="1"/>
      <c r="J106" s="1"/>
      <c r="K106" s="1"/>
      <c r="L106" s="1"/>
      <c r="M106" s="1"/>
      <c r="N106" s="1"/>
      <c r="O106" s="1"/>
      <c r="P106" s="1"/>
      <c r="Q106" s="1"/>
    </row>
    <row r="107" spans="1:17">
      <c r="A107" s="1"/>
      <c r="B107" s="1"/>
      <c r="C107" s="1"/>
      <c r="D107" s="1"/>
      <c r="E107" s="1"/>
      <c r="F107" s="1"/>
      <c r="G107" s="1"/>
      <c r="H107" s="1"/>
      <c r="I107" s="1"/>
      <c r="J107" s="1"/>
      <c r="K107" s="1"/>
      <c r="L107" s="1"/>
      <c r="M107" s="1"/>
      <c r="N107" s="1"/>
      <c r="O107" s="1"/>
      <c r="P107" s="1"/>
      <c r="Q107" s="1"/>
    </row>
    <row r="108" spans="1:17">
      <c r="A108" s="1"/>
      <c r="B108" s="1"/>
      <c r="C108" s="1"/>
      <c r="D108" s="1"/>
      <c r="E108" s="1"/>
      <c r="F108" s="1"/>
      <c r="G108" s="1"/>
      <c r="H108" s="1"/>
      <c r="I108" s="1"/>
      <c r="J108" s="1"/>
      <c r="K108" s="1"/>
      <c r="L108" s="1"/>
      <c r="M108" s="1"/>
      <c r="N108" s="1"/>
      <c r="O108" s="1"/>
      <c r="P108" s="1"/>
      <c r="Q108" s="1"/>
    </row>
    <row r="109" spans="1:17">
      <c r="A109" s="1"/>
      <c r="B109" s="1"/>
      <c r="C109" s="1"/>
      <c r="D109" s="1"/>
      <c r="E109" s="1"/>
      <c r="F109" s="1"/>
      <c r="G109" s="1"/>
      <c r="H109" s="1"/>
      <c r="I109" s="1"/>
      <c r="J109" s="1"/>
      <c r="K109" s="1"/>
      <c r="L109" s="1"/>
      <c r="M109" s="1"/>
      <c r="N109" s="1"/>
      <c r="O109" s="1"/>
      <c r="P109" s="1"/>
      <c r="Q109" s="1"/>
    </row>
    <row r="110" spans="1:17">
      <c r="A110" s="1"/>
      <c r="B110" s="1"/>
      <c r="C110" s="1"/>
      <c r="D110" s="1"/>
      <c r="E110" s="1"/>
      <c r="F110" s="1"/>
      <c r="G110" s="1"/>
      <c r="H110" s="1"/>
      <c r="I110" s="1"/>
      <c r="J110" s="1"/>
      <c r="K110" s="1"/>
      <c r="L110" s="1"/>
      <c r="M110" s="1"/>
      <c r="N110" s="1"/>
      <c r="O110" s="1"/>
      <c r="P110" s="1"/>
      <c r="Q110" s="1"/>
    </row>
    <row r="111" spans="1:17">
      <c r="A111" s="1"/>
      <c r="B111" s="1"/>
      <c r="C111" s="1"/>
      <c r="D111" s="1"/>
      <c r="E111" s="1"/>
      <c r="F111" s="1"/>
      <c r="G111" s="1"/>
      <c r="H111" s="1"/>
      <c r="I111" s="1"/>
      <c r="J111" s="1"/>
      <c r="K111" s="1"/>
      <c r="L111" s="1"/>
      <c r="M111" s="1"/>
      <c r="N111" s="1"/>
      <c r="O111" s="1"/>
      <c r="P111" s="1"/>
      <c r="Q111" s="1"/>
    </row>
    <row r="112" spans="1:17">
      <c r="A112" s="1"/>
      <c r="B112" s="1"/>
      <c r="C112" s="1"/>
      <c r="D112" s="1"/>
      <c r="E112" s="1"/>
      <c r="F112" s="1"/>
      <c r="G112" s="1"/>
      <c r="H112" s="1"/>
      <c r="I112" s="1"/>
      <c r="J112" s="1"/>
      <c r="K112" s="1"/>
      <c r="L112" s="1"/>
      <c r="M112" s="1"/>
      <c r="N112" s="1"/>
      <c r="O112" s="1"/>
      <c r="P112" s="1"/>
      <c r="Q112" s="1"/>
    </row>
    <row r="113" spans="1:17">
      <c r="A113" s="1"/>
      <c r="B113" s="1"/>
      <c r="C113" s="1"/>
      <c r="D113" s="1"/>
      <c r="E113" s="1"/>
      <c r="F113" s="1"/>
      <c r="G113" s="1"/>
      <c r="H113" s="1"/>
      <c r="I113" s="1"/>
      <c r="J113" s="1"/>
      <c r="K113" s="1"/>
      <c r="L113" s="1"/>
      <c r="M113" s="1"/>
      <c r="N113" s="1"/>
      <c r="O113" s="1"/>
      <c r="P113" s="1"/>
      <c r="Q113" s="1"/>
    </row>
    <row r="114" spans="1:17">
      <c r="A114" s="1"/>
      <c r="B114" s="1"/>
      <c r="C114" s="1"/>
      <c r="D114" s="1"/>
      <c r="E114" s="1"/>
      <c r="F114" s="1"/>
      <c r="G114" s="1"/>
      <c r="H114" s="1"/>
      <c r="I114" s="1"/>
      <c r="J114" s="1"/>
      <c r="K114" s="1"/>
      <c r="L114" s="1"/>
      <c r="M114" s="1"/>
      <c r="N114" s="1"/>
      <c r="O114" s="1"/>
      <c r="P114" s="1"/>
      <c r="Q114" s="1"/>
    </row>
    <row r="115" spans="1:17">
      <c r="A115" s="1"/>
      <c r="B115" s="1"/>
      <c r="C115" s="1"/>
      <c r="D115" s="1"/>
      <c r="E115" s="1"/>
      <c r="F115" s="1"/>
      <c r="G115" s="1"/>
      <c r="H115" s="1"/>
      <c r="I115" s="1"/>
      <c r="J115" s="1"/>
      <c r="K115" s="1"/>
      <c r="L115" s="1"/>
      <c r="M115" s="1"/>
      <c r="N115" s="1"/>
      <c r="O115" s="1"/>
      <c r="P115" s="1"/>
      <c r="Q115" s="1"/>
    </row>
    <row r="116" spans="1:17">
      <c r="A116" s="1"/>
      <c r="B116" s="1"/>
      <c r="C116" s="1"/>
      <c r="D116" s="1"/>
      <c r="E116" s="1"/>
      <c r="F116" s="1"/>
      <c r="G116" s="1"/>
      <c r="H116" s="1"/>
      <c r="I116" s="1"/>
      <c r="J116" s="1"/>
      <c r="K116" s="1"/>
      <c r="L116" s="1"/>
      <c r="M116" s="1"/>
      <c r="N116" s="1"/>
      <c r="O116" s="1"/>
      <c r="P116" s="1"/>
      <c r="Q116" s="1"/>
    </row>
    <row r="117" spans="1:17">
      <c r="A117" s="1"/>
      <c r="B117" s="1"/>
      <c r="C117" s="1"/>
      <c r="D117" s="1"/>
      <c r="E117" s="1"/>
      <c r="F117" s="1"/>
      <c r="G117" s="1"/>
      <c r="H117" s="1"/>
      <c r="I117" s="1"/>
      <c r="J117" s="1"/>
      <c r="K117" s="1"/>
      <c r="L117" s="1"/>
      <c r="M117" s="1"/>
      <c r="N117" s="1"/>
      <c r="O117" s="1"/>
      <c r="P117" s="1"/>
      <c r="Q117" s="1"/>
    </row>
    <row r="118" spans="1:17">
      <c r="A118" s="1"/>
      <c r="B118" s="1"/>
      <c r="C118" s="1"/>
      <c r="D118" s="1"/>
      <c r="E118" s="1"/>
      <c r="F118" s="1"/>
      <c r="G118" s="1"/>
      <c r="H118" s="1"/>
      <c r="I118" s="1"/>
      <c r="J118" s="1"/>
      <c r="K118" s="1"/>
      <c r="L118" s="1"/>
      <c r="M118" s="1"/>
      <c r="N118" s="1"/>
      <c r="O118" s="1"/>
      <c r="P118" s="1"/>
      <c r="Q118" s="1"/>
    </row>
    <row r="119" spans="1:17">
      <c r="A119" s="1"/>
      <c r="B119" s="1"/>
      <c r="C119" s="1"/>
      <c r="D119" s="1"/>
      <c r="E119" s="1"/>
      <c r="F119" s="1"/>
      <c r="G119" s="1"/>
      <c r="H119" s="1"/>
      <c r="I119" s="1"/>
      <c r="J119" s="1"/>
      <c r="K119" s="1"/>
      <c r="L119" s="1"/>
      <c r="M119" s="1"/>
      <c r="N119" s="1"/>
      <c r="O119" s="1"/>
      <c r="P119" s="1"/>
      <c r="Q119" s="1"/>
    </row>
    <row r="120" spans="1:17">
      <c r="A120" s="1"/>
      <c r="B120" s="1"/>
      <c r="C120" s="1"/>
      <c r="D120" s="1"/>
      <c r="E120" s="1"/>
      <c r="F120" s="1"/>
      <c r="G120" s="1"/>
      <c r="H120" s="1"/>
      <c r="I120" s="1"/>
      <c r="J120" s="1"/>
      <c r="K120" s="1"/>
      <c r="L120" s="1"/>
      <c r="M120" s="1"/>
      <c r="N120" s="1"/>
      <c r="O120" s="1"/>
      <c r="P120" s="1"/>
      <c r="Q120" s="1"/>
    </row>
    <row r="121" spans="1:17">
      <c r="A121" s="1"/>
      <c r="B121" s="1"/>
      <c r="C121" s="1"/>
      <c r="D121" s="1"/>
      <c r="E121" s="1"/>
      <c r="F121" s="1"/>
      <c r="G121" s="1"/>
      <c r="H121" s="1"/>
      <c r="I121" s="1"/>
      <c r="J121" s="1"/>
      <c r="K121" s="1"/>
      <c r="L121" s="1"/>
      <c r="M121" s="1"/>
      <c r="N121" s="1"/>
      <c r="O121" s="1"/>
      <c r="P121" s="1"/>
      <c r="Q121" s="1"/>
    </row>
    <row r="122" spans="1:17">
      <c r="A122" s="1"/>
      <c r="B122" s="1"/>
      <c r="C122" s="1"/>
      <c r="D122" s="1"/>
      <c r="E122" s="1"/>
      <c r="F122" s="1"/>
      <c r="G122" s="1"/>
      <c r="H122" s="1"/>
      <c r="I122" s="1"/>
      <c r="J122" s="1"/>
      <c r="K122" s="1"/>
      <c r="L122" s="1"/>
      <c r="M122" s="1"/>
      <c r="N122" s="1"/>
      <c r="O122" s="1"/>
      <c r="P122" s="1"/>
      <c r="Q122" s="1"/>
    </row>
    <row r="123" spans="1:17">
      <c r="A123" s="1"/>
      <c r="B123" s="1"/>
      <c r="C123" s="1"/>
      <c r="D123" s="1"/>
      <c r="E123" s="1"/>
      <c r="F123" s="1"/>
      <c r="G123" s="1"/>
      <c r="H123" s="1"/>
      <c r="I123" s="1"/>
      <c r="J123" s="1"/>
      <c r="K123" s="1"/>
      <c r="L123" s="1"/>
      <c r="M123" s="1"/>
      <c r="N123" s="1"/>
      <c r="O123" s="1"/>
      <c r="P123" s="1"/>
      <c r="Q123" s="1"/>
    </row>
    <row r="124" spans="1:17">
      <c r="A124" s="1"/>
      <c r="B124" s="1"/>
      <c r="C124" s="1"/>
      <c r="D124" s="1"/>
      <c r="E124" s="1"/>
      <c r="F124" s="1"/>
      <c r="G124" s="1"/>
      <c r="H124" s="1"/>
      <c r="I124" s="1"/>
      <c r="J124" s="1"/>
      <c r="K124" s="1"/>
      <c r="L124" s="1"/>
      <c r="M124" s="1"/>
      <c r="N124" s="1"/>
      <c r="O124" s="1"/>
      <c r="P124" s="1"/>
      <c r="Q124" s="1"/>
    </row>
    <row r="125" spans="1:17">
      <c r="A125" s="1"/>
      <c r="B125" s="1"/>
      <c r="C125" s="1"/>
      <c r="D125" s="1"/>
      <c r="E125" s="1"/>
      <c r="F125" s="1"/>
      <c r="G125" s="1"/>
      <c r="H125" s="1"/>
      <c r="I125" s="1"/>
      <c r="J125" s="1"/>
      <c r="K125" s="1"/>
      <c r="L125" s="1"/>
      <c r="M125" s="1"/>
      <c r="N125" s="1"/>
      <c r="O125" s="1"/>
      <c r="P125" s="1"/>
      <c r="Q125" s="1"/>
    </row>
    <row r="126" spans="1:17">
      <c r="A126" s="1"/>
      <c r="B126" s="1"/>
      <c r="C126" s="1"/>
      <c r="D126" s="1"/>
      <c r="E126" s="1"/>
      <c r="F126" s="1"/>
      <c r="G126" s="1"/>
      <c r="H126" s="1"/>
      <c r="I126" s="1"/>
      <c r="J126" s="1"/>
      <c r="K126" s="1"/>
      <c r="L126" s="1"/>
      <c r="M126" s="1"/>
      <c r="N126" s="1"/>
      <c r="O126" s="1"/>
      <c r="P126" s="1"/>
      <c r="Q126" s="1"/>
    </row>
    <row r="127" spans="1:17">
      <c r="A127" s="1"/>
      <c r="B127" s="1"/>
      <c r="C127" s="1"/>
      <c r="D127" s="1"/>
      <c r="E127" s="1"/>
      <c r="F127" s="1"/>
      <c r="G127" s="1"/>
      <c r="H127" s="1"/>
      <c r="I127" s="1"/>
      <c r="J127" s="1"/>
      <c r="K127" s="1"/>
      <c r="L127" s="1"/>
      <c r="M127" s="1"/>
      <c r="N127" s="1"/>
      <c r="O127" s="1"/>
      <c r="P127" s="1"/>
      <c r="Q127" s="1"/>
    </row>
    <row r="128" spans="1:17">
      <c r="A128" s="1"/>
      <c r="B128" s="1"/>
      <c r="C128" s="1"/>
      <c r="D128" s="1"/>
      <c r="E128" s="1"/>
      <c r="F128" s="1"/>
      <c r="G128" s="1"/>
      <c r="H128" s="1"/>
      <c r="I128" s="1"/>
      <c r="J128" s="1"/>
      <c r="K128" s="1"/>
      <c r="L128" s="1"/>
      <c r="M128" s="1"/>
      <c r="N128" s="1"/>
      <c r="O128" s="1"/>
      <c r="P128" s="1"/>
      <c r="Q128" s="1"/>
    </row>
    <row r="129" spans="1:17">
      <c r="A129" s="1"/>
      <c r="B129" s="1"/>
      <c r="C129" s="1"/>
      <c r="D129" s="1"/>
      <c r="E129" s="1"/>
      <c r="F129" s="1"/>
      <c r="G129" s="1"/>
      <c r="H129" s="1"/>
      <c r="I129" s="1"/>
      <c r="J129" s="1"/>
      <c r="K129" s="1"/>
      <c r="L129" s="1"/>
      <c r="M129" s="1"/>
      <c r="N129" s="1"/>
      <c r="O129" s="1"/>
      <c r="P129" s="1"/>
      <c r="Q129" s="1"/>
    </row>
    <row r="130" spans="1:17">
      <c r="A130" s="1"/>
      <c r="B130" s="1"/>
      <c r="C130" s="1"/>
      <c r="D130" s="1"/>
      <c r="E130" s="1"/>
      <c r="F130" s="1"/>
      <c r="G130" s="1"/>
      <c r="H130" s="1"/>
      <c r="I130" s="1"/>
      <c r="J130" s="1"/>
      <c r="K130" s="1"/>
      <c r="L130" s="1"/>
      <c r="M130" s="1"/>
      <c r="N130" s="1"/>
      <c r="O130" s="1"/>
      <c r="P130" s="1"/>
      <c r="Q130" s="1"/>
    </row>
    <row r="131" spans="1:17">
      <c r="A131" s="1"/>
      <c r="B131" s="1"/>
      <c r="C131" s="1"/>
      <c r="D131" s="1"/>
      <c r="E131" s="1"/>
      <c r="F131" s="1"/>
      <c r="G131" s="1"/>
      <c r="H131" s="1"/>
      <c r="I131" s="1"/>
      <c r="J131" s="1"/>
      <c r="K131" s="1"/>
      <c r="L131" s="1"/>
      <c r="M131" s="1"/>
      <c r="N131" s="1"/>
      <c r="O131" s="1"/>
      <c r="P131" s="1"/>
      <c r="Q131" s="1"/>
    </row>
    <row r="132" spans="1:17">
      <c r="A132" s="1"/>
      <c r="B132" s="1"/>
      <c r="C132" s="1"/>
      <c r="D132" s="1"/>
      <c r="E132" s="1"/>
      <c r="F132" s="1"/>
      <c r="G132" s="1"/>
      <c r="H132" s="1"/>
      <c r="I132" s="1"/>
      <c r="J132" s="1"/>
      <c r="K132" s="1"/>
      <c r="L132" s="1"/>
      <c r="M132" s="1"/>
      <c r="N132" s="1"/>
      <c r="O132" s="1"/>
      <c r="P132" s="1"/>
      <c r="Q132" s="1"/>
    </row>
    <row r="133" spans="1:17">
      <c r="A133" s="1"/>
      <c r="B133" s="1"/>
      <c r="C133" s="1"/>
      <c r="D133" s="1"/>
      <c r="E133" s="1"/>
      <c r="F133" s="1"/>
      <c r="G133" s="1"/>
      <c r="H133" s="1"/>
      <c r="I133" s="1"/>
      <c r="J133" s="1"/>
      <c r="K133" s="1"/>
      <c r="L133" s="1"/>
      <c r="M133" s="1"/>
      <c r="N133" s="1"/>
      <c r="O133" s="1"/>
      <c r="P133" s="1"/>
      <c r="Q133" s="1"/>
    </row>
    <row r="134" spans="1:17">
      <c r="A134" s="1"/>
      <c r="B134" s="1"/>
      <c r="C134" s="1"/>
      <c r="D134" s="1"/>
      <c r="E134" s="1"/>
      <c r="F134" s="1"/>
      <c r="G134" s="1"/>
      <c r="H134" s="1"/>
      <c r="I134" s="1"/>
      <c r="J134" s="1"/>
      <c r="K134" s="1"/>
      <c r="L134" s="1"/>
      <c r="M134" s="1"/>
      <c r="N134" s="1"/>
      <c r="O134" s="1"/>
      <c r="P134" s="1"/>
      <c r="Q134" s="1"/>
    </row>
    <row r="135" spans="1:17">
      <c r="A135" s="1"/>
      <c r="B135" s="1"/>
      <c r="C135" s="1"/>
      <c r="D135" s="1"/>
      <c r="E135" s="1"/>
      <c r="F135" s="1"/>
      <c r="G135" s="1"/>
      <c r="H135" s="1"/>
      <c r="I135" s="1"/>
      <c r="J135" s="1"/>
      <c r="K135" s="1"/>
      <c r="L135" s="1"/>
      <c r="M135" s="1"/>
      <c r="N135" s="1"/>
      <c r="O135" s="1"/>
      <c r="P135" s="1"/>
      <c r="Q135" s="1"/>
    </row>
    <row r="136" spans="1:17">
      <c r="A136" s="1"/>
      <c r="B136" s="1"/>
      <c r="C136" s="1"/>
      <c r="D136" s="1"/>
      <c r="E136" s="1"/>
      <c r="F136" s="1"/>
      <c r="G136" s="1"/>
      <c r="H136" s="1"/>
      <c r="I136" s="1"/>
      <c r="J136" s="1"/>
      <c r="K136" s="1"/>
      <c r="L136" s="1"/>
      <c r="M136" s="1"/>
      <c r="N136" s="1"/>
      <c r="O136" s="1"/>
      <c r="P136" s="1"/>
      <c r="Q136" s="1"/>
    </row>
    <row r="137" spans="1:17">
      <c r="A137" s="1"/>
      <c r="B137" s="1"/>
      <c r="C137" s="1"/>
      <c r="D137" s="1"/>
      <c r="E137" s="1"/>
      <c r="F137" s="1"/>
      <c r="G137" s="1"/>
      <c r="H137" s="1"/>
      <c r="I137" s="1"/>
      <c r="J137" s="1"/>
      <c r="K137" s="1"/>
      <c r="L137" s="1"/>
      <c r="M137" s="1"/>
      <c r="N137" s="1"/>
      <c r="O137" s="1"/>
      <c r="P137" s="1"/>
      <c r="Q137" s="1"/>
    </row>
    <row r="138" spans="1:17">
      <c r="A138" s="1"/>
      <c r="B138" s="1"/>
      <c r="C138" s="1"/>
      <c r="D138" s="1"/>
      <c r="E138" s="1"/>
      <c r="F138" s="1"/>
      <c r="G138" s="1"/>
      <c r="H138" s="1"/>
      <c r="I138" s="1"/>
      <c r="J138" s="1"/>
      <c r="K138" s="1"/>
      <c r="L138" s="1"/>
      <c r="M138" s="1"/>
      <c r="N138" s="1"/>
      <c r="O138" s="1"/>
      <c r="P138" s="1"/>
      <c r="Q138" s="1"/>
    </row>
    <row r="139" spans="1:17">
      <c r="A139" s="1"/>
      <c r="B139" s="1"/>
      <c r="C139" s="1"/>
      <c r="D139" s="1"/>
      <c r="E139" s="1"/>
      <c r="F139" s="1"/>
      <c r="G139" s="1"/>
      <c r="H139" s="1"/>
      <c r="I139" s="1"/>
      <c r="J139" s="1"/>
      <c r="K139" s="1"/>
      <c r="L139" s="1"/>
      <c r="M139" s="1"/>
      <c r="N139" s="1"/>
      <c r="O139" s="1"/>
      <c r="P139" s="1"/>
      <c r="Q139" s="1"/>
    </row>
    <row r="140" spans="1:17">
      <c r="A140" s="1"/>
      <c r="B140" s="1"/>
      <c r="C140" s="1"/>
      <c r="D140" s="1"/>
      <c r="E140" s="1"/>
      <c r="F140" s="1"/>
      <c r="G140" s="1"/>
      <c r="H140" s="1"/>
      <c r="I140" s="1"/>
      <c r="J140" s="1"/>
      <c r="K140" s="1"/>
      <c r="L140" s="1"/>
      <c r="M140" s="1"/>
      <c r="N140" s="1"/>
      <c r="O140" s="1"/>
      <c r="P140" s="1"/>
      <c r="Q140" s="1"/>
    </row>
    <row r="141" spans="1:17">
      <c r="A141" s="1"/>
      <c r="B141" s="1"/>
      <c r="C141" s="1"/>
      <c r="D141" s="1"/>
      <c r="E141" s="1"/>
      <c r="F141" s="1"/>
      <c r="G141" s="1"/>
      <c r="H141" s="1"/>
      <c r="I141" s="1"/>
      <c r="J141" s="1"/>
      <c r="K141" s="1"/>
      <c r="L141" s="1"/>
      <c r="M141" s="1"/>
      <c r="N141" s="1"/>
      <c r="O141" s="1"/>
      <c r="P141" s="1"/>
      <c r="Q141" s="1"/>
    </row>
    <row r="142" spans="1:17">
      <c r="A142" s="1"/>
      <c r="B142" s="1"/>
      <c r="C142" s="1"/>
      <c r="D142" s="1"/>
      <c r="E142" s="1"/>
      <c r="F142" s="1"/>
      <c r="G142" s="1"/>
      <c r="H142" s="1"/>
      <c r="I142" s="1"/>
      <c r="J142" s="1"/>
      <c r="K142" s="1"/>
      <c r="L142" s="1"/>
      <c r="M142" s="1"/>
      <c r="N142" s="1"/>
      <c r="O142" s="1"/>
      <c r="P142" s="1"/>
      <c r="Q142" s="1"/>
    </row>
    <row r="143" spans="1:17">
      <c r="A143" s="1"/>
      <c r="B143" s="1"/>
      <c r="C143" s="1"/>
      <c r="D143" s="1"/>
      <c r="E143" s="1"/>
      <c r="F143" s="1"/>
      <c r="G143" s="1"/>
      <c r="H143" s="1"/>
      <c r="I143" s="1"/>
      <c r="J143" s="1"/>
      <c r="K143" s="1"/>
      <c r="L143" s="1"/>
      <c r="M143" s="1"/>
      <c r="N143" s="1"/>
      <c r="O143" s="1"/>
      <c r="P143" s="1"/>
      <c r="Q143" s="1"/>
    </row>
    <row r="144" spans="1:17">
      <c r="A144" s="1"/>
      <c r="B144" s="1"/>
      <c r="C144" s="1"/>
      <c r="D144" s="1"/>
      <c r="E144" s="1"/>
      <c r="F144" s="1"/>
      <c r="G144" s="1"/>
      <c r="H144" s="1"/>
      <c r="I144" s="1"/>
      <c r="J144" s="1"/>
      <c r="K144" s="1"/>
      <c r="L144" s="1"/>
      <c r="M144" s="1"/>
      <c r="N144" s="1"/>
      <c r="O144" s="1"/>
      <c r="P144" s="1"/>
      <c r="Q144" s="1"/>
    </row>
    <row r="145" spans="1:17">
      <c r="A145" s="1"/>
      <c r="B145" s="1"/>
      <c r="C145" s="1"/>
      <c r="D145" s="1"/>
      <c r="E145" s="1"/>
      <c r="F145" s="1"/>
      <c r="G145" s="1"/>
      <c r="H145" s="1"/>
      <c r="I145" s="1"/>
      <c r="J145" s="1"/>
      <c r="K145" s="1"/>
      <c r="L145" s="1"/>
      <c r="M145" s="1"/>
      <c r="N145" s="1"/>
      <c r="O145" s="1"/>
      <c r="P145" s="1"/>
      <c r="Q145" s="1"/>
    </row>
    <row r="146" spans="1:17">
      <c r="A146" s="1"/>
      <c r="B146" s="1"/>
      <c r="C146" s="1"/>
      <c r="D146" s="1"/>
      <c r="E146" s="1"/>
      <c r="F146" s="1"/>
      <c r="G146" s="1"/>
      <c r="H146" s="1"/>
      <c r="I146" s="1"/>
      <c r="J146" s="1"/>
      <c r="K146" s="1"/>
      <c r="L146" s="1"/>
      <c r="M146" s="1"/>
      <c r="N146" s="1"/>
      <c r="O146" s="1"/>
      <c r="P146" s="1"/>
      <c r="Q146" s="1"/>
    </row>
    <row r="147" spans="1:17">
      <c r="A147" s="1"/>
      <c r="B147" s="1"/>
      <c r="C147" s="1"/>
      <c r="D147" s="1"/>
      <c r="E147" s="1"/>
      <c r="F147" s="1"/>
      <c r="G147" s="1"/>
      <c r="H147" s="1"/>
      <c r="I147" s="1"/>
      <c r="J147" s="1"/>
      <c r="K147" s="1"/>
      <c r="L147" s="1"/>
      <c r="M147" s="1"/>
      <c r="N147" s="1"/>
      <c r="O147" s="1"/>
      <c r="P147" s="1"/>
      <c r="Q147" s="1"/>
    </row>
    <row r="148" spans="1:17">
      <c r="A148" s="1"/>
      <c r="B148" s="1"/>
      <c r="C148" s="1"/>
      <c r="D148" s="1"/>
      <c r="E148" s="1"/>
      <c r="F148" s="1"/>
      <c r="G148" s="1"/>
      <c r="H148" s="1"/>
      <c r="I148" s="1"/>
      <c r="J148" s="1"/>
      <c r="K148" s="1"/>
      <c r="L148" s="1"/>
      <c r="M148" s="1"/>
      <c r="N148" s="1"/>
      <c r="O148" s="1"/>
      <c r="P148" s="1"/>
      <c r="Q148" s="1"/>
    </row>
    <row r="149" spans="1:17">
      <c r="A149" s="1"/>
      <c r="B149" s="1"/>
      <c r="C149" s="1"/>
      <c r="D149" s="1"/>
      <c r="E149" s="1"/>
      <c r="F149" s="1"/>
      <c r="G149" s="1"/>
      <c r="H149" s="1"/>
      <c r="I149" s="1"/>
      <c r="J149" s="1"/>
      <c r="K149" s="1"/>
      <c r="L149" s="1"/>
      <c r="M149" s="1"/>
      <c r="N149" s="1"/>
      <c r="O149" s="1"/>
      <c r="P149" s="1"/>
      <c r="Q149" s="1"/>
    </row>
    <row r="150" spans="1:17">
      <c r="A150" s="1"/>
      <c r="B150" s="1"/>
      <c r="C150" s="1"/>
      <c r="D150" s="1"/>
      <c r="E150" s="1"/>
      <c r="F150" s="1"/>
      <c r="G150" s="1"/>
      <c r="H150" s="1"/>
      <c r="I150" s="1"/>
      <c r="J150" s="1"/>
      <c r="K150" s="1"/>
      <c r="L150" s="1"/>
      <c r="M150" s="1"/>
      <c r="N150" s="1"/>
      <c r="O150" s="1"/>
      <c r="P150" s="1"/>
      <c r="Q150" s="1"/>
    </row>
    <row r="151" spans="1:17">
      <c r="A151" s="1"/>
      <c r="B151" s="1"/>
      <c r="C151" s="1"/>
      <c r="D151" s="1"/>
      <c r="E151" s="1"/>
      <c r="F151" s="1"/>
      <c r="G151" s="1"/>
      <c r="H151" s="1"/>
      <c r="I151" s="1"/>
      <c r="J151" s="1"/>
      <c r="K151" s="1"/>
      <c r="L151" s="1"/>
      <c r="M151" s="1"/>
      <c r="N151" s="1"/>
      <c r="O151" s="1"/>
      <c r="P151" s="1"/>
      <c r="Q151" s="1"/>
    </row>
    <row r="152" spans="1:17">
      <c r="A152" s="1"/>
      <c r="B152" s="1"/>
      <c r="C152" s="1"/>
      <c r="D152" s="1"/>
      <c r="E152" s="1"/>
      <c r="F152" s="1"/>
      <c r="G152" s="1"/>
      <c r="H152" s="1"/>
      <c r="I152" s="1"/>
      <c r="J152" s="1"/>
      <c r="K152" s="1"/>
      <c r="L152" s="1"/>
      <c r="M152" s="1"/>
      <c r="N152" s="1"/>
      <c r="O152" s="1"/>
      <c r="P152" s="1"/>
      <c r="Q152" s="1"/>
    </row>
    <row r="153" spans="1:17">
      <c r="A153" s="1"/>
      <c r="B153" s="1"/>
      <c r="C153" s="1"/>
      <c r="D153" s="1"/>
      <c r="E153" s="1"/>
      <c r="F153" s="1"/>
      <c r="G153" s="1"/>
      <c r="H153" s="1"/>
      <c r="I153" s="1"/>
      <c r="J153" s="1"/>
      <c r="K153" s="1"/>
      <c r="L153" s="1"/>
      <c r="M153" s="1"/>
      <c r="N153" s="1"/>
      <c r="O153" s="1"/>
      <c r="P153" s="1"/>
      <c r="Q153" s="1"/>
    </row>
    <row r="154" spans="1:17">
      <c r="A154" s="1"/>
      <c r="B154" s="1"/>
      <c r="C154" s="1"/>
      <c r="D154" s="1"/>
      <c r="E154" s="1"/>
      <c r="F154" s="1"/>
      <c r="G154" s="1"/>
      <c r="H154" s="1"/>
      <c r="I154" s="1"/>
      <c r="J154" s="1"/>
      <c r="K154" s="1"/>
      <c r="L154" s="1"/>
      <c r="M154" s="1"/>
      <c r="N154" s="1"/>
      <c r="O154" s="1"/>
      <c r="P154" s="1"/>
      <c r="Q154" s="1"/>
    </row>
    <row r="155" spans="1:17">
      <c r="A155" s="1"/>
      <c r="B155" s="1"/>
      <c r="C155" s="1"/>
      <c r="D155" s="1"/>
      <c r="E155" s="1"/>
      <c r="F155" s="1"/>
      <c r="G155" s="1"/>
      <c r="H155" s="1"/>
      <c r="I155" s="1"/>
      <c r="J155" s="1"/>
      <c r="K155" s="1"/>
      <c r="L155" s="1"/>
      <c r="M155" s="1"/>
      <c r="N155" s="1"/>
      <c r="O155" s="1"/>
      <c r="P155" s="1"/>
      <c r="Q155" s="1"/>
    </row>
    <row r="156" spans="1:17">
      <c r="A156" s="1"/>
      <c r="B156" s="1"/>
      <c r="C156" s="1"/>
      <c r="D156" s="1"/>
      <c r="E156" s="1"/>
      <c r="F156" s="1"/>
      <c r="G156" s="1"/>
      <c r="H156" s="1"/>
      <c r="I156" s="1"/>
      <c r="J156" s="1"/>
      <c r="K156" s="1"/>
      <c r="L156" s="1"/>
      <c r="M156" s="1"/>
      <c r="N156" s="1"/>
      <c r="O156" s="1"/>
      <c r="P156" s="1"/>
      <c r="Q156" s="1"/>
    </row>
    <row r="157" spans="1:17">
      <c r="A157" s="1"/>
      <c r="B157" s="1"/>
      <c r="C157" s="1"/>
      <c r="D157" s="1"/>
      <c r="E157" s="1"/>
      <c r="F157" s="1"/>
      <c r="G157" s="1"/>
      <c r="H157" s="1"/>
      <c r="I157" s="1"/>
      <c r="J157" s="1"/>
      <c r="K157" s="1"/>
      <c r="L157" s="1"/>
      <c r="M157" s="1"/>
      <c r="N157" s="1"/>
      <c r="O157" s="1"/>
      <c r="P157" s="1"/>
      <c r="Q157" s="1"/>
    </row>
    <row r="158" spans="1:17">
      <c r="A158" s="1"/>
      <c r="B158" s="1"/>
      <c r="C158" s="1"/>
      <c r="D158" s="1"/>
      <c r="E158" s="1"/>
      <c r="F158" s="1"/>
      <c r="G158" s="1"/>
      <c r="H158" s="1"/>
      <c r="I158" s="1"/>
      <c r="J158" s="1"/>
      <c r="K158" s="1"/>
      <c r="L158" s="1"/>
      <c r="M158" s="1"/>
      <c r="N158" s="1"/>
      <c r="O158" s="1"/>
      <c r="P158" s="1"/>
      <c r="Q158" s="1"/>
    </row>
    <row r="159" spans="1:17">
      <c r="A159" s="1"/>
      <c r="B159" s="1"/>
      <c r="C159" s="1"/>
      <c r="D159" s="1"/>
      <c r="E159" s="1"/>
      <c r="F159" s="1"/>
      <c r="G159" s="1"/>
      <c r="H159" s="1"/>
      <c r="I159" s="1"/>
      <c r="J159" s="1"/>
      <c r="K159" s="1"/>
      <c r="L159" s="1"/>
      <c r="M159" s="1"/>
      <c r="N159" s="1"/>
      <c r="O159" s="1"/>
      <c r="P159" s="1"/>
      <c r="Q159" s="1"/>
    </row>
    <row r="160" spans="1:17">
      <c r="A160" s="1"/>
      <c r="B160" s="1"/>
      <c r="C160" s="1"/>
      <c r="D160" s="1"/>
      <c r="E160" s="1"/>
      <c r="F160" s="1"/>
      <c r="G160" s="1"/>
      <c r="H160" s="1"/>
      <c r="I160" s="1"/>
      <c r="J160" s="1"/>
      <c r="K160" s="1"/>
      <c r="L160" s="1"/>
      <c r="M160" s="1"/>
      <c r="N160" s="1"/>
      <c r="O160" s="1"/>
      <c r="P160" s="1"/>
      <c r="Q160" s="1"/>
    </row>
    <row r="161" spans="1:17">
      <c r="A161" s="1"/>
      <c r="B161" s="1"/>
      <c r="C161" s="1"/>
      <c r="D161" s="1"/>
      <c r="E161" s="1"/>
      <c r="F161" s="1"/>
      <c r="G161" s="1"/>
      <c r="H161" s="1"/>
      <c r="I161" s="1"/>
      <c r="J161" s="1"/>
      <c r="K161" s="1"/>
      <c r="L161" s="1"/>
      <c r="M161" s="1"/>
      <c r="N161" s="1"/>
      <c r="O161" s="1"/>
      <c r="P161" s="1"/>
      <c r="Q161" s="1"/>
    </row>
    <row r="162" spans="1:17">
      <c r="A162" s="1"/>
      <c r="B162" s="1"/>
      <c r="C162" s="1"/>
      <c r="D162" s="1"/>
      <c r="E162" s="1"/>
      <c r="F162" s="1"/>
      <c r="G162" s="1"/>
      <c r="H162" s="1"/>
      <c r="I162" s="1"/>
      <c r="J162" s="1"/>
      <c r="K162" s="1"/>
      <c r="L162" s="1"/>
      <c r="M162" s="1"/>
      <c r="N162" s="1"/>
      <c r="O162" s="1"/>
      <c r="P162" s="1"/>
      <c r="Q162" s="1"/>
    </row>
    <row r="163" spans="1:17">
      <c r="A163" s="1"/>
      <c r="B163" s="1"/>
      <c r="C163" s="1"/>
      <c r="D163" s="1"/>
      <c r="E163" s="1"/>
      <c r="F163" s="1"/>
      <c r="G163" s="1"/>
      <c r="H163" s="1"/>
      <c r="I163" s="1"/>
      <c r="J163" s="1"/>
      <c r="K163" s="1"/>
      <c r="L163" s="1"/>
      <c r="M163" s="1"/>
      <c r="N163" s="1"/>
      <c r="O163" s="1"/>
      <c r="P163" s="1"/>
      <c r="Q163" s="1"/>
    </row>
    <row r="164" spans="1:17">
      <c r="A164" s="1"/>
      <c r="B164" s="1"/>
      <c r="C164" s="1"/>
      <c r="D164" s="1"/>
      <c r="E164" s="1"/>
      <c r="F164" s="1"/>
      <c r="G164" s="1"/>
      <c r="H164" s="1"/>
      <c r="I164" s="1"/>
      <c r="J164" s="1"/>
      <c r="K164" s="1"/>
      <c r="L164" s="1"/>
      <c r="M164" s="1"/>
      <c r="N164" s="1"/>
      <c r="O164" s="1"/>
      <c r="P164" s="1"/>
      <c r="Q164" s="1"/>
    </row>
    <row r="165" spans="1:17">
      <c r="A165" s="1"/>
      <c r="B165" s="1"/>
      <c r="C165" s="1"/>
      <c r="D165" s="1"/>
      <c r="E165" s="1"/>
      <c r="F165" s="1"/>
      <c r="G165" s="1"/>
      <c r="H165" s="1"/>
      <c r="I165" s="1"/>
      <c r="J165" s="1"/>
      <c r="K165" s="1"/>
      <c r="L165" s="1"/>
      <c r="M165" s="1"/>
      <c r="N165" s="1"/>
      <c r="O165" s="1"/>
      <c r="P165" s="1"/>
      <c r="Q165" s="1"/>
    </row>
    <row r="166" spans="1:17">
      <c r="A166" s="1"/>
      <c r="B166" s="1"/>
      <c r="C166" s="1"/>
      <c r="D166" s="1"/>
      <c r="E166" s="1"/>
      <c r="F166" s="1"/>
      <c r="G166" s="1"/>
      <c r="H166" s="1"/>
      <c r="I166" s="1"/>
      <c r="J166" s="1"/>
      <c r="K166" s="1"/>
      <c r="L166" s="1"/>
      <c r="M166" s="1"/>
      <c r="N166" s="1"/>
      <c r="O166" s="1"/>
      <c r="P166" s="1"/>
      <c r="Q166" s="1"/>
    </row>
    <row r="167" spans="1:17">
      <c r="A167" s="1"/>
      <c r="B167" s="1"/>
      <c r="C167" s="1"/>
      <c r="D167" s="1"/>
      <c r="E167" s="1"/>
      <c r="F167" s="1"/>
      <c r="G167" s="1"/>
      <c r="H167" s="1"/>
      <c r="I167" s="1"/>
      <c r="J167" s="1"/>
      <c r="K167" s="1"/>
      <c r="L167" s="1"/>
      <c r="M167" s="1"/>
      <c r="N167" s="1"/>
      <c r="O167" s="1"/>
      <c r="P167" s="1"/>
      <c r="Q167" s="1"/>
    </row>
    <row r="168" spans="1:17">
      <c r="A168" s="1"/>
      <c r="B168" s="1"/>
      <c r="C168" s="1"/>
      <c r="D168" s="1"/>
      <c r="E168" s="1"/>
      <c r="F168" s="1"/>
      <c r="G168" s="1"/>
      <c r="H168" s="1"/>
      <c r="I168" s="1"/>
      <c r="J168" s="1"/>
      <c r="K168" s="1"/>
      <c r="L168" s="1"/>
      <c r="M168" s="1"/>
      <c r="N168" s="1"/>
      <c r="O168" s="1"/>
      <c r="P168" s="1"/>
      <c r="Q168" s="1"/>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c r="A171" s="1"/>
      <c r="B171" s="1"/>
      <c r="C171" s="1"/>
      <c r="D171" s="1"/>
      <c r="E171" s="1"/>
      <c r="F171" s="1"/>
      <c r="G171" s="1"/>
      <c r="H171" s="1"/>
      <c r="I171" s="1"/>
      <c r="J171" s="1"/>
      <c r="K171" s="1"/>
      <c r="L171" s="1"/>
      <c r="M171" s="1"/>
      <c r="N171" s="1"/>
      <c r="O171" s="1"/>
      <c r="P171" s="1"/>
      <c r="Q171" s="1"/>
    </row>
    <row r="172" spans="1:17">
      <c r="A172" s="1"/>
      <c r="B172" s="1"/>
      <c r="C172" s="1"/>
      <c r="D172" s="1"/>
      <c r="E172" s="1"/>
      <c r="F172" s="1"/>
      <c r="G172" s="1"/>
      <c r="H172" s="1"/>
      <c r="I172" s="1"/>
      <c r="J172" s="1"/>
      <c r="K172" s="1"/>
      <c r="L172" s="1"/>
      <c r="M172" s="1"/>
      <c r="N172" s="1"/>
      <c r="O172" s="1"/>
      <c r="P172" s="1"/>
      <c r="Q172" s="1"/>
    </row>
    <row r="173" spans="1:17">
      <c r="A173" s="1"/>
      <c r="B173" s="1"/>
      <c r="C173" s="1"/>
      <c r="D173" s="1"/>
      <c r="E173" s="1"/>
      <c r="F173" s="1"/>
      <c r="G173" s="1"/>
      <c r="H173" s="1"/>
      <c r="I173" s="1"/>
      <c r="J173" s="1"/>
      <c r="K173" s="1"/>
      <c r="L173" s="1"/>
      <c r="M173" s="1"/>
      <c r="N173" s="1"/>
      <c r="O173" s="1"/>
      <c r="P173" s="1"/>
      <c r="Q173" s="1"/>
    </row>
    <row r="174" spans="1:17">
      <c r="A174" s="1"/>
      <c r="B174" s="1"/>
      <c r="C174" s="1"/>
      <c r="D174" s="1"/>
      <c r="E174" s="1"/>
      <c r="F174" s="1"/>
      <c r="G174" s="1"/>
      <c r="H174" s="1"/>
      <c r="I174" s="1"/>
      <c r="J174" s="1"/>
      <c r="K174" s="1"/>
      <c r="L174" s="1"/>
      <c r="M174" s="1"/>
      <c r="N174" s="1"/>
      <c r="O174" s="1"/>
      <c r="P174" s="1"/>
      <c r="Q174" s="1"/>
    </row>
    <row r="175" spans="1:17">
      <c r="A175" s="1"/>
      <c r="B175" s="1"/>
      <c r="C175" s="1"/>
      <c r="D175" s="1"/>
      <c r="E175" s="1"/>
      <c r="F175" s="1"/>
      <c r="G175" s="1"/>
      <c r="H175" s="1"/>
      <c r="I175" s="1"/>
      <c r="J175" s="1"/>
      <c r="K175" s="1"/>
      <c r="L175" s="1"/>
      <c r="M175" s="1"/>
      <c r="N175" s="1"/>
      <c r="O175" s="1"/>
      <c r="P175" s="1"/>
      <c r="Q175" s="1"/>
    </row>
    <row r="176" spans="1:17">
      <c r="A176" s="1"/>
      <c r="B176" s="1"/>
      <c r="C176" s="1"/>
      <c r="D176" s="1"/>
      <c r="E176" s="1"/>
      <c r="F176" s="1"/>
      <c r="G176" s="1"/>
      <c r="H176" s="1"/>
      <c r="I176" s="1"/>
      <c r="J176" s="1"/>
      <c r="K176" s="1"/>
      <c r="L176" s="1"/>
      <c r="M176" s="1"/>
      <c r="N176" s="1"/>
      <c r="O176" s="1"/>
      <c r="P176" s="1"/>
      <c r="Q176" s="1"/>
    </row>
    <row r="177" spans="1:17">
      <c r="A177" s="1"/>
      <c r="B177" s="1"/>
      <c r="C177" s="1"/>
      <c r="D177" s="1"/>
      <c r="E177" s="1"/>
      <c r="F177" s="1"/>
      <c r="G177" s="1"/>
      <c r="H177" s="1"/>
      <c r="I177" s="1"/>
      <c r="J177" s="1"/>
      <c r="K177" s="1"/>
      <c r="L177" s="1"/>
      <c r="M177" s="1"/>
      <c r="N177" s="1"/>
      <c r="O177" s="1"/>
      <c r="P177" s="1"/>
      <c r="Q177" s="1"/>
    </row>
    <row r="178" spans="1:17">
      <c r="A178" s="1"/>
      <c r="B178" s="1"/>
      <c r="C178" s="1"/>
      <c r="D178" s="1"/>
      <c r="E178" s="1"/>
      <c r="F178" s="1"/>
      <c r="G178" s="1"/>
      <c r="H178" s="1"/>
      <c r="I178" s="1"/>
      <c r="J178" s="1"/>
      <c r="K178" s="1"/>
      <c r="L178" s="1"/>
      <c r="M178" s="1"/>
      <c r="N178" s="1"/>
      <c r="O178" s="1"/>
      <c r="P178" s="1"/>
      <c r="Q178" s="1"/>
    </row>
    <row r="179" spans="1:17">
      <c r="A179" s="1"/>
      <c r="B179" s="1"/>
      <c r="C179" s="1"/>
      <c r="D179" s="1"/>
      <c r="E179" s="1"/>
      <c r="F179" s="1"/>
      <c r="G179" s="1"/>
      <c r="H179" s="1"/>
      <c r="I179" s="1"/>
      <c r="J179" s="1"/>
      <c r="K179" s="1"/>
      <c r="L179" s="1"/>
      <c r="M179" s="1"/>
      <c r="N179" s="1"/>
      <c r="O179" s="1"/>
      <c r="P179" s="1"/>
      <c r="Q179" s="1"/>
    </row>
    <row r="180" spans="1:17">
      <c r="A180" s="1"/>
      <c r="B180" s="1"/>
      <c r="C180" s="1"/>
      <c r="D180" s="1"/>
      <c r="E180" s="1"/>
      <c r="F180" s="1"/>
      <c r="G180" s="1"/>
      <c r="H180" s="1"/>
      <c r="I180" s="1"/>
      <c r="J180" s="1"/>
      <c r="K180" s="1"/>
      <c r="L180" s="1"/>
      <c r="M180" s="1"/>
      <c r="N180" s="1"/>
      <c r="O180" s="1"/>
      <c r="P180" s="1"/>
      <c r="Q180" s="1"/>
    </row>
    <row r="181" spans="1:17">
      <c r="A181" s="1"/>
      <c r="B181" s="1"/>
      <c r="C181" s="1"/>
      <c r="D181" s="1"/>
      <c r="E181" s="1"/>
      <c r="F181" s="1"/>
      <c r="G181" s="1"/>
      <c r="H181" s="1"/>
      <c r="I181" s="1"/>
      <c r="J181" s="1"/>
      <c r="K181" s="1"/>
      <c r="L181" s="1"/>
      <c r="M181" s="1"/>
      <c r="N181" s="1"/>
      <c r="O181" s="1"/>
      <c r="P181" s="1"/>
      <c r="Q181" s="1"/>
    </row>
    <row r="182" spans="1:17">
      <c r="A182" s="1"/>
      <c r="B182" s="1"/>
      <c r="C182" s="1"/>
      <c r="D182" s="1"/>
      <c r="E182" s="1"/>
      <c r="F182" s="1"/>
      <c r="G182" s="1"/>
      <c r="H182" s="1"/>
      <c r="I182" s="1"/>
      <c r="J182" s="1"/>
      <c r="K182" s="1"/>
      <c r="L182" s="1"/>
      <c r="M182" s="1"/>
      <c r="N182" s="1"/>
      <c r="O182" s="1"/>
      <c r="P182" s="1"/>
      <c r="Q182" s="1"/>
    </row>
    <row r="183" spans="1:17">
      <c r="A183" s="1"/>
      <c r="B183" s="1"/>
      <c r="C183" s="1"/>
      <c r="D183" s="1"/>
      <c r="E183" s="1"/>
      <c r="F183" s="1"/>
      <c r="G183" s="1"/>
      <c r="H183" s="1"/>
      <c r="I183" s="1"/>
      <c r="J183" s="1"/>
      <c r="K183" s="1"/>
      <c r="L183" s="1"/>
      <c r="M183" s="1"/>
      <c r="N183" s="1"/>
      <c r="O183" s="1"/>
      <c r="P183" s="1"/>
      <c r="Q183" s="1"/>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1"/>
      <c r="J188" s="1"/>
      <c r="K188" s="1"/>
      <c r="L188" s="1"/>
      <c r="M188" s="1"/>
      <c r="N188" s="1"/>
      <c r="O188" s="1"/>
      <c r="P188" s="1"/>
      <c r="Q188" s="1"/>
    </row>
    <row r="189" spans="1:17">
      <c r="A189" s="1"/>
      <c r="B189" s="1"/>
      <c r="C189" s="1"/>
      <c r="D189" s="1"/>
      <c r="E189" s="1"/>
      <c r="F189" s="1"/>
      <c r="G189" s="1"/>
      <c r="H189" s="1"/>
      <c r="I189" s="1"/>
      <c r="J189" s="1"/>
      <c r="K189" s="1"/>
      <c r="L189" s="1"/>
      <c r="M189" s="1"/>
      <c r="N189" s="1"/>
      <c r="O189" s="1"/>
      <c r="P189" s="1"/>
      <c r="Q189" s="1"/>
    </row>
    <row r="190" spans="1:17">
      <c r="A190" s="1"/>
      <c r="B190" s="1"/>
      <c r="C190" s="1"/>
      <c r="D190" s="1"/>
      <c r="E190" s="1"/>
      <c r="F190" s="1"/>
      <c r="G190" s="1"/>
      <c r="H190" s="1"/>
      <c r="I190" s="1"/>
      <c r="J190" s="1"/>
      <c r="K190" s="1"/>
      <c r="L190" s="1"/>
      <c r="M190" s="1"/>
      <c r="N190" s="1"/>
      <c r="O190" s="1"/>
      <c r="P190" s="1"/>
      <c r="Q190" s="1"/>
    </row>
    <row r="191" spans="1:17">
      <c r="A191" s="1"/>
      <c r="B191" s="1"/>
      <c r="C191" s="1"/>
      <c r="D191" s="1"/>
      <c r="E191" s="1"/>
      <c r="F191" s="1"/>
      <c r="G191" s="1"/>
      <c r="H191" s="1"/>
      <c r="I191" s="1"/>
      <c r="J191" s="1"/>
      <c r="K191" s="1"/>
      <c r="L191" s="1"/>
      <c r="M191" s="1"/>
      <c r="N191" s="1"/>
      <c r="O191" s="1"/>
      <c r="P191" s="1"/>
      <c r="Q191" s="1"/>
    </row>
    <row r="192" spans="1:17">
      <c r="A192" s="1"/>
      <c r="B192" s="1"/>
      <c r="C192" s="1"/>
      <c r="D192" s="1"/>
      <c r="E192" s="1"/>
      <c r="F192" s="1"/>
      <c r="G192" s="1"/>
      <c r="H192" s="1"/>
      <c r="I192" s="1"/>
      <c r="J192" s="1"/>
      <c r="K192" s="1"/>
      <c r="L192" s="1"/>
      <c r="M192" s="1"/>
      <c r="N192" s="1"/>
      <c r="O192" s="1"/>
      <c r="P192" s="1"/>
      <c r="Q192" s="1"/>
    </row>
    <row r="193" spans="1:17">
      <c r="A193" s="1"/>
      <c r="B193" s="1"/>
      <c r="C193" s="1"/>
      <c r="D193" s="1"/>
      <c r="E193" s="1"/>
      <c r="F193" s="1"/>
      <c r="G193" s="1"/>
      <c r="H193" s="1"/>
      <c r="I193" s="1"/>
      <c r="J193" s="1"/>
      <c r="K193" s="1"/>
      <c r="L193" s="1"/>
      <c r="M193" s="1"/>
      <c r="N193" s="1"/>
      <c r="O193" s="1"/>
      <c r="P193" s="1"/>
      <c r="Q193" s="1"/>
    </row>
    <row r="194" spans="1:17">
      <c r="A194" s="1"/>
      <c r="B194" s="1"/>
      <c r="C194" s="1"/>
      <c r="D194" s="1"/>
      <c r="E194" s="1"/>
      <c r="F194" s="1"/>
      <c r="G194" s="1"/>
      <c r="H194" s="1"/>
      <c r="I194" s="1"/>
      <c r="J194" s="1"/>
      <c r="K194" s="1"/>
      <c r="L194" s="1"/>
      <c r="M194" s="1"/>
      <c r="N194" s="1"/>
      <c r="O194" s="1"/>
      <c r="P194" s="1"/>
      <c r="Q194" s="1"/>
    </row>
    <row r="195" spans="1:17">
      <c r="A195" s="1"/>
      <c r="B195" s="1"/>
      <c r="C195" s="1"/>
      <c r="D195" s="1"/>
      <c r="E195" s="1"/>
      <c r="F195" s="1"/>
      <c r="G195" s="1"/>
      <c r="H195" s="1"/>
      <c r="I195" s="1"/>
      <c r="J195" s="1"/>
      <c r="K195" s="1"/>
      <c r="L195" s="1"/>
      <c r="M195" s="1"/>
      <c r="N195" s="1"/>
      <c r="O195" s="1"/>
      <c r="P195" s="1"/>
      <c r="Q195" s="1"/>
    </row>
    <row r="196" spans="1:17">
      <c r="A196" s="1"/>
      <c r="B196" s="1"/>
      <c r="C196" s="1"/>
      <c r="D196" s="1"/>
      <c r="E196" s="1"/>
      <c r="F196" s="1"/>
      <c r="G196" s="1"/>
      <c r="H196" s="1"/>
      <c r="I196" s="1"/>
      <c r="J196" s="1"/>
      <c r="K196" s="1"/>
      <c r="L196" s="1"/>
      <c r="M196" s="1"/>
      <c r="N196" s="1"/>
      <c r="O196" s="1"/>
      <c r="P196" s="1"/>
      <c r="Q196" s="1"/>
    </row>
    <row r="197" spans="1:17">
      <c r="A197" s="1"/>
      <c r="B197" s="1"/>
      <c r="C197" s="1"/>
      <c r="D197" s="1"/>
      <c r="E197" s="1"/>
      <c r="F197" s="1"/>
      <c r="G197" s="1"/>
      <c r="H197" s="1"/>
      <c r="I197" s="1"/>
      <c r="J197" s="1"/>
      <c r="K197" s="1"/>
      <c r="L197" s="1"/>
      <c r="M197" s="1"/>
      <c r="N197" s="1"/>
      <c r="O197" s="1"/>
      <c r="P197" s="1"/>
      <c r="Q197" s="1"/>
    </row>
    <row r="198" spans="1:17">
      <c r="A198" s="1"/>
      <c r="B198" s="1"/>
      <c r="C198" s="1"/>
      <c r="D198" s="1"/>
      <c r="E198" s="1"/>
      <c r="F198" s="1"/>
      <c r="G198" s="1"/>
      <c r="H198" s="1"/>
      <c r="I198" s="1"/>
      <c r="J198" s="1"/>
      <c r="K198" s="1"/>
      <c r="L198" s="1"/>
      <c r="M198" s="1"/>
      <c r="N198" s="1"/>
      <c r="O198" s="1"/>
      <c r="P198" s="1"/>
      <c r="Q198" s="1"/>
    </row>
    <row r="199" spans="1:17">
      <c r="A199" s="1"/>
      <c r="B199" s="1"/>
      <c r="C199" s="1"/>
      <c r="D199" s="1"/>
      <c r="E199" s="1"/>
      <c r="F199" s="1"/>
      <c r="G199" s="1"/>
      <c r="H199" s="1"/>
      <c r="I199" s="1"/>
      <c r="J199" s="1"/>
      <c r="K199" s="1"/>
      <c r="L199" s="1"/>
      <c r="M199" s="1"/>
      <c r="N199" s="1"/>
      <c r="O199" s="1"/>
      <c r="P199" s="1"/>
      <c r="Q199" s="1"/>
    </row>
    <row r="200" spans="1:17">
      <c r="A200" s="1"/>
      <c r="B200" s="1"/>
      <c r="C200" s="1"/>
      <c r="D200" s="1"/>
      <c r="E200" s="1"/>
      <c r="F200" s="1"/>
      <c r="G200" s="1"/>
      <c r="H200" s="1"/>
      <c r="I200" s="1"/>
      <c r="J200" s="1"/>
      <c r="K200" s="1"/>
      <c r="L200" s="1"/>
      <c r="M200" s="1"/>
      <c r="N200" s="1"/>
      <c r="O200" s="1"/>
      <c r="P200" s="1"/>
      <c r="Q200" s="1"/>
    </row>
    <row r="201" spans="1:17">
      <c r="A201" s="1"/>
      <c r="B201" s="1"/>
      <c r="C201" s="1"/>
      <c r="D201" s="1"/>
      <c r="E201" s="1"/>
      <c r="F201" s="1"/>
      <c r="G201" s="1"/>
      <c r="H201" s="1"/>
      <c r="I201" s="1"/>
      <c r="J201" s="1"/>
      <c r="K201" s="1"/>
      <c r="L201" s="1"/>
      <c r="M201" s="1"/>
      <c r="N201" s="1"/>
      <c r="O201" s="1"/>
      <c r="P201" s="1"/>
      <c r="Q201" s="1"/>
    </row>
    <row r="202" spans="1:17">
      <c r="A202" s="1"/>
      <c r="B202" s="1"/>
      <c r="C202" s="1"/>
      <c r="D202" s="1"/>
      <c r="E202" s="1"/>
      <c r="F202" s="1"/>
      <c r="G202" s="1"/>
      <c r="H202" s="1"/>
      <c r="I202" s="1"/>
      <c r="J202" s="1"/>
      <c r="K202" s="1"/>
      <c r="L202" s="1"/>
      <c r="M202" s="1"/>
      <c r="N202" s="1"/>
      <c r="O202" s="1"/>
      <c r="P202" s="1"/>
      <c r="Q202" s="1"/>
    </row>
    <row r="203" spans="1:17">
      <c r="A203" s="1"/>
      <c r="B203" s="1"/>
      <c r="C203" s="1"/>
      <c r="D203" s="1"/>
      <c r="E203" s="1"/>
      <c r="F203" s="1"/>
      <c r="G203" s="1"/>
      <c r="H203" s="1"/>
      <c r="I203" s="1"/>
      <c r="J203" s="1"/>
      <c r="K203" s="1"/>
      <c r="L203" s="1"/>
      <c r="M203" s="1"/>
      <c r="N203" s="1"/>
      <c r="O203" s="1"/>
      <c r="P203" s="1"/>
      <c r="Q203" s="1"/>
    </row>
    <row r="204" spans="1:17">
      <c r="A204" s="1"/>
      <c r="B204" s="1"/>
      <c r="C204" s="1"/>
      <c r="D204" s="1"/>
      <c r="E204" s="1"/>
      <c r="F204" s="1"/>
      <c r="G204" s="1"/>
      <c r="H204" s="1"/>
      <c r="I204" s="1"/>
      <c r="J204" s="1"/>
      <c r="K204" s="1"/>
      <c r="L204" s="1"/>
      <c r="M204" s="1"/>
      <c r="N204" s="1"/>
      <c r="O204" s="1"/>
      <c r="P204" s="1"/>
      <c r="Q204" s="1"/>
    </row>
    <row r="205" spans="1:17">
      <c r="A205" s="1"/>
      <c r="B205" s="1"/>
      <c r="C205" s="1"/>
      <c r="D205" s="1"/>
      <c r="E205" s="1"/>
      <c r="F205" s="1"/>
      <c r="G205" s="1"/>
      <c r="H205" s="1"/>
      <c r="I205" s="1"/>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9:H27">
    <cfRule type="expression" dxfId="8" priority="1">
      <formula>MOD(ROW(),2)=0</formula>
    </cfRule>
  </conditionalFormatting>
  <conditionalFormatting sqref="J9:Q27">
    <cfRule type="expression" dxfId="7" priority="2">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00"/>
  <sheetViews>
    <sheetView workbookViewId="0">
      <selection activeCell="D10" sqref="D10"/>
    </sheetView>
  </sheetViews>
  <sheetFormatPr defaultRowHeight="14.25"/>
  <cols>
    <col min="1" max="1" width="8" customWidth="1"/>
    <col min="2" max="2" width="20" customWidth="1"/>
    <col min="3" max="3" width="34" customWidth="1"/>
    <col min="4" max="4" width="30" customWidth="1"/>
    <col min="5" max="5" width="15" customWidth="1"/>
    <col min="6" max="6" width="12" customWidth="1"/>
    <col min="7" max="7" width="18" customWidth="1"/>
    <col min="8" max="8" width="26" customWidth="1"/>
    <col min="9" max="9" width="76" customWidth="1"/>
  </cols>
  <sheetData>
    <row r="1" spans="1:17" ht="19.5">
      <c r="A1" s="19" t="s">
        <v>3029</v>
      </c>
      <c r="B1" s="6"/>
      <c r="C1" s="6"/>
      <c r="D1" s="6"/>
      <c r="E1" s="6"/>
      <c r="F1" s="6"/>
      <c r="G1" s="6"/>
      <c r="H1" s="6"/>
      <c r="I1" s="6"/>
      <c r="J1" s="1"/>
      <c r="K1" s="1"/>
      <c r="L1" s="1"/>
      <c r="M1" s="1"/>
      <c r="N1" s="1"/>
      <c r="O1" s="1"/>
      <c r="P1" s="1"/>
      <c r="Q1" s="1"/>
    </row>
    <row r="2" spans="1:17">
      <c r="A2" s="1"/>
      <c r="B2" s="1"/>
      <c r="C2" s="1"/>
      <c r="D2" s="1"/>
      <c r="E2" s="1"/>
      <c r="F2" s="1"/>
      <c r="G2" s="1"/>
      <c r="H2" s="1"/>
      <c r="I2" s="1"/>
      <c r="J2" s="1"/>
      <c r="K2" s="1"/>
      <c r="L2" s="1"/>
      <c r="M2" s="1"/>
      <c r="N2" s="1"/>
      <c r="O2" s="1"/>
      <c r="P2" s="1"/>
      <c r="Q2" s="1"/>
    </row>
    <row r="3" spans="1:17">
      <c r="A3" s="1"/>
      <c r="B3" s="1"/>
      <c r="C3" s="1"/>
      <c r="D3" s="1"/>
      <c r="E3" s="1"/>
      <c r="F3" s="1"/>
      <c r="G3" s="1"/>
      <c r="H3" s="1"/>
      <c r="I3" s="1"/>
      <c r="J3" s="1"/>
      <c r="K3" s="1"/>
      <c r="L3" s="1"/>
      <c r="M3" s="1"/>
      <c r="N3" s="1"/>
      <c r="O3" s="1"/>
      <c r="P3" s="1"/>
      <c r="Q3" s="1"/>
    </row>
    <row r="4" spans="1:17" ht="15">
      <c r="A4" s="20" t="s">
        <v>3030</v>
      </c>
      <c r="B4" s="7"/>
      <c r="C4" s="7"/>
      <c r="D4" s="7"/>
      <c r="E4" s="7"/>
      <c r="F4" s="7"/>
      <c r="G4" s="7"/>
      <c r="H4" s="7"/>
      <c r="I4" s="7"/>
      <c r="J4" s="1"/>
      <c r="K4" s="1"/>
      <c r="L4" s="1"/>
      <c r="M4" s="1"/>
      <c r="N4" s="1"/>
      <c r="O4" s="1"/>
      <c r="P4" s="1"/>
      <c r="Q4" s="1"/>
    </row>
    <row r="5" spans="1:17">
      <c r="A5" s="1"/>
      <c r="B5" s="1"/>
      <c r="C5" s="1"/>
      <c r="D5" s="1"/>
      <c r="E5" s="1"/>
      <c r="F5" s="1"/>
      <c r="G5" s="1"/>
      <c r="H5" s="1"/>
      <c r="I5" s="1"/>
      <c r="J5" s="1"/>
      <c r="K5" s="1"/>
      <c r="L5" s="1"/>
      <c r="M5" s="1"/>
      <c r="N5" s="1"/>
      <c r="O5" s="1"/>
      <c r="P5" s="1"/>
      <c r="Q5" s="1"/>
    </row>
    <row r="6" spans="1:17">
      <c r="A6" s="1"/>
      <c r="B6" s="1"/>
      <c r="C6" s="1"/>
      <c r="D6" s="1"/>
      <c r="E6" s="1"/>
      <c r="F6" s="1"/>
      <c r="G6" s="1"/>
      <c r="H6" s="1"/>
      <c r="I6" s="1"/>
      <c r="J6" s="1"/>
      <c r="K6" s="1"/>
      <c r="L6" s="1"/>
      <c r="M6" s="1"/>
      <c r="N6" s="1"/>
      <c r="O6" s="1"/>
      <c r="P6" s="1"/>
      <c r="Q6" s="1"/>
    </row>
    <row r="7" spans="1:17">
      <c r="A7" s="1"/>
      <c r="B7" s="1"/>
      <c r="C7" s="1"/>
      <c r="D7" s="1"/>
      <c r="E7" s="1"/>
      <c r="F7" s="1"/>
      <c r="G7" s="1"/>
      <c r="H7" s="1"/>
      <c r="I7" s="1"/>
      <c r="J7" s="1"/>
      <c r="K7" s="1"/>
      <c r="L7" s="1"/>
      <c r="M7" s="1"/>
      <c r="N7" s="1"/>
      <c r="O7" s="1"/>
      <c r="P7" s="1"/>
      <c r="Q7" s="1"/>
    </row>
    <row r="8" spans="1:17" ht="15">
      <c r="A8" s="8" t="s">
        <v>3031</v>
      </c>
      <c r="B8" s="8" t="s">
        <v>48</v>
      </c>
      <c r="C8" s="8" t="s">
        <v>49</v>
      </c>
      <c r="D8" s="8" t="s">
        <v>50</v>
      </c>
      <c r="E8" s="8" t="s">
        <v>3032</v>
      </c>
      <c r="F8" s="8" t="s">
        <v>52</v>
      </c>
      <c r="G8" s="8" t="s">
        <v>3033</v>
      </c>
      <c r="H8" s="8" t="s">
        <v>53</v>
      </c>
      <c r="I8" s="8" t="s">
        <v>54</v>
      </c>
      <c r="J8" s="1"/>
      <c r="K8" s="1"/>
      <c r="L8" s="1"/>
      <c r="M8" s="1"/>
      <c r="N8" s="1"/>
      <c r="O8" s="1"/>
      <c r="P8" s="1"/>
      <c r="Q8" s="1"/>
    </row>
    <row r="9" spans="1:17" ht="28.5">
      <c r="A9" s="10">
        <v>1</v>
      </c>
      <c r="B9" s="10" t="s">
        <v>70</v>
      </c>
      <c r="C9" s="10" t="s">
        <v>100</v>
      </c>
      <c r="D9" s="10" t="s">
        <v>101</v>
      </c>
      <c r="E9" s="12">
        <v>0.05</v>
      </c>
      <c r="F9" s="10" t="s">
        <v>86</v>
      </c>
      <c r="G9" s="10" t="s">
        <v>3</v>
      </c>
      <c r="H9" s="10" t="s">
        <v>102</v>
      </c>
      <c r="I9" s="14" t="s">
        <v>103</v>
      </c>
      <c r="J9" s="1"/>
      <c r="K9" s="1"/>
      <c r="L9" s="1"/>
      <c r="M9" s="1"/>
      <c r="N9" s="1"/>
      <c r="O9" s="1"/>
      <c r="P9" s="1"/>
      <c r="Q9" s="1"/>
    </row>
    <row r="10" spans="1:17" ht="42.75">
      <c r="A10" s="10">
        <v>2</v>
      </c>
      <c r="B10" s="10" t="s">
        <v>70</v>
      </c>
      <c r="C10" s="10" t="s">
        <v>107</v>
      </c>
      <c r="D10" s="10" t="s">
        <v>108</v>
      </c>
      <c r="E10" s="12">
        <v>5.0000000000000001E-4</v>
      </c>
      <c r="F10" s="10" t="s">
        <v>109</v>
      </c>
      <c r="G10" s="10" t="s">
        <v>3</v>
      </c>
      <c r="H10" s="10" t="s">
        <v>102</v>
      </c>
      <c r="I10" s="14" t="s">
        <v>110</v>
      </c>
      <c r="J10" s="1"/>
      <c r="K10" s="1"/>
      <c r="L10" s="1"/>
      <c r="M10" s="1"/>
      <c r="N10" s="1"/>
      <c r="O10" s="1"/>
      <c r="P10" s="1"/>
      <c r="Q10" s="1"/>
    </row>
    <row r="11" spans="1:17">
      <c r="A11" s="10">
        <v>3</v>
      </c>
      <c r="B11" s="10" t="s">
        <v>111</v>
      </c>
      <c r="C11" s="10" t="s">
        <v>3034</v>
      </c>
      <c r="D11" s="10" t="s">
        <v>3035</v>
      </c>
      <c r="E11" s="12">
        <v>6</v>
      </c>
      <c r="F11" s="10" t="s">
        <v>114</v>
      </c>
      <c r="G11" s="10" t="s">
        <v>3036</v>
      </c>
      <c r="H11" s="10" t="s">
        <v>115</v>
      </c>
      <c r="I11" s="14" t="s">
        <v>3037</v>
      </c>
      <c r="J11" s="1"/>
      <c r="K11" s="1"/>
      <c r="L11" s="1"/>
      <c r="M11" s="1"/>
      <c r="N11" s="1"/>
      <c r="O11" s="1"/>
      <c r="P11" s="1"/>
      <c r="Q11" s="1"/>
    </row>
    <row r="12" spans="1:17" ht="57">
      <c r="A12" s="10">
        <v>4</v>
      </c>
      <c r="B12" s="10" t="s">
        <v>111</v>
      </c>
      <c r="C12" s="10" t="s">
        <v>119</v>
      </c>
      <c r="D12" s="10" t="s">
        <v>120</v>
      </c>
      <c r="E12" s="12">
        <v>1</v>
      </c>
      <c r="F12" s="10" t="s">
        <v>86</v>
      </c>
      <c r="G12" s="10" t="s">
        <v>123</v>
      </c>
      <c r="H12" s="10" t="s">
        <v>121</v>
      </c>
      <c r="I12" s="14" t="s">
        <v>3038</v>
      </c>
      <c r="J12" s="1"/>
      <c r="K12" s="1"/>
      <c r="L12" s="1"/>
      <c r="M12" s="1"/>
      <c r="N12" s="1"/>
      <c r="O12" s="1"/>
      <c r="P12" s="1"/>
      <c r="Q12" s="1"/>
    </row>
    <row r="13" spans="1:17" ht="28.5">
      <c r="A13" s="10">
        <v>5</v>
      </c>
      <c r="B13" s="10" t="s">
        <v>111</v>
      </c>
      <c r="C13" s="10" t="s">
        <v>124</v>
      </c>
      <c r="D13" s="10" t="s">
        <v>125</v>
      </c>
      <c r="E13" s="12">
        <v>0.72</v>
      </c>
      <c r="F13" s="10" t="s">
        <v>86</v>
      </c>
      <c r="G13" s="10" t="s">
        <v>123</v>
      </c>
      <c r="H13" s="10" t="s">
        <v>126</v>
      </c>
      <c r="I13" s="14" t="s">
        <v>127</v>
      </c>
      <c r="J13" s="1"/>
      <c r="K13" s="1"/>
      <c r="L13" s="1"/>
      <c r="M13" s="1"/>
      <c r="N13" s="1"/>
      <c r="O13" s="1"/>
      <c r="P13" s="1"/>
      <c r="Q13" s="1"/>
    </row>
    <row r="14" spans="1:17" ht="57">
      <c r="A14" s="10">
        <v>6</v>
      </c>
      <c r="B14" s="10" t="s">
        <v>111</v>
      </c>
      <c r="C14" s="10" t="s">
        <v>128</v>
      </c>
      <c r="D14" s="10" t="s">
        <v>129</v>
      </c>
      <c r="E14" s="12">
        <v>250000000</v>
      </c>
      <c r="F14" s="10" t="s">
        <v>130</v>
      </c>
      <c r="G14" s="10" t="s">
        <v>132</v>
      </c>
      <c r="H14" s="10" t="s">
        <v>126</v>
      </c>
      <c r="I14" s="14" t="s">
        <v>131</v>
      </c>
      <c r="J14" s="1"/>
      <c r="K14" s="1"/>
      <c r="L14" s="1"/>
      <c r="M14" s="1"/>
      <c r="N14" s="1"/>
      <c r="O14" s="1"/>
      <c r="P14" s="1"/>
      <c r="Q14" s="1"/>
    </row>
    <row r="15" spans="1:17" ht="28.5">
      <c r="A15" s="10">
        <v>7</v>
      </c>
      <c r="B15" s="10" t="s">
        <v>111</v>
      </c>
      <c r="C15" s="10" t="s">
        <v>133</v>
      </c>
      <c r="D15" s="10" t="s">
        <v>134</v>
      </c>
      <c r="E15" s="12">
        <v>1.1499999999999999</v>
      </c>
      <c r="F15" s="10" t="s">
        <v>86</v>
      </c>
      <c r="G15" s="10" t="s">
        <v>123</v>
      </c>
      <c r="H15" s="10" t="s">
        <v>135</v>
      </c>
      <c r="I15" s="14" t="s">
        <v>136</v>
      </c>
      <c r="J15" s="1"/>
      <c r="K15" s="1"/>
      <c r="L15" s="1"/>
      <c r="M15" s="1"/>
      <c r="N15" s="1"/>
      <c r="O15" s="1"/>
      <c r="P15" s="1"/>
      <c r="Q15" s="1"/>
    </row>
    <row r="16" spans="1:17">
      <c r="A16" s="10">
        <v>8</v>
      </c>
      <c r="B16" s="10" t="s">
        <v>111</v>
      </c>
      <c r="C16" s="10" t="s">
        <v>137</v>
      </c>
      <c r="D16" s="10" t="s">
        <v>138</v>
      </c>
      <c r="E16" s="12">
        <v>8E+21</v>
      </c>
      <c r="F16" s="10" t="s">
        <v>139</v>
      </c>
      <c r="G16" s="10" t="s">
        <v>132</v>
      </c>
      <c r="H16" s="10" t="s">
        <v>140</v>
      </c>
      <c r="I16" s="14" t="s">
        <v>141</v>
      </c>
      <c r="J16" s="1"/>
      <c r="K16" s="1"/>
      <c r="L16" s="1"/>
      <c r="M16" s="1"/>
      <c r="N16" s="1"/>
      <c r="O16" s="1"/>
      <c r="P16" s="1"/>
      <c r="Q16" s="1"/>
    </row>
    <row r="17" spans="1:17" ht="42.75">
      <c r="A17" s="10">
        <v>9</v>
      </c>
      <c r="B17" s="10" t="s">
        <v>111</v>
      </c>
      <c r="C17" s="10" t="s">
        <v>142</v>
      </c>
      <c r="D17" s="10" t="s">
        <v>143</v>
      </c>
      <c r="E17" s="12">
        <v>1200</v>
      </c>
      <c r="F17" s="10" t="s">
        <v>73</v>
      </c>
      <c r="G17" s="10" t="s">
        <v>123</v>
      </c>
      <c r="H17" s="10" t="s">
        <v>140</v>
      </c>
      <c r="I17" s="14" t="s">
        <v>144</v>
      </c>
      <c r="J17" s="1"/>
      <c r="K17" s="1"/>
      <c r="L17" s="1"/>
      <c r="M17" s="1"/>
      <c r="N17" s="1"/>
      <c r="O17" s="1"/>
      <c r="P17" s="1"/>
      <c r="Q17" s="1"/>
    </row>
    <row r="18" spans="1:17">
      <c r="A18" s="10">
        <v>10</v>
      </c>
      <c r="B18" s="10" t="s">
        <v>111</v>
      </c>
      <c r="C18" s="10" t="s">
        <v>145</v>
      </c>
      <c r="D18" s="10" t="s">
        <v>146</v>
      </c>
      <c r="E18" s="12">
        <v>1.2</v>
      </c>
      <c r="F18" s="10" t="s">
        <v>86</v>
      </c>
      <c r="G18" s="10" t="s">
        <v>123</v>
      </c>
      <c r="H18" s="10" t="s">
        <v>140</v>
      </c>
      <c r="I18" s="14" t="s">
        <v>147</v>
      </c>
      <c r="J18" s="1"/>
      <c r="K18" s="1"/>
      <c r="L18" s="1"/>
      <c r="M18" s="1"/>
      <c r="N18" s="1"/>
      <c r="O18" s="1"/>
      <c r="P18" s="1"/>
      <c r="Q18" s="1"/>
    </row>
    <row r="19" spans="1:17">
      <c r="A19" s="10">
        <v>11</v>
      </c>
      <c r="B19" s="10" t="s">
        <v>111</v>
      </c>
      <c r="C19" s="10" t="s">
        <v>148</v>
      </c>
      <c r="D19" s="10" t="s">
        <v>149</v>
      </c>
      <c r="E19" s="12">
        <v>0.08</v>
      </c>
      <c r="F19" s="10" t="s">
        <v>150</v>
      </c>
      <c r="G19" s="10" t="s">
        <v>132</v>
      </c>
      <c r="H19" s="10" t="s">
        <v>151</v>
      </c>
      <c r="I19" s="14" t="s">
        <v>152</v>
      </c>
      <c r="J19" s="1"/>
      <c r="K19" s="1"/>
      <c r="L19" s="1"/>
      <c r="M19" s="1"/>
      <c r="N19" s="1"/>
      <c r="O19" s="1"/>
      <c r="P19" s="1"/>
      <c r="Q19" s="1"/>
    </row>
    <row r="20" spans="1:17">
      <c r="A20" s="10">
        <v>12</v>
      </c>
      <c r="B20" s="10" t="s">
        <v>111</v>
      </c>
      <c r="C20" s="10" t="s">
        <v>153</v>
      </c>
      <c r="D20" s="10" t="s">
        <v>154</v>
      </c>
      <c r="E20" s="12">
        <v>1.602E-19</v>
      </c>
      <c r="F20" s="10" t="s">
        <v>155</v>
      </c>
      <c r="G20" s="10" t="s">
        <v>157</v>
      </c>
      <c r="H20" s="10" t="s">
        <v>151</v>
      </c>
      <c r="I20" s="14" t="s">
        <v>156</v>
      </c>
      <c r="J20" s="1"/>
      <c r="K20" s="1"/>
      <c r="L20" s="1"/>
      <c r="M20" s="1"/>
      <c r="N20" s="1"/>
      <c r="O20" s="1"/>
      <c r="P20" s="1"/>
      <c r="Q20" s="1"/>
    </row>
    <row r="21" spans="1:17" ht="28.5">
      <c r="A21" s="10">
        <v>13</v>
      </c>
      <c r="B21" s="10" t="s">
        <v>111</v>
      </c>
      <c r="C21" s="10" t="s">
        <v>158</v>
      </c>
      <c r="D21" s="10" t="s">
        <v>159</v>
      </c>
      <c r="E21" s="12">
        <v>1</v>
      </c>
      <c r="F21" s="10" t="s">
        <v>86</v>
      </c>
      <c r="G21" s="10" t="s">
        <v>123</v>
      </c>
      <c r="H21" s="10" t="s">
        <v>160</v>
      </c>
      <c r="I21" s="14" t="s">
        <v>161</v>
      </c>
      <c r="J21" s="1"/>
      <c r="K21" s="1"/>
      <c r="L21" s="1"/>
      <c r="M21" s="1"/>
      <c r="N21" s="1"/>
      <c r="O21" s="1"/>
      <c r="P21" s="1"/>
      <c r="Q21" s="1"/>
    </row>
    <row r="22" spans="1:17">
      <c r="A22" s="10">
        <v>14</v>
      </c>
      <c r="B22" s="10" t="s">
        <v>111</v>
      </c>
      <c r="C22" s="10" t="s">
        <v>162</v>
      </c>
      <c r="D22" s="10" t="s">
        <v>163</v>
      </c>
      <c r="E22" s="12">
        <v>1.5E-3</v>
      </c>
      <c r="F22" s="10" t="s">
        <v>164</v>
      </c>
      <c r="G22" s="10" t="s">
        <v>123</v>
      </c>
      <c r="H22" s="10" t="s">
        <v>165</v>
      </c>
      <c r="I22" s="14" t="s">
        <v>141</v>
      </c>
      <c r="J22" s="1"/>
      <c r="K22" s="1"/>
      <c r="L22" s="1"/>
      <c r="M22" s="1"/>
      <c r="N22" s="1"/>
      <c r="O22" s="1"/>
      <c r="P22" s="1"/>
      <c r="Q22" s="1"/>
    </row>
    <row r="23" spans="1:17">
      <c r="A23" s="10">
        <v>15</v>
      </c>
      <c r="B23" s="10" t="s">
        <v>111</v>
      </c>
      <c r="C23" s="10" t="s">
        <v>166</v>
      </c>
      <c r="D23" s="10" t="s">
        <v>167</v>
      </c>
      <c r="E23" s="12">
        <v>100</v>
      </c>
      <c r="F23" s="10" t="s">
        <v>168</v>
      </c>
      <c r="G23" s="10" t="s">
        <v>3</v>
      </c>
      <c r="H23" s="10" t="s">
        <v>169</v>
      </c>
      <c r="I23" s="14" t="s">
        <v>98</v>
      </c>
      <c r="J23" s="1"/>
      <c r="K23" s="1"/>
      <c r="L23" s="1"/>
      <c r="M23" s="1"/>
      <c r="N23" s="1"/>
      <c r="O23" s="1"/>
      <c r="P23" s="1"/>
      <c r="Q23" s="1"/>
    </row>
    <row r="24" spans="1:17" ht="42.75">
      <c r="A24" s="10">
        <v>16</v>
      </c>
      <c r="B24" s="10" t="s">
        <v>111</v>
      </c>
      <c r="C24" s="10" t="s">
        <v>171</v>
      </c>
      <c r="D24" s="10" t="s">
        <v>172</v>
      </c>
      <c r="E24" s="12">
        <v>0.18</v>
      </c>
      <c r="F24" s="10" t="s">
        <v>173</v>
      </c>
      <c r="G24" s="10" t="s">
        <v>3</v>
      </c>
      <c r="H24" s="10" t="s">
        <v>174</v>
      </c>
      <c r="I24" s="14" t="s">
        <v>175</v>
      </c>
      <c r="J24" s="1"/>
      <c r="K24" s="1"/>
      <c r="L24" s="1"/>
      <c r="M24" s="1"/>
      <c r="N24" s="1"/>
      <c r="O24" s="1"/>
      <c r="P24" s="1"/>
      <c r="Q24" s="1"/>
    </row>
    <row r="25" spans="1:17">
      <c r="A25" s="10">
        <v>17</v>
      </c>
      <c r="B25" s="10" t="s">
        <v>111</v>
      </c>
      <c r="C25" s="10" t="s">
        <v>176</v>
      </c>
      <c r="D25" s="10" t="s">
        <v>177</v>
      </c>
      <c r="E25" s="12">
        <v>3210</v>
      </c>
      <c r="F25" s="10" t="s">
        <v>178</v>
      </c>
      <c r="G25" s="10" t="s">
        <v>132</v>
      </c>
      <c r="H25" s="10" t="s">
        <v>174</v>
      </c>
      <c r="I25" s="14" t="s">
        <v>179</v>
      </c>
      <c r="J25" s="1"/>
      <c r="K25" s="1"/>
      <c r="L25" s="1"/>
      <c r="M25" s="1"/>
      <c r="N25" s="1"/>
      <c r="O25" s="1"/>
      <c r="P25" s="1"/>
      <c r="Q25" s="1"/>
    </row>
    <row r="26" spans="1:17" ht="85.5">
      <c r="A26" s="10">
        <v>18</v>
      </c>
      <c r="B26" s="10" t="s">
        <v>111</v>
      </c>
      <c r="C26" s="10" t="s">
        <v>180</v>
      </c>
      <c r="D26" s="10" t="s">
        <v>181</v>
      </c>
      <c r="E26" s="12">
        <v>5.1788079470198676E-3</v>
      </c>
      <c r="F26" s="10" t="s">
        <v>182</v>
      </c>
      <c r="G26" s="10" t="s">
        <v>123</v>
      </c>
      <c r="H26" s="10" t="s">
        <v>183</v>
      </c>
      <c r="I26" s="14" t="s">
        <v>3039</v>
      </c>
      <c r="J26" s="1"/>
      <c r="K26" s="1"/>
      <c r="L26" s="1"/>
      <c r="M26" s="1"/>
      <c r="N26" s="1"/>
      <c r="O26" s="1"/>
      <c r="P26" s="1"/>
      <c r="Q26" s="1"/>
    </row>
    <row r="27" spans="1:17">
      <c r="A27" s="10">
        <v>19</v>
      </c>
      <c r="B27" s="10" t="s">
        <v>111</v>
      </c>
      <c r="C27" s="10" t="s">
        <v>184</v>
      </c>
      <c r="D27" s="10" t="s">
        <v>185</v>
      </c>
      <c r="E27" s="12">
        <v>0.35</v>
      </c>
      <c r="F27" s="10" t="s">
        <v>86</v>
      </c>
      <c r="G27" s="10" t="s">
        <v>123</v>
      </c>
      <c r="H27" s="10" t="s">
        <v>183</v>
      </c>
      <c r="I27" s="14" t="s">
        <v>186</v>
      </c>
      <c r="J27" s="1"/>
      <c r="K27" s="1"/>
      <c r="L27" s="1"/>
      <c r="M27" s="1"/>
      <c r="N27" s="1"/>
      <c r="O27" s="1"/>
      <c r="P27" s="1"/>
      <c r="Q27" s="1"/>
    </row>
    <row r="28" spans="1:17" ht="28.5">
      <c r="A28" s="10">
        <v>20</v>
      </c>
      <c r="B28" s="10" t="s">
        <v>111</v>
      </c>
      <c r="C28" s="10" t="s">
        <v>187</v>
      </c>
      <c r="D28" s="10" t="s">
        <v>188</v>
      </c>
      <c r="E28" s="12">
        <v>1200</v>
      </c>
      <c r="F28" s="10" t="s">
        <v>73</v>
      </c>
      <c r="G28" s="10" t="s">
        <v>123</v>
      </c>
      <c r="H28" s="10" t="s">
        <v>183</v>
      </c>
      <c r="I28" s="14" t="s">
        <v>189</v>
      </c>
      <c r="J28" s="1"/>
      <c r="K28" s="1"/>
      <c r="L28" s="1"/>
      <c r="M28" s="1"/>
      <c r="N28" s="1"/>
      <c r="O28" s="1"/>
      <c r="P28" s="1"/>
      <c r="Q28" s="1"/>
    </row>
    <row r="29" spans="1:17">
      <c r="A29" s="10">
        <v>21</v>
      </c>
      <c r="B29" s="10" t="s">
        <v>111</v>
      </c>
      <c r="C29" s="10" t="s">
        <v>190</v>
      </c>
      <c r="D29" s="10" t="s">
        <v>191</v>
      </c>
      <c r="E29" s="12">
        <v>1</v>
      </c>
      <c r="F29" s="10" t="s">
        <v>86</v>
      </c>
      <c r="G29" s="10" t="s">
        <v>123</v>
      </c>
      <c r="H29" s="10" t="s">
        <v>192</v>
      </c>
      <c r="I29" s="14" t="s">
        <v>193</v>
      </c>
      <c r="J29" s="1"/>
      <c r="K29" s="1"/>
      <c r="L29" s="1"/>
      <c r="M29" s="1"/>
      <c r="N29" s="1"/>
      <c r="O29" s="1"/>
      <c r="P29" s="1"/>
      <c r="Q29" s="1"/>
    </row>
    <row r="30" spans="1:17" ht="28.5">
      <c r="A30" s="10">
        <v>22</v>
      </c>
      <c r="B30" s="10" t="s">
        <v>111</v>
      </c>
      <c r="C30" s="10" t="s">
        <v>194</v>
      </c>
      <c r="D30" s="10" t="s">
        <v>195</v>
      </c>
      <c r="E30" s="12">
        <v>1.25</v>
      </c>
      <c r="F30" s="10" t="s">
        <v>86</v>
      </c>
      <c r="G30" s="10" t="s">
        <v>123</v>
      </c>
      <c r="H30" s="10" t="s">
        <v>196</v>
      </c>
      <c r="I30" s="14" t="s">
        <v>197</v>
      </c>
      <c r="J30" s="1"/>
      <c r="K30" s="1"/>
      <c r="L30" s="1"/>
      <c r="M30" s="1"/>
      <c r="N30" s="1"/>
      <c r="O30" s="1"/>
      <c r="P30" s="1"/>
      <c r="Q30" s="1"/>
    </row>
    <row r="31" spans="1:17" ht="42.75">
      <c r="A31" s="10">
        <v>23</v>
      </c>
      <c r="B31" s="10" t="s">
        <v>111</v>
      </c>
      <c r="C31" s="10" t="s">
        <v>198</v>
      </c>
      <c r="D31" s="10" t="s">
        <v>199</v>
      </c>
      <c r="E31" s="12">
        <v>1.1499999999999999</v>
      </c>
      <c r="F31" s="10" t="s">
        <v>200</v>
      </c>
      <c r="G31" s="10" t="s">
        <v>3</v>
      </c>
      <c r="H31" s="10" t="s">
        <v>201</v>
      </c>
      <c r="I31" s="14" t="s">
        <v>202</v>
      </c>
      <c r="J31" s="1"/>
      <c r="K31" s="1"/>
      <c r="L31" s="1"/>
      <c r="M31" s="1"/>
      <c r="N31" s="1"/>
      <c r="O31" s="1"/>
      <c r="P31" s="1"/>
      <c r="Q31" s="1"/>
    </row>
    <row r="32" spans="1:17" ht="28.5">
      <c r="A32" s="10">
        <v>24</v>
      </c>
      <c r="B32" s="10" t="s">
        <v>111</v>
      </c>
      <c r="C32" s="10" t="s">
        <v>203</v>
      </c>
      <c r="D32" s="10" t="s">
        <v>204</v>
      </c>
      <c r="E32" s="12">
        <v>0.72</v>
      </c>
      <c r="F32" s="10" t="s">
        <v>86</v>
      </c>
      <c r="G32" s="10" t="s">
        <v>123</v>
      </c>
      <c r="H32" s="10" t="s">
        <v>205</v>
      </c>
      <c r="I32" s="14" t="s">
        <v>206</v>
      </c>
      <c r="J32" s="1"/>
      <c r="K32" s="1"/>
      <c r="L32" s="1"/>
      <c r="M32" s="1"/>
      <c r="N32" s="1"/>
      <c r="O32" s="1"/>
      <c r="P32" s="1"/>
      <c r="Q32" s="1"/>
    </row>
    <row r="33" spans="1:17" ht="42.75">
      <c r="A33" s="10">
        <v>25</v>
      </c>
      <c r="B33" s="10" t="s">
        <v>111</v>
      </c>
      <c r="C33" s="10" t="s">
        <v>207</v>
      </c>
      <c r="D33" s="10" t="s">
        <v>208</v>
      </c>
      <c r="E33" s="12">
        <v>4200</v>
      </c>
      <c r="F33" s="10" t="s">
        <v>168</v>
      </c>
      <c r="G33" s="10" t="s">
        <v>3</v>
      </c>
      <c r="H33" s="10" t="s">
        <v>209</v>
      </c>
      <c r="I33" s="14" t="s">
        <v>210</v>
      </c>
      <c r="J33" s="1"/>
      <c r="K33" s="1"/>
      <c r="L33" s="1"/>
      <c r="M33" s="1"/>
      <c r="N33" s="1"/>
      <c r="O33" s="1"/>
      <c r="P33" s="1"/>
      <c r="Q33" s="1"/>
    </row>
    <row r="34" spans="1:17" ht="42.75">
      <c r="A34" s="10">
        <v>26</v>
      </c>
      <c r="B34" s="10" t="s">
        <v>111</v>
      </c>
      <c r="C34" s="10" t="s">
        <v>211</v>
      </c>
      <c r="D34" s="10" t="s">
        <v>212</v>
      </c>
      <c r="E34" s="12">
        <v>0.92</v>
      </c>
      <c r="F34" s="10" t="s">
        <v>173</v>
      </c>
      <c r="G34" s="10" t="s">
        <v>3</v>
      </c>
      <c r="H34" s="10" t="s">
        <v>209</v>
      </c>
      <c r="I34" s="14" t="s">
        <v>213</v>
      </c>
      <c r="J34" s="1"/>
      <c r="K34" s="1"/>
      <c r="L34" s="1"/>
      <c r="M34" s="1"/>
      <c r="N34" s="1"/>
      <c r="O34" s="1"/>
      <c r="P34" s="1"/>
      <c r="Q34" s="1"/>
    </row>
    <row r="35" spans="1:17" ht="42.75">
      <c r="A35" s="10">
        <v>27</v>
      </c>
      <c r="B35" s="10" t="s">
        <v>111</v>
      </c>
      <c r="C35" s="10" t="s">
        <v>214</v>
      </c>
      <c r="D35" s="10" t="s">
        <v>215</v>
      </c>
      <c r="E35" s="12">
        <v>4000</v>
      </c>
      <c r="F35" s="10" t="s">
        <v>178</v>
      </c>
      <c r="G35" s="10" t="s">
        <v>132</v>
      </c>
      <c r="H35" s="10" t="s">
        <v>209</v>
      </c>
      <c r="I35" s="14" t="s">
        <v>216</v>
      </c>
      <c r="J35" s="1"/>
      <c r="K35" s="1"/>
      <c r="L35" s="1"/>
      <c r="M35" s="1"/>
      <c r="N35" s="1"/>
      <c r="O35" s="1"/>
      <c r="P35" s="1"/>
      <c r="Q35" s="1"/>
    </row>
    <row r="36" spans="1:17" ht="42.75">
      <c r="A36" s="10">
        <v>28</v>
      </c>
      <c r="B36" s="10" t="s">
        <v>111</v>
      </c>
      <c r="C36" s="10" t="s">
        <v>217</v>
      </c>
      <c r="D36" s="10" t="s">
        <v>218</v>
      </c>
      <c r="E36" s="12">
        <v>5000</v>
      </c>
      <c r="F36" s="10" t="s">
        <v>168</v>
      </c>
      <c r="G36" s="10" t="s">
        <v>3</v>
      </c>
      <c r="H36" s="10" t="s">
        <v>219</v>
      </c>
      <c r="I36" s="14" t="s">
        <v>220</v>
      </c>
      <c r="J36" s="1"/>
      <c r="K36" s="1"/>
      <c r="L36" s="1"/>
      <c r="M36" s="1"/>
      <c r="N36" s="1"/>
      <c r="O36" s="1"/>
      <c r="P36" s="1"/>
      <c r="Q36" s="1"/>
    </row>
    <row r="37" spans="1:17" ht="42.75">
      <c r="A37" s="10">
        <v>29</v>
      </c>
      <c r="B37" s="10" t="s">
        <v>111</v>
      </c>
      <c r="C37" s="10" t="s">
        <v>221</v>
      </c>
      <c r="D37" s="10" t="s">
        <v>222</v>
      </c>
      <c r="E37" s="12">
        <v>3</v>
      </c>
      <c r="F37" s="10" t="s">
        <v>173</v>
      </c>
      <c r="G37" s="10" t="s">
        <v>3</v>
      </c>
      <c r="H37" s="10" t="s">
        <v>219</v>
      </c>
      <c r="I37" s="14" t="s">
        <v>223</v>
      </c>
      <c r="J37" s="1"/>
      <c r="K37" s="1"/>
      <c r="L37" s="1"/>
      <c r="M37" s="1"/>
      <c r="N37" s="1"/>
      <c r="O37" s="1"/>
      <c r="P37" s="1"/>
      <c r="Q37" s="1"/>
    </row>
    <row r="38" spans="1:17">
      <c r="A38" s="10">
        <v>30</v>
      </c>
      <c r="B38" s="10" t="s">
        <v>111</v>
      </c>
      <c r="C38" s="10" t="s">
        <v>224</v>
      </c>
      <c r="D38" s="10" t="s">
        <v>225</v>
      </c>
      <c r="E38" s="12">
        <v>2700</v>
      </c>
      <c r="F38" s="10" t="s">
        <v>178</v>
      </c>
      <c r="G38" s="10" t="s">
        <v>132</v>
      </c>
      <c r="H38" s="10" t="s">
        <v>219</v>
      </c>
      <c r="I38" s="14" t="s">
        <v>226</v>
      </c>
      <c r="J38" s="1"/>
      <c r="K38" s="1"/>
      <c r="L38" s="1"/>
      <c r="M38" s="1"/>
      <c r="N38" s="1"/>
      <c r="O38" s="1"/>
      <c r="P38" s="1"/>
      <c r="Q38" s="1"/>
    </row>
    <row r="39" spans="1:17" ht="57">
      <c r="A39" s="10">
        <v>31</v>
      </c>
      <c r="B39" s="10" t="s">
        <v>111</v>
      </c>
      <c r="C39" s="10" t="s">
        <v>227</v>
      </c>
      <c r="D39" s="10" t="s">
        <v>228</v>
      </c>
      <c r="E39" s="12">
        <v>7.4999999999999997E-2</v>
      </c>
      <c r="F39" s="10" t="s">
        <v>229</v>
      </c>
      <c r="G39" s="10" t="s">
        <v>3</v>
      </c>
      <c r="H39" s="10" t="s">
        <v>230</v>
      </c>
      <c r="I39" s="14" t="s">
        <v>231</v>
      </c>
      <c r="J39" s="1"/>
      <c r="K39" s="1"/>
      <c r="L39" s="1"/>
      <c r="M39" s="1"/>
      <c r="N39" s="1"/>
      <c r="O39" s="1"/>
      <c r="P39" s="1"/>
      <c r="Q39" s="1"/>
    </row>
    <row r="40" spans="1:17" ht="42.75">
      <c r="A40" s="10">
        <v>32</v>
      </c>
      <c r="B40" s="10" t="s">
        <v>232</v>
      </c>
      <c r="C40" s="10" t="s">
        <v>233</v>
      </c>
      <c r="D40" s="10" t="s">
        <v>234</v>
      </c>
      <c r="E40" s="12">
        <v>10000</v>
      </c>
      <c r="F40" s="10" t="s">
        <v>235</v>
      </c>
      <c r="G40" s="10" t="s">
        <v>238</v>
      </c>
      <c r="H40" s="10" t="s">
        <v>236</v>
      </c>
      <c r="I40" s="14" t="s">
        <v>237</v>
      </c>
      <c r="J40" s="1"/>
      <c r="K40" s="1"/>
      <c r="L40" s="1"/>
      <c r="M40" s="1"/>
      <c r="N40" s="1"/>
      <c r="O40" s="1"/>
      <c r="P40" s="1"/>
      <c r="Q40" s="1"/>
    </row>
    <row r="41" spans="1:17" ht="28.5">
      <c r="A41" s="10">
        <v>33</v>
      </c>
      <c r="B41" s="10" t="s">
        <v>232</v>
      </c>
      <c r="C41" s="10" t="s">
        <v>239</v>
      </c>
      <c r="D41" s="10" t="s">
        <v>240</v>
      </c>
      <c r="E41" s="12">
        <v>0.95</v>
      </c>
      <c r="F41" s="10" t="s">
        <v>86</v>
      </c>
      <c r="G41" s="10" t="s">
        <v>123</v>
      </c>
      <c r="H41" s="10" t="s">
        <v>236</v>
      </c>
      <c r="I41" s="14" t="s">
        <v>241</v>
      </c>
      <c r="J41" s="1"/>
      <c r="K41" s="1"/>
      <c r="L41" s="1"/>
      <c r="M41" s="1"/>
      <c r="N41" s="1"/>
      <c r="O41" s="1"/>
      <c r="P41" s="1"/>
      <c r="Q41" s="1"/>
    </row>
    <row r="42" spans="1:17" ht="28.5">
      <c r="A42" s="10">
        <v>34</v>
      </c>
      <c r="B42" s="10" t="s">
        <v>232</v>
      </c>
      <c r="C42" s="10" t="s">
        <v>242</v>
      </c>
      <c r="D42" s="10" t="s">
        <v>243</v>
      </c>
      <c r="E42" s="12">
        <v>0.95</v>
      </c>
      <c r="F42" s="10" t="s">
        <v>86</v>
      </c>
      <c r="G42" s="10" t="s">
        <v>123</v>
      </c>
      <c r="H42" s="10" t="s">
        <v>236</v>
      </c>
      <c r="I42" s="14" t="s">
        <v>244</v>
      </c>
      <c r="J42" s="1"/>
      <c r="K42" s="1"/>
      <c r="L42" s="1"/>
      <c r="M42" s="1"/>
      <c r="N42" s="1"/>
      <c r="O42" s="1"/>
      <c r="P42" s="1"/>
      <c r="Q42" s="1"/>
    </row>
    <row r="43" spans="1:17" ht="28.5">
      <c r="A43" s="10">
        <v>35</v>
      </c>
      <c r="B43" s="10" t="s">
        <v>232</v>
      </c>
      <c r="C43" s="10" t="s">
        <v>245</v>
      </c>
      <c r="D43" s="10" t="s">
        <v>246</v>
      </c>
      <c r="E43" s="12">
        <v>0.75</v>
      </c>
      <c r="F43" s="10" t="s">
        <v>86</v>
      </c>
      <c r="G43" s="10" t="s">
        <v>123</v>
      </c>
      <c r="H43" s="10" t="s">
        <v>236</v>
      </c>
      <c r="I43" s="14" t="s">
        <v>247</v>
      </c>
      <c r="J43" s="1"/>
      <c r="K43" s="1"/>
      <c r="L43" s="1"/>
      <c r="M43" s="1"/>
      <c r="N43" s="1"/>
      <c r="O43" s="1"/>
      <c r="P43" s="1"/>
      <c r="Q43" s="1"/>
    </row>
    <row r="44" spans="1:17" ht="42.75">
      <c r="A44" s="10">
        <v>36</v>
      </c>
      <c r="B44" s="10" t="s">
        <v>232</v>
      </c>
      <c r="C44" s="10" t="s">
        <v>248</v>
      </c>
      <c r="D44" s="10" t="s">
        <v>249</v>
      </c>
      <c r="E44" s="12">
        <v>1.5</v>
      </c>
      <c r="F44" s="10" t="s">
        <v>250</v>
      </c>
      <c r="G44" s="10" t="s">
        <v>3</v>
      </c>
      <c r="H44" s="10" t="s">
        <v>236</v>
      </c>
      <c r="I44" s="14" t="s">
        <v>251</v>
      </c>
      <c r="J44" s="1"/>
      <c r="K44" s="1"/>
      <c r="L44" s="1"/>
      <c r="M44" s="1"/>
      <c r="N44" s="1"/>
      <c r="O44" s="1"/>
      <c r="P44" s="1"/>
      <c r="Q44" s="1"/>
    </row>
    <row r="45" spans="1:17">
      <c r="A45" s="10">
        <v>37</v>
      </c>
      <c r="B45" s="10" t="s">
        <v>232</v>
      </c>
      <c r="C45" s="10" t="s">
        <v>252</v>
      </c>
      <c r="D45" s="10" t="s">
        <v>253</v>
      </c>
      <c r="E45" s="12">
        <v>1</v>
      </c>
      <c r="F45" s="10" t="s">
        <v>250</v>
      </c>
      <c r="G45" s="10" t="s">
        <v>123</v>
      </c>
      <c r="H45" s="10" t="s">
        <v>236</v>
      </c>
      <c r="I45" s="14" t="s">
        <v>254</v>
      </c>
      <c r="J45" s="1"/>
      <c r="K45" s="1"/>
      <c r="L45" s="1"/>
      <c r="M45" s="1"/>
      <c r="N45" s="1"/>
      <c r="O45" s="1"/>
      <c r="P45" s="1"/>
      <c r="Q45" s="1"/>
    </row>
    <row r="46" spans="1:17" ht="42.75">
      <c r="A46" s="10">
        <v>38</v>
      </c>
      <c r="B46" s="10" t="s">
        <v>232</v>
      </c>
      <c r="C46" s="10" t="s">
        <v>255</v>
      </c>
      <c r="D46" s="10" t="s">
        <v>256</v>
      </c>
      <c r="E46" s="12">
        <v>20</v>
      </c>
      <c r="F46" s="10" t="s">
        <v>257</v>
      </c>
      <c r="G46" s="10" t="s">
        <v>3</v>
      </c>
      <c r="H46" s="10" t="s">
        <v>258</v>
      </c>
      <c r="I46" s="14" t="s">
        <v>259</v>
      </c>
      <c r="J46" s="1"/>
      <c r="K46" s="1"/>
      <c r="L46" s="1"/>
      <c r="M46" s="1"/>
      <c r="N46" s="1"/>
      <c r="O46" s="1"/>
      <c r="P46" s="1"/>
      <c r="Q46" s="1"/>
    </row>
    <row r="47" spans="1:17" ht="57">
      <c r="A47" s="10">
        <v>39</v>
      </c>
      <c r="B47" s="10" t="s">
        <v>232</v>
      </c>
      <c r="C47" s="10" t="s">
        <v>260</v>
      </c>
      <c r="D47" s="10" t="s">
        <v>261</v>
      </c>
      <c r="E47" s="12">
        <v>6.0000000000000001E-3</v>
      </c>
      <c r="F47" s="10" t="s">
        <v>262</v>
      </c>
      <c r="G47" s="10" t="s">
        <v>3</v>
      </c>
      <c r="H47" s="10" t="s">
        <v>263</v>
      </c>
      <c r="I47" s="14" t="s">
        <v>264</v>
      </c>
      <c r="J47" s="1"/>
      <c r="K47" s="1"/>
      <c r="L47" s="1"/>
      <c r="M47" s="1"/>
      <c r="N47" s="1"/>
      <c r="O47" s="1"/>
      <c r="P47" s="1"/>
      <c r="Q47" s="1"/>
    </row>
    <row r="48" spans="1:17" ht="28.5">
      <c r="A48" s="10">
        <v>40</v>
      </c>
      <c r="B48" s="10" t="s">
        <v>232</v>
      </c>
      <c r="C48" s="10" t="s">
        <v>265</v>
      </c>
      <c r="D48" s="10" t="s">
        <v>266</v>
      </c>
      <c r="E48" s="12">
        <v>850</v>
      </c>
      <c r="F48" s="10" t="s">
        <v>178</v>
      </c>
      <c r="G48" s="10" t="s">
        <v>132</v>
      </c>
      <c r="H48" s="10" t="s">
        <v>263</v>
      </c>
      <c r="I48" s="14" t="s">
        <v>267</v>
      </c>
      <c r="J48" s="1"/>
      <c r="K48" s="1"/>
      <c r="L48" s="1"/>
      <c r="M48" s="1"/>
      <c r="N48" s="1"/>
      <c r="O48" s="1"/>
      <c r="P48" s="1"/>
      <c r="Q48" s="1"/>
    </row>
    <row r="49" spans="1:17" ht="28.5">
      <c r="A49" s="10">
        <v>41</v>
      </c>
      <c r="B49" s="10" t="s">
        <v>232</v>
      </c>
      <c r="C49" s="10" t="s">
        <v>268</v>
      </c>
      <c r="D49" s="10" t="s">
        <v>269</v>
      </c>
      <c r="E49" s="12">
        <v>1.2</v>
      </c>
      <c r="F49" s="10" t="s">
        <v>86</v>
      </c>
      <c r="G49" s="10" t="s">
        <v>123</v>
      </c>
      <c r="H49" s="10" t="s">
        <v>270</v>
      </c>
      <c r="I49" s="14" t="s">
        <v>271</v>
      </c>
      <c r="J49" s="1"/>
      <c r="K49" s="1"/>
      <c r="L49" s="1"/>
      <c r="M49" s="1"/>
      <c r="N49" s="1"/>
      <c r="O49" s="1"/>
      <c r="P49" s="1"/>
      <c r="Q49" s="1"/>
    </row>
    <row r="50" spans="1:17" ht="42.75">
      <c r="A50" s="10">
        <v>42</v>
      </c>
      <c r="B50" s="10" t="s">
        <v>232</v>
      </c>
      <c r="C50" s="10" t="s">
        <v>272</v>
      </c>
      <c r="D50" s="10" t="s">
        <v>273</v>
      </c>
      <c r="E50" s="12">
        <v>0.35</v>
      </c>
      <c r="F50" s="10" t="s">
        <v>229</v>
      </c>
      <c r="G50" s="10" t="s">
        <v>3</v>
      </c>
      <c r="H50" s="10" t="s">
        <v>274</v>
      </c>
      <c r="I50" s="14" t="s">
        <v>275</v>
      </c>
      <c r="J50" s="1"/>
      <c r="K50" s="1"/>
      <c r="L50" s="1"/>
      <c r="M50" s="1"/>
      <c r="N50" s="1"/>
      <c r="O50" s="1"/>
      <c r="P50" s="1"/>
      <c r="Q50" s="1"/>
    </row>
    <row r="51" spans="1:17" ht="28.5">
      <c r="A51" s="10">
        <v>43</v>
      </c>
      <c r="B51" s="10" t="s">
        <v>276</v>
      </c>
      <c r="C51" s="10" t="s">
        <v>277</v>
      </c>
      <c r="D51" s="10" t="s">
        <v>278</v>
      </c>
      <c r="E51" s="12">
        <v>1.25</v>
      </c>
      <c r="F51" s="10" t="s">
        <v>86</v>
      </c>
      <c r="G51" s="10" t="s">
        <v>123</v>
      </c>
      <c r="H51" s="10" t="s">
        <v>279</v>
      </c>
      <c r="I51" s="14" t="s">
        <v>280</v>
      </c>
      <c r="J51" s="1"/>
      <c r="K51" s="1"/>
      <c r="L51" s="1"/>
      <c r="M51" s="1"/>
      <c r="N51" s="1"/>
      <c r="O51" s="1"/>
      <c r="P51" s="1"/>
      <c r="Q51" s="1"/>
    </row>
    <row r="52" spans="1:17" ht="42.75">
      <c r="A52" s="10">
        <v>44</v>
      </c>
      <c r="B52" s="10" t="s">
        <v>276</v>
      </c>
      <c r="C52" s="10" t="s">
        <v>281</v>
      </c>
      <c r="D52" s="10" t="s">
        <v>282</v>
      </c>
      <c r="E52" s="12">
        <v>200</v>
      </c>
      <c r="F52" s="10" t="s">
        <v>283</v>
      </c>
      <c r="G52" s="10" t="s">
        <v>238</v>
      </c>
      <c r="H52" s="10" t="s">
        <v>284</v>
      </c>
      <c r="I52" s="14" t="s">
        <v>285</v>
      </c>
      <c r="J52" s="1"/>
      <c r="K52" s="1"/>
      <c r="L52" s="1"/>
      <c r="M52" s="1"/>
      <c r="N52" s="1"/>
      <c r="O52" s="1"/>
      <c r="P52" s="1"/>
      <c r="Q52" s="1"/>
    </row>
    <row r="53" spans="1:17" ht="28.5">
      <c r="A53" s="10">
        <v>45</v>
      </c>
      <c r="B53" s="10" t="s">
        <v>276</v>
      </c>
      <c r="C53" s="10" t="s">
        <v>286</v>
      </c>
      <c r="D53" s="10" t="s">
        <v>287</v>
      </c>
      <c r="E53" s="12">
        <v>1</v>
      </c>
      <c r="F53" s="10" t="s">
        <v>86</v>
      </c>
      <c r="G53" s="10" t="s">
        <v>123</v>
      </c>
      <c r="H53" s="10" t="s">
        <v>284</v>
      </c>
      <c r="I53" s="14" t="s">
        <v>288</v>
      </c>
      <c r="J53" s="1"/>
      <c r="K53" s="1"/>
      <c r="L53" s="1"/>
      <c r="M53" s="1"/>
      <c r="N53" s="1"/>
      <c r="O53" s="1"/>
      <c r="P53" s="1"/>
      <c r="Q53" s="1"/>
    </row>
    <row r="54" spans="1:17" ht="28.5">
      <c r="A54" s="10">
        <v>46</v>
      </c>
      <c r="B54" s="10" t="s">
        <v>276</v>
      </c>
      <c r="C54" s="10" t="s">
        <v>289</v>
      </c>
      <c r="D54" s="10" t="s">
        <v>290</v>
      </c>
      <c r="E54" s="12">
        <v>0.72</v>
      </c>
      <c r="F54" s="10" t="s">
        <v>86</v>
      </c>
      <c r="G54" s="10" t="s">
        <v>123</v>
      </c>
      <c r="H54" s="10" t="s">
        <v>284</v>
      </c>
      <c r="I54" s="14" t="s">
        <v>291</v>
      </c>
      <c r="J54" s="1"/>
      <c r="K54" s="1"/>
      <c r="L54" s="1"/>
      <c r="M54" s="1"/>
      <c r="N54" s="1"/>
      <c r="O54" s="1"/>
      <c r="P54" s="1"/>
      <c r="Q54" s="1"/>
    </row>
    <row r="55" spans="1:17" ht="42.75">
      <c r="A55" s="10">
        <v>47</v>
      </c>
      <c r="B55" s="10" t="s">
        <v>276</v>
      </c>
      <c r="C55" s="10" t="s">
        <v>292</v>
      </c>
      <c r="D55" s="10" t="s">
        <v>293</v>
      </c>
      <c r="E55" s="12">
        <v>0.1</v>
      </c>
      <c r="F55" s="10" t="s">
        <v>229</v>
      </c>
      <c r="G55" s="10" t="s">
        <v>3</v>
      </c>
      <c r="H55" s="10" t="s">
        <v>294</v>
      </c>
      <c r="I55" s="14" t="s">
        <v>295</v>
      </c>
      <c r="J55" s="1"/>
      <c r="K55" s="1"/>
      <c r="L55" s="1"/>
      <c r="M55" s="1"/>
      <c r="N55" s="1"/>
      <c r="O55" s="1"/>
      <c r="P55" s="1"/>
      <c r="Q55" s="1"/>
    </row>
    <row r="56" spans="1:17" ht="42.75">
      <c r="A56" s="10">
        <v>48</v>
      </c>
      <c r="B56" s="10" t="s">
        <v>296</v>
      </c>
      <c r="C56" s="10" t="s">
        <v>297</v>
      </c>
      <c r="D56" s="10" t="s">
        <v>298</v>
      </c>
      <c r="E56" s="12">
        <v>4</v>
      </c>
      <c r="F56" s="10" t="s">
        <v>200</v>
      </c>
      <c r="G56" s="10" t="s">
        <v>238</v>
      </c>
      <c r="H56" s="10" t="s">
        <v>299</v>
      </c>
      <c r="I56" s="14" t="s">
        <v>300</v>
      </c>
      <c r="J56" s="1"/>
      <c r="K56" s="1"/>
      <c r="L56" s="1"/>
      <c r="M56" s="1"/>
      <c r="N56" s="1"/>
      <c r="O56" s="1"/>
      <c r="P56" s="1"/>
      <c r="Q56" s="1"/>
    </row>
    <row r="57" spans="1:17" ht="28.5">
      <c r="A57" s="10">
        <v>49</v>
      </c>
      <c r="B57" s="10" t="s">
        <v>296</v>
      </c>
      <c r="C57" s="10" t="s">
        <v>301</v>
      </c>
      <c r="D57" s="10" t="s">
        <v>302</v>
      </c>
      <c r="E57" s="12">
        <v>105</v>
      </c>
      <c r="F57" s="10" t="s">
        <v>303</v>
      </c>
      <c r="G57" s="10" t="s">
        <v>3</v>
      </c>
      <c r="H57" s="10" t="s">
        <v>304</v>
      </c>
      <c r="I57" s="14" t="s">
        <v>305</v>
      </c>
      <c r="J57" s="1"/>
      <c r="K57" s="1"/>
      <c r="L57" s="1"/>
      <c r="M57" s="1"/>
      <c r="N57" s="1"/>
      <c r="O57" s="1"/>
      <c r="P57" s="1"/>
      <c r="Q57" s="1"/>
    </row>
    <row r="58" spans="1:17" ht="28.5">
      <c r="A58" s="10">
        <v>50</v>
      </c>
      <c r="B58" s="10" t="s">
        <v>296</v>
      </c>
      <c r="C58" s="10" t="s">
        <v>310</v>
      </c>
      <c r="D58" s="10" t="s">
        <v>311</v>
      </c>
      <c r="E58" s="12">
        <v>60</v>
      </c>
      <c r="F58" s="10" t="s">
        <v>257</v>
      </c>
      <c r="G58" s="10" t="s">
        <v>123</v>
      </c>
      <c r="H58" s="10" t="s">
        <v>299</v>
      </c>
      <c r="I58" s="14" t="s">
        <v>312</v>
      </c>
      <c r="J58" s="1"/>
      <c r="K58" s="1"/>
      <c r="L58" s="1"/>
      <c r="M58" s="1"/>
      <c r="N58" s="1"/>
      <c r="O58" s="1"/>
      <c r="P58" s="1"/>
      <c r="Q58" s="1"/>
    </row>
    <row r="59" spans="1:17" ht="28.5">
      <c r="A59" s="10">
        <v>51</v>
      </c>
      <c r="B59" s="10" t="s">
        <v>296</v>
      </c>
      <c r="C59" s="10" t="s">
        <v>313</v>
      </c>
      <c r="D59" s="10" t="s">
        <v>314</v>
      </c>
      <c r="E59" s="12">
        <v>1</v>
      </c>
      <c r="F59" s="10" t="s">
        <v>86</v>
      </c>
      <c r="G59" s="10" t="s">
        <v>123</v>
      </c>
      <c r="H59" s="10" t="s">
        <v>299</v>
      </c>
      <c r="I59" s="14" t="s">
        <v>315</v>
      </c>
      <c r="J59" s="1"/>
      <c r="K59" s="1"/>
      <c r="L59" s="1"/>
      <c r="M59" s="1"/>
      <c r="N59" s="1"/>
      <c r="O59" s="1"/>
      <c r="P59" s="1"/>
      <c r="Q59" s="1"/>
    </row>
    <row r="60" spans="1:17" ht="42.75">
      <c r="A60" s="10">
        <v>52</v>
      </c>
      <c r="B60" s="10" t="s">
        <v>296</v>
      </c>
      <c r="C60" s="10" t="s">
        <v>316</v>
      </c>
      <c r="D60" s="10" t="s">
        <v>317</v>
      </c>
      <c r="E60" s="12">
        <v>1.2</v>
      </c>
      <c r="F60" s="10" t="s">
        <v>262</v>
      </c>
      <c r="G60" s="10" t="s">
        <v>3</v>
      </c>
      <c r="H60" s="10" t="s">
        <v>318</v>
      </c>
      <c r="I60" s="14" t="s">
        <v>319</v>
      </c>
      <c r="J60" s="1"/>
      <c r="K60" s="1"/>
      <c r="L60" s="1"/>
      <c r="M60" s="1"/>
      <c r="N60" s="1"/>
      <c r="O60" s="1"/>
      <c r="P60" s="1"/>
      <c r="Q60" s="1"/>
    </row>
    <row r="61" spans="1:17" ht="42.75">
      <c r="A61" s="10">
        <v>53</v>
      </c>
      <c r="B61" s="10" t="s">
        <v>296</v>
      </c>
      <c r="C61" s="10" t="s">
        <v>320</v>
      </c>
      <c r="D61" s="10" t="s">
        <v>321</v>
      </c>
      <c r="E61" s="12">
        <v>2</v>
      </c>
      <c r="F61" s="10" t="s">
        <v>86</v>
      </c>
      <c r="G61" s="10" t="s">
        <v>323</v>
      </c>
      <c r="H61" s="10" t="s">
        <v>318</v>
      </c>
      <c r="I61" s="14" t="s">
        <v>322</v>
      </c>
      <c r="J61" s="1"/>
      <c r="K61" s="1"/>
      <c r="L61" s="1"/>
      <c r="M61" s="1"/>
      <c r="N61" s="1"/>
      <c r="O61" s="1"/>
      <c r="P61" s="1"/>
      <c r="Q61" s="1"/>
    </row>
    <row r="62" spans="1:17">
      <c r="A62" s="10">
        <v>54</v>
      </c>
      <c r="B62" s="10" t="s">
        <v>296</v>
      </c>
      <c r="C62" s="10" t="s">
        <v>324</v>
      </c>
      <c r="D62" s="10" t="s">
        <v>325</v>
      </c>
      <c r="E62" s="12">
        <v>8960</v>
      </c>
      <c r="F62" s="10" t="s">
        <v>178</v>
      </c>
      <c r="G62" s="10" t="s">
        <v>132</v>
      </c>
      <c r="H62" s="10" t="s">
        <v>318</v>
      </c>
      <c r="I62" s="14" t="s">
        <v>3040</v>
      </c>
      <c r="J62" s="1"/>
      <c r="K62" s="1"/>
      <c r="L62" s="1"/>
      <c r="M62" s="1"/>
      <c r="N62" s="1"/>
      <c r="O62" s="1"/>
      <c r="P62" s="1"/>
      <c r="Q62" s="1"/>
    </row>
    <row r="63" spans="1:17" ht="28.5">
      <c r="A63" s="10">
        <v>55</v>
      </c>
      <c r="B63" s="10" t="s">
        <v>296</v>
      </c>
      <c r="C63" s="10" t="s">
        <v>327</v>
      </c>
      <c r="D63" s="10" t="s">
        <v>328</v>
      </c>
      <c r="E63" s="12">
        <v>1.18</v>
      </c>
      <c r="F63" s="10" t="s">
        <v>86</v>
      </c>
      <c r="G63" s="10" t="s">
        <v>123</v>
      </c>
      <c r="H63" s="10" t="s">
        <v>329</v>
      </c>
      <c r="I63" s="14" t="s">
        <v>330</v>
      </c>
      <c r="J63" s="1"/>
      <c r="K63" s="1"/>
      <c r="L63" s="1"/>
      <c r="M63" s="1"/>
      <c r="N63" s="1"/>
      <c r="O63" s="1"/>
      <c r="P63" s="1"/>
      <c r="Q63" s="1"/>
    </row>
    <row r="64" spans="1:17" ht="42.75">
      <c r="A64" s="10">
        <v>56</v>
      </c>
      <c r="B64" s="10" t="s">
        <v>331</v>
      </c>
      <c r="C64" s="10" t="s">
        <v>332</v>
      </c>
      <c r="D64" s="10" t="s">
        <v>333</v>
      </c>
      <c r="E64" s="12">
        <v>0.45</v>
      </c>
      <c r="F64" s="10" t="s">
        <v>262</v>
      </c>
      <c r="G64" s="10" t="s">
        <v>3</v>
      </c>
      <c r="H64" s="10" t="s">
        <v>334</v>
      </c>
      <c r="I64" s="14" t="s">
        <v>335</v>
      </c>
      <c r="J64" s="1"/>
      <c r="K64" s="1"/>
      <c r="L64" s="1"/>
      <c r="M64" s="1"/>
      <c r="N64" s="1"/>
      <c r="O64" s="1"/>
      <c r="P64" s="1"/>
      <c r="Q64" s="1"/>
    </row>
    <row r="65" spans="1:17" ht="42.75">
      <c r="A65" s="10">
        <v>57</v>
      </c>
      <c r="B65" s="10" t="s">
        <v>331</v>
      </c>
      <c r="C65" s="10" t="s">
        <v>336</v>
      </c>
      <c r="D65" s="10" t="s">
        <v>337</v>
      </c>
      <c r="E65" s="12">
        <v>0.3</v>
      </c>
      <c r="F65" s="10" t="s">
        <v>262</v>
      </c>
      <c r="G65" s="10" t="s">
        <v>3</v>
      </c>
      <c r="H65" s="10" t="s">
        <v>334</v>
      </c>
      <c r="I65" s="14" t="s">
        <v>338</v>
      </c>
      <c r="J65" s="1"/>
      <c r="K65" s="1"/>
      <c r="L65" s="1"/>
      <c r="M65" s="1"/>
      <c r="N65" s="1"/>
      <c r="O65" s="1"/>
      <c r="P65" s="1"/>
      <c r="Q65" s="1"/>
    </row>
    <row r="66" spans="1:17" ht="42.75">
      <c r="A66" s="10">
        <v>58</v>
      </c>
      <c r="B66" s="10" t="s">
        <v>331</v>
      </c>
      <c r="C66" s="10" t="s">
        <v>339</v>
      </c>
      <c r="D66" s="10" t="s">
        <v>340</v>
      </c>
      <c r="E66" s="12">
        <v>0.15</v>
      </c>
      <c r="F66" s="10" t="s">
        <v>262</v>
      </c>
      <c r="G66" s="10" t="s">
        <v>3</v>
      </c>
      <c r="H66" s="10" t="s">
        <v>334</v>
      </c>
      <c r="I66" s="14" t="s">
        <v>341</v>
      </c>
      <c r="J66" s="1"/>
      <c r="K66" s="1"/>
      <c r="L66" s="1"/>
      <c r="M66" s="1"/>
      <c r="N66" s="1"/>
      <c r="O66" s="1"/>
      <c r="P66" s="1"/>
      <c r="Q66" s="1"/>
    </row>
    <row r="67" spans="1:17" ht="42.75">
      <c r="A67" s="10">
        <v>59</v>
      </c>
      <c r="B67" s="10" t="s">
        <v>331</v>
      </c>
      <c r="C67" s="10" t="s">
        <v>342</v>
      </c>
      <c r="D67" s="10" t="s">
        <v>343</v>
      </c>
      <c r="E67" s="12">
        <v>1.8E-3</v>
      </c>
      <c r="F67" s="10" t="s">
        <v>262</v>
      </c>
      <c r="G67" s="10" t="s">
        <v>3</v>
      </c>
      <c r="H67" s="10" t="s">
        <v>344</v>
      </c>
      <c r="I67" s="14" t="s">
        <v>345</v>
      </c>
      <c r="J67" s="1"/>
      <c r="K67" s="1"/>
      <c r="L67" s="1"/>
      <c r="M67" s="1"/>
      <c r="N67" s="1"/>
      <c r="O67" s="1"/>
      <c r="P67" s="1"/>
      <c r="Q67" s="1"/>
    </row>
    <row r="68" spans="1:17">
      <c r="A68" s="10">
        <v>60</v>
      </c>
      <c r="B68" s="10" t="s">
        <v>331</v>
      </c>
      <c r="C68" s="10" t="s">
        <v>346</v>
      </c>
      <c r="D68" s="10" t="s">
        <v>347</v>
      </c>
      <c r="E68" s="12">
        <v>2700</v>
      </c>
      <c r="F68" s="10" t="s">
        <v>178</v>
      </c>
      <c r="G68" s="10" t="s">
        <v>132</v>
      </c>
      <c r="H68" s="10" t="s">
        <v>344</v>
      </c>
      <c r="I68" s="14" t="s">
        <v>226</v>
      </c>
      <c r="J68" s="1"/>
      <c r="K68" s="1"/>
      <c r="L68" s="1"/>
      <c r="M68" s="1"/>
      <c r="N68" s="1"/>
      <c r="O68" s="1"/>
      <c r="P68" s="1"/>
      <c r="Q68" s="1"/>
    </row>
    <row r="69" spans="1:17" ht="28.5">
      <c r="A69" s="10">
        <v>61</v>
      </c>
      <c r="B69" s="10" t="s">
        <v>331</v>
      </c>
      <c r="C69" s="10" t="s">
        <v>348</v>
      </c>
      <c r="D69" s="10" t="s">
        <v>349</v>
      </c>
      <c r="E69" s="12">
        <v>0.18</v>
      </c>
      <c r="F69" s="10" t="s">
        <v>86</v>
      </c>
      <c r="G69" s="10" t="s">
        <v>3</v>
      </c>
      <c r="H69" s="10" t="s">
        <v>350</v>
      </c>
      <c r="I69" s="14" t="s">
        <v>351</v>
      </c>
      <c r="J69" s="1"/>
      <c r="K69" s="1"/>
      <c r="L69" s="1"/>
      <c r="M69" s="1"/>
      <c r="N69" s="1"/>
      <c r="O69" s="1"/>
      <c r="P69" s="1"/>
      <c r="Q69" s="1"/>
    </row>
    <row r="70" spans="1:17" ht="28.5">
      <c r="A70" s="10">
        <v>62</v>
      </c>
      <c r="B70" s="10" t="s">
        <v>331</v>
      </c>
      <c r="C70" s="10" t="s">
        <v>352</v>
      </c>
      <c r="D70" s="10" t="s">
        <v>353</v>
      </c>
      <c r="E70" s="12">
        <v>1.08</v>
      </c>
      <c r="F70" s="10" t="s">
        <v>86</v>
      </c>
      <c r="G70" s="10" t="s">
        <v>123</v>
      </c>
      <c r="H70" s="10" t="s">
        <v>350</v>
      </c>
      <c r="I70" s="14" t="s">
        <v>354</v>
      </c>
      <c r="J70" s="1"/>
      <c r="K70" s="1"/>
      <c r="L70" s="1"/>
      <c r="M70" s="1"/>
      <c r="N70" s="1"/>
      <c r="O70" s="1"/>
      <c r="P70" s="1"/>
      <c r="Q70" s="1"/>
    </row>
    <row r="71" spans="1:17" ht="28.5">
      <c r="A71" s="10">
        <v>63</v>
      </c>
      <c r="B71" s="10" t="s">
        <v>331</v>
      </c>
      <c r="C71" s="10" t="s">
        <v>355</v>
      </c>
      <c r="D71" s="10" t="s">
        <v>356</v>
      </c>
      <c r="E71" s="12">
        <v>1.02</v>
      </c>
      <c r="F71" s="10" t="s">
        <v>86</v>
      </c>
      <c r="G71" s="10" t="s">
        <v>123</v>
      </c>
      <c r="H71" s="10" t="s">
        <v>350</v>
      </c>
      <c r="I71" s="14" t="s">
        <v>357</v>
      </c>
      <c r="J71" s="1"/>
      <c r="K71" s="1"/>
      <c r="L71" s="1"/>
      <c r="M71" s="1"/>
      <c r="N71" s="1"/>
      <c r="O71" s="1"/>
      <c r="P71" s="1"/>
      <c r="Q71" s="1"/>
    </row>
    <row r="72" spans="1:17" ht="42.75">
      <c r="A72" s="10">
        <v>64</v>
      </c>
      <c r="B72" s="10" t="s">
        <v>358</v>
      </c>
      <c r="C72" s="10" t="s">
        <v>359</v>
      </c>
      <c r="D72" s="10" t="s">
        <v>360</v>
      </c>
      <c r="E72" s="12">
        <v>60</v>
      </c>
      <c r="F72" s="10" t="s">
        <v>73</v>
      </c>
      <c r="G72" s="10" t="s">
        <v>238</v>
      </c>
      <c r="H72" s="10" t="s">
        <v>361</v>
      </c>
      <c r="I72" s="14" t="s">
        <v>362</v>
      </c>
      <c r="J72" s="1"/>
      <c r="K72" s="1"/>
      <c r="L72" s="1"/>
      <c r="M72" s="1"/>
      <c r="N72" s="1"/>
      <c r="O72" s="1"/>
      <c r="P72" s="1"/>
      <c r="Q72" s="1"/>
    </row>
    <row r="73" spans="1:17" ht="28.5">
      <c r="A73" s="10">
        <v>65</v>
      </c>
      <c r="B73" s="10" t="s">
        <v>358</v>
      </c>
      <c r="C73" s="10" t="s">
        <v>363</v>
      </c>
      <c r="D73" s="10" t="s">
        <v>364</v>
      </c>
      <c r="E73" s="12">
        <v>0.1</v>
      </c>
      <c r="F73" s="10" t="s">
        <v>86</v>
      </c>
      <c r="G73" s="10" t="s">
        <v>3</v>
      </c>
      <c r="H73" s="10" t="s">
        <v>365</v>
      </c>
      <c r="I73" s="14" t="s">
        <v>366</v>
      </c>
      <c r="J73" s="1"/>
      <c r="K73" s="1"/>
      <c r="L73" s="1"/>
      <c r="M73" s="1"/>
      <c r="N73" s="1"/>
      <c r="O73" s="1"/>
      <c r="P73" s="1"/>
      <c r="Q73" s="1"/>
    </row>
    <row r="74" spans="1:17">
      <c r="A74" s="10">
        <v>66</v>
      </c>
      <c r="B74" s="10" t="s">
        <v>358</v>
      </c>
      <c r="C74" s="10" t="s">
        <v>367</v>
      </c>
      <c r="D74" s="10" t="s">
        <v>368</v>
      </c>
      <c r="E74" s="12">
        <v>0.1</v>
      </c>
      <c r="F74" s="10" t="s">
        <v>86</v>
      </c>
      <c r="G74" s="10" t="s">
        <v>3</v>
      </c>
      <c r="H74" s="10" t="s">
        <v>369</v>
      </c>
      <c r="I74" s="14" t="s">
        <v>98</v>
      </c>
      <c r="J74" s="1"/>
      <c r="K74" s="1"/>
      <c r="L74" s="1"/>
      <c r="M74" s="1"/>
      <c r="N74" s="1"/>
      <c r="O74" s="1"/>
      <c r="P74" s="1"/>
      <c r="Q74" s="1"/>
    </row>
    <row r="75" spans="1:17" ht="28.5">
      <c r="A75" s="10">
        <v>67</v>
      </c>
      <c r="B75" s="10" t="s">
        <v>358</v>
      </c>
      <c r="C75" s="10" t="s">
        <v>370</v>
      </c>
      <c r="D75" s="10" t="s">
        <v>371</v>
      </c>
      <c r="E75" s="12">
        <v>25000</v>
      </c>
      <c r="F75" s="10" t="s">
        <v>372</v>
      </c>
      <c r="G75" s="10" t="s">
        <v>123</v>
      </c>
      <c r="H75" s="10" t="s">
        <v>373</v>
      </c>
      <c r="I75" s="14" t="s">
        <v>3041</v>
      </c>
      <c r="J75" s="1"/>
      <c r="K75" s="1"/>
      <c r="L75" s="1"/>
      <c r="M75" s="1"/>
      <c r="N75" s="1"/>
      <c r="O75" s="1"/>
      <c r="P75" s="1"/>
      <c r="Q75" s="1"/>
    </row>
    <row r="76" spans="1:17" ht="28.5">
      <c r="A76" s="10">
        <v>68</v>
      </c>
      <c r="B76" s="10" t="s">
        <v>358</v>
      </c>
      <c r="C76" s="10" t="s">
        <v>375</v>
      </c>
      <c r="D76" s="10" t="s">
        <v>376</v>
      </c>
      <c r="E76" s="12">
        <v>0.08</v>
      </c>
      <c r="F76" s="10" t="s">
        <v>86</v>
      </c>
      <c r="G76" s="10" t="s">
        <v>123</v>
      </c>
      <c r="H76" s="10" t="s">
        <v>377</v>
      </c>
      <c r="I76" s="14" t="s">
        <v>378</v>
      </c>
      <c r="J76" s="1"/>
      <c r="K76" s="1"/>
      <c r="L76" s="1"/>
      <c r="M76" s="1"/>
      <c r="N76" s="1"/>
      <c r="O76" s="1"/>
      <c r="P76" s="1"/>
      <c r="Q76" s="1"/>
    </row>
    <row r="77" spans="1:17" ht="28.5">
      <c r="A77" s="10">
        <v>69</v>
      </c>
      <c r="B77" s="10" t="s">
        <v>358</v>
      </c>
      <c r="C77" s="10" t="s">
        <v>379</v>
      </c>
      <c r="D77" s="10" t="s">
        <v>380</v>
      </c>
      <c r="E77" s="12">
        <v>0.02</v>
      </c>
      <c r="F77" s="10" t="s">
        <v>86</v>
      </c>
      <c r="G77" s="10" t="s">
        <v>3</v>
      </c>
      <c r="H77" s="10" t="s">
        <v>381</v>
      </c>
      <c r="I77" s="14" t="s">
        <v>382</v>
      </c>
      <c r="J77" s="1"/>
      <c r="K77" s="1"/>
      <c r="L77" s="1"/>
      <c r="M77" s="1"/>
      <c r="N77" s="1"/>
      <c r="O77" s="1"/>
      <c r="P77" s="1"/>
      <c r="Q77" s="1"/>
    </row>
    <row r="78" spans="1:17" ht="28.5">
      <c r="A78" s="10">
        <v>70</v>
      </c>
      <c r="B78" s="10" t="s">
        <v>358</v>
      </c>
      <c r="C78" s="10" t="s">
        <v>383</v>
      </c>
      <c r="D78" s="10" t="s">
        <v>384</v>
      </c>
      <c r="E78" s="12">
        <v>2500</v>
      </c>
      <c r="F78" s="10" t="s">
        <v>385</v>
      </c>
      <c r="G78" s="10" t="s">
        <v>123</v>
      </c>
      <c r="H78" s="10" t="s">
        <v>386</v>
      </c>
      <c r="I78" s="14" t="s">
        <v>3042</v>
      </c>
      <c r="J78" s="1"/>
      <c r="K78" s="1"/>
      <c r="L78" s="1"/>
      <c r="M78" s="1"/>
      <c r="N78" s="1"/>
      <c r="O78" s="1"/>
      <c r="P78" s="1"/>
      <c r="Q78" s="1"/>
    </row>
    <row r="79" spans="1:17" ht="57">
      <c r="A79" s="10">
        <v>71</v>
      </c>
      <c r="B79" s="10" t="s">
        <v>292</v>
      </c>
      <c r="C79" s="10" t="s">
        <v>387</v>
      </c>
      <c r="D79" s="10" t="s">
        <v>388</v>
      </c>
      <c r="E79" s="12">
        <v>0.45</v>
      </c>
      <c r="F79" s="10" t="s">
        <v>229</v>
      </c>
      <c r="G79" s="10" t="s">
        <v>391</v>
      </c>
      <c r="H79" s="10" t="s">
        <v>389</v>
      </c>
      <c r="I79" s="14" t="s">
        <v>390</v>
      </c>
      <c r="J79" s="1"/>
      <c r="K79" s="1"/>
      <c r="L79" s="1"/>
      <c r="M79" s="1"/>
      <c r="N79" s="1"/>
      <c r="O79" s="1"/>
      <c r="P79" s="1"/>
      <c r="Q79" s="1"/>
    </row>
    <row r="80" spans="1:17" ht="42.75">
      <c r="A80" s="10">
        <v>72</v>
      </c>
      <c r="B80" s="10" t="s">
        <v>292</v>
      </c>
      <c r="C80" s="10" t="s">
        <v>392</v>
      </c>
      <c r="D80" s="10" t="s">
        <v>393</v>
      </c>
      <c r="E80" s="12">
        <v>0.28000000000000003</v>
      </c>
      <c r="F80" s="10" t="s">
        <v>229</v>
      </c>
      <c r="G80" s="10" t="s">
        <v>391</v>
      </c>
      <c r="H80" s="10" t="s">
        <v>389</v>
      </c>
      <c r="I80" s="14" t="s">
        <v>394</v>
      </c>
      <c r="J80" s="1"/>
      <c r="K80" s="1"/>
      <c r="L80" s="1"/>
      <c r="M80" s="1"/>
      <c r="N80" s="1"/>
      <c r="O80" s="1"/>
      <c r="P80" s="1"/>
      <c r="Q80" s="1"/>
    </row>
    <row r="81" spans="1:17" ht="42.75">
      <c r="A81" s="10">
        <v>73</v>
      </c>
      <c r="B81" s="10" t="s">
        <v>292</v>
      </c>
      <c r="C81" s="10" t="s">
        <v>395</v>
      </c>
      <c r="D81" s="10" t="s">
        <v>396</v>
      </c>
      <c r="E81" s="12">
        <v>0.42</v>
      </c>
      <c r="F81" s="10" t="s">
        <v>229</v>
      </c>
      <c r="G81" s="10" t="s">
        <v>391</v>
      </c>
      <c r="H81" s="10" t="s">
        <v>389</v>
      </c>
      <c r="I81" s="14" t="s">
        <v>397</v>
      </c>
      <c r="J81" s="1"/>
      <c r="K81" s="1"/>
      <c r="L81" s="1"/>
      <c r="M81" s="1"/>
      <c r="N81" s="1"/>
      <c r="O81" s="1"/>
      <c r="P81" s="1"/>
      <c r="Q81" s="1"/>
    </row>
    <row r="82" spans="1:17" ht="42.75">
      <c r="A82" s="10">
        <v>74</v>
      </c>
      <c r="B82" s="10" t="s">
        <v>292</v>
      </c>
      <c r="C82" s="10" t="s">
        <v>398</v>
      </c>
      <c r="D82" s="10" t="s">
        <v>399</v>
      </c>
      <c r="E82" s="12">
        <v>0.5</v>
      </c>
      <c r="F82" s="10" t="s">
        <v>229</v>
      </c>
      <c r="G82" s="10" t="s">
        <v>391</v>
      </c>
      <c r="H82" s="10" t="s">
        <v>389</v>
      </c>
      <c r="I82" s="14" t="s">
        <v>400</v>
      </c>
      <c r="J82" s="1"/>
      <c r="K82" s="1"/>
      <c r="L82" s="1"/>
      <c r="M82" s="1"/>
      <c r="N82" s="1"/>
      <c r="O82" s="1"/>
      <c r="P82" s="1"/>
      <c r="Q82" s="1"/>
    </row>
    <row r="83" spans="1:17">
      <c r="A83" s="10">
        <v>75</v>
      </c>
      <c r="B83" s="10" t="s">
        <v>111</v>
      </c>
      <c r="C83" s="10" t="s">
        <v>407</v>
      </c>
      <c r="D83" s="10" t="s">
        <v>408</v>
      </c>
      <c r="E83" s="12">
        <v>3.5000000000000003E-2</v>
      </c>
      <c r="F83" s="10" t="s">
        <v>409</v>
      </c>
      <c r="G83" s="10" t="s">
        <v>123</v>
      </c>
      <c r="H83" s="10" t="s">
        <v>410</v>
      </c>
      <c r="I83" s="14" t="s">
        <v>411</v>
      </c>
      <c r="J83" s="1"/>
      <c r="K83" s="1"/>
      <c r="L83" s="1"/>
      <c r="M83" s="1"/>
      <c r="N83" s="1"/>
      <c r="O83" s="1"/>
      <c r="P83" s="1"/>
      <c r="Q83" s="1"/>
    </row>
    <row r="84" spans="1:17" ht="42.75">
      <c r="A84" s="10">
        <v>76</v>
      </c>
      <c r="B84" s="10" t="s">
        <v>412</v>
      </c>
      <c r="C84" s="10" t="s">
        <v>423</v>
      </c>
      <c r="D84" s="10" t="s">
        <v>424</v>
      </c>
      <c r="E84" s="12">
        <v>0.25</v>
      </c>
      <c r="F84" s="10" t="s">
        <v>86</v>
      </c>
      <c r="G84" s="10" t="s">
        <v>123</v>
      </c>
      <c r="H84" s="10" t="s">
        <v>425</v>
      </c>
      <c r="I84" s="14" t="s">
        <v>426</v>
      </c>
      <c r="J84" s="1"/>
      <c r="K84" s="1"/>
      <c r="L84" s="1"/>
      <c r="M84" s="1"/>
      <c r="N84" s="1"/>
      <c r="O84" s="1"/>
      <c r="P84" s="1"/>
      <c r="Q84" s="1"/>
    </row>
    <row r="85" spans="1:17" ht="42.75">
      <c r="A85" s="10">
        <v>77</v>
      </c>
      <c r="B85" s="10" t="s">
        <v>412</v>
      </c>
      <c r="C85" s="10" t="s">
        <v>427</v>
      </c>
      <c r="D85" s="10" t="s">
        <v>428</v>
      </c>
      <c r="E85" s="12">
        <v>2</v>
      </c>
      <c r="F85" s="10" t="s">
        <v>114</v>
      </c>
      <c r="G85" s="10" t="s">
        <v>238</v>
      </c>
      <c r="H85" s="10" t="s">
        <v>429</v>
      </c>
      <c r="I85" s="14" t="s">
        <v>430</v>
      </c>
      <c r="J85" s="1"/>
      <c r="K85" s="1"/>
      <c r="L85" s="1"/>
      <c r="M85" s="1"/>
      <c r="N85" s="1"/>
      <c r="O85" s="1"/>
      <c r="P85" s="1"/>
      <c r="Q85" s="1"/>
    </row>
    <row r="86" spans="1:17" ht="57">
      <c r="A86" s="10">
        <v>78</v>
      </c>
      <c r="B86" s="10" t="s">
        <v>412</v>
      </c>
      <c r="C86" s="10" t="s">
        <v>431</v>
      </c>
      <c r="D86" s="10" t="s">
        <v>432</v>
      </c>
      <c r="E86" s="12">
        <v>4.4999999999999998E-2</v>
      </c>
      <c r="F86" s="10" t="s">
        <v>433</v>
      </c>
      <c r="G86" s="10" t="s">
        <v>238</v>
      </c>
      <c r="H86" s="10" t="s">
        <v>429</v>
      </c>
      <c r="I86" s="14" t="s">
        <v>434</v>
      </c>
      <c r="J86" s="1"/>
      <c r="K86" s="1"/>
      <c r="L86" s="1"/>
      <c r="M86" s="1"/>
      <c r="N86" s="1"/>
      <c r="O86" s="1"/>
      <c r="P86" s="1"/>
      <c r="Q86" s="1"/>
    </row>
    <row r="87" spans="1:17" ht="28.5">
      <c r="A87" s="10">
        <v>79</v>
      </c>
      <c r="B87" s="10" t="s">
        <v>412</v>
      </c>
      <c r="C87" s="10" t="s">
        <v>435</v>
      </c>
      <c r="D87" s="10" t="s">
        <v>436</v>
      </c>
      <c r="E87" s="12">
        <v>0.18</v>
      </c>
      <c r="F87" s="10" t="s">
        <v>86</v>
      </c>
      <c r="G87" s="10" t="s">
        <v>123</v>
      </c>
      <c r="H87" s="10" t="s">
        <v>437</v>
      </c>
      <c r="I87" s="14" t="s">
        <v>438</v>
      </c>
      <c r="J87" s="1"/>
      <c r="K87" s="1"/>
      <c r="L87" s="1"/>
      <c r="M87" s="1"/>
      <c r="N87" s="1"/>
      <c r="O87" s="1"/>
      <c r="P87" s="1"/>
      <c r="Q87" s="1"/>
    </row>
    <row r="88" spans="1:17" ht="28.5">
      <c r="A88" s="10">
        <v>80</v>
      </c>
      <c r="B88" s="10" t="s">
        <v>412</v>
      </c>
      <c r="C88" s="10" t="s">
        <v>439</v>
      </c>
      <c r="D88" s="10" t="s">
        <v>440</v>
      </c>
      <c r="E88" s="12">
        <v>0.18</v>
      </c>
      <c r="F88" s="10" t="s">
        <v>86</v>
      </c>
      <c r="G88" s="10" t="s">
        <v>123</v>
      </c>
      <c r="H88" s="10" t="s">
        <v>441</v>
      </c>
      <c r="I88" s="14" t="s">
        <v>442</v>
      </c>
      <c r="J88" s="1"/>
      <c r="K88" s="1"/>
      <c r="L88" s="1"/>
      <c r="M88" s="1"/>
      <c r="N88" s="1"/>
      <c r="O88" s="1"/>
      <c r="P88" s="1"/>
      <c r="Q88" s="1"/>
    </row>
    <row r="89" spans="1:17">
      <c r="A89" s="10">
        <v>81</v>
      </c>
      <c r="B89" s="10" t="s">
        <v>412</v>
      </c>
      <c r="C89" s="10" t="s">
        <v>443</v>
      </c>
      <c r="D89" s="10" t="s">
        <v>444</v>
      </c>
      <c r="E89" s="12">
        <v>25000</v>
      </c>
      <c r="F89" s="10" t="s">
        <v>372</v>
      </c>
      <c r="G89" s="10" t="s">
        <v>123</v>
      </c>
      <c r="H89" s="10" t="s">
        <v>445</v>
      </c>
      <c r="I89" s="14" t="s">
        <v>3043</v>
      </c>
      <c r="J89" s="1"/>
      <c r="K89" s="1"/>
      <c r="L89" s="1"/>
      <c r="M89" s="1"/>
      <c r="N89" s="1"/>
      <c r="O89" s="1"/>
      <c r="P89" s="1"/>
      <c r="Q89" s="1"/>
    </row>
    <row r="90" spans="1:17" ht="28.5">
      <c r="A90" s="10">
        <v>82</v>
      </c>
      <c r="B90" s="10" t="s">
        <v>412</v>
      </c>
      <c r="C90" s="10" t="s">
        <v>446</v>
      </c>
      <c r="D90" s="10" t="s">
        <v>447</v>
      </c>
      <c r="E90" s="12">
        <v>2500</v>
      </c>
      <c r="F90" s="10" t="s">
        <v>385</v>
      </c>
      <c r="G90" s="10" t="s">
        <v>123</v>
      </c>
      <c r="H90" s="10" t="s">
        <v>448</v>
      </c>
      <c r="I90" s="14" t="s">
        <v>3044</v>
      </c>
      <c r="J90" s="1"/>
      <c r="K90" s="1"/>
      <c r="L90" s="1"/>
      <c r="M90" s="1"/>
      <c r="N90" s="1"/>
      <c r="O90" s="1"/>
      <c r="P90" s="1"/>
      <c r="Q90" s="1"/>
    </row>
    <row r="91" spans="1:17" ht="42.75">
      <c r="A91" s="10">
        <v>83</v>
      </c>
      <c r="B91" s="10" t="s">
        <v>412</v>
      </c>
      <c r="C91" s="10" t="s">
        <v>449</v>
      </c>
      <c r="D91" s="10" t="s">
        <v>450</v>
      </c>
      <c r="E91" s="12">
        <v>0.08</v>
      </c>
      <c r="F91" s="10" t="s">
        <v>229</v>
      </c>
      <c r="G91" s="10" t="s">
        <v>238</v>
      </c>
      <c r="H91" s="10" t="s">
        <v>451</v>
      </c>
      <c r="I91" s="14" t="s">
        <v>452</v>
      </c>
      <c r="J91" s="1"/>
      <c r="K91" s="1"/>
      <c r="L91" s="1"/>
      <c r="M91" s="1"/>
      <c r="N91" s="1"/>
      <c r="O91" s="1"/>
      <c r="P91" s="1"/>
      <c r="Q91" s="1"/>
    </row>
    <row r="92" spans="1:17" ht="42.75">
      <c r="A92" s="10">
        <v>84</v>
      </c>
      <c r="B92" s="10" t="s">
        <v>453</v>
      </c>
      <c r="C92" s="10" t="s">
        <v>454</v>
      </c>
      <c r="D92" s="10" t="s">
        <v>455</v>
      </c>
      <c r="E92" s="12">
        <v>7.0000000000000007E-2</v>
      </c>
      <c r="F92" s="10" t="s">
        <v>262</v>
      </c>
      <c r="G92" s="10" t="s">
        <v>3</v>
      </c>
      <c r="H92" s="10" t="s">
        <v>208</v>
      </c>
      <c r="I92" s="14" t="s">
        <v>456</v>
      </c>
      <c r="J92" s="1"/>
      <c r="K92" s="1"/>
      <c r="L92" s="1"/>
      <c r="M92" s="1"/>
      <c r="N92" s="1"/>
      <c r="O92" s="1"/>
      <c r="P92" s="1"/>
      <c r="Q92" s="1"/>
    </row>
    <row r="93" spans="1:17" ht="42.75">
      <c r="A93" s="10">
        <v>85</v>
      </c>
      <c r="B93" s="10" t="s">
        <v>453</v>
      </c>
      <c r="C93" s="10" t="s">
        <v>457</v>
      </c>
      <c r="D93" s="10" t="s">
        <v>458</v>
      </c>
      <c r="E93" s="12">
        <v>0.06</v>
      </c>
      <c r="F93" s="10" t="s">
        <v>262</v>
      </c>
      <c r="G93" s="10" t="s">
        <v>3</v>
      </c>
      <c r="H93" s="10" t="s">
        <v>208</v>
      </c>
      <c r="I93" s="14" t="s">
        <v>459</v>
      </c>
      <c r="J93" s="1"/>
      <c r="K93" s="1"/>
      <c r="L93" s="1"/>
      <c r="M93" s="1"/>
      <c r="N93" s="1"/>
      <c r="O93" s="1"/>
      <c r="P93" s="1"/>
      <c r="Q93" s="1"/>
    </row>
    <row r="94" spans="1:17" ht="42.75">
      <c r="A94" s="10">
        <v>86</v>
      </c>
      <c r="B94" s="10" t="s">
        <v>453</v>
      </c>
      <c r="C94" s="10" t="s">
        <v>460</v>
      </c>
      <c r="D94" s="10" t="s">
        <v>461</v>
      </c>
      <c r="E94" s="12">
        <v>0.3</v>
      </c>
      <c r="F94" s="10" t="s">
        <v>173</v>
      </c>
      <c r="G94" s="10" t="s">
        <v>3</v>
      </c>
      <c r="H94" s="10" t="s">
        <v>462</v>
      </c>
      <c r="I94" s="14" t="s">
        <v>463</v>
      </c>
      <c r="J94" s="1"/>
      <c r="K94" s="1"/>
      <c r="L94" s="1"/>
      <c r="M94" s="1"/>
      <c r="N94" s="1"/>
      <c r="O94" s="1"/>
      <c r="P94" s="1"/>
      <c r="Q94" s="1"/>
    </row>
    <row r="95" spans="1:17" ht="57">
      <c r="A95" s="10">
        <v>87</v>
      </c>
      <c r="B95" s="10" t="s">
        <v>453</v>
      </c>
      <c r="C95" s="10" t="s">
        <v>464</v>
      </c>
      <c r="D95" s="10" t="s">
        <v>465</v>
      </c>
      <c r="E95" s="12">
        <v>0.32</v>
      </c>
      <c r="F95" s="10" t="s">
        <v>173</v>
      </c>
      <c r="G95" s="10" t="s">
        <v>3</v>
      </c>
      <c r="H95" s="10" t="s">
        <v>462</v>
      </c>
      <c r="I95" s="14" t="s">
        <v>466</v>
      </c>
      <c r="J95" s="1"/>
      <c r="K95" s="1"/>
      <c r="L95" s="1"/>
      <c r="M95" s="1"/>
      <c r="N95" s="1"/>
      <c r="O95" s="1"/>
      <c r="P95" s="1"/>
      <c r="Q95" s="1"/>
    </row>
    <row r="96" spans="1:17" ht="42.75">
      <c r="A96" s="10">
        <v>88</v>
      </c>
      <c r="B96" s="10" t="s">
        <v>453</v>
      </c>
      <c r="C96" s="10" t="s">
        <v>467</v>
      </c>
      <c r="D96" s="10" t="s">
        <v>468</v>
      </c>
      <c r="E96" s="12">
        <v>0.3</v>
      </c>
      <c r="F96" s="10" t="s">
        <v>173</v>
      </c>
      <c r="G96" s="10" t="s">
        <v>3</v>
      </c>
      <c r="H96" s="10" t="s">
        <v>462</v>
      </c>
      <c r="I96" s="14" t="s">
        <v>469</v>
      </c>
      <c r="J96" s="1"/>
      <c r="K96" s="1"/>
      <c r="L96" s="1"/>
      <c r="M96" s="1"/>
      <c r="N96" s="1"/>
      <c r="O96" s="1"/>
      <c r="P96" s="1"/>
      <c r="Q96" s="1"/>
    </row>
    <row r="97" spans="1:17">
      <c r="A97" s="10">
        <v>89</v>
      </c>
      <c r="B97" s="10" t="s">
        <v>453</v>
      </c>
      <c r="C97" s="10" t="s">
        <v>470</v>
      </c>
      <c r="D97" s="10" t="s">
        <v>471</v>
      </c>
      <c r="E97" s="12">
        <v>8960</v>
      </c>
      <c r="F97" s="10" t="s">
        <v>178</v>
      </c>
      <c r="G97" s="10" t="s">
        <v>132</v>
      </c>
      <c r="H97" s="10" t="s">
        <v>215</v>
      </c>
      <c r="I97" s="14" t="s">
        <v>472</v>
      </c>
      <c r="J97" s="1"/>
      <c r="K97" s="1"/>
      <c r="L97" s="1"/>
      <c r="M97" s="1"/>
      <c r="N97" s="1"/>
      <c r="O97" s="1"/>
      <c r="P97" s="1"/>
      <c r="Q97" s="1"/>
    </row>
    <row r="98" spans="1:17" ht="28.5">
      <c r="A98" s="10">
        <v>90</v>
      </c>
      <c r="B98" s="10" t="s">
        <v>453</v>
      </c>
      <c r="C98" s="10" t="s">
        <v>473</v>
      </c>
      <c r="D98" s="10" t="s">
        <v>474</v>
      </c>
      <c r="E98" s="12">
        <v>3260</v>
      </c>
      <c r="F98" s="10" t="s">
        <v>178</v>
      </c>
      <c r="G98" s="10" t="s">
        <v>132</v>
      </c>
      <c r="H98" s="10" t="s">
        <v>215</v>
      </c>
      <c r="I98" s="14" t="s">
        <v>3045</v>
      </c>
      <c r="J98" s="1"/>
      <c r="K98" s="1"/>
      <c r="L98" s="1"/>
      <c r="M98" s="1"/>
      <c r="N98" s="1"/>
      <c r="O98" s="1"/>
      <c r="P98" s="1"/>
      <c r="Q98" s="1"/>
    </row>
    <row r="99" spans="1:17" ht="42.75">
      <c r="A99" s="10">
        <v>91</v>
      </c>
      <c r="B99" s="10" t="s">
        <v>476</v>
      </c>
      <c r="C99" s="10" t="s">
        <v>477</v>
      </c>
      <c r="D99" s="10" t="s">
        <v>478</v>
      </c>
      <c r="E99" s="12">
        <v>0.08</v>
      </c>
      <c r="F99" s="10" t="s">
        <v>262</v>
      </c>
      <c r="G99" s="10" t="s">
        <v>3</v>
      </c>
      <c r="H99" s="10" t="s">
        <v>479</v>
      </c>
      <c r="I99" s="14" t="s">
        <v>480</v>
      </c>
      <c r="J99" s="1"/>
      <c r="K99" s="1"/>
      <c r="L99" s="1"/>
      <c r="M99" s="1"/>
      <c r="N99" s="1"/>
      <c r="O99" s="1"/>
      <c r="P99" s="1"/>
      <c r="Q99" s="1"/>
    </row>
    <row r="100" spans="1:17" ht="42.75">
      <c r="A100" s="10">
        <v>92</v>
      </c>
      <c r="B100" s="10" t="s">
        <v>476</v>
      </c>
      <c r="C100" s="10" t="s">
        <v>481</v>
      </c>
      <c r="D100" s="10" t="s">
        <v>482</v>
      </c>
      <c r="E100" s="12">
        <v>6.5000000000000002E-2</v>
      </c>
      <c r="F100" s="10" t="s">
        <v>262</v>
      </c>
      <c r="G100" s="10" t="s">
        <v>3</v>
      </c>
      <c r="H100" s="10" t="s">
        <v>218</v>
      </c>
      <c r="I100" s="14" t="s">
        <v>483</v>
      </c>
      <c r="J100" s="1"/>
      <c r="K100" s="1"/>
      <c r="L100" s="1"/>
      <c r="M100" s="1"/>
      <c r="N100" s="1"/>
      <c r="O100" s="1"/>
      <c r="P100" s="1"/>
      <c r="Q100" s="1"/>
    </row>
    <row r="101" spans="1:17">
      <c r="A101" s="10">
        <v>93</v>
      </c>
      <c r="B101" s="10" t="s">
        <v>476</v>
      </c>
      <c r="C101" s="10" t="s">
        <v>484</v>
      </c>
      <c r="D101" s="10" t="s">
        <v>485</v>
      </c>
      <c r="E101" s="12">
        <v>1</v>
      </c>
      <c r="F101" s="10" t="s">
        <v>86</v>
      </c>
      <c r="G101" s="10" t="s">
        <v>123</v>
      </c>
      <c r="H101" s="10" t="s">
        <v>486</v>
      </c>
      <c r="I101" s="14" t="s">
        <v>3046</v>
      </c>
      <c r="J101" s="1"/>
      <c r="K101" s="1"/>
      <c r="L101" s="1"/>
      <c r="M101" s="1"/>
      <c r="N101" s="1"/>
      <c r="O101" s="1"/>
      <c r="P101" s="1"/>
      <c r="Q101" s="1"/>
    </row>
    <row r="102" spans="1:17" ht="28.5">
      <c r="A102" s="10">
        <v>94</v>
      </c>
      <c r="B102" s="10" t="s">
        <v>476</v>
      </c>
      <c r="C102" s="10" t="s">
        <v>488</v>
      </c>
      <c r="D102" s="10" t="s">
        <v>489</v>
      </c>
      <c r="E102" s="12">
        <v>1</v>
      </c>
      <c r="F102" s="10" t="s">
        <v>86</v>
      </c>
      <c r="G102" s="10" t="s">
        <v>132</v>
      </c>
      <c r="H102" s="10" t="s">
        <v>486</v>
      </c>
      <c r="I102" s="14" t="s">
        <v>3047</v>
      </c>
      <c r="J102" s="1"/>
      <c r="K102" s="1"/>
      <c r="L102" s="1"/>
      <c r="M102" s="1"/>
      <c r="N102" s="1"/>
      <c r="O102" s="1"/>
      <c r="P102" s="1"/>
      <c r="Q102" s="1"/>
    </row>
    <row r="103" spans="1:17" ht="28.5">
      <c r="A103" s="10">
        <v>95</v>
      </c>
      <c r="B103" s="10" t="s">
        <v>476</v>
      </c>
      <c r="C103" s="10" t="s">
        <v>491</v>
      </c>
      <c r="D103" s="10" t="s">
        <v>492</v>
      </c>
      <c r="E103" s="12">
        <v>1.2</v>
      </c>
      <c r="F103" s="10" t="s">
        <v>86</v>
      </c>
      <c r="G103" s="10" t="s">
        <v>123</v>
      </c>
      <c r="H103" s="10" t="s">
        <v>222</v>
      </c>
      <c r="I103" s="14" t="s">
        <v>493</v>
      </c>
      <c r="J103" s="1"/>
      <c r="K103" s="1"/>
      <c r="L103" s="1"/>
      <c r="M103" s="1"/>
      <c r="N103" s="1"/>
      <c r="O103" s="1"/>
      <c r="P103" s="1"/>
      <c r="Q103" s="1"/>
    </row>
    <row r="104" spans="1:17">
      <c r="A104" s="10">
        <v>96</v>
      </c>
      <c r="B104" s="10" t="s">
        <v>494</v>
      </c>
      <c r="C104" s="10" t="s">
        <v>495</v>
      </c>
      <c r="D104" s="10" t="s">
        <v>496</v>
      </c>
      <c r="E104" s="12">
        <v>8.8539999999999992E-12</v>
      </c>
      <c r="F104" s="10" t="s">
        <v>497</v>
      </c>
      <c r="G104" s="10" t="s">
        <v>157</v>
      </c>
      <c r="H104" s="10" t="s">
        <v>498</v>
      </c>
      <c r="I104" s="14" t="s">
        <v>156</v>
      </c>
      <c r="J104" s="1"/>
      <c r="K104" s="1"/>
      <c r="L104" s="1"/>
      <c r="M104" s="1"/>
      <c r="N104" s="1"/>
      <c r="O104" s="1"/>
      <c r="P104" s="1"/>
      <c r="Q104" s="1"/>
    </row>
    <row r="105" spans="1:17" ht="42.75">
      <c r="A105" s="10">
        <v>97</v>
      </c>
      <c r="B105" s="10" t="s">
        <v>494</v>
      </c>
      <c r="C105" s="10" t="s">
        <v>499</v>
      </c>
      <c r="D105" s="10" t="s">
        <v>500</v>
      </c>
      <c r="E105" s="12">
        <v>2.2000000000000002</v>
      </c>
      <c r="F105" s="10" t="s">
        <v>86</v>
      </c>
      <c r="G105" s="10" t="s">
        <v>132</v>
      </c>
      <c r="H105" s="10" t="s">
        <v>498</v>
      </c>
      <c r="I105" s="14" t="s">
        <v>501</v>
      </c>
      <c r="J105" s="1"/>
      <c r="K105" s="1"/>
      <c r="L105" s="1"/>
      <c r="M105" s="1"/>
      <c r="N105" s="1"/>
      <c r="O105" s="1"/>
      <c r="P105" s="1"/>
      <c r="Q105" s="1"/>
    </row>
    <row r="106" spans="1:17">
      <c r="A106" s="10">
        <v>98</v>
      </c>
      <c r="B106" s="10" t="s">
        <v>494</v>
      </c>
      <c r="C106" s="10" t="s">
        <v>502</v>
      </c>
      <c r="D106" s="10" t="s">
        <v>503</v>
      </c>
      <c r="E106" s="12">
        <v>550000000</v>
      </c>
      <c r="F106" s="10" t="s">
        <v>130</v>
      </c>
      <c r="G106" s="10" t="s">
        <v>132</v>
      </c>
      <c r="H106" s="10" t="s">
        <v>504</v>
      </c>
      <c r="I106" s="14" t="s">
        <v>141</v>
      </c>
      <c r="J106" s="1"/>
      <c r="K106" s="1"/>
      <c r="L106" s="1"/>
      <c r="M106" s="1"/>
      <c r="N106" s="1"/>
      <c r="O106" s="1"/>
      <c r="P106" s="1"/>
      <c r="Q106" s="1"/>
    </row>
    <row r="107" spans="1:17" ht="28.5">
      <c r="A107" s="10">
        <v>99</v>
      </c>
      <c r="B107" s="10" t="s">
        <v>494</v>
      </c>
      <c r="C107" s="10" t="s">
        <v>505</v>
      </c>
      <c r="D107" s="10" t="s">
        <v>506</v>
      </c>
      <c r="E107" s="12">
        <v>0.45</v>
      </c>
      <c r="F107" s="10" t="s">
        <v>86</v>
      </c>
      <c r="G107" s="10" t="s">
        <v>123</v>
      </c>
      <c r="H107" s="10" t="s">
        <v>504</v>
      </c>
      <c r="I107" s="14" t="s">
        <v>507</v>
      </c>
      <c r="J107" s="1"/>
      <c r="K107" s="1"/>
      <c r="L107" s="1"/>
      <c r="M107" s="1"/>
      <c r="N107" s="1"/>
      <c r="O107" s="1"/>
      <c r="P107" s="1"/>
      <c r="Q107" s="1"/>
    </row>
    <row r="108" spans="1:17" ht="42.75">
      <c r="A108" s="10">
        <v>100</v>
      </c>
      <c r="B108" s="10" t="s">
        <v>494</v>
      </c>
      <c r="C108" s="10" t="s">
        <v>508</v>
      </c>
      <c r="D108" s="10" t="s">
        <v>509</v>
      </c>
      <c r="E108" s="12">
        <v>900</v>
      </c>
      <c r="F108" s="10" t="s">
        <v>178</v>
      </c>
      <c r="G108" s="10" t="s">
        <v>132</v>
      </c>
      <c r="H108" s="10" t="s">
        <v>498</v>
      </c>
      <c r="I108" s="14" t="s">
        <v>510</v>
      </c>
      <c r="J108" s="1"/>
      <c r="K108" s="1"/>
      <c r="L108" s="1"/>
      <c r="M108" s="1"/>
      <c r="N108" s="1"/>
      <c r="O108" s="1"/>
      <c r="P108" s="1"/>
      <c r="Q108" s="1"/>
    </row>
    <row r="109" spans="1:17" ht="28.5">
      <c r="A109" s="10">
        <v>101</v>
      </c>
      <c r="B109" s="10" t="s">
        <v>494</v>
      </c>
      <c r="C109" s="10" t="s">
        <v>511</v>
      </c>
      <c r="D109" s="10" t="s">
        <v>512</v>
      </c>
      <c r="E109" s="12">
        <v>0.55000000000000004</v>
      </c>
      <c r="F109" s="10" t="s">
        <v>86</v>
      </c>
      <c r="G109" s="10" t="s">
        <v>123</v>
      </c>
      <c r="H109" s="10" t="s">
        <v>498</v>
      </c>
      <c r="I109" s="14" t="s">
        <v>513</v>
      </c>
      <c r="J109" s="1"/>
      <c r="K109" s="1"/>
      <c r="L109" s="1"/>
      <c r="M109" s="1"/>
      <c r="N109" s="1"/>
      <c r="O109" s="1"/>
      <c r="P109" s="1"/>
      <c r="Q109" s="1"/>
    </row>
    <row r="110" spans="1:17">
      <c r="A110" s="10">
        <v>102</v>
      </c>
      <c r="B110" s="10" t="s">
        <v>514</v>
      </c>
      <c r="C110" s="10" t="s">
        <v>515</v>
      </c>
      <c r="D110" s="10" t="s">
        <v>516</v>
      </c>
      <c r="E110" s="12">
        <v>1</v>
      </c>
      <c r="F110" s="10" t="s">
        <v>86</v>
      </c>
      <c r="G110" s="10" t="s">
        <v>123</v>
      </c>
      <c r="H110" s="10" t="s">
        <v>517</v>
      </c>
      <c r="I110" s="14" t="s">
        <v>3046</v>
      </c>
      <c r="J110" s="1"/>
      <c r="K110" s="1"/>
      <c r="L110" s="1"/>
      <c r="M110" s="1"/>
      <c r="N110" s="1"/>
      <c r="O110" s="1"/>
      <c r="P110" s="1"/>
      <c r="Q110" s="1"/>
    </row>
    <row r="111" spans="1:17" ht="28.5">
      <c r="A111" s="10">
        <v>103</v>
      </c>
      <c r="B111" s="10" t="s">
        <v>514</v>
      </c>
      <c r="C111" s="10" t="s">
        <v>519</v>
      </c>
      <c r="D111" s="10" t="s">
        <v>520</v>
      </c>
      <c r="E111" s="12">
        <v>1</v>
      </c>
      <c r="F111" s="10" t="s">
        <v>86</v>
      </c>
      <c r="G111" s="10" t="s">
        <v>132</v>
      </c>
      <c r="H111" s="10" t="s">
        <v>521</v>
      </c>
      <c r="I111" s="14" t="s">
        <v>3048</v>
      </c>
      <c r="J111" s="1"/>
      <c r="K111" s="1"/>
      <c r="L111" s="1"/>
      <c r="M111" s="1"/>
      <c r="N111" s="1"/>
      <c r="O111" s="1"/>
      <c r="P111" s="1"/>
      <c r="Q111" s="1"/>
    </row>
    <row r="112" spans="1:17" ht="42.75">
      <c r="A112" s="10">
        <v>104</v>
      </c>
      <c r="B112" s="10" t="s">
        <v>514</v>
      </c>
      <c r="C112" s="10" t="s">
        <v>523</v>
      </c>
      <c r="D112" s="10" t="s">
        <v>524</v>
      </c>
      <c r="E112" s="12">
        <v>0.9</v>
      </c>
      <c r="F112" s="10" t="s">
        <v>86</v>
      </c>
      <c r="G112" s="10" t="s">
        <v>123</v>
      </c>
      <c r="H112" s="10" t="s">
        <v>521</v>
      </c>
      <c r="I112" s="14" t="s">
        <v>525</v>
      </c>
      <c r="J112" s="1"/>
      <c r="K112" s="1"/>
      <c r="L112" s="1"/>
      <c r="M112" s="1"/>
      <c r="N112" s="1"/>
      <c r="O112" s="1"/>
      <c r="P112" s="1"/>
      <c r="Q112" s="1"/>
    </row>
    <row r="113" spans="1:17" ht="28.5">
      <c r="A113" s="10">
        <v>105</v>
      </c>
      <c r="B113" s="10" t="s">
        <v>514</v>
      </c>
      <c r="C113" s="10" t="s">
        <v>526</v>
      </c>
      <c r="D113" s="10" t="s">
        <v>527</v>
      </c>
      <c r="E113" s="12">
        <v>0.95</v>
      </c>
      <c r="F113" s="10" t="s">
        <v>86</v>
      </c>
      <c r="G113" s="10" t="s">
        <v>123</v>
      </c>
      <c r="H113" s="10" t="s">
        <v>521</v>
      </c>
      <c r="I113" s="14" t="s">
        <v>528</v>
      </c>
      <c r="J113" s="1"/>
      <c r="K113" s="1"/>
      <c r="L113" s="1"/>
      <c r="M113" s="1"/>
      <c r="N113" s="1"/>
      <c r="O113" s="1"/>
      <c r="P113" s="1"/>
      <c r="Q113" s="1"/>
    </row>
    <row r="114" spans="1:17" ht="28.5">
      <c r="A114" s="10">
        <v>106</v>
      </c>
      <c r="B114" s="10" t="s">
        <v>514</v>
      </c>
      <c r="C114" s="10" t="s">
        <v>529</v>
      </c>
      <c r="D114" s="10" t="s">
        <v>530</v>
      </c>
      <c r="E114" s="12">
        <v>1.1499999999999999</v>
      </c>
      <c r="F114" s="10" t="s">
        <v>86</v>
      </c>
      <c r="G114" s="10" t="s">
        <v>123</v>
      </c>
      <c r="H114" s="10" t="s">
        <v>517</v>
      </c>
      <c r="I114" s="14" t="s">
        <v>531</v>
      </c>
      <c r="J114" s="1"/>
      <c r="K114" s="1"/>
      <c r="L114" s="1"/>
      <c r="M114" s="1"/>
      <c r="N114" s="1"/>
      <c r="O114" s="1"/>
      <c r="P114" s="1"/>
      <c r="Q114" s="1"/>
    </row>
    <row r="115" spans="1:17">
      <c r="A115" s="10">
        <v>107</v>
      </c>
      <c r="B115" s="10" t="s">
        <v>532</v>
      </c>
      <c r="C115" s="10" t="s">
        <v>533</v>
      </c>
      <c r="D115" s="10" t="s">
        <v>534</v>
      </c>
      <c r="E115" s="12">
        <v>20</v>
      </c>
      <c r="F115" s="10" t="s">
        <v>235</v>
      </c>
      <c r="G115" s="10" t="s">
        <v>238</v>
      </c>
      <c r="H115" s="10" t="s">
        <v>535</v>
      </c>
      <c r="I115" s="14" t="s">
        <v>536</v>
      </c>
      <c r="J115" s="1"/>
      <c r="K115" s="1"/>
      <c r="L115" s="1"/>
      <c r="M115" s="1"/>
      <c r="N115" s="1"/>
      <c r="O115" s="1"/>
      <c r="P115" s="1"/>
      <c r="Q115" s="1"/>
    </row>
    <row r="116" spans="1:17" ht="28.5">
      <c r="A116" s="10">
        <v>108</v>
      </c>
      <c r="B116" s="10" t="s">
        <v>532</v>
      </c>
      <c r="C116" s="10" t="s">
        <v>537</v>
      </c>
      <c r="D116" s="10" t="s">
        <v>538</v>
      </c>
      <c r="E116" s="12">
        <v>1.7199999999999999E-8</v>
      </c>
      <c r="F116" s="10" t="s">
        <v>539</v>
      </c>
      <c r="G116" s="10" t="s">
        <v>132</v>
      </c>
      <c r="H116" s="10" t="s">
        <v>535</v>
      </c>
      <c r="I116" s="14" t="s">
        <v>540</v>
      </c>
      <c r="J116" s="1"/>
      <c r="K116" s="1"/>
      <c r="L116" s="1"/>
      <c r="M116" s="1"/>
      <c r="N116" s="1"/>
      <c r="O116" s="1"/>
      <c r="P116" s="1"/>
      <c r="Q116" s="1"/>
    </row>
    <row r="117" spans="1:17" ht="28.5">
      <c r="A117" s="10">
        <v>109</v>
      </c>
      <c r="B117" s="10" t="s">
        <v>532</v>
      </c>
      <c r="C117" s="10" t="s">
        <v>541</v>
      </c>
      <c r="D117" s="10" t="s">
        <v>542</v>
      </c>
      <c r="E117" s="12">
        <f>2*(1/'01_入力仕様'!D227+'01_入力仕様'!D227/((((('01_入力仕様'!D5*1000)/('01_入力仕様'!D6*'01_入力仕様'!D9))/'01_入力仕様'!D58)*0.000001)))</f>
        <v>1426.4533333333334</v>
      </c>
      <c r="F117" s="10" t="s">
        <v>543</v>
      </c>
      <c r="G117" s="10" t="s">
        <v>123</v>
      </c>
      <c r="H117" s="10" t="s">
        <v>535</v>
      </c>
      <c r="I117" s="14" t="s">
        <v>3049</v>
      </c>
      <c r="J117" s="1"/>
      <c r="K117" s="1"/>
      <c r="L117" s="1"/>
      <c r="M117" s="1"/>
      <c r="N117" s="1"/>
      <c r="O117" s="1"/>
      <c r="P117" s="1"/>
      <c r="Q117" s="1"/>
    </row>
    <row r="118" spans="1:17" ht="42.75">
      <c r="A118" s="10">
        <v>110</v>
      </c>
      <c r="B118" s="10" t="s">
        <v>545</v>
      </c>
      <c r="C118" s="10" t="s">
        <v>546</v>
      </c>
      <c r="D118" s="10" t="s">
        <v>547</v>
      </c>
      <c r="E118" s="12">
        <v>0.25</v>
      </c>
      <c r="F118" s="10" t="s">
        <v>548</v>
      </c>
      <c r="G118" s="10" t="s">
        <v>132</v>
      </c>
      <c r="H118" s="10" t="s">
        <v>549</v>
      </c>
      <c r="I118" s="14" t="s">
        <v>550</v>
      </c>
      <c r="J118" s="1"/>
      <c r="K118" s="1"/>
      <c r="L118" s="1"/>
      <c r="M118" s="1"/>
      <c r="N118" s="1"/>
      <c r="O118" s="1"/>
      <c r="P118" s="1"/>
      <c r="Q118" s="1"/>
    </row>
    <row r="119" spans="1:17" ht="42.75">
      <c r="A119" s="10">
        <v>111</v>
      </c>
      <c r="B119" s="10" t="s">
        <v>545</v>
      </c>
      <c r="C119" s="10" t="s">
        <v>551</v>
      </c>
      <c r="D119" s="10" t="s">
        <v>552</v>
      </c>
      <c r="E119" s="12">
        <v>1</v>
      </c>
      <c r="F119" s="10" t="s">
        <v>86</v>
      </c>
      <c r="G119" s="10" t="s">
        <v>132</v>
      </c>
      <c r="H119" s="10" t="s">
        <v>549</v>
      </c>
      <c r="I119" s="14" t="s">
        <v>553</v>
      </c>
      <c r="J119" s="1"/>
      <c r="K119" s="1"/>
      <c r="L119" s="1"/>
      <c r="M119" s="1"/>
      <c r="N119" s="1"/>
      <c r="O119" s="1"/>
      <c r="P119" s="1"/>
      <c r="Q119" s="1"/>
    </row>
    <row r="120" spans="1:17" ht="28.5">
      <c r="A120" s="10">
        <v>112</v>
      </c>
      <c r="B120" s="10" t="s">
        <v>545</v>
      </c>
      <c r="C120" s="10" t="s">
        <v>554</v>
      </c>
      <c r="D120" s="10" t="s">
        <v>555</v>
      </c>
      <c r="E120" s="12">
        <v>0.4</v>
      </c>
      <c r="F120" s="10" t="s">
        <v>86</v>
      </c>
      <c r="G120" s="10" t="s">
        <v>123</v>
      </c>
      <c r="H120" s="10" t="s">
        <v>556</v>
      </c>
      <c r="I120" s="14" t="s">
        <v>557</v>
      </c>
      <c r="J120" s="1"/>
      <c r="K120" s="1"/>
      <c r="L120" s="1"/>
      <c r="M120" s="1"/>
      <c r="N120" s="1"/>
      <c r="O120" s="1"/>
      <c r="P120" s="1"/>
      <c r="Q120" s="1"/>
    </row>
    <row r="121" spans="1:17" ht="28.5">
      <c r="A121" s="10">
        <v>113</v>
      </c>
      <c r="B121" s="10" t="s">
        <v>545</v>
      </c>
      <c r="C121" s="10" t="s">
        <v>558</v>
      </c>
      <c r="D121" s="10" t="s">
        <v>559</v>
      </c>
      <c r="E121" s="12">
        <v>5000</v>
      </c>
      <c r="F121" s="10" t="s">
        <v>178</v>
      </c>
      <c r="G121" s="10" t="s">
        <v>132</v>
      </c>
      <c r="H121" s="10" t="s">
        <v>556</v>
      </c>
      <c r="I121" s="14" t="s">
        <v>560</v>
      </c>
      <c r="J121" s="1"/>
      <c r="K121" s="1"/>
      <c r="L121" s="1"/>
      <c r="M121" s="1"/>
      <c r="N121" s="1"/>
      <c r="O121" s="1"/>
      <c r="P121" s="1"/>
      <c r="Q121" s="1"/>
    </row>
    <row r="122" spans="1:17" ht="42.75">
      <c r="A122" s="10">
        <v>114</v>
      </c>
      <c r="B122" s="10" t="s">
        <v>561</v>
      </c>
      <c r="C122" s="10" t="s">
        <v>562</v>
      </c>
      <c r="D122" s="10" t="s">
        <v>563</v>
      </c>
      <c r="E122" s="12">
        <v>0.03</v>
      </c>
      <c r="F122" s="10" t="s">
        <v>564</v>
      </c>
      <c r="G122" s="10" t="s">
        <v>3</v>
      </c>
      <c r="H122" s="10" t="s">
        <v>565</v>
      </c>
      <c r="I122" s="14" t="s">
        <v>566</v>
      </c>
      <c r="J122" s="1"/>
      <c r="K122" s="1"/>
      <c r="L122" s="1"/>
      <c r="M122" s="1"/>
      <c r="N122" s="1"/>
      <c r="O122" s="1"/>
      <c r="P122" s="1"/>
      <c r="Q122" s="1"/>
    </row>
    <row r="123" spans="1:17" ht="42.75">
      <c r="A123" s="10">
        <v>115</v>
      </c>
      <c r="B123" s="10" t="s">
        <v>561</v>
      </c>
      <c r="C123" s="10" t="s">
        <v>567</v>
      </c>
      <c r="D123" s="10" t="s">
        <v>568</v>
      </c>
      <c r="E123" s="12">
        <v>1.6000000000000001E-3</v>
      </c>
      <c r="F123" s="10" t="s">
        <v>262</v>
      </c>
      <c r="G123" s="10" t="s">
        <v>3</v>
      </c>
      <c r="H123" s="10" t="s">
        <v>565</v>
      </c>
      <c r="I123" s="14" t="s">
        <v>569</v>
      </c>
      <c r="J123" s="1"/>
      <c r="K123" s="1"/>
      <c r="L123" s="1"/>
      <c r="M123" s="1"/>
      <c r="N123" s="1"/>
      <c r="O123" s="1"/>
      <c r="P123" s="1"/>
      <c r="Q123" s="1"/>
    </row>
    <row r="124" spans="1:17" ht="28.5">
      <c r="A124" s="10">
        <v>116</v>
      </c>
      <c r="B124" s="10" t="s">
        <v>561</v>
      </c>
      <c r="C124" s="10" t="s">
        <v>570</v>
      </c>
      <c r="D124" s="10" t="s">
        <v>571</v>
      </c>
      <c r="E124" s="12">
        <v>1900</v>
      </c>
      <c r="F124" s="10" t="s">
        <v>178</v>
      </c>
      <c r="G124" s="10" t="s">
        <v>132</v>
      </c>
      <c r="H124" s="10" t="s">
        <v>565</v>
      </c>
      <c r="I124" s="14" t="s">
        <v>572</v>
      </c>
      <c r="J124" s="1"/>
      <c r="K124" s="1"/>
      <c r="L124" s="1"/>
      <c r="M124" s="1"/>
      <c r="N124" s="1"/>
      <c r="O124" s="1"/>
      <c r="P124" s="1"/>
      <c r="Q124" s="1"/>
    </row>
    <row r="125" spans="1:17" ht="57">
      <c r="A125" s="10">
        <v>117</v>
      </c>
      <c r="B125" s="10" t="s">
        <v>561</v>
      </c>
      <c r="C125" s="10" t="s">
        <v>573</v>
      </c>
      <c r="D125" s="10" t="s">
        <v>574</v>
      </c>
      <c r="E125" s="12">
        <v>0.1</v>
      </c>
      <c r="F125" s="10" t="s">
        <v>229</v>
      </c>
      <c r="G125" s="10" t="s">
        <v>3</v>
      </c>
      <c r="H125" s="10" t="s">
        <v>565</v>
      </c>
      <c r="I125" s="14" t="s">
        <v>575</v>
      </c>
      <c r="J125" s="1"/>
      <c r="K125" s="1"/>
      <c r="L125" s="1"/>
      <c r="M125" s="1"/>
      <c r="N125" s="1"/>
      <c r="O125" s="1"/>
      <c r="P125" s="1"/>
      <c r="Q125" s="1"/>
    </row>
    <row r="126" spans="1:17" ht="42.75">
      <c r="A126" s="10">
        <v>118</v>
      </c>
      <c r="B126" s="10" t="s">
        <v>576</v>
      </c>
      <c r="C126" s="10" t="s">
        <v>583</v>
      </c>
      <c r="D126" s="10" t="s">
        <v>584</v>
      </c>
      <c r="E126" s="12">
        <v>1.7999999999999999E-2</v>
      </c>
      <c r="F126" s="10" t="s">
        <v>433</v>
      </c>
      <c r="G126" s="10" t="s">
        <v>3</v>
      </c>
      <c r="H126" s="10" t="s">
        <v>585</v>
      </c>
      <c r="I126" s="14" t="s">
        <v>586</v>
      </c>
      <c r="J126" s="1"/>
      <c r="K126" s="1"/>
      <c r="L126" s="1"/>
      <c r="M126" s="1"/>
      <c r="N126" s="1"/>
      <c r="O126" s="1"/>
      <c r="P126" s="1"/>
      <c r="Q126" s="1"/>
    </row>
    <row r="127" spans="1:17" ht="42.75">
      <c r="A127" s="10">
        <v>119</v>
      </c>
      <c r="B127" s="10" t="s">
        <v>561</v>
      </c>
      <c r="C127" s="10" t="s">
        <v>587</v>
      </c>
      <c r="D127" s="10" t="s">
        <v>588</v>
      </c>
      <c r="E127" s="12">
        <v>0.12</v>
      </c>
      <c r="F127" s="10" t="s">
        <v>229</v>
      </c>
      <c r="G127" s="10" t="s">
        <v>3</v>
      </c>
      <c r="H127" s="10" t="s">
        <v>589</v>
      </c>
      <c r="I127" s="14" t="s">
        <v>590</v>
      </c>
      <c r="J127" s="1"/>
      <c r="K127" s="1"/>
      <c r="L127" s="1"/>
      <c r="M127" s="1"/>
      <c r="N127" s="1"/>
      <c r="O127" s="1"/>
      <c r="P127" s="1"/>
      <c r="Q127" s="1"/>
    </row>
    <row r="128" spans="1:17" ht="42.75">
      <c r="A128" s="10">
        <v>120</v>
      </c>
      <c r="B128" s="10" t="s">
        <v>591</v>
      </c>
      <c r="C128" s="10" t="s">
        <v>592</v>
      </c>
      <c r="D128" s="10" t="s">
        <v>593</v>
      </c>
      <c r="E128" s="12">
        <v>3</v>
      </c>
      <c r="F128" s="10" t="s">
        <v>114</v>
      </c>
      <c r="G128" s="10" t="s">
        <v>3</v>
      </c>
      <c r="H128" s="10" t="s">
        <v>594</v>
      </c>
      <c r="I128" s="14" t="s">
        <v>595</v>
      </c>
      <c r="J128" s="1"/>
      <c r="K128" s="1"/>
      <c r="L128" s="1"/>
      <c r="M128" s="1"/>
      <c r="N128" s="1"/>
      <c r="O128" s="1"/>
      <c r="P128" s="1"/>
      <c r="Q128" s="1"/>
    </row>
    <row r="129" spans="1:17" ht="57">
      <c r="A129" s="10">
        <v>121</v>
      </c>
      <c r="B129" s="10" t="s">
        <v>591</v>
      </c>
      <c r="C129" s="10" t="s">
        <v>596</v>
      </c>
      <c r="D129" s="10" t="s">
        <v>597</v>
      </c>
      <c r="E129" s="12">
        <v>4.4999999999999998E-2</v>
      </c>
      <c r="F129" s="10" t="s">
        <v>433</v>
      </c>
      <c r="G129" s="10" t="s">
        <v>3</v>
      </c>
      <c r="H129" s="10" t="s">
        <v>594</v>
      </c>
      <c r="I129" s="14" t="s">
        <v>598</v>
      </c>
      <c r="J129" s="1"/>
      <c r="K129" s="1"/>
      <c r="L129" s="1"/>
      <c r="M129" s="1"/>
      <c r="N129" s="1"/>
      <c r="O129" s="1"/>
      <c r="P129" s="1"/>
      <c r="Q129" s="1"/>
    </row>
    <row r="130" spans="1:17" ht="42.75">
      <c r="A130" s="10">
        <v>122</v>
      </c>
      <c r="B130" s="10" t="s">
        <v>591</v>
      </c>
      <c r="C130" s="10" t="s">
        <v>599</v>
      </c>
      <c r="D130" s="10" t="s">
        <v>600</v>
      </c>
      <c r="E130" s="12">
        <v>2</v>
      </c>
      <c r="F130" s="10" t="s">
        <v>114</v>
      </c>
      <c r="G130" s="10" t="s">
        <v>3</v>
      </c>
      <c r="H130" s="10" t="s">
        <v>601</v>
      </c>
      <c r="I130" s="14" t="s">
        <v>602</v>
      </c>
      <c r="J130" s="1"/>
      <c r="K130" s="1"/>
      <c r="L130" s="1"/>
      <c r="M130" s="1"/>
      <c r="N130" s="1"/>
      <c r="O130" s="1"/>
      <c r="P130" s="1"/>
      <c r="Q130" s="1"/>
    </row>
    <row r="131" spans="1:17" ht="57">
      <c r="A131" s="10">
        <v>123</v>
      </c>
      <c r="B131" s="10" t="s">
        <v>591</v>
      </c>
      <c r="C131" s="10" t="s">
        <v>603</v>
      </c>
      <c r="D131" s="10" t="s">
        <v>604</v>
      </c>
      <c r="E131" s="12">
        <v>2.5000000000000001E-2</v>
      </c>
      <c r="F131" s="10" t="s">
        <v>433</v>
      </c>
      <c r="G131" s="10" t="s">
        <v>3</v>
      </c>
      <c r="H131" s="10" t="s">
        <v>601</v>
      </c>
      <c r="I131" s="14" t="s">
        <v>605</v>
      </c>
      <c r="J131" s="1"/>
      <c r="K131" s="1"/>
      <c r="L131" s="1"/>
      <c r="M131" s="1"/>
      <c r="N131" s="1"/>
      <c r="O131" s="1"/>
      <c r="P131" s="1"/>
      <c r="Q131" s="1"/>
    </row>
    <row r="132" spans="1:17" ht="42.75">
      <c r="A132" s="10">
        <v>124</v>
      </c>
      <c r="B132" s="10" t="s">
        <v>591</v>
      </c>
      <c r="C132" s="10" t="s">
        <v>606</v>
      </c>
      <c r="D132" s="10" t="s">
        <v>607</v>
      </c>
      <c r="E132" s="12">
        <v>4</v>
      </c>
      <c r="F132" s="10" t="s">
        <v>114</v>
      </c>
      <c r="G132" s="10" t="s">
        <v>3</v>
      </c>
      <c r="H132" s="10" t="s">
        <v>608</v>
      </c>
      <c r="I132" s="14" t="s">
        <v>609</v>
      </c>
      <c r="J132" s="1"/>
      <c r="K132" s="1"/>
      <c r="L132" s="1"/>
      <c r="M132" s="1"/>
      <c r="N132" s="1"/>
      <c r="O132" s="1"/>
      <c r="P132" s="1"/>
      <c r="Q132" s="1"/>
    </row>
    <row r="133" spans="1:17" ht="57">
      <c r="A133" s="10">
        <v>125</v>
      </c>
      <c r="B133" s="10" t="s">
        <v>591</v>
      </c>
      <c r="C133" s="10" t="s">
        <v>610</v>
      </c>
      <c r="D133" s="10" t="s">
        <v>611</v>
      </c>
      <c r="E133" s="12">
        <v>0.01</v>
      </c>
      <c r="F133" s="10" t="s">
        <v>433</v>
      </c>
      <c r="G133" s="10" t="s">
        <v>3</v>
      </c>
      <c r="H133" s="10" t="s">
        <v>608</v>
      </c>
      <c r="I133" s="14" t="s">
        <v>612</v>
      </c>
      <c r="J133" s="1"/>
      <c r="K133" s="1"/>
      <c r="L133" s="1"/>
      <c r="M133" s="1"/>
      <c r="N133" s="1"/>
      <c r="O133" s="1"/>
      <c r="P133" s="1"/>
      <c r="Q133" s="1"/>
    </row>
    <row r="134" spans="1:17" ht="42.75">
      <c r="A134" s="10">
        <v>126</v>
      </c>
      <c r="B134" s="10" t="s">
        <v>591</v>
      </c>
      <c r="C134" s="10" t="s">
        <v>613</v>
      </c>
      <c r="D134" s="10" t="s">
        <v>614</v>
      </c>
      <c r="E134" s="12">
        <v>5.5E-2</v>
      </c>
      <c r="F134" s="10" t="s">
        <v>229</v>
      </c>
      <c r="G134" s="10" t="s">
        <v>3</v>
      </c>
      <c r="H134" s="10" t="s">
        <v>615</v>
      </c>
      <c r="I134" s="14" t="s">
        <v>616</v>
      </c>
      <c r="J134" s="1"/>
      <c r="K134" s="1"/>
      <c r="L134" s="1"/>
      <c r="M134" s="1"/>
      <c r="N134" s="1"/>
      <c r="O134" s="1"/>
      <c r="P134" s="1"/>
      <c r="Q134" s="1"/>
    </row>
    <row r="135" spans="1:17" ht="42.75">
      <c r="A135" s="10">
        <v>127</v>
      </c>
      <c r="B135" s="10" t="s">
        <v>617</v>
      </c>
      <c r="C135" s="10" t="s">
        <v>618</v>
      </c>
      <c r="D135" s="10" t="s">
        <v>619</v>
      </c>
      <c r="E135" s="12">
        <v>2</v>
      </c>
      <c r="F135" s="10" t="s">
        <v>114</v>
      </c>
      <c r="G135" s="10" t="s">
        <v>3</v>
      </c>
      <c r="H135" s="10" t="s">
        <v>620</v>
      </c>
      <c r="I135" s="14" t="s">
        <v>621</v>
      </c>
      <c r="J135" s="1"/>
      <c r="K135" s="1"/>
      <c r="L135" s="1"/>
      <c r="M135" s="1"/>
      <c r="N135" s="1"/>
      <c r="O135" s="1"/>
      <c r="P135" s="1"/>
      <c r="Q135" s="1"/>
    </row>
    <row r="136" spans="1:17" ht="57">
      <c r="A136" s="10">
        <v>128</v>
      </c>
      <c r="B136" s="10" t="s">
        <v>617</v>
      </c>
      <c r="C136" s="10" t="s">
        <v>622</v>
      </c>
      <c r="D136" s="10" t="s">
        <v>623</v>
      </c>
      <c r="E136" s="12">
        <v>5.5E-2</v>
      </c>
      <c r="F136" s="10" t="s">
        <v>433</v>
      </c>
      <c r="G136" s="10" t="s">
        <v>3</v>
      </c>
      <c r="H136" s="10" t="s">
        <v>620</v>
      </c>
      <c r="I136" s="14" t="s">
        <v>624</v>
      </c>
      <c r="J136" s="1"/>
      <c r="K136" s="1"/>
      <c r="L136" s="1"/>
      <c r="M136" s="1"/>
      <c r="N136" s="1"/>
      <c r="O136" s="1"/>
      <c r="P136" s="1"/>
      <c r="Q136" s="1"/>
    </row>
    <row r="137" spans="1:17" ht="42.75">
      <c r="A137" s="10">
        <v>129</v>
      </c>
      <c r="B137" s="10" t="s">
        <v>617</v>
      </c>
      <c r="C137" s="10" t="s">
        <v>625</v>
      </c>
      <c r="D137" s="10" t="s">
        <v>626</v>
      </c>
      <c r="E137" s="12">
        <v>3</v>
      </c>
      <c r="F137" s="10" t="s">
        <v>114</v>
      </c>
      <c r="G137" s="10" t="s">
        <v>3</v>
      </c>
      <c r="H137" s="10" t="s">
        <v>627</v>
      </c>
      <c r="I137" s="14" t="s">
        <v>628</v>
      </c>
      <c r="J137" s="1"/>
      <c r="K137" s="1"/>
      <c r="L137" s="1"/>
      <c r="M137" s="1"/>
      <c r="N137" s="1"/>
      <c r="O137" s="1"/>
      <c r="P137" s="1"/>
      <c r="Q137" s="1"/>
    </row>
    <row r="138" spans="1:17" ht="57">
      <c r="A138" s="10">
        <v>130</v>
      </c>
      <c r="B138" s="10" t="s">
        <v>617</v>
      </c>
      <c r="C138" s="10" t="s">
        <v>629</v>
      </c>
      <c r="D138" s="10" t="s">
        <v>630</v>
      </c>
      <c r="E138" s="12">
        <v>5.5E-2</v>
      </c>
      <c r="F138" s="10" t="s">
        <v>433</v>
      </c>
      <c r="G138" s="10" t="s">
        <v>3</v>
      </c>
      <c r="H138" s="10" t="s">
        <v>627</v>
      </c>
      <c r="I138" s="14" t="s">
        <v>631</v>
      </c>
      <c r="J138" s="1"/>
      <c r="K138" s="1"/>
      <c r="L138" s="1"/>
      <c r="M138" s="1"/>
      <c r="N138" s="1"/>
      <c r="O138" s="1"/>
      <c r="P138" s="1"/>
      <c r="Q138" s="1"/>
    </row>
    <row r="139" spans="1:17" ht="42.75">
      <c r="A139" s="10">
        <v>131</v>
      </c>
      <c r="B139" s="10" t="s">
        <v>617</v>
      </c>
      <c r="C139" s="10" t="s">
        <v>632</v>
      </c>
      <c r="D139" s="10" t="s">
        <v>633</v>
      </c>
      <c r="E139" s="12">
        <v>7.4999999999999997E-2</v>
      </c>
      <c r="F139" s="10" t="s">
        <v>229</v>
      </c>
      <c r="G139" s="10" t="s">
        <v>3</v>
      </c>
      <c r="H139" s="10" t="s">
        <v>634</v>
      </c>
      <c r="I139" s="14" t="s">
        <v>635</v>
      </c>
      <c r="J139" s="1"/>
      <c r="K139" s="1"/>
      <c r="L139" s="1"/>
      <c r="M139" s="1"/>
      <c r="N139" s="1"/>
      <c r="O139" s="1"/>
      <c r="P139" s="1"/>
      <c r="Q139" s="1"/>
    </row>
    <row r="140" spans="1:17" ht="42.75">
      <c r="A140" s="10">
        <v>132</v>
      </c>
      <c r="B140" s="10" t="s">
        <v>617</v>
      </c>
      <c r="C140" s="10" t="s">
        <v>636</v>
      </c>
      <c r="D140" s="10" t="s">
        <v>637</v>
      </c>
      <c r="E140" s="12">
        <v>7.0000000000000007E-2</v>
      </c>
      <c r="F140" s="10" t="s">
        <v>229</v>
      </c>
      <c r="G140" s="10" t="s">
        <v>3</v>
      </c>
      <c r="H140" s="10" t="s">
        <v>634</v>
      </c>
      <c r="I140" s="14" t="s">
        <v>638</v>
      </c>
      <c r="J140" s="1"/>
      <c r="K140" s="1"/>
      <c r="L140" s="1"/>
      <c r="M140" s="1"/>
      <c r="N140" s="1"/>
      <c r="O140" s="1"/>
      <c r="P140" s="1"/>
      <c r="Q140" s="1"/>
    </row>
    <row r="141" spans="1:17" ht="42.75">
      <c r="A141" s="10">
        <v>133</v>
      </c>
      <c r="B141" s="10" t="s">
        <v>639</v>
      </c>
      <c r="C141" s="10" t="s">
        <v>640</v>
      </c>
      <c r="D141" s="10" t="s">
        <v>641</v>
      </c>
      <c r="E141" s="12">
        <v>0.15</v>
      </c>
      <c r="F141" s="10" t="s">
        <v>229</v>
      </c>
      <c r="G141" s="10" t="s">
        <v>3</v>
      </c>
      <c r="H141" s="10" t="s">
        <v>642</v>
      </c>
      <c r="I141" s="14" t="s">
        <v>643</v>
      </c>
      <c r="J141" s="1"/>
      <c r="K141" s="1"/>
      <c r="L141" s="1"/>
      <c r="M141" s="1"/>
      <c r="N141" s="1"/>
      <c r="O141" s="1"/>
      <c r="P141" s="1"/>
      <c r="Q141" s="1"/>
    </row>
    <row r="142" spans="1:17" ht="42.75">
      <c r="A142" s="10">
        <v>134</v>
      </c>
      <c r="B142" s="10" t="s">
        <v>639</v>
      </c>
      <c r="C142" s="10" t="s">
        <v>644</v>
      </c>
      <c r="D142" s="10" t="s">
        <v>645</v>
      </c>
      <c r="E142" s="12">
        <v>0.15</v>
      </c>
      <c r="F142" s="10" t="s">
        <v>229</v>
      </c>
      <c r="G142" s="10" t="s">
        <v>3</v>
      </c>
      <c r="H142" s="10" t="s">
        <v>642</v>
      </c>
      <c r="I142" s="14" t="s">
        <v>646</v>
      </c>
      <c r="J142" s="1"/>
      <c r="K142" s="1"/>
      <c r="L142" s="1"/>
      <c r="M142" s="1"/>
      <c r="N142" s="1"/>
      <c r="O142" s="1"/>
      <c r="P142" s="1"/>
      <c r="Q142" s="1"/>
    </row>
    <row r="143" spans="1:17" ht="42.75">
      <c r="A143" s="10">
        <v>135</v>
      </c>
      <c r="B143" s="10" t="s">
        <v>639</v>
      </c>
      <c r="C143" s="10" t="s">
        <v>647</v>
      </c>
      <c r="D143" s="10" t="s">
        <v>648</v>
      </c>
      <c r="E143" s="12">
        <v>0.2</v>
      </c>
      <c r="F143" s="10" t="s">
        <v>229</v>
      </c>
      <c r="G143" s="10" t="s">
        <v>3</v>
      </c>
      <c r="H143" s="10" t="s">
        <v>642</v>
      </c>
      <c r="I143" s="14" t="s">
        <v>649</v>
      </c>
      <c r="J143" s="1"/>
      <c r="K143" s="1"/>
      <c r="L143" s="1"/>
      <c r="M143" s="1"/>
      <c r="N143" s="1"/>
      <c r="O143" s="1"/>
      <c r="P143" s="1"/>
      <c r="Q143" s="1"/>
    </row>
    <row r="144" spans="1:17" ht="28.5">
      <c r="A144" s="10">
        <v>136</v>
      </c>
      <c r="B144" s="10" t="s">
        <v>650</v>
      </c>
      <c r="C144" s="10" t="s">
        <v>659</v>
      </c>
      <c r="D144" s="10" t="s">
        <v>660</v>
      </c>
      <c r="E144" s="12">
        <v>4</v>
      </c>
      <c r="F144" s="10" t="s">
        <v>653</v>
      </c>
      <c r="G144" s="10" t="s">
        <v>123</v>
      </c>
      <c r="H144" s="10" t="s">
        <v>661</v>
      </c>
      <c r="I144" s="14" t="s">
        <v>662</v>
      </c>
      <c r="J144" s="1"/>
      <c r="K144" s="1"/>
      <c r="L144" s="1"/>
      <c r="M144" s="1"/>
      <c r="N144" s="1"/>
      <c r="O144" s="1"/>
      <c r="P144" s="1"/>
      <c r="Q144" s="1"/>
    </row>
    <row r="145" spans="1:17" ht="42.75">
      <c r="A145" s="10">
        <v>137</v>
      </c>
      <c r="B145" s="10" t="s">
        <v>650</v>
      </c>
      <c r="C145" s="10" t="s">
        <v>663</v>
      </c>
      <c r="D145" s="10" t="s">
        <v>664</v>
      </c>
      <c r="E145" s="12">
        <v>4.9999999999999998E-8</v>
      </c>
      <c r="F145" s="10" t="s">
        <v>109</v>
      </c>
      <c r="G145" s="10" t="s">
        <v>123</v>
      </c>
      <c r="H145" s="10" t="s">
        <v>665</v>
      </c>
      <c r="I145" s="14" t="s">
        <v>666</v>
      </c>
      <c r="J145" s="1"/>
      <c r="K145" s="1"/>
      <c r="L145" s="1"/>
      <c r="M145" s="1"/>
      <c r="N145" s="1"/>
      <c r="O145" s="1"/>
      <c r="P145" s="1"/>
      <c r="Q145" s="1"/>
    </row>
    <row r="146" spans="1:17" ht="42.75">
      <c r="A146" s="10">
        <v>138</v>
      </c>
      <c r="B146" s="10" t="s">
        <v>650</v>
      </c>
      <c r="C146" s="10" t="s">
        <v>667</v>
      </c>
      <c r="D146" s="10" t="s">
        <v>668</v>
      </c>
      <c r="E146" s="12">
        <v>4.9999999999999998E-8</v>
      </c>
      <c r="F146" s="10" t="s">
        <v>109</v>
      </c>
      <c r="G146" s="10" t="s">
        <v>123</v>
      </c>
      <c r="H146" s="10" t="s">
        <v>669</v>
      </c>
      <c r="I146" s="14" t="s">
        <v>670</v>
      </c>
      <c r="J146" s="1"/>
      <c r="K146" s="1"/>
      <c r="L146" s="1"/>
      <c r="M146" s="1"/>
      <c r="N146" s="1"/>
      <c r="O146" s="1"/>
      <c r="P146" s="1"/>
      <c r="Q146" s="1"/>
    </row>
    <row r="147" spans="1:17">
      <c r="A147" s="10">
        <v>139</v>
      </c>
      <c r="B147" s="10" t="s">
        <v>650</v>
      </c>
      <c r="C147" s="10" t="s">
        <v>671</v>
      </c>
      <c r="D147" s="10" t="s">
        <v>672</v>
      </c>
      <c r="E147" s="12">
        <v>0</v>
      </c>
      <c r="F147" s="10" t="s">
        <v>415</v>
      </c>
      <c r="G147" s="10" t="s">
        <v>418</v>
      </c>
      <c r="H147" s="10" t="s">
        <v>673</v>
      </c>
      <c r="I147" s="14" t="s">
        <v>674</v>
      </c>
      <c r="J147" s="1"/>
      <c r="K147" s="1"/>
      <c r="L147" s="1"/>
      <c r="M147" s="1"/>
      <c r="N147" s="1"/>
      <c r="O147" s="1"/>
      <c r="P147" s="1"/>
      <c r="Q147" s="1"/>
    </row>
    <row r="148" spans="1:17" ht="42.75">
      <c r="A148" s="10">
        <v>140</v>
      </c>
      <c r="B148" s="10" t="s">
        <v>650</v>
      </c>
      <c r="C148" s="10" t="s">
        <v>675</v>
      </c>
      <c r="D148" s="10" t="s">
        <v>676</v>
      </c>
      <c r="E148" s="12">
        <v>0.9</v>
      </c>
      <c r="F148" s="10" t="s">
        <v>86</v>
      </c>
      <c r="G148" s="10" t="s">
        <v>123</v>
      </c>
      <c r="H148" s="10" t="s">
        <v>677</v>
      </c>
      <c r="I148" s="14" t="s">
        <v>678</v>
      </c>
      <c r="J148" s="1"/>
      <c r="K148" s="1"/>
      <c r="L148" s="1"/>
      <c r="M148" s="1"/>
      <c r="N148" s="1"/>
      <c r="O148" s="1"/>
      <c r="P148" s="1"/>
      <c r="Q148" s="1"/>
    </row>
    <row r="149" spans="1:17" ht="42.75">
      <c r="A149" s="10">
        <v>141</v>
      </c>
      <c r="B149" s="10" t="s">
        <v>650</v>
      </c>
      <c r="C149" s="10" t="s">
        <v>679</v>
      </c>
      <c r="D149" s="10" t="s">
        <v>680</v>
      </c>
      <c r="E149" s="12">
        <v>3.0000000000000001E-3</v>
      </c>
      <c r="F149" s="10" t="s">
        <v>229</v>
      </c>
      <c r="G149" s="10" t="s">
        <v>123</v>
      </c>
      <c r="H149" s="10" t="s">
        <v>681</v>
      </c>
      <c r="I149" s="14" t="s">
        <v>682</v>
      </c>
      <c r="J149" s="1"/>
      <c r="K149" s="1"/>
      <c r="L149" s="1"/>
      <c r="M149" s="1"/>
      <c r="N149" s="1"/>
      <c r="O149" s="1"/>
      <c r="P149" s="1"/>
      <c r="Q149" s="1"/>
    </row>
    <row r="150" spans="1:17" ht="42.75">
      <c r="A150" s="10">
        <v>142</v>
      </c>
      <c r="B150" s="10" t="s">
        <v>650</v>
      </c>
      <c r="C150" s="10" t="s">
        <v>683</v>
      </c>
      <c r="D150" s="10" t="s">
        <v>684</v>
      </c>
      <c r="E150" s="12">
        <v>0.08</v>
      </c>
      <c r="F150" s="10" t="s">
        <v>229</v>
      </c>
      <c r="G150" s="10" t="s">
        <v>123</v>
      </c>
      <c r="H150" s="10" t="s">
        <v>685</v>
      </c>
      <c r="I150" s="14" t="s">
        <v>686</v>
      </c>
      <c r="J150" s="1"/>
      <c r="K150" s="1"/>
      <c r="L150" s="1"/>
      <c r="M150" s="1"/>
      <c r="N150" s="1"/>
      <c r="O150" s="1"/>
      <c r="P150" s="1"/>
      <c r="Q150" s="1"/>
    </row>
    <row r="151" spans="1:17" ht="42.75">
      <c r="A151" s="10">
        <v>143</v>
      </c>
      <c r="B151" s="10" t="s">
        <v>650</v>
      </c>
      <c r="C151" s="10" t="s">
        <v>687</v>
      </c>
      <c r="D151" s="10" t="s">
        <v>688</v>
      </c>
      <c r="E151" s="12">
        <v>0.7</v>
      </c>
      <c r="F151" s="10" t="s">
        <v>86</v>
      </c>
      <c r="G151" s="10" t="s">
        <v>123</v>
      </c>
      <c r="H151" s="10" t="s">
        <v>685</v>
      </c>
      <c r="I151" s="14" t="s">
        <v>689</v>
      </c>
      <c r="J151" s="1"/>
      <c r="K151" s="1"/>
      <c r="L151" s="1"/>
      <c r="M151" s="1"/>
      <c r="N151" s="1"/>
      <c r="O151" s="1"/>
      <c r="P151" s="1"/>
      <c r="Q151" s="1"/>
    </row>
    <row r="152" spans="1:17" ht="42.75">
      <c r="A152" s="10">
        <v>144</v>
      </c>
      <c r="B152" s="10" t="s">
        <v>690</v>
      </c>
      <c r="C152" s="10" t="s">
        <v>690</v>
      </c>
      <c r="D152" s="10" t="s">
        <v>691</v>
      </c>
      <c r="E152" s="12">
        <v>2.9999999999999999E-7</v>
      </c>
      <c r="F152" s="10" t="s">
        <v>109</v>
      </c>
      <c r="G152" s="10" t="s">
        <v>3</v>
      </c>
      <c r="H152" s="10" t="s">
        <v>692</v>
      </c>
      <c r="I152" s="14" t="s">
        <v>693</v>
      </c>
      <c r="J152" s="1"/>
      <c r="K152" s="1"/>
      <c r="L152" s="1"/>
      <c r="M152" s="1"/>
      <c r="N152" s="1"/>
      <c r="O152" s="1"/>
      <c r="P152" s="1"/>
      <c r="Q152" s="1"/>
    </row>
    <row r="153" spans="1:17" ht="42.75">
      <c r="A153" s="10">
        <v>145</v>
      </c>
      <c r="B153" s="10" t="s">
        <v>690</v>
      </c>
      <c r="C153" s="10" t="s">
        <v>695</v>
      </c>
      <c r="D153" s="10" t="s">
        <v>696</v>
      </c>
      <c r="E153" s="12">
        <v>2.5</v>
      </c>
      <c r="F153" s="10" t="s">
        <v>73</v>
      </c>
      <c r="G153" s="10" t="s">
        <v>123</v>
      </c>
      <c r="H153" s="10" t="s">
        <v>692</v>
      </c>
      <c r="I153" s="14" t="s">
        <v>697</v>
      </c>
      <c r="J153" s="1"/>
      <c r="K153" s="1"/>
      <c r="L153" s="1"/>
      <c r="M153" s="1"/>
      <c r="N153" s="1"/>
      <c r="O153" s="1"/>
      <c r="P153" s="1"/>
      <c r="Q153" s="1"/>
    </row>
    <row r="154" spans="1:17" ht="28.5">
      <c r="A154" s="10">
        <v>146</v>
      </c>
      <c r="B154" s="10" t="s">
        <v>690</v>
      </c>
      <c r="C154" s="10" t="s">
        <v>698</v>
      </c>
      <c r="D154" s="10" t="s">
        <v>699</v>
      </c>
      <c r="E154" s="12">
        <v>0</v>
      </c>
      <c r="F154" s="10" t="s">
        <v>415</v>
      </c>
      <c r="G154" s="10" t="s">
        <v>418</v>
      </c>
      <c r="H154" s="10" t="s">
        <v>700</v>
      </c>
      <c r="I154" s="14" t="s">
        <v>701</v>
      </c>
      <c r="J154" s="1"/>
      <c r="K154" s="1"/>
      <c r="L154" s="1"/>
      <c r="M154" s="1"/>
      <c r="N154" s="1"/>
      <c r="O154" s="1"/>
      <c r="P154" s="1"/>
      <c r="Q154" s="1"/>
    </row>
    <row r="155" spans="1:17" ht="42.75">
      <c r="A155" s="10">
        <v>147</v>
      </c>
      <c r="B155" s="10" t="s">
        <v>690</v>
      </c>
      <c r="C155" s="10" t="s">
        <v>702</v>
      </c>
      <c r="D155" s="10" t="s">
        <v>703</v>
      </c>
      <c r="E155" s="12">
        <v>0.45</v>
      </c>
      <c r="F155" s="10" t="s">
        <v>86</v>
      </c>
      <c r="G155" s="10" t="s">
        <v>123</v>
      </c>
      <c r="H155" s="10" t="s">
        <v>704</v>
      </c>
      <c r="I155" s="14" t="s">
        <v>705</v>
      </c>
      <c r="J155" s="1"/>
      <c r="K155" s="1"/>
      <c r="L155" s="1"/>
      <c r="M155" s="1"/>
      <c r="N155" s="1"/>
      <c r="O155" s="1"/>
      <c r="P155" s="1"/>
      <c r="Q155" s="1"/>
    </row>
    <row r="156" spans="1:17" ht="42.75">
      <c r="A156" s="10">
        <v>148</v>
      </c>
      <c r="B156" s="10" t="s">
        <v>690</v>
      </c>
      <c r="C156" s="10" t="s">
        <v>706</v>
      </c>
      <c r="D156" s="10" t="s">
        <v>707</v>
      </c>
      <c r="E156" s="12">
        <v>1.4999999999999999E-2</v>
      </c>
      <c r="F156" s="10" t="s">
        <v>229</v>
      </c>
      <c r="G156" s="10" t="s">
        <v>123</v>
      </c>
      <c r="H156" s="10" t="s">
        <v>681</v>
      </c>
      <c r="I156" s="14" t="s">
        <v>708</v>
      </c>
      <c r="J156" s="1"/>
      <c r="K156" s="1"/>
      <c r="L156" s="1"/>
      <c r="M156" s="1"/>
      <c r="N156" s="1"/>
      <c r="O156" s="1"/>
      <c r="P156" s="1"/>
      <c r="Q156" s="1"/>
    </row>
    <row r="157" spans="1:17" ht="28.5">
      <c r="A157" s="10">
        <v>149</v>
      </c>
      <c r="B157" s="10" t="s">
        <v>709</v>
      </c>
      <c r="C157" s="10" t="s">
        <v>710</v>
      </c>
      <c r="D157" s="10" t="s">
        <v>711</v>
      </c>
      <c r="E157" s="12">
        <v>18</v>
      </c>
      <c r="F157" s="10" t="s">
        <v>73</v>
      </c>
      <c r="G157" s="10" t="s">
        <v>3</v>
      </c>
      <c r="H157" s="10" t="s">
        <v>712</v>
      </c>
      <c r="I157" s="14" t="s">
        <v>713</v>
      </c>
      <c r="J157" s="1"/>
      <c r="K157" s="1"/>
      <c r="L157" s="1"/>
      <c r="M157" s="1"/>
      <c r="N157" s="1"/>
      <c r="O157" s="1"/>
      <c r="P157" s="1"/>
      <c r="Q157" s="1"/>
    </row>
    <row r="158" spans="1:17" ht="28.5">
      <c r="A158" s="10">
        <v>150</v>
      </c>
      <c r="B158" s="10" t="s">
        <v>709</v>
      </c>
      <c r="C158" s="10" t="s">
        <v>714</v>
      </c>
      <c r="D158" s="10" t="s">
        <v>715</v>
      </c>
      <c r="E158" s="12">
        <v>-3</v>
      </c>
      <c r="F158" s="10" t="s">
        <v>73</v>
      </c>
      <c r="G158" s="10" t="s">
        <v>3</v>
      </c>
      <c r="H158" s="10" t="s">
        <v>716</v>
      </c>
      <c r="I158" s="14" t="s">
        <v>717</v>
      </c>
      <c r="J158" s="1"/>
      <c r="K158" s="1"/>
      <c r="L158" s="1"/>
      <c r="M158" s="1"/>
      <c r="N158" s="1"/>
      <c r="O158" s="1"/>
      <c r="P158" s="1"/>
      <c r="Q158" s="1"/>
    </row>
    <row r="159" spans="1:17">
      <c r="A159" s="10">
        <v>151</v>
      </c>
      <c r="B159" s="10" t="s">
        <v>709</v>
      </c>
      <c r="C159" s="10" t="s">
        <v>718</v>
      </c>
      <c r="D159" s="10" t="s">
        <v>719</v>
      </c>
      <c r="E159" s="12">
        <v>18</v>
      </c>
      <c r="F159" s="10" t="s">
        <v>73</v>
      </c>
      <c r="G159" s="10" t="s">
        <v>123</v>
      </c>
      <c r="H159" s="10" t="s">
        <v>720</v>
      </c>
      <c r="I159" s="14" t="s">
        <v>721</v>
      </c>
      <c r="J159" s="1"/>
      <c r="K159" s="1"/>
      <c r="L159" s="1"/>
      <c r="M159" s="1"/>
      <c r="N159" s="1"/>
      <c r="O159" s="1"/>
      <c r="P159" s="1"/>
      <c r="Q159" s="1"/>
    </row>
    <row r="160" spans="1:17" ht="42.75">
      <c r="A160" s="10">
        <v>152</v>
      </c>
      <c r="B160" s="10" t="s">
        <v>709</v>
      </c>
      <c r="C160" s="10" t="s">
        <v>722</v>
      </c>
      <c r="D160" s="10" t="s">
        <v>723</v>
      </c>
      <c r="E160" s="12">
        <v>0.7</v>
      </c>
      <c r="F160" s="10" t="s">
        <v>86</v>
      </c>
      <c r="G160" s="10" t="s">
        <v>123</v>
      </c>
      <c r="H160" s="10" t="s">
        <v>720</v>
      </c>
      <c r="I160" s="14" t="s">
        <v>724</v>
      </c>
      <c r="J160" s="1"/>
      <c r="K160" s="1"/>
      <c r="L160" s="1"/>
      <c r="M160" s="1"/>
      <c r="N160" s="1"/>
      <c r="O160" s="1"/>
      <c r="P160" s="1"/>
      <c r="Q160" s="1"/>
    </row>
    <row r="161" spans="1:17" ht="42.75">
      <c r="A161" s="10">
        <v>153</v>
      </c>
      <c r="B161" s="10" t="s">
        <v>709</v>
      </c>
      <c r="C161" s="10" t="s">
        <v>725</v>
      </c>
      <c r="D161" s="10" t="s">
        <v>726</v>
      </c>
      <c r="E161" s="12">
        <v>1.1999999999999999E-7</v>
      </c>
      <c r="F161" s="10" t="s">
        <v>155</v>
      </c>
      <c r="G161" s="10" t="s">
        <v>123</v>
      </c>
      <c r="H161" s="10" t="s">
        <v>727</v>
      </c>
      <c r="I161" s="14" t="s">
        <v>728</v>
      </c>
      <c r="J161" s="1"/>
      <c r="K161" s="1"/>
      <c r="L161" s="1"/>
      <c r="M161" s="1"/>
      <c r="N161" s="1"/>
      <c r="O161" s="1"/>
      <c r="P161" s="1"/>
      <c r="Q161" s="1"/>
    </row>
    <row r="162" spans="1:17" ht="42.75">
      <c r="A162" s="10">
        <v>154</v>
      </c>
      <c r="B162" s="10" t="s">
        <v>709</v>
      </c>
      <c r="C162" s="10" t="s">
        <v>729</v>
      </c>
      <c r="D162" s="10" t="s">
        <v>730</v>
      </c>
      <c r="E162" s="12">
        <v>0.03</v>
      </c>
      <c r="F162" s="10" t="s">
        <v>731</v>
      </c>
      <c r="G162" s="10" t="s">
        <v>123</v>
      </c>
      <c r="H162" s="10" t="s">
        <v>732</v>
      </c>
      <c r="I162" s="14" t="s">
        <v>733</v>
      </c>
      <c r="J162" s="1"/>
      <c r="K162" s="1"/>
      <c r="L162" s="1"/>
      <c r="M162" s="1"/>
      <c r="N162" s="1"/>
      <c r="O162" s="1"/>
      <c r="P162" s="1"/>
      <c r="Q162" s="1"/>
    </row>
    <row r="163" spans="1:17" ht="42.75">
      <c r="A163" s="10">
        <v>155</v>
      </c>
      <c r="B163" s="10" t="s">
        <v>709</v>
      </c>
      <c r="C163" s="10" t="s">
        <v>734</v>
      </c>
      <c r="D163" s="10" t="s">
        <v>735</v>
      </c>
      <c r="E163" s="12">
        <v>4.0000000000000001E-3</v>
      </c>
      <c r="F163" s="10" t="s">
        <v>736</v>
      </c>
      <c r="G163" s="10" t="s">
        <v>123</v>
      </c>
      <c r="H163" s="10" t="s">
        <v>732</v>
      </c>
      <c r="I163" s="14" t="s">
        <v>737</v>
      </c>
      <c r="J163" s="1"/>
      <c r="K163" s="1"/>
      <c r="L163" s="1"/>
      <c r="M163" s="1"/>
      <c r="N163" s="1"/>
      <c r="O163" s="1"/>
      <c r="P163" s="1"/>
      <c r="Q163" s="1"/>
    </row>
    <row r="164" spans="1:17">
      <c r="A164" s="10">
        <v>156</v>
      </c>
      <c r="B164" s="10" t="s">
        <v>738</v>
      </c>
      <c r="C164" s="10" t="s">
        <v>739</v>
      </c>
      <c r="D164" s="10" t="s">
        <v>740</v>
      </c>
      <c r="E164" s="12">
        <v>1.4999999999999999E-8</v>
      </c>
      <c r="F164" s="10" t="s">
        <v>741</v>
      </c>
      <c r="G164" s="10" t="s">
        <v>3</v>
      </c>
      <c r="H164" s="10" t="s">
        <v>742</v>
      </c>
      <c r="I164" s="14" t="s">
        <v>743</v>
      </c>
      <c r="J164" s="1"/>
      <c r="K164" s="1"/>
      <c r="L164" s="1"/>
      <c r="M164" s="1"/>
      <c r="N164" s="1"/>
      <c r="O164" s="1"/>
      <c r="P164" s="1"/>
      <c r="Q164" s="1"/>
    </row>
    <row r="165" spans="1:17" ht="28.5">
      <c r="A165" s="10">
        <v>157</v>
      </c>
      <c r="B165" s="10" t="s">
        <v>738</v>
      </c>
      <c r="C165" s="10" t="s">
        <v>744</v>
      </c>
      <c r="D165" s="10" t="s">
        <v>745</v>
      </c>
      <c r="E165" s="12">
        <v>1.4999999999999999E-8</v>
      </c>
      <c r="F165" s="10" t="s">
        <v>741</v>
      </c>
      <c r="G165" s="10" t="s">
        <v>123</v>
      </c>
      <c r="H165" s="10" t="s">
        <v>746</v>
      </c>
      <c r="I165" s="14" t="s">
        <v>747</v>
      </c>
      <c r="J165" s="1"/>
      <c r="K165" s="1"/>
      <c r="L165" s="1"/>
      <c r="M165" s="1"/>
      <c r="N165" s="1"/>
      <c r="O165" s="1"/>
      <c r="P165" s="1"/>
      <c r="Q165" s="1"/>
    </row>
    <row r="166" spans="1:17" ht="42.75">
      <c r="A166" s="10">
        <v>158</v>
      </c>
      <c r="B166" s="10" t="s">
        <v>738</v>
      </c>
      <c r="C166" s="10" t="s">
        <v>748</v>
      </c>
      <c r="D166" s="10" t="s">
        <v>749</v>
      </c>
      <c r="E166" s="12">
        <v>0.05</v>
      </c>
      <c r="F166" s="10" t="s">
        <v>229</v>
      </c>
      <c r="G166" s="10" t="s">
        <v>123</v>
      </c>
      <c r="H166" s="10" t="s">
        <v>746</v>
      </c>
      <c r="I166" s="14" t="s">
        <v>750</v>
      </c>
      <c r="J166" s="1"/>
      <c r="K166" s="1"/>
      <c r="L166" s="1"/>
      <c r="M166" s="1"/>
      <c r="N166" s="1"/>
      <c r="O166" s="1"/>
      <c r="P166" s="1"/>
      <c r="Q166" s="1"/>
    </row>
    <row r="167" spans="1:17" ht="42.75">
      <c r="A167" s="10">
        <v>159</v>
      </c>
      <c r="B167" s="10" t="s">
        <v>751</v>
      </c>
      <c r="C167" s="10" t="s">
        <v>756</v>
      </c>
      <c r="D167" s="10" t="s">
        <v>757</v>
      </c>
      <c r="E167" s="12">
        <v>0.65</v>
      </c>
      <c r="F167" s="10" t="s">
        <v>86</v>
      </c>
      <c r="G167" s="10" t="s">
        <v>123</v>
      </c>
      <c r="H167" s="10" t="s">
        <v>758</v>
      </c>
      <c r="I167" s="14" t="s">
        <v>759</v>
      </c>
      <c r="J167" s="1"/>
      <c r="K167" s="1"/>
      <c r="L167" s="1"/>
      <c r="M167" s="1"/>
      <c r="N167" s="1"/>
      <c r="O167" s="1"/>
      <c r="P167" s="1"/>
      <c r="Q167" s="1"/>
    </row>
    <row r="168" spans="1:17" ht="42.75">
      <c r="A168" s="10">
        <v>160</v>
      </c>
      <c r="B168" s="10" t="s">
        <v>751</v>
      </c>
      <c r="C168" s="10" t="s">
        <v>760</v>
      </c>
      <c r="D168" s="10" t="s">
        <v>761</v>
      </c>
      <c r="E168" s="12">
        <v>5.0000000000000001E-9</v>
      </c>
      <c r="F168" s="10" t="s">
        <v>762</v>
      </c>
      <c r="G168" s="10" t="s">
        <v>3</v>
      </c>
      <c r="H168" s="10" t="s">
        <v>763</v>
      </c>
      <c r="I168" s="14" t="s">
        <v>764</v>
      </c>
      <c r="J168" s="1"/>
      <c r="K168" s="1"/>
      <c r="L168" s="1"/>
      <c r="M168" s="1"/>
      <c r="N168" s="1"/>
      <c r="O168" s="1"/>
      <c r="P168" s="1"/>
      <c r="Q168" s="1"/>
    </row>
    <row r="169" spans="1:17" ht="28.5">
      <c r="A169" s="10">
        <v>161</v>
      </c>
      <c r="B169" s="10" t="s">
        <v>751</v>
      </c>
      <c r="C169" s="10" t="s">
        <v>765</v>
      </c>
      <c r="D169" s="10" t="s">
        <v>766</v>
      </c>
      <c r="E169" s="12">
        <v>0.03</v>
      </c>
      <c r="F169" s="10" t="s">
        <v>229</v>
      </c>
      <c r="G169" s="10" t="s">
        <v>123</v>
      </c>
      <c r="H169" s="10" t="s">
        <v>767</v>
      </c>
      <c r="I169" s="14" t="s">
        <v>768</v>
      </c>
      <c r="J169" s="1"/>
      <c r="K169" s="1"/>
      <c r="L169" s="1"/>
      <c r="M169" s="1"/>
      <c r="N169" s="1"/>
      <c r="O169" s="1"/>
      <c r="P169" s="1"/>
      <c r="Q169" s="1"/>
    </row>
    <row r="170" spans="1:17" ht="42.75">
      <c r="A170" s="10">
        <v>162</v>
      </c>
      <c r="B170" s="10" t="s">
        <v>769</v>
      </c>
      <c r="C170" s="10" t="s">
        <v>774</v>
      </c>
      <c r="D170" s="10" t="s">
        <v>775</v>
      </c>
      <c r="E170" s="12">
        <v>0.67</v>
      </c>
      <c r="F170" s="10" t="s">
        <v>86</v>
      </c>
      <c r="G170" s="10" t="s">
        <v>123</v>
      </c>
      <c r="H170" s="10" t="s">
        <v>776</v>
      </c>
      <c r="I170" s="14" t="s">
        <v>777</v>
      </c>
      <c r="J170" s="1"/>
      <c r="K170" s="1"/>
      <c r="L170" s="1"/>
      <c r="M170" s="1"/>
      <c r="N170" s="1"/>
      <c r="O170" s="1"/>
      <c r="P170" s="1"/>
      <c r="Q170" s="1"/>
    </row>
    <row r="171" spans="1:17" ht="42.75">
      <c r="A171" s="10">
        <v>163</v>
      </c>
      <c r="B171" s="10" t="s">
        <v>769</v>
      </c>
      <c r="C171" s="10" t="s">
        <v>778</v>
      </c>
      <c r="D171" s="10" t="s">
        <v>779</v>
      </c>
      <c r="E171" s="12">
        <v>0.3</v>
      </c>
      <c r="F171" s="10" t="s">
        <v>86</v>
      </c>
      <c r="G171" s="10" t="s">
        <v>123</v>
      </c>
      <c r="H171" s="10" t="s">
        <v>780</v>
      </c>
      <c r="I171" s="14" t="s">
        <v>781</v>
      </c>
      <c r="J171" s="1"/>
      <c r="K171" s="1"/>
      <c r="L171" s="1"/>
      <c r="M171" s="1"/>
      <c r="N171" s="1"/>
      <c r="O171" s="1"/>
      <c r="P171" s="1"/>
      <c r="Q171" s="1"/>
    </row>
    <row r="172" spans="1:17" ht="42.75">
      <c r="A172" s="10">
        <v>164</v>
      </c>
      <c r="B172" s="10" t="s">
        <v>769</v>
      </c>
      <c r="C172" s="10" t="s">
        <v>786</v>
      </c>
      <c r="D172" s="10" t="s">
        <v>787</v>
      </c>
      <c r="E172" s="12">
        <v>1.08</v>
      </c>
      <c r="F172" s="10" t="s">
        <v>86</v>
      </c>
      <c r="G172" s="10" t="s">
        <v>123</v>
      </c>
      <c r="H172" s="10" t="s">
        <v>776</v>
      </c>
      <c r="I172" s="14" t="s">
        <v>788</v>
      </c>
      <c r="J172" s="1"/>
      <c r="K172" s="1"/>
      <c r="L172" s="1"/>
      <c r="M172" s="1"/>
      <c r="N172" s="1"/>
      <c r="O172" s="1"/>
      <c r="P172" s="1"/>
      <c r="Q172" s="1"/>
    </row>
    <row r="173" spans="1:17" ht="42.75">
      <c r="A173" s="10">
        <v>165</v>
      </c>
      <c r="B173" s="10" t="s">
        <v>789</v>
      </c>
      <c r="C173" s="10" t="s">
        <v>790</v>
      </c>
      <c r="D173" s="10" t="s">
        <v>791</v>
      </c>
      <c r="E173" s="12">
        <v>0.2</v>
      </c>
      <c r="F173" s="10" t="s">
        <v>229</v>
      </c>
      <c r="G173" s="10" t="s">
        <v>123</v>
      </c>
      <c r="H173" s="10" t="s">
        <v>792</v>
      </c>
      <c r="I173" s="14" t="s">
        <v>793</v>
      </c>
      <c r="J173" s="1"/>
      <c r="K173" s="1"/>
      <c r="L173" s="1"/>
      <c r="M173" s="1"/>
      <c r="N173" s="1"/>
      <c r="O173" s="1"/>
      <c r="P173" s="1"/>
      <c r="Q173" s="1"/>
    </row>
    <row r="174" spans="1:17" ht="28.5">
      <c r="A174" s="10">
        <v>166</v>
      </c>
      <c r="B174" s="10" t="s">
        <v>789</v>
      </c>
      <c r="C174" s="10" t="s">
        <v>794</v>
      </c>
      <c r="D174" s="10" t="s">
        <v>795</v>
      </c>
      <c r="E174" s="12">
        <v>0.6</v>
      </c>
      <c r="F174" s="10" t="s">
        <v>86</v>
      </c>
      <c r="G174" s="10" t="s">
        <v>123</v>
      </c>
      <c r="H174" s="10" t="s">
        <v>796</v>
      </c>
      <c r="I174" s="14" t="s">
        <v>797</v>
      </c>
      <c r="J174" s="1"/>
      <c r="K174" s="1"/>
      <c r="L174" s="1"/>
      <c r="M174" s="1"/>
      <c r="N174" s="1"/>
      <c r="O174" s="1"/>
      <c r="P174" s="1"/>
      <c r="Q174" s="1"/>
    </row>
    <row r="175" spans="1:17" ht="42.75">
      <c r="A175" s="10">
        <v>167</v>
      </c>
      <c r="B175" s="10" t="s">
        <v>769</v>
      </c>
      <c r="C175" s="10" t="s">
        <v>798</v>
      </c>
      <c r="D175" s="10" t="s">
        <v>799</v>
      </c>
      <c r="E175" s="12">
        <v>5.0000000000000001E-3</v>
      </c>
      <c r="F175" s="10" t="s">
        <v>229</v>
      </c>
      <c r="G175" s="10" t="s">
        <v>123</v>
      </c>
      <c r="H175" s="10" t="s">
        <v>800</v>
      </c>
      <c r="I175" s="14" t="s">
        <v>801</v>
      </c>
      <c r="J175" s="1"/>
      <c r="K175" s="1"/>
      <c r="L175" s="1"/>
      <c r="M175" s="1"/>
      <c r="N175" s="1"/>
      <c r="O175" s="1"/>
      <c r="P175" s="1"/>
      <c r="Q175" s="1"/>
    </row>
    <row r="176" spans="1:17">
      <c r="A176" s="10">
        <v>168</v>
      </c>
      <c r="B176" s="10" t="s">
        <v>276</v>
      </c>
      <c r="C176" s="10" t="s">
        <v>802</v>
      </c>
      <c r="D176" s="10" t="s">
        <v>803</v>
      </c>
      <c r="E176" s="12">
        <v>0.55000000000000004</v>
      </c>
      <c r="F176" s="10" t="s">
        <v>86</v>
      </c>
      <c r="G176" s="10" t="s">
        <v>123</v>
      </c>
      <c r="H176" s="10" t="s">
        <v>804</v>
      </c>
      <c r="I176" s="14" t="s">
        <v>805</v>
      </c>
      <c r="J176" s="1"/>
      <c r="K176" s="1"/>
      <c r="L176" s="1"/>
      <c r="M176" s="1"/>
      <c r="N176" s="1"/>
      <c r="O176" s="1"/>
      <c r="P176" s="1"/>
      <c r="Q176" s="1"/>
    </row>
    <row r="177" spans="1:17" ht="42.75">
      <c r="A177" s="10">
        <v>169</v>
      </c>
      <c r="B177" s="10" t="s">
        <v>276</v>
      </c>
      <c r="C177" s="10" t="s">
        <v>806</v>
      </c>
      <c r="D177" s="10" t="s">
        <v>807</v>
      </c>
      <c r="E177" s="12">
        <v>25</v>
      </c>
      <c r="F177" s="10" t="s">
        <v>808</v>
      </c>
      <c r="G177" s="10" t="s">
        <v>3</v>
      </c>
      <c r="H177" s="10" t="s">
        <v>809</v>
      </c>
      <c r="I177" s="14" t="s">
        <v>810</v>
      </c>
      <c r="J177" s="1"/>
      <c r="K177" s="1"/>
      <c r="L177" s="1"/>
      <c r="M177" s="1"/>
      <c r="N177" s="1"/>
      <c r="O177" s="1"/>
      <c r="P177" s="1"/>
      <c r="Q177" s="1"/>
    </row>
    <row r="178" spans="1:17" ht="28.5">
      <c r="A178" s="10">
        <v>170</v>
      </c>
      <c r="B178" s="10" t="s">
        <v>276</v>
      </c>
      <c r="C178" s="10" t="s">
        <v>811</v>
      </c>
      <c r="D178" s="10" t="s">
        <v>812</v>
      </c>
      <c r="E178" s="12">
        <v>0.35</v>
      </c>
      <c r="F178" s="10" t="s">
        <v>433</v>
      </c>
      <c r="G178" s="10" t="s">
        <v>123</v>
      </c>
      <c r="H178" s="10" t="s">
        <v>813</v>
      </c>
      <c r="I178" s="14" t="s">
        <v>814</v>
      </c>
      <c r="J178" s="1"/>
      <c r="K178" s="1"/>
      <c r="L178" s="1"/>
      <c r="M178" s="1"/>
      <c r="N178" s="1"/>
      <c r="O178" s="1"/>
      <c r="P178" s="1"/>
      <c r="Q178" s="1"/>
    </row>
    <row r="179" spans="1:17" ht="42.75">
      <c r="A179" s="10">
        <v>171</v>
      </c>
      <c r="B179" s="10" t="s">
        <v>276</v>
      </c>
      <c r="C179" s="10" t="s">
        <v>815</v>
      </c>
      <c r="D179" s="10" t="s">
        <v>816</v>
      </c>
      <c r="E179" s="12">
        <v>3.0000000000000001E-3</v>
      </c>
      <c r="F179" s="10" t="s">
        <v>653</v>
      </c>
      <c r="G179" s="10" t="s">
        <v>3</v>
      </c>
      <c r="H179" s="10" t="s">
        <v>817</v>
      </c>
      <c r="I179" s="14" t="s">
        <v>818</v>
      </c>
      <c r="J179" s="1"/>
      <c r="K179" s="1"/>
      <c r="L179" s="1"/>
      <c r="M179" s="1"/>
      <c r="N179" s="1"/>
      <c r="O179" s="1"/>
      <c r="P179" s="1"/>
      <c r="Q179" s="1"/>
    </row>
    <row r="180" spans="1:17" ht="28.5">
      <c r="A180" s="10">
        <v>172</v>
      </c>
      <c r="B180" s="10" t="s">
        <v>276</v>
      </c>
      <c r="C180" s="10" t="s">
        <v>819</v>
      </c>
      <c r="D180" s="10" t="s">
        <v>820</v>
      </c>
      <c r="E180" s="12">
        <v>2</v>
      </c>
      <c r="F180" s="10" t="s">
        <v>821</v>
      </c>
      <c r="G180" s="10" t="s">
        <v>123</v>
      </c>
      <c r="H180" s="10" t="s">
        <v>817</v>
      </c>
      <c r="I180" s="14" t="s">
        <v>822</v>
      </c>
      <c r="J180" s="1"/>
      <c r="K180" s="1"/>
      <c r="L180" s="1"/>
      <c r="M180" s="1"/>
      <c r="N180" s="1"/>
      <c r="O180" s="1"/>
      <c r="P180" s="1"/>
      <c r="Q180" s="1"/>
    </row>
    <row r="181" spans="1:17" ht="28.5">
      <c r="A181" s="10">
        <v>173</v>
      </c>
      <c r="B181" s="10" t="s">
        <v>276</v>
      </c>
      <c r="C181" s="10" t="s">
        <v>823</v>
      </c>
      <c r="D181" s="10" t="s">
        <v>824</v>
      </c>
      <c r="E181" s="12">
        <v>85</v>
      </c>
      <c r="F181" s="10" t="s">
        <v>303</v>
      </c>
      <c r="G181" s="10" t="s">
        <v>123</v>
      </c>
      <c r="H181" s="10" t="s">
        <v>825</v>
      </c>
      <c r="I181" s="14" t="s">
        <v>826</v>
      </c>
      <c r="J181" s="1"/>
      <c r="K181" s="1"/>
      <c r="L181" s="1"/>
      <c r="M181" s="1"/>
      <c r="N181" s="1"/>
      <c r="O181" s="1"/>
      <c r="P181" s="1"/>
      <c r="Q181" s="1"/>
    </row>
    <row r="182" spans="1:17" ht="28.5">
      <c r="A182" s="10">
        <v>174</v>
      </c>
      <c r="B182" s="10" t="s">
        <v>276</v>
      </c>
      <c r="C182" s="10" t="s">
        <v>827</v>
      </c>
      <c r="D182" s="10" t="s">
        <v>828</v>
      </c>
      <c r="E182" s="12">
        <v>10000</v>
      </c>
      <c r="F182" s="10" t="s">
        <v>829</v>
      </c>
      <c r="G182" s="10" t="s">
        <v>123</v>
      </c>
      <c r="H182" s="10" t="s">
        <v>825</v>
      </c>
      <c r="I182" s="14" t="s">
        <v>830</v>
      </c>
      <c r="J182" s="1"/>
      <c r="K182" s="1"/>
      <c r="L182" s="1"/>
      <c r="M182" s="1"/>
      <c r="N182" s="1"/>
      <c r="O182" s="1"/>
      <c r="P182" s="1"/>
      <c r="Q182" s="1"/>
    </row>
    <row r="183" spans="1:17" ht="42.75">
      <c r="A183" s="10">
        <v>175</v>
      </c>
      <c r="B183" s="10" t="s">
        <v>650</v>
      </c>
      <c r="C183" s="10" t="s">
        <v>836</v>
      </c>
      <c r="D183" s="10" t="s">
        <v>837</v>
      </c>
      <c r="E183" s="12">
        <v>800</v>
      </c>
      <c r="F183" s="10" t="s">
        <v>73</v>
      </c>
      <c r="G183" s="10" t="s">
        <v>123</v>
      </c>
      <c r="H183" s="10" t="s">
        <v>685</v>
      </c>
      <c r="I183" s="14" t="s">
        <v>838</v>
      </c>
      <c r="J183" s="1"/>
      <c r="K183" s="1"/>
      <c r="L183" s="1"/>
      <c r="M183" s="1"/>
      <c r="N183" s="1"/>
      <c r="O183" s="1"/>
      <c r="P183" s="1"/>
      <c r="Q183" s="1"/>
    </row>
    <row r="184" spans="1:17" ht="42.75">
      <c r="A184" s="10">
        <v>176</v>
      </c>
      <c r="B184" s="10" t="s">
        <v>839</v>
      </c>
      <c r="C184" s="10" t="s">
        <v>840</v>
      </c>
      <c r="D184" s="10" t="s">
        <v>841</v>
      </c>
      <c r="E184" s="12">
        <v>1.2E-8</v>
      </c>
      <c r="F184" s="10" t="s">
        <v>741</v>
      </c>
      <c r="G184" s="10" t="s">
        <v>3</v>
      </c>
      <c r="H184" s="10" t="s">
        <v>758</v>
      </c>
      <c r="I184" s="14" t="s">
        <v>842</v>
      </c>
      <c r="J184" s="1"/>
      <c r="K184" s="1"/>
      <c r="L184" s="1"/>
      <c r="M184" s="1"/>
      <c r="N184" s="1"/>
      <c r="O184" s="1"/>
      <c r="P184" s="1"/>
      <c r="Q184" s="1"/>
    </row>
    <row r="185" spans="1:17" ht="42.75">
      <c r="A185" s="10">
        <v>177</v>
      </c>
      <c r="B185" s="10" t="s">
        <v>839</v>
      </c>
      <c r="C185" s="10" t="s">
        <v>847</v>
      </c>
      <c r="D185" s="10" t="s">
        <v>848</v>
      </c>
      <c r="E185" s="12">
        <v>0.45</v>
      </c>
      <c r="F185" s="10" t="s">
        <v>86</v>
      </c>
      <c r="G185" s="10" t="s">
        <v>123</v>
      </c>
      <c r="H185" s="10" t="s">
        <v>742</v>
      </c>
      <c r="I185" s="14" t="s">
        <v>849</v>
      </c>
      <c r="J185" s="1"/>
      <c r="K185" s="1"/>
      <c r="L185" s="1"/>
      <c r="M185" s="1"/>
      <c r="N185" s="1"/>
      <c r="O185" s="1"/>
      <c r="P185" s="1"/>
      <c r="Q185" s="1"/>
    </row>
    <row r="186" spans="1:17" ht="42.75">
      <c r="A186" s="10">
        <v>178</v>
      </c>
      <c r="B186" s="10" t="s">
        <v>839</v>
      </c>
      <c r="C186" s="10" t="s">
        <v>850</v>
      </c>
      <c r="D186" s="10" t="s">
        <v>851</v>
      </c>
      <c r="E186" s="12">
        <v>3.5000000000000003E-2</v>
      </c>
      <c r="F186" s="10" t="s">
        <v>229</v>
      </c>
      <c r="G186" s="10" t="s">
        <v>123</v>
      </c>
      <c r="H186" s="10" t="s">
        <v>389</v>
      </c>
      <c r="I186" s="14" t="s">
        <v>852</v>
      </c>
      <c r="J186" s="1"/>
      <c r="K186" s="1"/>
      <c r="L186" s="1"/>
      <c r="M186" s="1"/>
      <c r="N186" s="1"/>
      <c r="O186" s="1"/>
      <c r="P186" s="1"/>
      <c r="Q186" s="1"/>
    </row>
    <row r="187" spans="1:17" ht="28.5">
      <c r="A187" s="10">
        <v>179</v>
      </c>
      <c r="B187" s="10" t="s">
        <v>232</v>
      </c>
      <c r="C187" s="10" t="s">
        <v>853</v>
      </c>
      <c r="D187" s="10" t="s">
        <v>854</v>
      </c>
      <c r="E187" s="12">
        <v>1.4999999999999999E-4</v>
      </c>
      <c r="F187" s="10" t="s">
        <v>855</v>
      </c>
      <c r="G187" s="10" t="s">
        <v>3</v>
      </c>
      <c r="H187" s="10" t="s">
        <v>856</v>
      </c>
      <c r="I187" s="14" t="s">
        <v>857</v>
      </c>
      <c r="J187" s="1"/>
      <c r="K187" s="1"/>
      <c r="L187" s="1"/>
      <c r="M187" s="1"/>
      <c r="N187" s="1"/>
      <c r="O187" s="1"/>
      <c r="P187" s="1"/>
      <c r="Q187" s="1"/>
    </row>
    <row r="188" spans="1:17">
      <c r="A188" s="10">
        <v>180</v>
      </c>
      <c r="B188" s="10" t="s">
        <v>232</v>
      </c>
      <c r="C188" s="10" t="s">
        <v>858</v>
      </c>
      <c r="D188" s="10" t="s">
        <v>859</v>
      </c>
      <c r="E188" s="12">
        <v>1.4999999999999999E-4</v>
      </c>
      <c r="F188" s="10" t="s">
        <v>855</v>
      </c>
      <c r="G188" s="10" t="s">
        <v>123</v>
      </c>
      <c r="H188" s="10" t="s">
        <v>860</v>
      </c>
      <c r="I188" s="14" t="s">
        <v>861</v>
      </c>
      <c r="J188" s="1"/>
      <c r="K188" s="1"/>
      <c r="L188" s="1"/>
      <c r="M188" s="1"/>
      <c r="N188" s="1"/>
      <c r="O188" s="1"/>
      <c r="P188" s="1"/>
      <c r="Q188" s="1"/>
    </row>
    <row r="189" spans="1:17" ht="28.5">
      <c r="A189" s="10">
        <v>181</v>
      </c>
      <c r="B189" s="10" t="s">
        <v>232</v>
      </c>
      <c r="C189" s="10" t="s">
        <v>862</v>
      </c>
      <c r="D189" s="10" t="s">
        <v>863</v>
      </c>
      <c r="E189" s="12">
        <v>45000</v>
      </c>
      <c r="F189" s="10" t="s">
        <v>864</v>
      </c>
      <c r="G189" s="10" t="s">
        <v>123</v>
      </c>
      <c r="H189" s="10" t="s">
        <v>860</v>
      </c>
      <c r="I189" s="14" t="s">
        <v>865</v>
      </c>
      <c r="J189" s="1"/>
      <c r="K189" s="1"/>
      <c r="L189" s="1"/>
      <c r="M189" s="1"/>
      <c r="N189" s="1"/>
      <c r="O189" s="1"/>
      <c r="P189" s="1"/>
      <c r="Q189" s="1"/>
    </row>
    <row r="190" spans="1:17" ht="28.5">
      <c r="A190" s="10">
        <v>182</v>
      </c>
      <c r="B190" s="10" t="s">
        <v>232</v>
      </c>
      <c r="C190" s="10" t="s">
        <v>866</v>
      </c>
      <c r="D190" s="10" t="s">
        <v>867</v>
      </c>
      <c r="E190" s="12">
        <v>1.8</v>
      </c>
      <c r="F190" s="10" t="s">
        <v>86</v>
      </c>
      <c r="G190" s="10" t="s">
        <v>123</v>
      </c>
      <c r="H190" s="10" t="s">
        <v>860</v>
      </c>
      <c r="I190" s="14" t="s">
        <v>868</v>
      </c>
      <c r="J190" s="1"/>
      <c r="K190" s="1"/>
      <c r="L190" s="1"/>
      <c r="M190" s="1"/>
      <c r="N190" s="1"/>
      <c r="O190" s="1"/>
      <c r="P190" s="1"/>
      <c r="Q190" s="1"/>
    </row>
    <row r="191" spans="1:17" ht="28.5">
      <c r="A191" s="10">
        <v>183</v>
      </c>
      <c r="B191" s="10" t="s">
        <v>232</v>
      </c>
      <c r="C191" s="10" t="s">
        <v>869</v>
      </c>
      <c r="D191" s="10" t="s">
        <v>870</v>
      </c>
      <c r="E191" s="12">
        <v>0.45</v>
      </c>
      <c r="F191" s="10" t="s">
        <v>86</v>
      </c>
      <c r="G191" s="10" t="s">
        <v>3</v>
      </c>
      <c r="H191" s="10" t="s">
        <v>856</v>
      </c>
      <c r="I191" s="14" t="s">
        <v>871</v>
      </c>
      <c r="J191" s="1"/>
      <c r="K191" s="1"/>
      <c r="L191" s="1"/>
      <c r="M191" s="1"/>
      <c r="N191" s="1"/>
      <c r="O191" s="1"/>
      <c r="P191" s="1"/>
      <c r="Q191" s="1"/>
    </row>
    <row r="192" spans="1:17" ht="28.5">
      <c r="A192" s="10">
        <v>184</v>
      </c>
      <c r="B192" s="10" t="s">
        <v>232</v>
      </c>
      <c r="C192" s="10" t="s">
        <v>872</v>
      </c>
      <c r="D192" s="10" t="s">
        <v>873</v>
      </c>
      <c r="E192" s="12">
        <v>0.01</v>
      </c>
      <c r="F192" s="10" t="s">
        <v>731</v>
      </c>
      <c r="G192" s="10" t="s">
        <v>123</v>
      </c>
      <c r="H192" s="10" t="s">
        <v>874</v>
      </c>
      <c r="I192" s="14" t="s">
        <v>875</v>
      </c>
      <c r="J192" s="1"/>
      <c r="K192" s="1"/>
      <c r="L192" s="1"/>
      <c r="M192" s="1"/>
      <c r="N192" s="1"/>
      <c r="O192" s="1"/>
      <c r="P192" s="1"/>
      <c r="Q192" s="1"/>
    </row>
    <row r="193" spans="1:17" ht="28.5">
      <c r="A193" s="10">
        <v>185</v>
      </c>
      <c r="B193" s="10" t="s">
        <v>232</v>
      </c>
      <c r="C193" s="10" t="s">
        <v>881</v>
      </c>
      <c r="D193" s="10" t="s">
        <v>882</v>
      </c>
      <c r="E193" s="12">
        <v>0.65</v>
      </c>
      <c r="F193" s="10" t="s">
        <v>86</v>
      </c>
      <c r="G193" s="10" t="s">
        <v>123</v>
      </c>
      <c r="H193" s="10" t="s">
        <v>236</v>
      </c>
      <c r="I193" s="14" t="s">
        <v>883</v>
      </c>
      <c r="J193" s="1"/>
      <c r="K193" s="1"/>
      <c r="L193" s="1"/>
      <c r="M193" s="1"/>
      <c r="N193" s="1"/>
      <c r="O193" s="1"/>
      <c r="P193" s="1"/>
      <c r="Q193" s="1"/>
    </row>
    <row r="194" spans="1:17" ht="28.5">
      <c r="A194" s="10">
        <v>186</v>
      </c>
      <c r="B194" s="10" t="s">
        <v>232</v>
      </c>
      <c r="C194" s="10" t="s">
        <v>884</v>
      </c>
      <c r="D194" s="10" t="s">
        <v>885</v>
      </c>
      <c r="E194" s="12">
        <v>1.7</v>
      </c>
      <c r="F194" s="10" t="s">
        <v>86</v>
      </c>
      <c r="G194" s="10" t="s">
        <v>123</v>
      </c>
      <c r="H194" s="10" t="s">
        <v>860</v>
      </c>
      <c r="I194" s="14" t="s">
        <v>886</v>
      </c>
      <c r="J194" s="1"/>
      <c r="K194" s="1"/>
      <c r="L194" s="1"/>
      <c r="M194" s="1"/>
      <c r="N194" s="1"/>
      <c r="O194" s="1"/>
      <c r="P194" s="1"/>
      <c r="Q194" s="1"/>
    </row>
    <row r="195" spans="1:17" ht="42.75">
      <c r="A195" s="10">
        <v>187</v>
      </c>
      <c r="B195" s="10" t="s">
        <v>887</v>
      </c>
      <c r="C195" s="10" t="s">
        <v>888</v>
      </c>
      <c r="D195" s="10" t="s">
        <v>889</v>
      </c>
      <c r="E195" s="12">
        <v>1.4999999999999999E-4</v>
      </c>
      <c r="F195" s="10" t="s">
        <v>262</v>
      </c>
      <c r="G195" s="10" t="s">
        <v>3</v>
      </c>
      <c r="H195" s="10" t="s">
        <v>890</v>
      </c>
      <c r="I195" s="14" t="s">
        <v>891</v>
      </c>
      <c r="J195" s="1"/>
      <c r="K195" s="1"/>
      <c r="L195" s="1"/>
      <c r="M195" s="1"/>
      <c r="N195" s="1"/>
      <c r="O195" s="1"/>
      <c r="P195" s="1"/>
      <c r="Q195" s="1"/>
    </row>
    <row r="196" spans="1:17" ht="28.5">
      <c r="A196" s="10">
        <v>188</v>
      </c>
      <c r="B196" s="10" t="s">
        <v>887</v>
      </c>
      <c r="C196" s="10" t="s">
        <v>892</v>
      </c>
      <c r="D196" s="10" t="s">
        <v>893</v>
      </c>
      <c r="E196" s="12">
        <v>5</v>
      </c>
      <c r="F196" s="10" t="s">
        <v>894</v>
      </c>
      <c r="G196" s="10" t="s">
        <v>3</v>
      </c>
      <c r="H196" s="10" t="s">
        <v>890</v>
      </c>
      <c r="I196" s="14" t="s">
        <v>895</v>
      </c>
      <c r="J196" s="1"/>
      <c r="K196" s="1"/>
      <c r="L196" s="1"/>
      <c r="M196" s="1"/>
      <c r="N196" s="1"/>
      <c r="O196" s="1"/>
      <c r="P196" s="1"/>
      <c r="Q196" s="1"/>
    </row>
    <row r="197" spans="1:17" ht="28.5">
      <c r="A197" s="10">
        <v>189</v>
      </c>
      <c r="B197" s="10" t="s">
        <v>887</v>
      </c>
      <c r="C197" s="10" t="s">
        <v>896</v>
      </c>
      <c r="D197" s="10" t="s">
        <v>897</v>
      </c>
      <c r="E197" s="12">
        <v>2.5000000000000001E-2</v>
      </c>
      <c r="F197" s="10" t="s">
        <v>898</v>
      </c>
      <c r="G197" s="10" t="s">
        <v>3</v>
      </c>
      <c r="H197" s="10" t="s">
        <v>890</v>
      </c>
      <c r="I197" s="14" t="s">
        <v>899</v>
      </c>
      <c r="J197" s="1"/>
      <c r="K197" s="1"/>
      <c r="L197" s="1"/>
      <c r="M197" s="1"/>
      <c r="N197" s="1"/>
      <c r="O197" s="1"/>
      <c r="P197" s="1"/>
      <c r="Q197" s="1"/>
    </row>
    <row r="198" spans="1:17" ht="28.5">
      <c r="A198" s="10">
        <v>190</v>
      </c>
      <c r="B198" s="10" t="s">
        <v>887</v>
      </c>
      <c r="C198" s="10" t="s">
        <v>900</v>
      </c>
      <c r="D198" s="10" t="s">
        <v>901</v>
      </c>
      <c r="E198" s="12">
        <v>1.1999999999999999E-3</v>
      </c>
      <c r="F198" s="10" t="s">
        <v>821</v>
      </c>
      <c r="G198" s="10" t="s">
        <v>123</v>
      </c>
      <c r="H198" s="10" t="s">
        <v>902</v>
      </c>
      <c r="I198" s="14" t="s">
        <v>903</v>
      </c>
      <c r="J198" s="1"/>
      <c r="K198" s="1"/>
      <c r="L198" s="1"/>
      <c r="M198" s="1"/>
      <c r="N198" s="1"/>
      <c r="O198" s="1"/>
      <c r="P198" s="1"/>
      <c r="Q198" s="1"/>
    </row>
    <row r="199" spans="1:17" ht="28.5">
      <c r="A199" s="10">
        <v>191</v>
      </c>
      <c r="B199" s="10" t="s">
        <v>887</v>
      </c>
      <c r="C199" s="10" t="s">
        <v>908</v>
      </c>
      <c r="D199" s="10" t="s">
        <v>909</v>
      </c>
      <c r="E199" s="12">
        <v>0.25</v>
      </c>
      <c r="F199" s="10" t="s">
        <v>86</v>
      </c>
      <c r="G199" s="10" t="s">
        <v>123</v>
      </c>
      <c r="H199" s="10" t="s">
        <v>890</v>
      </c>
      <c r="I199" s="14" t="s">
        <v>910</v>
      </c>
      <c r="J199" s="1"/>
      <c r="K199" s="1"/>
      <c r="L199" s="1"/>
      <c r="M199" s="1"/>
      <c r="N199" s="1"/>
      <c r="O199" s="1"/>
      <c r="P199" s="1"/>
      <c r="Q199" s="1"/>
    </row>
    <row r="200" spans="1:17" ht="28.5">
      <c r="A200" s="10">
        <v>192</v>
      </c>
      <c r="B200" s="10" t="s">
        <v>887</v>
      </c>
      <c r="C200" s="10" t="s">
        <v>911</v>
      </c>
      <c r="D200" s="10" t="s">
        <v>912</v>
      </c>
      <c r="E200" s="12">
        <v>0.05</v>
      </c>
      <c r="F200" s="10" t="s">
        <v>229</v>
      </c>
      <c r="G200" s="10" t="s">
        <v>123</v>
      </c>
      <c r="H200" s="10" t="s">
        <v>913</v>
      </c>
      <c r="I200" s="14" t="s">
        <v>914</v>
      </c>
      <c r="J200" s="1"/>
      <c r="K200" s="1"/>
      <c r="L200" s="1"/>
      <c r="M200" s="1"/>
      <c r="N200" s="1"/>
      <c r="O200" s="1"/>
      <c r="P200" s="1"/>
      <c r="Q200" s="1"/>
    </row>
    <row r="201" spans="1:17" ht="28.5">
      <c r="A201" s="10">
        <v>193</v>
      </c>
      <c r="B201" s="10" t="s">
        <v>915</v>
      </c>
      <c r="C201" s="10" t="s">
        <v>920</v>
      </c>
      <c r="D201" s="10" t="s">
        <v>921</v>
      </c>
      <c r="E201" s="12">
        <v>125</v>
      </c>
      <c r="F201" s="10" t="s">
        <v>918</v>
      </c>
      <c r="G201" s="10" t="s">
        <v>123</v>
      </c>
      <c r="H201" s="10" t="s">
        <v>919</v>
      </c>
      <c r="I201" s="14" t="s">
        <v>922</v>
      </c>
      <c r="J201" s="1"/>
      <c r="K201" s="1"/>
      <c r="L201" s="1"/>
      <c r="M201" s="1"/>
      <c r="N201" s="1"/>
      <c r="O201" s="1"/>
      <c r="P201" s="1"/>
      <c r="Q201" s="1"/>
    </row>
    <row r="202" spans="1:17" ht="28.5">
      <c r="A202" s="10">
        <v>194</v>
      </c>
      <c r="B202" s="10" t="s">
        <v>915</v>
      </c>
      <c r="C202" s="10" t="s">
        <v>925</v>
      </c>
      <c r="D202" s="10" t="s">
        <v>926</v>
      </c>
      <c r="E202" s="12">
        <v>3.5000000000000001E-3</v>
      </c>
      <c r="F202" s="10" t="s">
        <v>927</v>
      </c>
      <c r="G202" s="10" t="s">
        <v>123</v>
      </c>
      <c r="H202" s="10" t="s">
        <v>928</v>
      </c>
      <c r="I202" s="14" t="s">
        <v>929</v>
      </c>
      <c r="J202" s="1"/>
      <c r="K202" s="1"/>
      <c r="L202" s="1"/>
      <c r="M202" s="1"/>
      <c r="N202" s="1"/>
      <c r="O202" s="1"/>
      <c r="P202" s="1"/>
      <c r="Q202" s="1"/>
    </row>
    <row r="203" spans="1:17" ht="42.75">
      <c r="A203" s="10">
        <v>195</v>
      </c>
      <c r="B203" s="10" t="s">
        <v>296</v>
      </c>
      <c r="C203" s="10" t="s">
        <v>930</v>
      </c>
      <c r="D203" s="10" t="s">
        <v>931</v>
      </c>
      <c r="E203" s="12">
        <v>1E-3</v>
      </c>
      <c r="F203" s="10" t="s">
        <v>262</v>
      </c>
      <c r="G203" s="10" t="s">
        <v>3</v>
      </c>
      <c r="H203" s="10" t="s">
        <v>932</v>
      </c>
      <c r="I203" s="14" t="s">
        <v>933</v>
      </c>
      <c r="J203" s="1"/>
      <c r="K203" s="1"/>
      <c r="L203" s="1"/>
      <c r="M203" s="1"/>
      <c r="N203" s="1"/>
      <c r="O203" s="1"/>
      <c r="P203" s="1"/>
      <c r="Q203" s="1"/>
    </row>
    <row r="204" spans="1:17">
      <c r="A204" s="10">
        <v>196</v>
      </c>
      <c r="B204" s="10" t="s">
        <v>296</v>
      </c>
      <c r="C204" s="10" t="s">
        <v>934</v>
      </c>
      <c r="D204" s="10" t="s">
        <v>935</v>
      </c>
      <c r="E204" s="12">
        <v>1E-3</v>
      </c>
      <c r="F204" s="10" t="s">
        <v>262</v>
      </c>
      <c r="G204" s="10" t="s">
        <v>123</v>
      </c>
      <c r="H204" s="10" t="s">
        <v>742</v>
      </c>
      <c r="I204" s="14" t="s">
        <v>936</v>
      </c>
      <c r="J204" s="1"/>
      <c r="K204" s="1"/>
      <c r="L204" s="1"/>
      <c r="M204" s="1"/>
      <c r="N204" s="1"/>
      <c r="O204" s="1"/>
      <c r="P204" s="1"/>
      <c r="Q204" s="1"/>
    </row>
    <row r="205" spans="1:17">
      <c r="A205" s="10">
        <v>197</v>
      </c>
      <c r="B205" s="10" t="s">
        <v>296</v>
      </c>
      <c r="C205" s="10" t="s">
        <v>937</v>
      </c>
      <c r="D205" s="10" t="s">
        <v>938</v>
      </c>
      <c r="E205" s="12">
        <v>1</v>
      </c>
      <c r="F205" s="10" t="s">
        <v>86</v>
      </c>
      <c r="G205" s="10" t="s">
        <v>3</v>
      </c>
      <c r="H205" s="10" t="s">
        <v>939</v>
      </c>
      <c r="I205" s="14" t="s">
        <v>940</v>
      </c>
      <c r="J205" s="1"/>
      <c r="K205" s="1"/>
      <c r="L205" s="1"/>
      <c r="M205" s="1"/>
      <c r="N205" s="1"/>
      <c r="O205" s="1"/>
      <c r="P205" s="1"/>
      <c r="Q205" s="1"/>
    </row>
    <row r="206" spans="1:17" ht="28.5">
      <c r="A206" s="10">
        <v>198</v>
      </c>
      <c r="B206" s="10" t="s">
        <v>296</v>
      </c>
      <c r="C206" s="10" t="s">
        <v>941</v>
      </c>
      <c r="D206" s="10" t="s">
        <v>942</v>
      </c>
      <c r="E206" s="12">
        <v>0.08</v>
      </c>
      <c r="F206" s="10" t="s">
        <v>229</v>
      </c>
      <c r="G206" s="10" t="s">
        <v>123</v>
      </c>
      <c r="H206" s="10" t="s">
        <v>389</v>
      </c>
      <c r="I206" s="14" t="s">
        <v>943</v>
      </c>
      <c r="J206" s="1"/>
      <c r="K206" s="1"/>
      <c r="L206" s="1"/>
      <c r="M206" s="1"/>
      <c r="N206" s="1"/>
      <c r="O206" s="1"/>
      <c r="P206" s="1"/>
      <c r="Q206" s="1"/>
    </row>
    <row r="207" spans="1:17">
      <c r="A207" s="10">
        <v>199</v>
      </c>
      <c r="B207" s="10" t="s">
        <v>296</v>
      </c>
      <c r="C207" s="10" t="s">
        <v>948</v>
      </c>
      <c r="D207" s="10" t="s">
        <v>949</v>
      </c>
      <c r="E207" s="12">
        <v>0.30099999999999999</v>
      </c>
      <c r="F207" s="10" t="s">
        <v>86</v>
      </c>
      <c r="G207" s="10" t="s">
        <v>123</v>
      </c>
      <c r="H207" s="10" t="s">
        <v>329</v>
      </c>
      <c r="I207" s="14" t="s">
        <v>950</v>
      </c>
      <c r="J207" s="1"/>
      <c r="K207" s="1"/>
      <c r="L207" s="1"/>
      <c r="M207" s="1"/>
      <c r="N207" s="1"/>
      <c r="O207" s="1"/>
      <c r="P207" s="1"/>
      <c r="Q207" s="1"/>
    </row>
    <row r="208" spans="1:17" ht="28.5">
      <c r="A208" s="10">
        <v>200</v>
      </c>
      <c r="B208" s="10" t="s">
        <v>296</v>
      </c>
      <c r="C208" s="10" t="s">
        <v>951</v>
      </c>
      <c r="D208" s="10" t="s">
        <v>952</v>
      </c>
      <c r="E208" s="12">
        <v>1.64</v>
      </c>
      <c r="F208" s="10" t="s">
        <v>86</v>
      </c>
      <c r="G208" s="10" t="s">
        <v>123</v>
      </c>
      <c r="H208" s="10" t="s">
        <v>953</v>
      </c>
      <c r="I208" s="14" t="s">
        <v>954</v>
      </c>
      <c r="J208" s="1"/>
      <c r="K208" s="1"/>
      <c r="L208" s="1"/>
      <c r="M208" s="1"/>
      <c r="N208" s="1"/>
      <c r="O208" s="1"/>
      <c r="P208" s="1"/>
      <c r="Q208" s="1"/>
    </row>
    <row r="209" spans="1:17" ht="28.5">
      <c r="A209" s="10">
        <v>201</v>
      </c>
      <c r="B209" s="10" t="s">
        <v>296</v>
      </c>
      <c r="C209" s="10" t="s">
        <v>955</v>
      </c>
      <c r="D209" s="10" t="s">
        <v>956</v>
      </c>
      <c r="E209" s="12">
        <v>1.5E-3</v>
      </c>
      <c r="F209" s="10" t="s">
        <v>262</v>
      </c>
      <c r="G209" s="10" t="s">
        <v>3</v>
      </c>
      <c r="H209" s="10" t="s">
        <v>957</v>
      </c>
      <c r="I209" s="14" t="s">
        <v>958</v>
      </c>
      <c r="J209" s="1"/>
      <c r="K209" s="1"/>
      <c r="L209" s="1"/>
      <c r="M209" s="1"/>
      <c r="N209" s="1"/>
      <c r="O209" s="1"/>
      <c r="P209" s="1"/>
      <c r="Q209" s="1"/>
    </row>
    <row r="210" spans="1:17" ht="42.75">
      <c r="A210" s="10">
        <v>202</v>
      </c>
      <c r="B210" s="10" t="s">
        <v>296</v>
      </c>
      <c r="C210" s="10" t="s">
        <v>959</v>
      </c>
      <c r="D210" s="10" t="s">
        <v>960</v>
      </c>
      <c r="E210" s="12">
        <f>SQRT($E$116/(PI()*'01_入力仕様'!D10*4*PI()*0.0000001))</f>
        <v>5.2182437758194352E-4</v>
      </c>
      <c r="F210" s="10" t="s">
        <v>262</v>
      </c>
      <c r="G210" s="10" t="s">
        <v>123</v>
      </c>
      <c r="H210" s="10" t="s">
        <v>957</v>
      </c>
      <c r="I210" s="14" t="s">
        <v>961</v>
      </c>
      <c r="J210" s="1"/>
      <c r="K210" s="1"/>
      <c r="L210" s="1"/>
      <c r="M210" s="1"/>
      <c r="N210" s="1"/>
      <c r="O210" s="1"/>
      <c r="P210" s="1"/>
      <c r="Q210" s="1"/>
    </row>
    <row r="211" spans="1:17" ht="28.5">
      <c r="A211" s="10">
        <v>203</v>
      </c>
      <c r="B211" s="10" t="s">
        <v>296</v>
      </c>
      <c r="C211" s="10" t="s">
        <v>966</v>
      </c>
      <c r="D211" s="10" t="s">
        <v>967</v>
      </c>
      <c r="E211" s="12">
        <v>3.5000000000000003E-2</v>
      </c>
      <c r="F211" s="10" t="s">
        <v>968</v>
      </c>
      <c r="G211" s="10" t="s">
        <v>123</v>
      </c>
      <c r="H211" s="10" t="s">
        <v>969</v>
      </c>
      <c r="I211" s="14" t="s">
        <v>970</v>
      </c>
      <c r="J211" s="1"/>
      <c r="K211" s="1"/>
      <c r="L211" s="1"/>
      <c r="M211" s="1"/>
      <c r="N211" s="1"/>
      <c r="O211" s="1"/>
      <c r="P211" s="1"/>
      <c r="Q211" s="1"/>
    </row>
    <row r="212" spans="1:17" ht="28.5">
      <c r="A212" s="10">
        <v>204</v>
      </c>
      <c r="B212" s="10" t="s">
        <v>971</v>
      </c>
      <c r="C212" s="10" t="s">
        <v>976</v>
      </c>
      <c r="D212" s="10" t="s">
        <v>977</v>
      </c>
      <c r="E212" s="12">
        <v>0.18</v>
      </c>
      <c r="F212" s="10" t="s">
        <v>229</v>
      </c>
      <c r="G212" s="10" t="s">
        <v>123</v>
      </c>
      <c r="H212" s="10" t="s">
        <v>389</v>
      </c>
      <c r="I212" s="14" t="s">
        <v>978</v>
      </c>
      <c r="J212" s="1"/>
      <c r="K212" s="1"/>
      <c r="L212" s="1"/>
      <c r="M212" s="1"/>
      <c r="N212" s="1"/>
      <c r="O212" s="1"/>
      <c r="P212" s="1"/>
      <c r="Q212" s="1"/>
    </row>
    <row r="213" spans="1:17" ht="28.5">
      <c r="A213" s="10">
        <v>205</v>
      </c>
      <c r="B213" s="10" t="s">
        <v>971</v>
      </c>
      <c r="C213" s="10" t="s">
        <v>979</v>
      </c>
      <c r="D213" s="10" t="s">
        <v>980</v>
      </c>
      <c r="E213" s="12">
        <v>0.75</v>
      </c>
      <c r="F213" s="10" t="s">
        <v>86</v>
      </c>
      <c r="G213" s="10" t="s">
        <v>123</v>
      </c>
      <c r="H213" s="10" t="s">
        <v>685</v>
      </c>
      <c r="I213" s="14" t="s">
        <v>981</v>
      </c>
      <c r="J213" s="1"/>
      <c r="K213" s="1"/>
      <c r="L213" s="1"/>
      <c r="M213" s="1"/>
      <c r="N213" s="1"/>
      <c r="O213" s="1"/>
      <c r="P213" s="1"/>
      <c r="Q213" s="1"/>
    </row>
    <row r="214" spans="1:17" ht="28.5">
      <c r="A214" s="10">
        <v>206</v>
      </c>
      <c r="B214" s="10" t="s">
        <v>971</v>
      </c>
      <c r="C214" s="10" t="s">
        <v>982</v>
      </c>
      <c r="D214" s="10" t="s">
        <v>983</v>
      </c>
      <c r="E214" s="12">
        <v>120</v>
      </c>
      <c r="F214" s="10" t="s">
        <v>984</v>
      </c>
      <c r="G214" s="10" t="s">
        <v>123</v>
      </c>
      <c r="H214" s="10" t="s">
        <v>270</v>
      </c>
      <c r="I214" s="14" t="s">
        <v>985</v>
      </c>
      <c r="J214" s="1"/>
      <c r="K214" s="1"/>
      <c r="L214" s="1"/>
      <c r="M214" s="1"/>
      <c r="N214" s="1"/>
      <c r="O214" s="1"/>
      <c r="P214" s="1"/>
      <c r="Q214" s="1"/>
    </row>
    <row r="215" spans="1:17" ht="42.75">
      <c r="A215" s="10">
        <v>207</v>
      </c>
      <c r="B215" s="10" t="s">
        <v>789</v>
      </c>
      <c r="C215" s="10" t="s">
        <v>989</v>
      </c>
      <c r="D215" s="10" t="s">
        <v>990</v>
      </c>
      <c r="E215" s="12">
        <v>0.08</v>
      </c>
      <c r="F215" s="10" t="s">
        <v>229</v>
      </c>
      <c r="G215" s="10" t="s">
        <v>123</v>
      </c>
      <c r="H215" s="10" t="s">
        <v>991</v>
      </c>
      <c r="I215" s="14" t="s">
        <v>992</v>
      </c>
      <c r="J215" s="1"/>
      <c r="K215" s="1"/>
      <c r="L215" s="1"/>
      <c r="M215" s="1"/>
      <c r="N215" s="1"/>
      <c r="O215" s="1"/>
      <c r="P215" s="1"/>
      <c r="Q215" s="1"/>
    </row>
    <row r="216" spans="1:17" ht="28.5">
      <c r="A216" s="10">
        <v>208</v>
      </c>
      <c r="B216" s="10" t="s">
        <v>789</v>
      </c>
      <c r="C216" s="10" t="s">
        <v>993</v>
      </c>
      <c r="D216" s="10" t="s">
        <v>994</v>
      </c>
      <c r="E216" s="12">
        <v>0.65</v>
      </c>
      <c r="F216" s="10" t="s">
        <v>86</v>
      </c>
      <c r="G216" s="10" t="s">
        <v>123</v>
      </c>
      <c r="H216" s="10" t="s">
        <v>792</v>
      </c>
      <c r="I216" s="14" t="s">
        <v>995</v>
      </c>
      <c r="J216" s="1"/>
      <c r="K216" s="1"/>
      <c r="L216" s="1"/>
      <c r="M216" s="1"/>
      <c r="N216" s="1"/>
      <c r="O216" s="1"/>
      <c r="P216" s="1"/>
      <c r="Q216" s="1"/>
    </row>
    <row r="217" spans="1:17" ht="42.75">
      <c r="A217" s="10">
        <v>209</v>
      </c>
      <c r="B217" s="10" t="s">
        <v>789</v>
      </c>
      <c r="C217" s="10" t="s">
        <v>996</v>
      </c>
      <c r="D217" s="10" t="s">
        <v>997</v>
      </c>
      <c r="E217" s="12">
        <v>0.3</v>
      </c>
      <c r="F217" s="10" t="s">
        <v>86</v>
      </c>
      <c r="G217" s="10" t="s">
        <v>123</v>
      </c>
      <c r="H217" s="10" t="s">
        <v>991</v>
      </c>
      <c r="I217" s="14" t="s">
        <v>998</v>
      </c>
      <c r="J217" s="1"/>
      <c r="K217" s="1"/>
      <c r="L217" s="1"/>
      <c r="M217" s="1"/>
      <c r="N217" s="1"/>
      <c r="O217" s="1"/>
      <c r="P217" s="1"/>
      <c r="Q217" s="1"/>
    </row>
    <row r="218" spans="1:17" ht="28.5">
      <c r="A218" s="10">
        <v>210</v>
      </c>
      <c r="B218" s="10" t="s">
        <v>999</v>
      </c>
      <c r="C218" s="10" t="s">
        <v>1004</v>
      </c>
      <c r="D218" s="10" t="s">
        <v>1005</v>
      </c>
      <c r="E218" s="12">
        <v>0.12</v>
      </c>
      <c r="F218" s="10" t="s">
        <v>229</v>
      </c>
      <c r="G218" s="10" t="s">
        <v>123</v>
      </c>
      <c r="H218" s="10" t="s">
        <v>1006</v>
      </c>
      <c r="I218" s="14" t="s">
        <v>1007</v>
      </c>
      <c r="J218" s="1"/>
      <c r="K218" s="1"/>
      <c r="L218" s="1"/>
      <c r="M218" s="1"/>
      <c r="N218" s="1"/>
      <c r="O218" s="1"/>
      <c r="P218" s="1"/>
      <c r="Q218" s="1"/>
    </row>
    <row r="219" spans="1:17" ht="28.5">
      <c r="A219" s="10">
        <v>211</v>
      </c>
      <c r="B219" s="10" t="s">
        <v>999</v>
      </c>
      <c r="C219" s="10" t="s">
        <v>1008</v>
      </c>
      <c r="D219" s="10" t="s">
        <v>1009</v>
      </c>
      <c r="E219" s="12">
        <v>0.35</v>
      </c>
      <c r="F219" s="10" t="s">
        <v>86</v>
      </c>
      <c r="G219" s="10" t="s">
        <v>123</v>
      </c>
      <c r="H219" s="10" t="s">
        <v>1010</v>
      </c>
      <c r="I219" s="14" t="s">
        <v>1011</v>
      </c>
      <c r="J219" s="1"/>
      <c r="K219" s="1"/>
      <c r="L219" s="1"/>
      <c r="M219" s="1"/>
      <c r="N219" s="1"/>
      <c r="O219" s="1"/>
      <c r="P219" s="1"/>
      <c r="Q219" s="1"/>
    </row>
    <row r="220" spans="1:17" ht="42.75">
      <c r="A220" s="10">
        <v>212</v>
      </c>
      <c r="B220" s="10" t="s">
        <v>1012</v>
      </c>
      <c r="C220" s="10" t="s">
        <v>1013</v>
      </c>
      <c r="D220" s="10" t="s">
        <v>1014</v>
      </c>
      <c r="E220" s="12">
        <v>5.0000000000000001E-4</v>
      </c>
      <c r="F220" s="10" t="s">
        <v>1015</v>
      </c>
      <c r="G220" s="10" t="s">
        <v>3</v>
      </c>
      <c r="H220" s="10" t="s">
        <v>1016</v>
      </c>
      <c r="I220" s="14" t="s">
        <v>1017</v>
      </c>
      <c r="J220" s="1"/>
      <c r="K220" s="1"/>
      <c r="L220" s="1"/>
      <c r="M220" s="1"/>
      <c r="N220" s="1"/>
      <c r="O220" s="1"/>
      <c r="P220" s="1"/>
      <c r="Q220" s="1"/>
    </row>
    <row r="221" spans="1:17">
      <c r="A221" s="10">
        <v>213</v>
      </c>
      <c r="B221" s="10" t="s">
        <v>1012</v>
      </c>
      <c r="C221" s="10" t="s">
        <v>1018</v>
      </c>
      <c r="D221" s="10" t="s">
        <v>1019</v>
      </c>
      <c r="E221" s="12">
        <v>5.0000000000000001E-4</v>
      </c>
      <c r="F221" s="10" t="s">
        <v>1015</v>
      </c>
      <c r="G221" s="10" t="s">
        <v>123</v>
      </c>
      <c r="H221" s="10" t="s">
        <v>1020</v>
      </c>
      <c r="I221" s="14" t="s">
        <v>1021</v>
      </c>
      <c r="J221" s="1"/>
      <c r="K221" s="1"/>
      <c r="L221" s="1"/>
      <c r="M221" s="1"/>
      <c r="N221" s="1"/>
      <c r="O221" s="1"/>
      <c r="P221" s="1"/>
      <c r="Q221" s="1"/>
    </row>
    <row r="222" spans="1:17" ht="28.5">
      <c r="A222" s="10">
        <v>214</v>
      </c>
      <c r="B222" s="10" t="s">
        <v>1012</v>
      </c>
      <c r="C222" s="10" t="s">
        <v>1022</v>
      </c>
      <c r="D222" s="10" t="s">
        <v>1023</v>
      </c>
      <c r="E222" s="12">
        <v>3.5000000000000003E-2</v>
      </c>
      <c r="F222" s="10" t="s">
        <v>229</v>
      </c>
      <c r="G222" s="10" t="s">
        <v>123</v>
      </c>
      <c r="H222" s="10" t="s">
        <v>1020</v>
      </c>
      <c r="I222" s="14" t="s">
        <v>1024</v>
      </c>
      <c r="J222" s="1"/>
      <c r="K222" s="1"/>
      <c r="L222" s="1"/>
      <c r="M222" s="1"/>
      <c r="N222" s="1"/>
      <c r="O222" s="1"/>
      <c r="P222" s="1"/>
      <c r="Q222" s="1"/>
    </row>
    <row r="223" spans="1:17" ht="42.75">
      <c r="A223" s="10">
        <v>215</v>
      </c>
      <c r="B223" s="10" t="s">
        <v>1012</v>
      </c>
      <c r="C223" s="10" t="s">
        <v>1030</v>
      </c>
      <c r="D223" s="10" t="s">
        <v>1031</v>
      </c>
      <c r="E223" s="12">
        <v>0.08</v>
      </c>
      <c r="F223" s="10" t="s">
        <v>229</v>
      </c>
      <c r="G223" s="10" t="s">
        <v>123</v>
      </c>
      <c r="H223" s="10" t="s">
        <v>1032</v>
      </c>
      <c r="I223" s="14" t="s">
        <v>1033</v>
      </c>
      <c r="J223" s="1"/>
      <c r="K223" s="1"/>
      <c r="L223" s="1"/>
      <c r="M223" s="1"/>
      <c r="N223" s="1"/>
      <c r="O223" s="1"/>
      <c r="P223" s="1"/>
      <c r="Q223" s="1"/>
    </row>
    <row r="224" spans="1:17" ht="42.75">
      <c r="A224" s="10">
        <v>216</v>
      </c>
      <c r="B224" s="10" t="s">
        <v>1012</v>
      </c>
      <c r="C224" s="10" t="s">
        <v>1034</v>
      </c>
      <c r="D224" s="10" t="s">
        <v>1035</v>
      </c>
      <c r="E224" s="12">
        <v>0.06</v>
      </c>
      <c r="F224" s="10" t="s">
        <v>229</v>
      </c>
      <c r="G224" s="10" t="s">
        <v>123</v>
      </c>
      <c r="H224" s="10" t="s">
        <v>1032</v>
      </c>
      <c r="I224" s="14" t="s">
        <v>1036</v>
      </c>
      <c r="J224" s="1"/>
      <c r="K224" s="1"/>
      <c r="L224" s="1"/>
      <c r="M224" s="1"/>
      <c r="N224" s="1"/>
      <c r="O224" s="1"/>
      <c r="P224" s="1"/>
      <c r="Q224" s="1"/>
    </row>
    <row r="225" spans="1:17" ht="28.5">
      <c r="A225" s="10">
        <v>217</v>
      </c>
      <c r="B225" s="10" t="s">
        <v>1037</v>
      </c>
      <c r="C225" s="10" t="s">
        <v>1038</v>
      </c>
      <c r="D225" s="10" t="s">
        <v>1039</v>
      </c>
      <c r="E225" s="12">
        <v>1</v>
      </c>
      <c r="F225" s="10" t="s">
        <v>415</v>
      </c>
      <c r="G225" s="10" t="s">
        <v>418</v>
      </c>
      <c r="H225" s="10" t="s">
        <v>1040</v>
      </c>
      <c r="I225" s="14" t="s">
        <v>1041</v>
      </c>
      <c r="J225" s="1"/>
      <c r="K225" s="1"/>
      <c r="L225" s="1"/>
      <c r="M225" s="1"/>
      <c r="N225" s="1"/>
      <c r="O225" s="1"/>
      <c r="P225" s="1"/>
      <c r="Q225" s="1"/>
    </row>
    <row r="226" spans="1:17" ht="42.75">
      <c r="A226" s="10">
        <v>218</v>
      </c>
      <c r="B226" s="10" t="s">
        <v>1037</v>
      </c>
      <c r="C226" s="10" t="s">
        <v>1042</v>
      </c>
      <c r="D226" s="10" t="s">
        <v>1043</v>
      </c>
      <c r="E226" s="12">
        <v>0.09</v>
      </c>
      <c r="F226" s="10" t="s">
        <v>229</v>
      </c>
      <c r="G226" s="10" t="s">
        <v>123</v>
      </c>
      <c r="H226" s="10" t="s">
        <v>1044</v>
      </c>
      <c r="I226" s="14" t="s">
        <v>1045</v>
      </c>
      <c r="J226" s="1"/>
      <c r="K226" s="1"/>
      <c r="L226" s="1"/>
      <c r="M226" s="1"/>
      <c r="N226" s="1"/>
      <c r="O226" s="1"/>
      <c r="P226" s="1"/>
      <c r="Q226" s="1"/>
    </row>
    <row r="227" spans="1:17" ht="42.75">
      <c r="A227" s="10">
        <v>219</v>
      </c>
      <c r="B227" s="10" t="s">
        <v>1037</v>
      </c>
      <c r="C227" s="10" t="s">
        <v>1046</v>
      </c>
      <c r="D227" s="10" t="s">
        <v>1047</v>
      </c>
      <c r="E227" s="12">
        <v>0.04</v>
      </c>
      <c r="F227" s="10" t="s">
        <v>229</v>
      </c>
      <c r="G227" s="10" t="s">
        <v>123</v>
      </c>
      <c r="H227" s="10" t="s">
        <v>1044</v>
      </c>
      <c r="I227" s="14" t="s">
        <v>1048</v>
      </c>
      <c r="J227" s="1"/>
      <c r="K227" s="1"/>
      <c r="L227" s="1"/>
      <c r="M227" s="1"/>
      <c r="N227" s="1"/>
      <c r="O227" s="1"/>
      <c r="P227" s="1"/>
      <c r="Q227" s="1"/>
    </row>
    <row r="228" spans="1:17" ht="28.5">
      <c r="A228" s="10">
        <v>220</v>
      </c>
      <c r="B228" s="10" t="s">
        <v>1049</v>
      </c>
      <c r="C228" s="10" t="s">
        <v>1050</v>
      </c>
      <c r="D228" s="10" t="s">
        <v>1051</v>
      </c>
      <c r="E228" s="12">
        <v>1</v>
      </c>
      <c r="F228" s="10" t="s">
        <v>415</v>
      </c>
      <c r="G228" s="10" t="s">
        <v>418</v>
      </c>
      <c r="H228" s="10" t="s">
        <v>1052</v>
      </c>
      <c r="I228" s="14" t="s">
        <v>1053</v>
      </c>
      <c r="J228" s="1"/>
      <c r="K228" s="1"/>
      <c r="L228" s="1"/>
      <c r="M228" s="1"/>
      <c r="N228" s="1"/>
      <c r="O228" s="1"/>
      <c r="P228" s="1"/>
      <c r="Q228" s="1"/>
    </row>
    <row r="229" spans="1:17" ht="28.5">
      <c r="A229" s="10">
        <v>221</v>
      </c>
      <c r="B229" s="10" t="s">
        <v>1049</v>
      </c>
      <c r="C229" s="10" t="s">
        <v>1054</v>
      </c>
      <c r="D229" s="10" t="s">
        <v>1055</v>
      </c>
      <c r="E229" s="12">
        <v>2.5000000000000001E-2</v>
      </c>
      <c r="F229" s="10" t="s">
        <v>229</v>
      </c>
      <c r="G229" s="10" t="s">
        <v>123</v>
      </c>
      <c r="H229" s="10" t="s">
        <v>1056</v>
      </c>
      <c r="I229" s="14" t="s">
        <v>1057</v>
      </c>
      <c r="J229" s="1"/>
      <c r="K229" s="1"/>
      <c r="L229" s="1"/>
      <c r="M229" s="1"/>
      <c r="N229" s="1"/>
      <c r="O229" s="1"/>
      <c r="P229" s="1"/>
      <c r="Q229" s="1"/>
    </row>
    <row r="230" spans="1:17" ht="42.75">
      <c r="A230" s="10">
        <v>222</v>
      </c>
      <c r="B230" s="10" t="s">
        <v>1049</v>
      </c>
      <c r="C230" s="10" t="s">
        <v>1058</v>
      </c>
      <c r="D230" s="10" t="s">
        <v>1059</v>
      </c>
      <c r="E230" s="12">
        <v>0.08</v>
      </c>
      <c r="F230" s="10" t="s">
        <v>86</v>
      </c>
      <c r="G230" s="10" t="s">
        <v>123</v>
      </c>
      <c r="H230" s="10" t="s">
        <v>196</v>
      </c>
      <c r="I230" s="14" t="s">
        <v>1060</v>
      </c>
      <c r="J230" s="1"/>
      <c r="K230" s="1"/>
      <c r="L230" s="1"/>
      <c r="M230" s="1"/>
      <c r="N230" s="1"/>
      <c r="O230" s="1"/>
      <c r="P230" s="1"/>
      <c r="Q230" s="1"/>
    </row>
    <row r="231" spans="1:17" ht="42.75">
      <c r="A231" s="10">
        <v>223</v>
      </c>
      <c r="B231" s="10" t="s">
        <v>1049</v>
      </c>
      <c r="C231" s="10" t="s">
        <v>1065</v>
      </c>
      <c r="D231" s="10" t="s">
        <v>1066</v>
      </c>
      <c r="E231" s="12">
        <v>0.45</v>
      </c>
      <c r="F231" s="10" t="s">
        <v>86</v>
      </c>
      <c r="G231" s="10" t="s">
        <v>123</v>
      </c>
      <c r="H231" s="10" t="s">
        <v>742</v>
      </c>
      <c r="I231" s="14" t="s">
        <v>1067</v>
      </c>
      <c r="J231" s="1"/>
      <c r="K231" s="1"/>
      <c r="L231" s="1"/>
      <c r="M231" s="1"/>
      <c r="N231" s="1"/>
      <c r="O231" s="1"/>
      <c r="P231" s="1"/>
      <c r="Q231" s="1"/>
    </row>
    <row r="232" spans="1:17" ht="42.75">
      <c r="A232" s="10">
        <v>224</v>
      </c>
      <c r="B232" s="10" t="s">
        <v>1049</v>
      </c>
      <c r="C232" s="10" t="s">
        <v>1068</v>
      </c>
      <c r="D232" s="10" t="s">
        <v>1069</v>
      </c>
      <c r="E232" s="12">
        <v>3.5000000000000003E-2</v>
      </c>
      <c r="F232" s="10" t="s">
        <v>229</v>
      </c>
      <c r="G232" s="10" t="s">
        <v>123</v>
      </c>
      <c r="H232" s="10" t="s">
        <v>1070</v>
      </c>
      <c r="I232" s="14" t="s">
        <v>1071</v>
      </c>
      <c r="J232" s="1"/>
      <c r="K232" s="1"/>
      <c r="L232" s="1"/>
      <c r="M232" s="1"/>
      <c r="N232" s="1"/>
      <c r="O232" s="1"/>
      <c r="P232" s="1"/>
      <c r="Q232" s="1"/>
    </row>
    <row r="233" spans="1:17" ht="28.5">
      <c r="A233" s="10">
        <v>225</v>
      </c>
      <c r="B233" s="10" t="s">
        <v>1049</v>
      </c>
      <c r="C233" s="10" t="s">
        <v>1072</v>
      </c>
      <c r="D233" s="10" t="s">
        <v>1073</v>
      </c>
      <c r="E233" s="12">
        <v>25</v>
      </c>
      <c r="F233" s="10" t="s">
        <v>984</v>
      </c>
      <c r="G233" s="10" t="s">
        <v>123</v>
      </c>
      <c r="H233" s="10" t="s">
        <v>270</v>
      </c>
      <c r="I233" s="14" t="s">
        <v>1074</v>
      </c>
      <c r="J233" s="1"/>
      <c r="K233" s="1"/>
      <c r="L233" s="1"/>
      <c r="M233" s="1"/>
      <c r="N233" s="1"/>
      <c r="O233" s="1"/>
      <c r="P233" s="1"/>
      <c r="Q233" s="1"/>
    </row>
    <row r="234" spans="1:17" ht="42.75">
      <c r="A234" s="10">
        <v>226</v>
      </c>
      <c r="B234" s="10" t="s">
        <v>1075</v>
      </c>
      <c r="C234" s="10" t="s">
        <v>1080</v>
      </c>
      <c r="D234" s="10" t="s">
        <v>1081</v>
      </c>
      <c r="E234" s="12">
        <v>0.3</v>
      </c>
      <c r="F234" s="10" t="s">
        <v>86</v>
      </c>
      <c r="G234" s="10" t="s">
        <v>123</v>
      </c>
      <c r="H234" s="10" t="s">
        <v>1082</v>
      </c>
      <c r="I234" s="14" t="s">
        <v>1083</v>
      </c>
      <c r="J234" s="1"/>
      <c r="K234" s="1"/>
      <c r="L234" s="1"/>
      <c r="M234" s="1"/>
      <c r="N234" s="1"/>
      <c r="O234" s="1"/>
      <c r="P234" s="1"/>
      <c r="Q234" s="1"/>
    </row>
    <row r="235" spans="1:17" ht="42.75">
      <c r="A235" s="10">
        <v>227</v>
      </c>
      <c r="B235" s="10" t="s">
        <v>1075</v>
      </c>
      <c r="C235" s="10" t="s">
        <v>1084</v>
      </c>
      <c r="D235" s="10" t="s">
        <v>1085</v>
      </c>
      <c r="E235" s="12">
        <v>0.06</v>
      </c>
      <c r="F235" s="10" t="s">
        <v>229</v>
      </c>
      <c r="G235" s="10" t="s">
        <v>123</v>
      </c>
      <c r="H235" s="10" t="s">
        <v>1086</v>
      </c>
      <c r="I235" s="14" t="s">
        <v>1087</v>
      </c>
      <c r="J235" s="1"/>
      <c r="K235" s="1"/>
      <c r="L235" s="1"/>
      <c r="M235" s="1"/>
      <c r="N235" s="1"/>
      <c r="O235" s="1"/>
      <c r="P235" s="1"/>
      <c r="Q235" s="1"/>
    </row>
    <row r="236" spans="1:17" ht="42.75">
      <c r="A236" s="10">
        <v>228</v>
      </c>
      <c r="B236" s="10" t="s">
        <v>1075</v>
      </c>
      <c r="C236" s="10" t="s">
        <v>1088</v>
      </c>
      <c r="D236" s="10" t="s">
        <v>1089</v>
      </c>
      <c r="E236" s="12">
        <v>0.18</v>
      </c>
      <c r="F236" s="10" t="s">
        <v>229</v>
      </c>
      <c r="G236" s="10" t="s">
        <v>123</v>
      </c>
      <c r="H236" s="10" t="s">
        <v>1082</v>
      </c>
      <c r="I236" s="14" t="s">
        <v>1090</v>
      </c>
      <c r="J236" s="1"/>
      <c r="K236" s="1"/>
      <c r="L236" s="1"/>
      <c r="M236" s="1"/>
      <c r="N236" s="1"/>
      <c r="O236" s="1"/>
      <c r="P236" s="1"/>
      <c r="Q236" s="1"/>
    </row>
    <row r="237" spans="1:17" ht="28.5">
      <c r="A237" s="10">
        <v>229</v>
      </c>
      <c r="B237" s="10" t="s">
        <v>1075</v>
      </c>
      <c r="C237" s="10" t="s">
        <v>1095</v>
      </c>
      <c r="D237" s="10" t="s">
        <v>1096</v>
      </c>
      <c r="E237" s="12">
        <v>0.22</v>
      </c>
      <c r="F237" s="10" t="s">
        <v>229</v>
      </c>
      <c r="G237" s="10" t="s">
        <v>123</v>
      </c>
      <c r="H237" s="10" t="s">
        <v>1097</v>
      </c>
      <c r="I237" s="14" t="s">
        <v>1098</v>
      </c>
      <c r="J237" s="1"/>
      <c r="K237" s="1"/>
      <c r="L237" s="1"/>
      <c r="M237" s="1"/>
      <c r="N237" s="1"/>
      <c r="O237" s="1"/>
      <c r="P237" s="1"/>
      <c r="Q237" s="1"/>
    </row>
    <row r="238" spans="1:17" ht="42.75">
      <c r="A238" s="10">
        <v>230</v>
      </c>
      <c r="B238" s="10" t="s">
        <v>1075</v>
      </c>
      <c r="C238" s="10" t="s">
        <v>1099</v>
      </c>
      <c r="D238" s="10" t="s">
        <v>1100</v>
      </c>
      <c r="E238" s="12">
        <v>0.45</v>
      </c>
      <c r="F238" s="10" t="s">
        <v>86</v>
      </c>
      <c r="G238" s="10" t="s">
        <v>123</v>
      </c>
      <c r="H238" s="10" t="s">
        <v>1082</v>
      </c>
      <c r="I238" s="14" t="s">
        <v>1101</v>
      </c>
      <c r="J238" s="1"/>
      <c r="K238" s="1"/>
      <c r="L238" s="1"/>
      <c r="M238" s="1"/>
      <c r="N238" s="1"/>
      <c r="O238" s="1"/>
      <c r="P238" s="1"/>
      <c r="Q238" s="1"/>
    </row>
    <row r="239" spans="1:17" ht="42.75">
      <c r="A239" s="10">
        <v>231</v>
      </c>
      <c r="B239" s="10" t="s">
        <v>1075</v>
      </c>
      <c r="C239" s="10" t="s">
        <v>1102</v>
      </c>
      <c r="D239" s="10" t="s">
        <v>1103</v>
      </c>
      <c r="E239" s="12">
        <v>0.08</v>
      </c>
      <c r="F239" s="10" t="s">
        <v>86</v>
      </c>
      <c r="G239" s="10" t="s">
        <v>123</v>
      </c>
      <c r="H239" s="10" t="s">
        <v>902</v>
      </c>
      <c r="I239" s="14" t="s">
        <v>1104</v>
      </c>
      <c r="J239" s="1"/>
      <c r="K239" s="1"/>
      <c r="L239" s="1"/>
      <c r="M239" s="1"/>
      <c r="N239" s="1"/>
      <c r="O239" s="1"/>
      <c r="P239" s="1"/>
      <c r="Q239" s="1"/>
    </row>
    <row r="240" spans="1:17" ht="28.5">
      <c r="A240" s="10">
        <v>232</v>
      </c>
      <c r="B240" s="10" t="s">
        <v>1105</v>
      </c>
      <c r="C240" s="10" t="s">
        <v>1106</v>
      </c>
      <c r="D240" s="10" t="s">
        <v>1107</v>
      </c>
      <c r="E240" s="12">
        <v>0.82</v>
      </c>
      <c r="F240" s="10" t="s">
        <v>86</v>
      </c>
      <c r="G240" s="10" t="s">
        <v>3</v>
      </c>
      <c r="H240" s="10" t="s">
        <v>1108</v>
      </c>
      <c r="I240" s="14" t="s">
        <v>1109</v>
      </c>
      <c r="J240" s="1"/>
      <c r="K240" s="1"/>
      <c r="L240" s="1"/>
      <c r="M240" s="1"/>
      <c r="N240" s="1"/>
      <c r="O240" s="1"/>
      <c r="P240" s="1"/>
      <c r="Q240" s="1"/>
    </row>
    <row r="241" spans="1:17" ht="42.75">
      <c r="A241" s="10">
        <v>233</v>
      </c>
      <c r="B241" s="10" t="s">
        <v>1105</v>
      </c>
      <c r="C241" s="10" t="s">
        <v>1110</v>
      </c>
      <c r="D241" s="10" t="s">
        <v>1111</v>
      </c>
      <c r="E241" s="12">
        <v>0.02</v>
      </c>
      <c r="F241" s="10" t="s">
        <v>731</v>
      </c>
      <c r="G241" s="10" t="s">
        <v>123</v>
      </c>
      <c r="H241" s="10" t="s">
        <v>1112</v>
      </c>
      <c r="I241" s="14" t="s">
        <v>1113</v>
      </c>
      <c r="J241" s="1"/>
      <c r="K241" s="1"/>
      <c r="L241" s="1"/>
      <c r="M241" s="1"/>
      <c r="N241" s="1"/>
      <c r="O241" s="1"/>
      <c r="P241" s="1"/>
      <c r="Q241" s="1"/>
    </row>
    <row r="242" spans="1:17" ht="42.75">
      <c r="A242" s="10">
        <v>234</v>
      </c>
      <c r="B242" s="10" t="s">
        <v>1114</v>
      </c>
      <c r="C242" s="10" t="s">
        <v>1119</v>
      </c>
      <c r="D242" s="10" t="s">
        <v>1120</v>
      </c>
      <c r="E242" s="12">
        <v>0.1</v>
      </c>
      <c r="F242" s="10" t="s">
        <v>229</v>
      </c>
      <c r="G242" s="10" t="s">
        <v>123</v>
      </c>
      <c r="H242" s="10" t="s">
        <v>1121</v>
      </c>
      <c r="I242" s="14" t="s">
        <v>1122</v>
      </c>
      <c r="J242" s="1"/>
      <c r="K242" s="1"/>
      <c r="L242" s="1"/>
      <c r="M242" s="1"/>
      <c r="N242" s="1"/>
      <c r="O242" s="1"/>
      <c r="P242" s="1"/>
      <c r="Q242" s="1"/>
    </row>
    <row r="243" spans="1:17" ht="42.75">
      <c r="A243" s="10">
        <v>235</v>
      </c>
      <c r="B243" s="10" t="s">
        <v>1114</v>
      </c>
      <c r="C243" s="10" t="s">
        <v>1123</v>
      </c>
      <c r="D243" s="10" t="s">
        <v>1124</v>
      </c>
      <c r="E243" s="12">
        <v>0.2</v>
      </c>
      <c r="F243" s="10" t="s">
        <v>86</v>
      </c>
      <c r="G243" s="10" t="s">
        <v>123</v>
      </c>
      <c r="H243" s="10" t="s">
        <v>1125</v>
      </c>
      <c r="I243" s="14" t="s">
        <v>1126</v>
      </c>
      <c r="J243" s="1"/>
      <c r="K243" s="1"/>
      <c r="L243" s="1"/>
      <c r="M243" s="1"/>
      <c r="N243" s="1"/>
      <c r="O243" s="1"/>
      <c r="P243" s="1"/>
      <c r="Q243" s="1"/>
    </row>
    <row r="244" spans="1:17" ht="42.75">
      <c r="A244" s="10">
        <v>236</v>
      </c>
      <c r="B244" s="10" t="s">
        <v>1114</v>
      </c>
      <c r="C244" s="10" t="s">
        <v>1127</v>
      </c>
      <c r="D244" s="10" t="s">
        <v>1128</v>
      </c>
      <c r="E244" s="12">
        <v>0.35</v>
      </c>
      <c r="F244" s="10" t="s">
        <v>229</v>
      </c>
      <c r="G244" s="10" t="s">
        <v>123</v>
      </c>
      <c r="H244" s="10" t="s">
        <v>1125</v>
      </c>
      <c r="I244" s="14" t="s">
        <v>1129</v>
      </c>
      <c r="J244" s="1"/>
      <c r="K244" s="1"/>
      <c r="L244" s="1"/>
      <c r="M244" s="1"/>
      <c r="N244" s="1"/>
      <c r="O244" s="1"/>
      <c r="P244" s="1"/>
      <c r="Q244" s="1"/>
    </row>
    <row r="245" spans="1:17">
      <c r="A245" s="10">
        <v>237</v>
      </c>
      <c r="B245" s="10" t="s">
        <v>232</v>
      </c>
      <c r="C245" s="10" t="s">
        <v>904</v>
      </c>
      <c r="D245" s="10" t="s">
        <v>905</v>
      </c>
      <c r="E245" s="12">
        <v>1</v>
      </c>
      <c r="F245" s="10" t="s">
        <v>86</v>
      </c>
      <c r="G245" s="10" t="s">
        <v>1317</v>
      </c>
      <c r="H245" s="10" t="s">
        <v>906</v>
      </c>
      <c r="I245" s="14" t="s">
        <v>907</v>
      </c>
      <c r="J245" s="1"/>
      <c r="K245" s="1"/>
      <c r="L245" s="1"/>
      <c r="M245" s="1"/>
      <c r="N245" s="1"/>
      <c r="O245" s="1"/>
      <c r="P245" s="1"/>
      <c r="Q245" s="1"/>
    </row>
    <row r="246" spans="1:17">
      <c r="A246" s="10">
        <v>238</v>
      </c>
      <c r="B246" s="10" t="s">
        <v>232</v>
      </c>
      <c r="C246" s="10" t="s">
        <v>876</v>
      </c>
      <c r="D246" s="10" t="s">
        <v>877</v>
      </c>
      <c r="E246" s="12">
        <v>1</v>
      </c>
      <c r="F246" s="10" t="s">
        <v>86</v>
      </c>
      <c r="G246" s="10" t="s">
        <v>1317</v>
      </c>
      <c r="H246" s="10" t="s">
        <v>878</v>
      </c>
      <c r="I246" s="14" t="s">
        <v>879</v>
      </c>
      <c r="J246" s="1"/>
      <c r="K246" s="1"/>
      <c r="L246" s="1"/>
      <c r="M246" s="1"/>
      <c r="N246" s="1"/>
      <c r="O246" s="1"/>
      <c r="P246" s="1"/>
      <c r="Q246" s="1"/>
    </row>
    <row r="247" spans="1:17">
      <c r="A247" s="10">
        <v>239</v>
      </c>
      <c r="B247" s="10" t="s">
        <v>1147</v>
      </c>
      <c r="C247" s="10" t="s">
        <v>1148</v>
      </c>
      <c r="D247" s="10" t="s">
        <v>1149</v>
      </c>
      <c r="E247" s="12">
        <v>0.35</v>
      </c>
      <c r="F247" s="10" t="s">
        <v>86</v>
      </c>
      <c r="G247" s="10" t="s">
        <v>123</v>
      </c>
      <c r="H247" s="10" t="s">
        <v>1150</v>
      </c>
      <c r="I247" s="14" t="s">
        <v>1151</v>
      </c>
      <c r="J247" s="1"/>
      <c r="K247" s="1"/>
      <c r="L247" s="1"/>
      <c r="M247" s="1"/>
      <c r="N247" s="1"/>
      <c r="O247" s="1"/>
      <c r="P247" s="1"/>
      <c r="Q247" s="1"/>
    </row>
    <row r="248" spans="1:17">
      <c r="A248" s="10">
        <v>240</v>
      </c>
      <c r="B248" s="10" t="s">
        <v>1147</v>
      </c>
      <c r="C248" s="10" t="s">
        <v>1152</v>
      </c>
      <c r="D248" s="10" t="s">
        <v>1153</v>
      </c>
      <c r="E248" s="12">
        <v>0.02</v>
      </c>
      <c r="F248" s="10" t="s">
        <v>86</v>
      </c>
      <c r="G248" s="10" t="s">
        <v>123</v>
      </c>
      <c r="H248" s="10" t="s">
        <v>1154</v>
      </c>
      <c r="I248" s="14" t="s">
        <v>1155</v>
      </c>
      <c r="J248" s="1"/>
      <c r="K248" s="1"/>
      <c r="L248" s="1"/>
      <c r="M248" s="1"/>
      <c r="N248" s="1"/>
      <c r="O248" s="1"/>
      <c r="P248" s="1"/>
      <c r="Q248" s="1"/>
    </row>
    <row r="249" spans="1:17">
      <c r="A249" s="10">
        <v>241</v>
      </c>
      <c r="B249" s="10" t="s">
        <v>1147</v>
      </c>
      <c r="C249" s="10" t="s">
        <v>1156</v>
      </c>
      <c r="D249" s="10" t="s">
        <v>1157</v>
      </c>
      <c r="E249" s="12">
        <v>3.5E-4</v>
      </c>
      <c r="F249" s="10" t="s">
        <v>731</v>
      </c>
      <c r="G249" s="10" t="s">
        <v>123</v>
      </c>
      <c r="H249" s="10" t="s">
        <v>1150</v>
      </c>
      <c r="I249" s="14" t="s">
        <v>1158</v>
      </c>
      <c r="J249" s="1"/>
      <c r="K249" s="1"/>
      <c r="L249" s="1"/>
      <c r="M249" s="1"/>
      <c r="N249" s="1"/>
      <c r="O249" s="1"/>
      <c r="P249" s="1"/>
      <c r="Q249" s="1"/>
    </row>
    <row r="250" spans="1:17">
      <c r="A250" s="10">
        <v>242</v>
      </c>
      <c r="B250" s="10" t="s">
        <v>1147</v>
      </c>
      <c r="C250" s="10" t="s">
        <v>1159</v>
      </c>
      <c r="D250" s="10" t="s">
        <v>1160</v>
      </c>
      <c r="E250" s="12">
        <v>0.05</v>
      </c>
      <c r="F250" s="10" t="s">
        <v>229</v>
      </c>
      <c r="G250" s="10" t="s">
        <v>123</v>
      </c>
      <c r="H250" s="10" t="s">
        <v>1161</v>
      </c>
      <c r="I250" s="14" t="s">
        <v>1162</v>
      </c>
      <c r="J250" s="1"/>
      <c r="K250" s="1"/>
      <c r="L250" s="1"/>
      <c r="M250" s="1"/>
      <c r="N250" s="1"/>
      <c r="O250" s="1"/>
      <c r="P250" s="1"/>
      <c r="Q250" s="1"/>
    </row>
    <row r="251" spans="1:17">
      <c r="A251" s="10">
        <v>243</v>
      </c>
      <c r="B251" s="10" t="s">
        <v>1163</v>
      </c>
      <c r="C251" s="10" t="s">
        <v>1164</v>
      </c>
      <c r="D251" s="10" t="s">
        <v>1165</v>
      </c>
      <c r="E251" s="12">
        <v>0.3</v>
      </c>
      <c r="F251" s="10" t="s">
        <v>86</v>
      </c>
      <c r="G251" s="10" t="s">
        <v>123</v>
      </c>
      <c r="H251" s="10" t="s">
        <v>1166</v>
      </c>
      <c r="I251" s="14" t="s">
        <v>1167</v>
      </c>
      <c r="J251" s="1"/>
      <c r="K251" s="1"/>
      <c r="L251" s="1"/>
      <c r="M251" s="1"/>
      <c r="N251" s="1"/>
      <c r="O251" s="1"/>
      <c r="P251" s="1"/>
      <c r="Q251" s="1"/>
    </row>
    <row r="252" spans="1:17">
      <c r="A252" s="10">
        <v>244</v>
      </c>
      <c r="B252" s="10" t="s">
        <v>1163</v>
      </c>
      <c r="C252" s="10" t="s">
        <v>1168</v>
      </c>
      <c r="D252" s="10" t="s">
        <v>1169</v>
      </c>
      <c r="E252" s="12">
        <v>0.15</v>
      </c>
      <c r="F252" s="10" t="s">
        <v>86</v>
      </c>
      <c r="G252" s="10" t="s">
        <v>123</v>
      </c>
      <c r="H252" s="10" t="s">
        <v>1170</v>
      </c>
      <c r="I252" s="14" t="s">
        <v>1171</v>
      </c>
      <c r="J252" s="1"/>
      <c r="K252" s="1"/>
      <c r="L252" s="1"/>
      <c r="M252" s="1"/>
      <c r="N252" s="1"/>
      <c r="O252" s="1"/>
      <c r="P252" s="1"/>
      <c r="Q252" s="1"/>
    </row>
    <row r="253" spans="1:17">
      <c r="A253" s="10">
        <v>245</v>
      </c>
      <c r="B253" s="10" t="s">
        <v>1163</v>
      </c>
      <c r="C253" s="10" t="s">
        <v>1172</v>
      </c>
      <c r="D253" s="10" t="s">
        <v>1173</v>
      </c>
      <c r="E253" s="12">
        <v>0.08</v>
      </c>
      <c r="F253" s="10" t="s">
        <v>229</v>
      </c>
      <c r="G253" s="10" t="s">
        <v>123</v>
      </c>
      <c r="H253" s="10" t="s">
        <v>1174</v>
      </c>
      <c r="I253" s="14" t="s">
        <v>1175</v>
      </c>
      <c r="J253" s="1"/>
      <c r="K253" s="1"/>
      <c r="L253" s="1"/>
      <c r="M253" s="1"/>
      <c r="N253" s="1"/>
      <c r="O253" s="1"/>
      <c r="P253" s="1"/>
      <c r="Q253" s="1"/>
    </row>
    <row r="254" spans="1:17">
      <c r="A254" s="10">
        <v>246</v>
      </c>
      <c r="B254" s="10" t="s">
        <v>1176</v>
      </c>
      <c r="C254" s="10" t="s">
        <v>1177</v>
      </c>
      <c r="D254" s="10" t="s">
        <v>1178</v>
      </c>
      <c r="E254" s="12">
        <v>1.5E-10</v>
      </c>
      <c r="F254" s="10" t="s">
        <v>497</v>
      </c>
      <c r="G254" s="10" t="s">
        <v>238</v>
      </c>
      <c r="H254" s="10" t="s">
        <v>1179</v>
      </c>
      <c r="I254" s="14" t="s">
        <v>1180</v>
      </c>
      <c r="J254" s="1"/>
      <c r="K254" s="1"/>
      <c r="L254" s="1"/>
      <c r="M254" s="1"/>
      <c r="N254" s="1"/>
      <c r="O254" s="1"/>
      <c r="P254" s="1"/>
      <c r="Q254" s="1"/>
    </row>
    <row r="255" spans="1:17">
      <c r="A255" s="10">
        <v>247</v>
      </c>
      <c r="B255" s="10" t="s">
        <v>1176</v>
      </c>
      <c r="C255" s="10" t="s">
        <v>1181</v>
      </c>
      <c r="D255" s="10" t="s">
        <v>1182</v>
      </c>
      <c r="E255" s="12">
        <v>2</v>
      </c>
      <c r="F255" s="10" t="s">
        <v>262</v>
      </c>
      <c r="G255" s="10" t="s">
        <v>1317</v>
      </c>
      <c r="H255" s="10" t="s">
        <v>1183</v>
      </c>
      <c r="I255" s="14" t="s">
        <v>1184</v>
      </c>
      <c r="J255" s="1"/>
      <c r="K255" s="1"/>
      <c r="L255" s="1"/>
      <c r="M255" s="1"/>
      <c r="N255" s="1"/>
      <c r="O255" s="1"/>
      <c r="P255" s="1"/>
      <c r="Q255" s="1"/>
    </row>
    <row r="256" spans="1:17">
      <c r="A256" s="10">
        <v>248</v>
      </c>
      <c r="B256" s="10" t="s">
        <v>1176</v>
      </c>
      <c r="C256" s="10" t="s">
        <v>1185</v>
      </c>
      <c r="D256" s="10" t="s">
        <v>1186</v>
      </c>
      <c r="E256" s="12">
        <v>0.7</v>
      </c>
      <c r="F256" s="10" t="s">
        <v>86</v>
      </c>
      <c r="G256" s="10" t="s">
        <v>123</v>
      </c>
      <c r="H256" s="10" t="s">
        <v>1187</v>
      </c>
      <c r="I256" s="14" t="s">
        <v>1188</v>
      </c>
      <c r="J256" s="1"/>
      <c r="K256" s="1"/>
      <c r="L256" s="1"/>
      <c r="M256" s="1"/>
      <c r="N256" s="1"/>
      <c r="O256" s="1"/>
      <c r="P256" s="1"/>
      <c r="Q256" s="1"/>
    </row>
    <row r="257" spans="1:17">
      <c r="A257" s="10">
        <v>249</v>
      </c>
      <c r="B257" s="10" t="s">
        <v>1176</v>
      </c>
      <c r="C257" s="10" t="s">
        <v>1189</v>
      </c>
      <c r="D257" s="10" t="s">
        <v>1190</v>
      </c>
      <c r="E257" s="12">
        <v>0.5</v>
      </c>
      <c r="F257" s="10" t="s">
        <v>86</v>
      </c>
      <c r="G257" s="10" t="s">
        <v>123</v>
      </c>
      <c r="H257" s="10" t="s">
        <v>685</v>
      </c>
      <c r="I257" s="14" t="s">
        <v>1188</v>
      </c>
      <c r="J257" s="1"/>
      <c r="K257" s="1"/>
      <c r="L257" s="1"/>
      <c r="M257" s="1"/>
      <c r="N257" s="1"/>
      <c r="O257" s="1"/>
      <c r="P257" s="1"/>
      <c r="Q257" s="1"/>
    </row>
    <row r="258" spans="1:17">
      <c r="A258" s="10">
        <v>250</v>
      </c>
      <c r="B258" s="10" t="s">
        <v>1191</v>
      </c>
      <c r="C258" s="10" t="s">
        <v>1192</v>
      </c>
      <c r="D258" s="10" t="s">
        <v>1193</v>
      </c>
      <c r="E258" s="12">
        <v>0.125</v>
      </c>
      <c r="F258" s="10" t="s">
        <v>86</v>
      </c>
      <c r="G258" s="10" t="s">
        <v>323</v>
      </c>
      <c r="H258" s="10" t="s">
        <v>1194</v>
      </c>
      <c r="I258" s="14" t="s">
        <v>1195</v>
      </c>
      <c r="J258" s="1"/>
      <c r="K258" s="1"/>
      <c r="L258" s="1"/>
      <c r="M258" s="1"/>
      <c r="N258" s="1"/>
      <c r="O258" s="1"/>
      <c r="P258" s="1"/>
      <c r="Q258" s="1"/>
    </row>
    <row r="259" spans="1:17">
      <c r="A259" s="10">
        <v>251</v>
      </c>
      <c r="B259" s="10" t="s">
        <v>1191</v>
      </c>
      <c r="C259" s="10" t="s">
        <v>1196</v>
      </c>
      <c r="D259" s="10" t="s">
        <v>1197</v>
      </c>
      <c r="E259" s="12">
        <v>10</v>
      </c>
      <c r="F259" s="10" t="s">
        <v>86</v>
      </c>
      <c r="G259" s="10" t="s">
        <v>323</v>
      </c>
      <c r="H259" s="10" t="s">
        <v>1198</v>
      </c>
      <c r="I259" s="14" t="s">
        <v>1199</v>
      </c>
      <c r="J259" s="1"/>
      <c r="K259" s="1"/>
      <c r="L259" s="1"/>
      <c r="M259" s="1"/>
      <c r="N259" s="1"/>
      <c r="O259" s="1"/>
      <c r="P259" s="1"/>
      <c r="Q259" s="1"/>
    </row>
    <row r="260" spans="1:17">
      <c r="A260" s="10">
        <v>252</v>
      </c>
      <c r="B260" s="10" t="s">
        <v>650</v>
      </c>
      <c r="C260" s="10" t="s">
        <v>1200</v>
      </c>
      <c r="D260" s="10" t="s">
        <v>1201</v>
      </c>
      <c r="E260" s="12">
        <v>0.1</v>
      </c>
      <c r="F260" s="10" t="s">
        <v>86</v>
      </c>
      <c r="G260" s="10" t="s">
        <v>123</v>
      </c>
      <c r="H260" s="10" t="s">
        <v>1202</v>
      </c>
      <c r="I260" s="14" t="s">
        <v>1203</v>
      </c>
      <c r="J260" s="1"/>
      <c r="K260" s="1"/>
      <c r="L260" s="1"/>
      <c r="M260" s="1"/>
      <c r="N260" s="1"/>
      <c r="O260" s="1"/>
      <c r="P260" s="1"/>
      <c r="Q260" s="1"/>
    </row>
    <row r="261" spans="1:17">
      <c r="A261" s="10">
        <v>253</v>
      </c>
      <c r="B261" s="10" t="s">
        <v>650</v>
      </c>
      <c r="C261" s="10" t="s">
        <v>1204</v>
      </c>
      <c r="D261" s="10" t="s">
        <v>1205</v>
      </c>
      <c r="E261" s="12">
        <v>0.02</v>
      </c>
      <c r="F261" s="10" t="s">
        <v>229</v>
      </c>
      <c r="G261" s="10" t="s">
        <v>123</v>
      </c>
      <c r="H261" s="10" t="s">
        <v>1206</v>
      </c>
      <c r="I261" s="14" t="s">
        <v>1207</v>
      </c>
      <c r="J261" s="1"/>
      <c r="K261" s="1"/>
      <c r="L261" s="1"/>
      <c r="M261" s="1"/>
      <c r="N261" s="1"/>
      <c r="O261" s="1"/>
      <c r="P261" s="1"/>
      <c r="Q261" s="1"/>
    </row>
    <row r="262" spans="1:17" ht="42.75">
      <c r="A262" s="10">
        <v>254</v>
      </c>
      <c r="B262" s="10" t="s">
        <v>3050</v>
      </c>
      <c r="C262" s="10" t="s">
        <v>1238</v>
      </c>
      <c r="D262" s="10" t="s">
        <v>1239</v>
      </c>
      <c r="E262" s="12">
        <v>0.15</v>
      </c>
      <c r="F262" s="10" t="s">
        <v>229</v>
      </c>
      <c r="G262" s="10" t="s">
        <v>123</v>
      </c>
      <c r="H262" s="10" t="s">
        <v>1240</v>
      </c>
      <c r="I262" s="14" t="s">
        <v>1241</v>
      </c>
      <c r="J262" s="1"/>
      <c r="K262" s="1"/>
      <c r="L262" s="1"/>
      <c r="M262" s="1"/>
      <c r="N262" s="1"/>
      <c r="O262" s="1"/>
      <c r="P262" s="1"/>
      <c r="Q262" s="1"/>
    </row>
    <row r="263" spans="1:17" ht="42.75">
      <c r="A263" s="10">
        <v>255</v>
      </c>
      <c r="B263" s="10" t="s">
        <v>3050</v>
      </c>
      <c r="C263" s="10" t="s">
        <v>1242</v>
      </c>
      <c r="D263" s="10" t="s">
        <v>1243</v>
      </c>
      <c r="E263" s="12">
        <v>0.15</v>
      </c>
      <c r="F263" s="10" t="s">
        <v>229</v>
      </c>
      <c r="G263" s="10" t="s">
        <v>123</v>
      </c>
      <c r="H263" s="10" t="s">
        <v>1244</v>
      </c>
      <c r="I263" s="14" t="s">
        <v>1245</v>
      </c>
      <c r="J263" s="1"/>
      <c r="K263" s="1"/>
      <c r="L263" s="1"/>
      <c r="M263" s="1"/>
      <c r="N263" s="1"/>
      <c r="O263" s="1"/>
      <c r="P263" s="1"/>
      <c r="Q263" s="1"/>
    </row>
    <row r="264" spans="1:17" ht="28.5">
      <c r="A264" s="10">
        <v>256</v>
      </c>
      <c r="B264" s="10" t="s">
        <v>3050</v>
      </c>
      <c r="C264" s="10" t="s">
        <v>1246</v>
      </c>
      <c r="D264" s="10" t="s">
        <v>1247</v>
      </c>
      <c r="E264" s="12">
        <v>0.98</v>
      </c>
      <c r="F264" s="10" t="s">
        <v>86</v>
      </c>
      <c r="G264" s="10" t="s">
        <v>3</v>
      </c>
      <c r="H264" s="10" t="s">
        <v>1248</v>
      </c>
      <c r="I264" s="14" t="s">
        <v>1249</v>
      </c>
      <c r="J264" s="1"/>
      <c r="K264" s="1"/>
      <c r="L264" s="1"/>
      <c r="M264" s="1"/>
      <c r="N264" s="1"/>
      <c r="O264" s="1"/>
      <c r="P264" s="1"/>
      <c r="Q264" s="1"/>
    </row>
    <row r="265" spans="1:17" ht="28.5">
      <c r="A265" s="10">
        <v>257</v>
      </c>
      <c r="B265" s="10" t="s">
        <v>3050</v>
      </c>
      <c r="C265" s="10" t="s">
        <v>1250</v>
      </c>
      <c r="D265" s="10" t="s">
        <v>1251</v>
      </c>
      <c r="E265" s="12">
        <v>4</v>
      </c>
      <c r="F265" s="10" t="s">
        <v>114</v>
      </c>
      <c r="G265" s="10" t="s">
        <v>323</v>
      </c>
      <c r="H265" s="10" t="s">
        <v>1240</v>
      </c>
      <c r="I265" s="14" t="s">
        <v>1252</v>
      </c>
      <c r="J265" s="1"/>
      <c r="K265" s="1"/>
      <c r="L265" s="1"/>
      <c r="M265" s="1"/>
      <c r="N265" s="1"/>
      <c r="O265" s="1"/>
      <c r="P265" s="1"/>
      <c r="Q265" s="1"/>
    </row>
    <row r="266" spans="1:17" ht="57">
      <c r="A266" s="10">
        <v>258</v>
      </c>
      <c r="B266" s="10" t="s">
        <v>1229</v>
      </c>
      <c r="C266" s="10" t="s">
        <v>2643</v>
      </c>
      <c r="D266" s="10" t="s">
        <v>1254</v>
      </c>
      <c r="E266" s="12">
        <f>'01_入力仕様'!D6/(4*'01_入力仕様'!D10*$E$276*(('01_入力仕様'!D5*1000)/('01_入力仕様'!D6*'01_入力仕様'!D9)))</f>
        <v>1.9399999999999999E-3</v>
      </c>
      <c r="F266" s="10" t="s">
        <v>741</v>
      </c>
      <c r="G266" s="10" t="s">
        <v>1317</v>
      </c>
      <c r="H266" s="10" t="s">
        <v>1255</v>
      </c>
      <c r="I266" s="14" t="s">
        <v>3051</v>
      </c>
      <c r="J266" s="1"/>
      <c r="K266" s="1"/>
      <c r="L266" s="1"/>
      <c r="M266" s="1"/>
      <c r="N266" s="1"/>
      <c r="O266" s="1"/>
      <c r="P266" s="1"/>
      <c r="Q266" s="1"/>
    </row>
    <row r="267" spans="1:17" ht="42.75">
      <c r="A267" s="10">
        <v>259</v>
      </c>
      <c r="B267" s="10" t="s">
        <v>1229</v>
      </c>
      <c r="C267" s="10" t="s">
        <v>1257</v>
      </c>
      <c r="D267" s="10" t="s">
        <v>1258</v>
      </c>
      <c r="E267" s="12">
        <v>0.7</v>
      </c>
      <c r="F267" s="10" t="s">
        <v>86</v>
      </c>
      <c r="G267" s="10" t="s">
        <v>123</v>
      </c>
      <c r="H267" s="10" t="s">
        <v>1255</v>
      </c>
      <c r="I267" s="14" t="s">
        <v>1259</v>
      </c>
      <c r="J267" s="1"/>
      <c r="K267" s="1"/>
      <c r="L267" s="1"/>
      <c r="M267" s="1"/>
      <c r="N267" s="1"/>
      <c r="O267" s="1"/>
      <c r="P267" s="1"/>
      <c r="Q267" s="1"/>
    </row>
    <row r="268" spans="1:17" ht="42.75">
      <c r="A268" s="10">
        <v>260</v>
      </c>
      <c r="B268" s="10" t="s">
        <v>1229</v>
      </c>
      <c r="C268" s="10" t="s">
        <v>1260</v>
      </c>
      <c r="D268" s="10" t="s">
        <v>1261</v>
      </c>
      <c r="E268" s="12">
        <v>0.05</v>
      </c>
      <c r="F268" s="10" t="s">
        <v>1262</v>
      </c>
      <c r="G268" s="10" t="s">
        <v>123</v>
      </c>
      <c r="H268" s="10" t="s">
        <v>1263</v>
      </c>
      <c r="I268" s="14" t="s">
        <v>3052</v>
      </c>
      <c r="J268" s="1"/>
      <c r="K268" s="1"/>
      <c r="L268" s="1"/>
      <c r="M268" s="1"/>
      <c r="N268" s="1"/>
      <c r="O268" s="1"/>
      <c r="P268" s="1"/>
      <c r="Q268" s="1"/>
    </row>
    <row r="269" spans="1:17">
      <c r="A269" s="10">
        <v>261</v>
      </c>
      <c r="B269" s="10" t="s">
        <v>1229</v>
      </c>
      <c r="C269" s="10" t="s">
        <v>1265</v>
      </c>
      <c r="D269" s="10" t="s">
        <v>1266</v>
      </c>
      <c r="E269" s="12">
        <v>0.8</v>
      </c>
      <c r="F269" s="10" t="s">
        <v>86</v>
      </c>
      <c r="G269" s="10" t="s">
        <v>123</v>
      </c>
      <c r="H269" s="10" t="s">
        <v>1267</v>
      </c>
      <c r="I269" s="14" t="s">
        <v>1268</v>
      </c>
      <c r="J269" s="1"/>
      <c r="K269" s="1"/>
      <c r="L269" s="1"/>
      <c r="M269" s="1"/>
      <c r="N269" s="1"/>
      <c r="O269" s="1"/>
      <c r="P269" s="1"/>
      <c r="Q269" s="1"/>
    </row>
    <row r="270" spans="1:17" ht="57">
      <c r="A270" s="10">
        <v>262</v>
      </c>
      <c r="B270" s="10" t="s">
        <v>1269</v>
      </c>
      <c r="C270" s="10" t="s">
        <v>1270</v>
      </c>
      <c r="D270" s="10" t="s">
        <v>1271</v>
      </c>
      <c r="E270" s="12">
        <v>6.4</v>
      </c>
      <c r="F270" s="10" t="s">
        <v>229</v>
      </c>
      <c r="G270" s="10" t="s">
        <v>123</v>
      </c>
      <c r="H270" s="10" t="s">
        <v>1272</v>
      </c>
      <c r="I270" s="14" t="s">
        <v>3053</v>
      </c>
      <c r="J270" s="1"/>
      <c r="K270" s="1"/>
      <c r="L270" s="1"/>
      <c r="M270" s="1"/>
      <c r="N270" s="1"/>
      <c r="O270" s="1"/>
      <c r="P270" s="1"/>
      <c r="Q270" s="1"/>
    </row>
    <row r="271" spans="1:17" ht="42.75">
      <c r="A271" s="10">
        <v>263</v>
      </c>
      <c r="B271" s="10" t="s">
        <v>1269</v>
      </c>
      <c r="C271" s="10" t="s">
        <v>1274</v>
      </c>
      <c r="D271" s="10" t="s">
        <v>1275</v>
      </c>
      <c r="E271" s="12">
        <v>480</v>
      </c>
      <c r="F271" s="10" t="s">
        <v>984</v>
      </c>
      <c r="G271" s="10" t="s">
        <v>123</v>
      </c>
      <c r="H271" s="10" t="s">
        <v>1276</v>
      </c>
      <c r="I271" s="14" t="s">
        <v>3054</v>
      </c>
      <c r="J271" s="1"/>
      <c r="K271" s="1"/>
      <c r="L271" s="1"/>
      <c r="M271" s="1"/>
      <c r="N271" s="1"/>
      <c r="O271" s="1"/>
      <c r="P271" s="1"/>
      <c r="Q271" s="1"/>
    </row>
    <row r="272" spans="1:17" ht="42.75">
      <c r="A272" s="10">
        <v>264</v>
      </c>
      <c r="B272" s="10" t="s">
        <v>1269</v>
      </c>
      <c r="C272" s="10" t="s">
        <v>1277</v>
      </c>
      <c r="D272" s="10" t="s">
        <v>1278</v>
      </c>
      <c r="E272" s="12">
        <v>0.5</v>
      </c>
      <c r="F272" s="10" t="s">
        <v>229</v>
      </c>
      <c r="G272" s="10" t="s">
        <v>123</v>
      </c>
      <c r="H272" s="10" t="s">
        <v>1279</v>
      </c>
      <c r="I272" s="14" t="s">
        <v>3055</v>
      </c>
      <c r="J272" s="1"/>
      <c r="K272" s="1"/>
      <c r="L272" s="1"/>
      <c r="M272" s="1"/>
      <c r="N272" s="1"/>
      <c r="O272" s="1"/>
      <c r="P272" s="1"/>
      <c r="Q272" s="1"/>
    </row>
    <row r="273" spans="1:17" ht="42.75">
      <c r="A273" s="10">
        <v>265</v>
      </c>
      <c r="B273" s="10" t="s">
        <v>1269</v>
      </c>
      <c r="C273" s="10" t="s">
        <v>1280</v>
      </c>
      <c r="D273" s="10" t="s">
        <v>1281</v>
      </c>
      <c r="E273" s="12">
        <v>0.5</v>
      </c>
      <c r="F273" s="10" t="s">
        <v>229</v>
      </c>
      <c r="G273" s="10" t="s">
        <v>123</v>
      </c>
      <c r="H273" s="10" t="s">
        <v>1282</v>
      </c>
      <c r="I273" s="14" t="s">
        <v>3056</v>
      </c>
      <c r="J273" s="1"/>
      <c r="K273" s="1"/>
      <c r="L273" s="1"/>
      <c r="M273" s="1"/>
      <c r="N273" s="1"/>
      <c r="O273" s="1"/>
      <c r="P273" s="1"/>
      <c r="Q273" s="1"/>
    </row>
    <row r="274" spans="1:17" ht="42.75">
      <c r="A274" s="10">
        <v>266</v>
      </c>
      <c r="B274" s="10" t="s">
        <v>1269</v>
      </c>
      <c r="C274" s="10" t="s">
        <v>1283</v>
      </c>
      <c r="D274" s="10" t="s">
        <v>1284</v>
      </c>
      <c r="E274" s="12">
        <v>20</v>
      </c>
      <c r="F274" s="10" t="s">
        <v>984</v>
      </c>
      <c r="G274" s="10" t="s">
        <v>123</v>
      </c>
      <c r="H274" s="10" t="s">
        <v>1285</v>
      </c>
      <c r="I274" s="14" t="s">
        <v>3057</v>
      </c>
      <c r="J274" s="1"/>
      <c r="K274" s="1"/>
      <c r="L274" s="1"/>
      <c r="M274" s="1"/>
      <c r="N274" s="1"/>
      <c r="O274" s="1"/>
      <c r="P274" s="1"/>
      <c r="Q274" s="1"/>
    </row>
    <row r="275" spans="1:17" ht="42.75">
      <c r="A275" s="10">
        <v>267</v>
      </c>
      <c r="B275" s="10" t="s">
        <v>1229</v>
      </c>
      <c r="C275" s="10" t="s">
        <v>1287</v>
      </c>
      <c r="D275" s="10" t="s">
        <v>1288</v>
      </c>
      <c r="E275" s="12">
        <v>2E-3</v>
      </c>
      <c r="F275" s="10" t="s">
        <v>1015</v>
      </c>
      <c r="G275" s="10" t="s">
        <v>3</v>
      </c>
      <c r="H275" s="10" t="s">
        <v>1289</v>
      </c>
      <c r="I275" s="14" t="s">
        <v>1290</v>
      </c>
      <c r="J275" s="1"/>
      <c r="K275" s="1"/>
      <c r="L275" s="1"/>
      <c r="M275" s="1"/>
      <c r="N275" s="1"/>
      <c r="O275" s="1"/>
      <c r="P275" s="1"/>
      <c r="Q275" s="1"/>
    </row>
    <row r="276" spans="1:17" ht="28.5">
      <c r="A276" s="10">
        <v>268</v>
      </c>
      <c r="B276" s="10" t="s">
        <v>1229</v>
      </c>
      <c r="C276" s="10" t="s">
        <v>1291</v>
      </c>
      <c r="D276" s="10" t="s">
        <v>1292</v>
      </c>
      <c r="E276" s="12">
        <v>0.05</v>
      </c>
      <c r="F276" s="10" t="s">
        <v>86</v>
      </c>
      <c r="G276" s="10" t="s">
        <v>3</v>
      </c>
      <c r="H276" s="10" t="s">
        <v>1293</v>
      </c>
      <c r="I276" s="14" t="s">
        <v>1294</v>
      </c>
      <c r="J276" s="1"/>
      <c r="K276" s="1"/>
      <c r="L276" s="1"/>
      <c r="M276" s="1"/>
      <c r="N276" s="1"/>
      <c r="O276" s="1"/>
      <c r="P276" s="1"/>
      <c r="Q276" s="1"/>
    </row>
    <row r="277" spans="1:17" ht="42.75">
      <c r="A277" s="10">
        <v>269</v>
      </c>
      <c r="B277" s="10" t="s">
        <v>1229</v>
      </c>
      <c r="C277" s="10" t="s">
        <v>1295</v>
      </c>
      <c r="D277" s="10" t="s">
        <v>1296</v>
      </c>
      <c r="E277" s="12">
        <v>0.8</v>
      </c>
      <c r="F277" s="10" t="s">
        <v>86</v>
      </c>
      <c r="G277" s="10" t="s">
        <v>123</v>
      </c>
      <c r="H277" s="10" t="s">
        <v>1293</v>
      </c>
      <c r="I277" s="14" t="s">
        <v>1297</v>
      </c>
      <c r="J277" s="1"/>
      <c r="K277" s="1"/>
      <c r="L277" s="1"/>
      <c r="M277" s="1"/>
      <c r="N277" s="1"/>
      <c r="O277" s="1"/>
      <c r="P277" s="1"/>
      <c r="Q277" s="1"/>
    </row>
    <row r="278" spans="1:17" ht="42.75">
      <c r="A278" s="10">
        <v>270</v>
      </c>
      <c r="B278" s="10" t="s">
        <v>1229</v>
      </c>
      <c r="C278" s="10" t="s">
        <v>1298</v>
      </c>
      <c r="D278" s="10" t="s">
        <v>1299</v>
      </c>
      <c r="E278" s="12">
        <v>0.3</v>
      </c>
      <c r="F278" s="10" t="s">
        <v>229</v>
      </c>
      <c r="G278" s="10" t="s">
        <v>123</v>
      </c>
      <c r="H278" s="10" t="s">
        <v>1300</v>
      </c>
      <c r="I278" s="14" t="s">
        <v>1301</v>
      </c>
      <c r="J278" s="1"/>
      <c r="K278" s="1"/>
      <c r="L278" s="1"/>
      <c r="M278" s="1"/>
      <c r="N278" s="1"/>
      <c r="O278" s="1"/>
      <c r="P278" s="1"/>
      <c r="Q278" s="1"/>
    </row>
    <row r="279" spans="1:17" ht="42.75">
      <c r="A279" s="10">
        <v>271</v>
      </c>
      <c r="B279" s="10" t="s">
        <v>1302</v>
      </c>
      <c r="C279" s="10" t="s">
        <v>1303</v>
      </c>
      <c r="D279" s="10" t="s">
        <v>1304</v>
      </c>
      <c r="E279" s="12">
        <v>500</v>
      </c>
      <c r="F279" s="10" t="s">
        <v>984</v>
      </c>
      <c r="G279" s="10" t="s">
        <v>3058</v>
      </c>
      <c r="H279" s="10" t="s">
        <v>1305</v>
      </c>
      <c r="I279" s="14" t="s">
        <v>3059</v>
      </c>
      <c r="J279" s="1"/>
      <c r="K279" s="1"/>
      <c r="L279" s="1"/>
      <c r="M279" s="1"/>
      <c r="N279" s="1"/>
      <c r="O279" s="1"/>
      <c r="P279" s="1"/>
      <c r="Q279" s="1"/>
    </row>
    <row r="280" spans="1:17" ht="28.5">
      <c r="A280" s="10">
        <v>272</v>
      </c>
      <c r="B280" s="10" t="s">
        <v>1302</v>
      </c>
      <c r="C280" s="10" t="s">
        <v>1307</v>
      </c>
      <c r="D280" s="10" t="s">
        <v>1308</v>
      </c>
      <c r="E280" s="12">
        <v>0.6</v>
      </c>
      <c r="F280" s="10" t="s">
        <v>86</v>
      </c>
      <c r="G280" s="10" t="s">
        <v>123</v>
      </c>
      <c r="H280" s="10" t="s">
        <v>1305</v>
      </c>
      <c r="I280" s="14" t="s">
        <v>3060</v>
      </c>
      <c r="J280" s="1"/>
      <c r="K280" s="1"/>
      <c r="L280" s="1"/>
      <c r="M280" s="1"/>
      <c r="N280" s="1"/>
      <c r="O280" s="1"/>
      <c r="P280" s="1"/>
      <c r="Q280" s="1"/>
    </row>
    <row r="281" spans="1:17" ht="28.5">
      <c r="A281" s="10">
        <v>273</v>
      </c>
      <c r="B281" s="10" t="s">
        <v>358</v>
      </c>
      <c r="C281" s="10" t="s">
        <v>1309</v>
      </c>
      <c r="D281" s="10" t="s">
        <v>1310</v>
      </c>
      <c r="E281" s="12">
        <v>0.2</v>
      </c>
      <c r="F281" s="10" t="s">
        <v>86</v>
      </c>
      <c r="G281" s="10" t="s">
        <v>123</v>
      </c>
      <c r="H281" s="10" t="s">
        <v>1311</v>
      </c>
      <c r="I281" s="14" t="s">
        <v>3061</v>
      </c>
      <c r="J281" s="1"/>
      <c r="K281" s="1"/>
      <c r="L281" s="1"/>
      <c r="M281" s="1"/>
      <c r="N281" s="1"/>
      <c r="O281" s="1"/>
      <c r="P281" s="1"/>
      <c r="Q281" s="1"/>
    </row>
    <row r="282" spans="1:17" ht="28.5">
      <c r="A282" s="10">
        <v>274</v>
      </c>
      <c r="B282" s="10" t="s">
        <v>789</v>
      </c>
      <c r="C282" s="10" t="s">
        <v>1313</v>
      </c>
      <c r="D282" s="10" t="s">
        <v>1314</v>
      </c>
      <c r="E282" s="12">
        <v>0.5</v>
      </c>
      <c r="F282" s="10" t="s">
        <v>808</v>
      </c>
      <c r="G282" s="10" t="s">
        <v>1317</v>
      </c>
      <c r="H282" s="10" t="s">
        <v>1315</v>
      </c>
      <c r="I282" s="14" t="s">
        <v>3062</v>
      </c>
      <c r="J282" s="1"/>
      <c r="K282" s="1"/>
      <c r="L282" s="1"/>
      <c r="M282" s="1"/>
      <c r="N282" s="1"/>
      <c r="O282" s="1"/>
      <c r="P282" s="1"/>
      <c r="Q282" s="1"/>
    </row>
    <row r="283" spans="1:17">
      <c r="A283" s="10">
        <v>275</v>
      </c>
      <c r="B283" s="10" t="s">
        <v>789</v>
      </c>
      <c r="C283" s="10" t="s">
        <v>1318</v>
      </c>
      <c r="D283" s="10" t="s">
        <v>1319</v>
      </c>
      <c r="E283" s="12">
        <v>16000</v>
      </c>
      <c r="F283" s="10" t="s">
        <v>96</v>
      </c>
      <c r="G283" s="10" t="s">
        <v>1317</v>
      </c>
      <c r="H283" s="10" t="s">
        <v>796</v>
      </c>
      <c r="I283" s="14" t="s">
        <v>1320</v>
      </c>
      <c r="J283" s="1"/>
      <c r="K283" s="1"/>
      <c r="L283" s="1"/>
      <c r="M283" s="1"/>
      <c r="N283" s="1"/>
      <c r="O283" s="1"/>
      <c r="P283" s="1"/>
      <c r="Q283" s="1"/>
    </row>
    <row r="284" spans="1:17" ht="28.5">
      <c r="A284" s="10">
        <v>276</v>
      </c>
      <c r="B284" s="10" t="s">
        <v>789</v>
      </c>
      <c r="C284" s="10" t="s">
        <v>1321</v>
      </c>
      <c r="D284" s="10" t="s">
        <v>1322</v>
      </c>
      <c r="E284" s="12">
        <v>0.5</v>
      </c>
      <c r="F284" s="10" t="s">
        <v>86</v>
      </c>
      <c r="G284" s="10" t="s">
        <v>123</v>
      </c>
      <c r="H284" s="10" t="s">
        <v>796</v>
      </c>
      <c r="I284" s="14" t="s">
        <v>1323</v>
      </c>
      <c r="J284" s="1"/>
      <c r="K284" s="1"/>
      <c r="L284" s="1"/>
      <c r="M284" s="1"/>
      <c r="N284" s="1"/>
      <c r="O284" s="1"/>
      <c r="P284" s="1"/>
      <c r="Q284" s="1"/>
    </row>
    <row r="285" spans="1:17" ht="28.5">
      <c r="A285" s="10">
        <v>277</v>
      </c>
      <c r="B285" s="10" t="s">
        <v>789</v>
      </c>
      <c r="C285" s="10" t="s">
        <v>1324</v>
      </c>
      <c r="D285" s="10" t="s">
        <v>1325</v>
      </c>
      <c r="E285" s="12">
        <v>0.5</v>
      </c>
      <c r="F285" s="10" t="s">
        <v>86</v>
      </c>
      <c r="G285" s="10" t="s">
        <v>123</v>
      </c>
      <c r="H285" s="10" t="s">
        <v>792</v>
      </c>
      <c r="I285" s="14" t="s">
        <v>1326</v>
      </c>
      <c r="J285" s="1"/>
      <c r="K285" s="1"/>
      <c r="L285" s="1"/>
      <c r="M285" s="1"/>
      <c r="N285" s="1"/>
      <c r="O285" s="1"/>
      <c r="P285" s="1"/>
      <c r="Q285" s="1"/>
    </row>
    <row r="286" spans="1:17" ht="28.5">
      <c r="A286" s="10">
        <v>278</v>
      </c>
      <c r="B286" s="10" t="s">
        <v>789</v>
      </c>
      <c r="C286" s="10" t="s">
        <v>1331</v>
      </c>
      <c r="D286" s="10" t="s">
        <v>1332</v>
      </c>
      <c r="E286" s="12">
        <v>0.6</v>
      </c>
      <c r="F286" s="10" t="s">
        <v>86</v>
      </c>
      <c r="G286" s="10" t="s">
        <v>123</v>
      </c>
      <c r="H286" s="10" t="s">
        <v>1333</v>
      </c>
      <c r="I286" s="14" t="s">
        <v>3063</v>
      </c>
      <c r="J286" s="1"/>
      <c r="K286" s="1"/>
      <c r="L286" s="1"/>
      <c r="M286" s="1"/>
      <c r="N286" s="1"/>
      <c r="O286" s="1"/>
      <c r="P286" s="1"/>
      <c r="Q286" s="1"/>
    </row>
    <row r="287" spans="1:17" ht="28.5">
      <c r="A287" s="10">
        <v>279</v>
      </c>
      <c r="B287" s="10" t="s">
        <v>111</v>
      </c>
      <c r="C287" s="10" t="s">
        <v>3064</v>
      </c>
      <c r="D287" s="10" t="s">
        <v>1341</v>
      </c>
      <c r="E287" s="12">
        <v>1.7</v>
      </c>
      <c r="F287" s="10" t="s">
        <v>73</v>
      </c>
      <c r="G287" s="10" t="s">
        <v>123</v>
      </c>
      <c r="H287" s="10" t="s">
        <v>1337</v>
      </c>
      <c r="I287" s="14" t="s">
        <v>1342</v>
      </c>
      <c r="J287" s="1"/>
      <c r="K287" s="1"/>
      <c r="L287" s="1"/>
      <c r="M287" s="1"/>
      <c r="N287" s="1"/>
      <c r="O287" s="1"/>
      <c r="P287" s="1"/>
      <c r="Q287" s="1"/>
    </row>
    <row r="288" spans="1:17" ht="42.75">
      <c r="A288" s="10">
        <v>280</v>
      </c>
      <c r="B288" s="10" t="s">
        <v>3065</v>
      </c>
      <c r="C288" s="10" t="s">
        <v>1382</v>
      </c>
      <c r="D288" s="10" t="s">
        <v>1383</v>
      </c>
      <c r="E288" s="12">
        <v>0.5</v>
      </c>
      <c r="F288" s="10" t="s">
        <v>86</v>
      </c>
      <c r="G288" s="10" t="s">
        <v>3066</v>
      </c>
      <c r="H288" s="10" t="s">
        <v>1337</v>
      </c>
      <c r="I288" s="14" t="s">
        <v>3067</v>
      </c>
      <c r="J288" s="1"/>
      <c r="K288" s="1"/>
      <c r="L288" s="1"/>
      <c r="M288" s="1"/>
      <c r="N288" s="1"/>
      <c r="O288" s="1"/>
      <c r="P288" s="1"/>
      <c r="Q288" s="1"/>
    </row>
    <row r="289" spans="1:17" ht="42.75">
      <c r="A289" s="10">
        <v>281</v>
      </c>
      <c r="B289" s="10" t="s">
        <v>3065</v>
      </c>
      <c r="C289" s="10" t="s">
        <v>1387</v>
      </c>
      <c r="D289" s="10" t="s">
        <v>1388</v>
      </c>
      <c r="E289" s="12">
        <v>1</v>
      </c>
      <c r="F289" s="10" t="s">
        <v>86</v>
      </c>
      <c r="G289" s="10" t="s">
        <v>1385</v>
      </c>
      <c r="H289" s="10" t="s">
        <v>1337</v>
      </c>
      <c r="I289" s="14" t="s">
        <v>3068</v>
      </c>
      <c r="J289" s="1"/>
      <c r="K289" s="1"/>
      <c r="L289" s="1"/>
      <c r="M289" s="1"/>
      <c r="N289" s="1"/>
      <c r="O289" s="1"/>
      <c r="P289" s="1"/>
      <c r="Q289" s="1"/>
    </row>
    <row r="290" spans="1:17">
      <c r="A290" s="10">
        <v>282</v>
      </c>
      <c r="B290" s="10" t="s">
        <v>3065</v>
      </c>
      <c r="C290" s="10" t="s">
        <v>1394</v>
      </c>
      <c r="D290" s="10" t="s">
        <v>1395</v>
      </c>
      <c r="E290" s="12">
        <v>0</v>
      </c>
      <c r="F290" s="10" t="s">
        <v>1396</v>
      </c>
      <c r="G290" s="10" t="s">
        <v>1385</v>
      </c>
      <c r="H290" s="10" t="s">
        <v>1202</v>
      </c>
      <c r="I290" s="14" t="s">
        <v>3069</v>
      </c>
      <c r="J290" s="1"/>
      <c r="K290" s="1"/>
      <c r="L290" s="1"/>
      <c r="M290" s="1"/>
      <c r="N290" s="1"/>
      <c r="O290" s="1"/>
      <c r="P290" s="1"/>
      <c r="Q290" s="1"/>
    </row>
    <row r="291" spans="1:17">
      <c r="A291" s="10">
        <v>283</v>
      </c>
      <c r="B291" s="10" t="s">
        <v>3065</v>
      </c>
      <c r="C291" s="10" t="s">
        <v>1399</v>
      </c>
      <c r="D291" s="10" t="s">
        <v>1400</v>
      </c>
      <c r="E291" s="12">
        <v>0</v>
      </c>
      <c r="F291" s="10" t="s">
        <v>1396</v>
      </c>
      <c r="G291" s="10" t="s">
        <v>1385</v>
      </c>
      <c r="H291" s="10" t="s">
        <v>1202</v>
      </c>
      <c r="I291" s="14" t="s">
        <v>3069</v>
      </c>
      <c r="J291" s="1"/>
      <c r="K291" s="1"/>
      <c r="L291" s="1"/>
      <c r="M291" s="1"/>
      <c r="N291" s="1"/>
      <c r="O291" s="1"/>
      <c r="P291" s="1"/>
      <c r="Q291" s="1"/>
    </row>
    <row r="292" spans="1:17">
      <c r="A292" s="10">
        <v>284</v>
      </c>
      <c r="B292" s="10" t="s">
        <v>3065</v>
      </c>
      <c r="C292" s="10" t="s">
        <v>1401</v>
      </c>
      <c r="D292" s="10" t="s">
        <v>1402</v>
      </c>
      <c r="E292" s="12">
        <v>0</v>
      </c>
      <c r="F292" s="10" t="s">
        <v>1396</v>
      </c>
      <c r="G292" s="10" t="s">
        <v>1385</v>
      </c>
      <c r="H292" s="10" t="s">
        <v>1202</v>
      </c>
      <c r="I292" s="14" t="s">
        <v>3069</v>
      </c>
      <c r="J292" s="1"/>
      <c r="K292" s="1"/>
      <c r="L292" s="1"/>
      <c r="M292" s="1"/>
      <c r="N292" s="1"/>
      <c r="O292" s="1"/>
      <c r="P292" s="1"/>
      <c r="Q292" s="1"/>
    </row>
    <row r="293" spans="1:17" ht="42.75">
      <c r="A293" s="10">
        <v>285</v>
      </c>
      <c r="B293" s="10" t="s">
        <v>3065</v>
      </c>
      <c r="C293" s="10" t="s">
        <v>1403</v>
      </c>
      <c r="D293" s="10" t="s">
        <v>1404</v>
      </c>
      <c r="E293" s="12">
        <v>0.5</v>
      </c>
      <c r="F293" s="10" t="s">
        <v>86</v>
      </c>
      <c r="G293" s="10" t="s">
        <v>1419</v>
      </c>
      <c r="H293" s="10" t="s">
        <v>1202</v>
      </c>
      <c r="I293" s="14" t="s">
        <v>1406</v>
      </c>
      <c r="J293" s="1"/>
      <c r="K293" s="1"/>
      <c r="L293" s="1"/>
      <c r="M293" s="1"/>
      <c r="N293" s="1"/>
      <c r="O293" s="1"/>
      <c r="P293" s="1"/>
      <c r="Q293" s="1"/>
    </row>
    <row r="294" spans="1:17">
      <c r="A294" s="10">
        <v>286</v>
      </c>
      <c r="B294" s="10" t="s">
        <v>3065</v>
      </c>
      <c r="C294" s="10" t="s">
        <v>1412</v>
      </c>
      <c r="D294" s="10" t="s">
        <v>1413</v>
      </c>
      <c r="E294" s="12">
        <v>2</v>
      </c>
      <c r="F294" s="10" t="s">
        <v>1414</v>
      </c>
      <c r="G294" s="10" t="s">
        <v>3070</v>
      </c>
      <c r="H294" s="10" t="s">
        <v>3071</v>
      </c>
      <c r="I294" s="14" t="s">
        <v>3072</v>
      </c>
      <c r="J294" s="1"/>
      <c r="K294" s="1"/>
      <c r="L294" s="1"/>
      <c r="M294" s="1"/>
      <c r="N294" s="1"/>
      <c r="O294" s="1"/>
      <c r="P294" s="1"/>
      <c r="Q294" s="1"/>
    </row>
    <row r="295" spans="1:17">
      <c r="A295" s="10">
        <v>287</v>
      </c>
      <c r="B295" s="10" t="s">
        <v>3065</v>
      </c>
      <c r="C295" s="10" t="s">
        <v>1417</v>
      </c>
      <c r="D295" s="10" t="s">
        <v>1418</v>
      </c>
      <c r="E295" s="12">
        <v>0.05</v>
      </c>
      <c r="F295" s="10" t="s">
        <v>229</v>
      </c>
      <c r="G295" s="10" t="s">
        <v>1419</v>
      </c>
      <c r="H295" s="10" t="s">
        <v>585</v>
      </c>
      <c r="I295" s="14" t="s">
        <v>3073</v>
      </c>
      <c r="J295" s="1"/>
      <c r="K295" s="1"/>
      <c r="L295" s="1"/>
      <c r="M295" s="1"/>
      <c r="N295" s="1"/>
      <c r="O295" s="1"/>
      <c r="P295" s="1"/>
      <c r="Q295" s="1"/>
    </row>
    <row r="296" spans="1:17">
      <c r="A296" s="10">
        <v>288</v>
      </c>
      <c r="B296" s="10" t="s">
        <v>3065</v>
      </c>
      <c r="C296" s="10" t="s">
        <v>1421</v>
      </c>
      <c r="D296" s="10" t="s">
        <v>1422</v>
      </c>
      <c r="E296" s="12">
        <v>2</v>
      </c>
      <c r="F296" s="10" t="s">
        <v>984</v>
      </c>
      <c r="G296" s="10" t="s">
        <v>1419</v>
      </c>
      <c r="H296" s="10" t="s">
        <v>1423</v>
      </c>
      <c r="I296" s="14" t="s">
        <v>3074</v>
      </c>
      <c r="J296" s="1"/>
      <c r="K296" s="1"/>
      <c r="L296" s="1"/>
      <c r="M296" s="1"/>
      <c r="N296" s="1"/>
      <c r="O296" s="1"/>
      <c r="P296" s="1"/>
      <c r="Q296" s="1"/>
    </row>
    <row r="297" spans="1:17" ht="28.5">
      <c r="A297" s="10">
        <v>289</v>
      </c>
      <c r="B297" s="10" t="s">
        <v>3065</v>
      </c>
      <c r="C297" s="10" t="s">
        <v>1425</v>
      </c>
      <c r="D297" s="10" t="s">
        <v>1426</v>
      </c>
      <c r="E297" s="12">
        <v>1200</v>
      </c>
      <c r="F297" s="10" t="s">
        <v>73</v>
      </c>
      <c r="G297" s="10" t="s">
        <v>1428</v>
      </c>
      <c r="H297" s="10" t="s">
        <v>2793</v>
      </c>
      <c r="I297" s="14" t="s">
        <v>3075</v>
      </c>
      <c r="J297" s="1"/>
      <c r="K297" s="1"/>
      <c r="L297" s="1"/>
      <c r="M297" s="1"/>
      <c r="N297" s="1"/>
      <c r="O297" s="1"/>
      <c r="P297" s="1"/>
      <c r="Q297" s="1"/>
    </row>
    <row r="298" spans="1:17" ht="28.5">
      <c r="A298" s="10">
        <v>290</v>
      </c>
      <c r="B298" s="10" t="s">
        <v>3065</v>
      </c>
      <c r="C298" s="10" t="s">
        <v>1430</v>
      </c>
      <c r="D298" s="10" t="s">
        <v>1431</v>
      </c>
      <c r="E298" s="12">
        <v>2</v>
      </c>
      <c r="F298" s="10" t="s">
        <v>86</v>
      </c>
      <c r="G298" s="10" t="s">
        <v>1419</v>
      </c>
      <c r="H298" s="10" t="s">
        <v>2793</v>
      </c>
      <c r="I298" s="14" t="s">
        <v>3076</v>
      </c>
      <c r="J298" s="1"/>
      <c r="K298" s="1"/>
      <c r="L298" s="1"/>
      <c r="M298" s="1"/>
      <c r="N298" s="1"/>
      <c r="O298" s="1"/>
      <c r="P298" s="1"/>
      <c r="Q298" s="1"/>
    </row>
    <row r="299" spans="1:17" ht="42.75">
      <c r="A299" s="1">
        <v>291</v>
      </c>
      <c r="B299" s="1" t="s">
        <v>1269</v>
      </c>
      <c r="C299" s="1" t="s">
        <v>1451</v>
      </c>
      <c r="D299" s="1" t="s">
        <v>1452</v>
      </c>
      <c r="E299" s="1">
        <v>6.4432989689999998</v>
      </c>
      <c r="F299" s="1" t="s">
        <v>808</v>
      </c>
      <c r="G299" s="1" t="s">
        <v>1317</v>
      </c>
      <c r="H299" s="1" t="s">
        <v>1285</v>
      </c>
      <c r="I299" s="1" t="s">
        <v>3077</v>
      </c>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9:I298">
    <cfRule type="expression" dxfId="6" priority="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00"/>
  <sheetViews>
    <sheetView workbookViewId="0">
      <selection activeCell="A4" sqref="A4"/>
    </sheetView>
  </sheetViews>
  <sheetFormatPr defaultRowHeight="14.25"/>
  <cols>
    <col min="1" max="1" width="8" customWidth="1"/>
    <col min="2" max="2" width="20" customWidth="1"/>
    <col min="3" max="3" width="34" customWidth="1"/>
    <col min="4" max="4" width="32" customWidth="1"/>
    <col min="5" max="5" width="14" customWidth="1"/>
    <col min="6" max="6" width="11" customWidth="1"/>
    <col min="7" max="7" width="32" customWidth="1"/>
    <col min="8" max="8" width="62" customWidth="1"/>
  </cols>
  <sheetData>
    <row r="1" spans="1:17" ht="19.5">
      <c r="A1" s="19" t="s">
        <v>3078</v>
      </c>
      <c r="B1" s="6"/>
      <c r="C1" s="6"/>
      <c r="D1" s="6"/>
      <c r="E1" s="6"/>
      <c r="F1" s="6"/>
      <c r="G1" s="6"/>
      <c r="H1" s="6"/>
      <c r="I1" s="1"/>
      <c r="J1" s="1"/>
      <c r="K1" s="1"/>
      <c r="L1" s="1"/>
      <c r="M1" s="1"/>
      <c r="N1" s="1"/>
      <c r="O1" s="1"/>
      <c r="P1" s="1"/>
      <c r="Q1" s="1"/>
    </row>
    <row r="2" spans="1:17">
      <c r="A2" s="1"/>
      <c r="B2" s="1"/>
      <c r="C2" s="1"/>
      <c r="D2" s="1"/>
      <c r="E2" s="1"/>
      <c r="F2" s="1"/>
      <c r="G2" s="1"/>
      <c r="H2" s="1"/>
      <c r="I2" s="1"/>
      <c r="J2" s="1"/>
      <c r="K2" s="1"/>
      <c r="L2" s="1"/>
      <c r="M2" s="1"/>
      <c r="N2" s="1"/>
      <c r="O2" s="1"/>
      <c r="P2" s="1"/>
      <c r="Q2" s="1"/>
    </row>
    <row r="3" spans="1:17">
      <c r="A3" s="1"/>
      <c r="B3" s="1"/>
      <c r="C3" s="1"/>
      <c r="D3" s="1"/>
      <c r="E3" s="1"/>
      <c r="F3" s="1"/>
      <c r="G3" s="1"/>
      <c r="H3" s="1"/>
      <c r="I3" s="1"/>
      <c r="J3" s="1"/>
      <c r="K3" s="1"/>
      <c r="L3" s="1"/>
      <c r="M3" s="1"/>
      <c r="N3" s="1"/>
      <c r="O3" s="1"/>
      <c r="P3" s="1"/>
      <c r="Q3" s="1"/>
    </row>
    <row r="4" spans="1:17" ht="15">
      <c r="A4" s="20" t="s">
        <v>3079</v>
      </c>
      <c r="B4" s="7"/>
      <c r="C4" s="7"/>
      <c r="D4" s="7"/>
      <c r="E4" s="7"/>
      <c r="F4" s="7"/>
      <c r="G4" s="7"/>
      <c r="H4" s="7"/>
      <c r="I4" s="1"/>
      <c r="J4" s="1"/>
      <c r="K4" s="1"/>
      <c r="L4" s="1"/>
      <c r="M4" s="1"/>
      <c r="N4" s="1"/>
      <c r="O4" s="1"/>
      <c r="P4" s="1"/>
      <c r="Q4" s="1"/>
    </row>
    <row r="5" spans="1:17">
      <c r="A5" s="1"/>
      <c r="B5" s="1"/>
      <c r="C5" s="1"/>
      <c r="D5" s="1"/>
      <c r="E5" s="1"/>
      <c r="F5" s="1"/>
      <c r="G5" s="1"/>
      <c r="H5" s="1"/>
      <c r="I5" s="1"/>
      <c r="J5" s="1"/>
      <c r="K5" s="1"/>
      <c r="L5" s="1"/>
      <c r="M5" s="1"/>
      <c r="N5" s="1"/>
      <c r="O5" s="1"/>
      <c r="P5" s="1"/>
      <c r="Q5" s="1"/>
    </row>
    <row r="6" spans="1:17">
      <c r="A6" s="1"/>
      <c r="B6" s="1"/>
      <c r="C6" s="1"/>
      <c r="D6" s="1"/>
      <c r="E6" s="1"/>
      <c r="F6" s="1"/>
      <c r="G6" s="1"/>
      <c r="H6" s="1"/>
      <c r="I6" s="1"/>
      <c r="J6" s="1"/>
      <c r="K6" s="1"/>
      <c r="L6" s="1"/>
      <c r="M6" s="1"/>
      <c r="N6" s="1"/>
      <c r="O6" s="1"/>
      <c r="P6" s="1"/>
      <c r="Q6" s="1"/>
    </row>
    <row r="7" spans="1:17">
      <c r="A7" s="1"/>
      <c r="B7" s="1"/>
      <c r="C7" s="1"/>
      <c r="D7" s="1"/>
      <c r="E7" s="1"/>
      <c r="F7" s="1"/>
      <c r="G7" s="1"/>
      <c r="H7" s="1"/>
      <c r="I7" s="1"/>
      <c r="J7" s="1"/>
      <c r="K7" s="1"/>
      <c r="L7" s="1"/>
      <c r="M7" s="1"/>
      <c r="N7" s="1"/>
      <c r="O7" s="1"/>
      <c r="P7" s="1"/>
      <c r="Q7" s="1"/>
    </row>
    <row r="8" spans="1:17" ht="15">
      <c r="A8" s="15" t="s">
        <v>3031</v>
      </c>
      <c r="B8" s="15" t="s">
        <v>48</v>
      </c>
      <c r="C8" s="15" t="s">
        <v>49</v>
      </c>
      <c r="D8" s="15" t="s">
        <v>50</v>
      </c>
      <c r="E8" s="15" t="s">
        <v>3080</v>
      </c>
      <c r="F8" s="15" t="s">
        <v>52</v>
      </c>
      <c r="G8" s="15" t="s">
        <v>53</v>
      </c>
      <c r="H8" s="15" t="s">
        <v>54</v>
      </c>
      <c r="I8" s="1"/>
      <c r="J8" s="1"/>
      <c r="K8" s="1"/>
      <c r="L8" s="1"/>
      <c r="M8" s="1"/>
      <c r="N8" s="1"/>
      <c r="O8" s="1"/>
      <c r="P8" s="1"/>
      <c r="Q8" s="1"/>
    </row>
    <row r="9" spans="1:17">
      <c r="A9" s="10">
        <v>1</v>
      </c>
      <c r="B9" s="10" t="s">
        <v>412</v>
      </c>
      <c r="C9" s="10" t="s">
        <v>413</v>
      </c>
      <c r="D9" s="10" t="s">
        <v>414</v>
      </c>
      <c r="E9" s="11">
        <v>0</v>
      </c>
      <c r="F9" s="10" t="s">
        <v>415</v>
      </c>
      <c r="G9" s="10" t="s">
        <v>416</v>
      </c>
      <c r="H9" s="14" t="s">
        <v>417</v>
      </c>
      <c r="I9" s="1"/>
      <c r="J9" s="1"/>
      <c r="K9" s="1"/>
      <c r="L9" s="1"/>
      <c r="M9" s="1"/>
      <c r="N9" s="1"/>
      <c r="O9" s="1"/>
      <c r="P9" s="1"/>
      <c r="Q9" s="1"/>
    </row>
    <row r="10" spans="1:17" ht="28.5">
      <c r="A10" s="10">
        <v>2</v>
      </c>
      <c r="B10" s="10" t="s">
        <v>751</v>
      </c>
      <c r="C10" s="10" t="s">
        <v>752</v>
      </c>
      <c r="D10" s="10" t="s">
        <v>753</v>
      </c>
      <c r="E10" s="11">
        <v>0</v>
      </c>
      <c r="F10" s="10" t="s">
        <v>415</v>
      </c>
      <c r="G10" s="10" t="s">
        <v>754</v>
      </c>
      <c r="H10" s="14" t="s">
        <v>3081</v>
      </c>
      <c r="I10" s="1"/>
      <c r="J10" s="1"/>
      <c r="K10" s="1"/>
      <c r="L10" s="1"/>
      <c r="M10" s="1"/>
      <c r="N10" s="1"/>
      <c r="O10" s="1"/>
      <c r="P10" s="1"/>
      <c r="Q10" s="1"/>
    </row>
    <row r="11" spans="1:17" ht="28.5">
      <c r="A11" s="10">
        <v>3</v>
      </c>
      <c r="B11" s="10" t="s">
        <v>769</v>
      </c>
      <c r="C11" s="10" t="s">
        <v>770</v>
      </c>
      <c r="D11" s="10" t="s">
        <v>771</v>
      </c>
      <c r="E11" s="11">
        <v>0</v>
      </c>
      <c r="F11" s="10" t="s">
        <v>415</v>
      </c>
      <c r="G11" s="10" t="s">
        <v>772</v>
      </c>
      <c r="H11" s="14" t="s">
        <v>3082</v>
      </c>
      <c r="I11" s="1"/>
      <c r="J11" s="1"/>
      <c r="K11" s="1"/>
      <c r="L11" s="1"/>
      <c r="M11" s="1"/>
      <c r="N11" s="1"/>
      <c r="O11" s="1"/>
      <c r="P11" s="1"/>
      <c r="Q11" s="1"/>
    </row>
    <row r="12" spans="1:17" ht="28.5">
      <c r="A12" s="10">
        <v>4</v>
      </c>
      <c r="B12" s="10" t="s">
        <v>769</v>
      </c>
      <c r="C12" s="10" t="s">
        <v>782</v>
      </c>
      <c r="D12" s="10" t="s">
        <v>783</v>
      </c>
      <c r="E12" s="11">
        <v>0</v>
      </c>
      <c r="F12" s="10" t="s">
        <v>415</v>
      </c>
      <c r="G12" s="10" t="s">
        <v>784</v>
      </c>
      <c r="H12" s="14" t="s">
        <v>3083</v>
      </c>
      <c r="I12" s="1"/>
      <c r="J12" s="1"/>
      <c r="K12" s="1"/>
      <c r="L12" s="1"/>
      <c r="M12" s="1"/>
      <c r="N12" s="1"/>
      <c r="O12" s="1"/>
      <c r="P12" s="1"/>
      <c r="Q12" s="1"/>
    </row>
    <row r="13" spans="1:17" ht="28.5">
      <c r="A13" s="10">
        <v>5</v>
      </c>
      <c r="B13" s="10" t="s">
        <v>839</v>
      </c>
      <c r="C13" s="10" t="s">
        <v>843</v>
      </c>
      <c r="D13" s="10" t="s">
        <v>844</v>
      </c>
      <c r="E13" s="11">
        <v>0</v>
      </c>
      <c r="F13" s="10" t="s">
        <v>415</v>
      </c>
      <c r="G13" s="10" t="s">
        <v>845</v>
      </c>
      <c r="H13" s="14" t="s">
        <v>3084</v>
      </c>
      <c r="I13" s="1"/>
      <c r="J13" s="1"/>
      <c r="K13" s="1"/>
      <c r="L13" s="1"/>
      <c r="M13" s="1"/>
      <c r="N13" s="1"/>
      <c r="O13" s="1"/>
      <c r="P13" s="1"/>
      <c r="Q13" s="1"/>
    </row>
    <row r="14" spans="1:17" ht="28.5">
      <c r="A14" s="10">
        <v>6</v>
      </c>
      <c r="B14" s="10" t="s">
        <v>971</v>
      </c>
      <c r="C14" s="10" t="s">
        <v>972</v>
      </c>
      <c r="D14" s="10" t="s">
        <v>973</v>
      </c>
      <c r="E14" s="11">
        <v>0</v>
      </c>
      <c r="F14" s="10" t="s">
        <v>415</v>
      </c>
      <c r="G14" s="10" t="s">
        <v>974</v>
      </c>
      <c r="H14" s="14" t="s">
        <v>3085</v>
      </c>
      <c r="I14" s="1"/>
      <c r="J14" s="1"/>
      <c r="K14" s="1"/>
      <c r="L14" s="1"/>
      <c r="M14" s="1"/>
      <c r="N14" s="1"/>
      <c r="O14" s="1"/>
      <c r="P14" s="1"/>
      <c r="Q14" s="1"/>
    </row>
    <row r="15" spans="1:17">
      <c r="A15" s="10">
        <v>7</v>
      </c>
      <c r="B15" s="10" t="s">
        <v>789</v>
      </c>
      <c r="C15" s="10" t="s">
        <v>986</v>
      </c>
      <c r="D15" s="10" t="s">
        <v>987</v>
      </c>
      <c r="E15" s="11">
        <v>0</v>
      </c>
      <c r="F15" s="10" t="s">
        <v>415</v>
      </c>
      <c r="G15" s="10" t="s">
        <v>792</v>
      </c>
      <c r="H15" s="14" t="s">
        <v>3086</v>
      </c>
      <c r="I15" s="1"/>
      <c r="J15" s="1"/>
      <c r="K15" s="1"/>
      <c r="L15" s="1"/>
      <c r="M15" s="1"/>
      <c r="N15" s="1"/>
      <c r="O15" s="1"/>
      <c r="P15" s="1"/>
      <c r="Q15" s="1"/>
    </row>
    <row r="16" spans="1:17" ht="28.5">
      <c r="A16" s="10">
        <v>8</v>
      </c>
      <c r="B16" s="10" t="s">
        <v>999</v>
      </c>
      <c r="C16" s="10" t="s">
        <v>1000</v>
      </c>
      <c r="D16" s="10" t="s">
        <v>1001</v>
      </c>
      <c r="E16" s="11">
        <v>0</v>
      </c>
      <c r="F16" s="10" t="s">
        <v>415</v>
      </c>
      <c r="G16" s="10" t="s">
        <v>1002</v>
      </c>
      <c r="H16" s="14" t="s">
        <v>3087</v>
      </c>
      <c r="I16" s="1"/>
      <c r="J16" s="1"/>
      <c r="K16" s="1"/>
      <c r="L16" s="1"/>
      <c r="M16" s="1"/>
      <c r="N16" s="1"/>
      <c r="O16" s="1"/>
      <c r="P16" s="1"/>
      <c r="Q16" s="1"/>
    </row>
    <row r="17" spans="1:17" ht="28.5">
      <c r="A17" s="10">
        <v>9</v>
      </c>
      <c r="B17" s="10" t="s">
        <v>1049</v>
      </c>
      <c r="C17" s="10" t="s">
        <v>1061</v>
      </c>
      <c r="D17" s="10" t="s">
        <v>1062</v>
      </c>
      <c r="E17" s="11">
        <v>0</v>
      </c>
      <c r="F17" s="10" t="s">
        <v>415</v>
      </c>
      <c r="G17" s="10" t="s">
        <v>1063</v>
      </c>
      <c r="H17" s="14" t="s">
        <v>3088</v>
      </c>
      <c r="I17" s="1"/>
      <c r="J17" s="1"/>
      <c r="K17" s="1"/>
      <c r="L17" s="1"/>
      <c r="M17" s="1"/>
      <c r="N17" s="1"/>
      <c r="O17" s="1"/>
      <c r="P17" s="1"/>
      <c r="Q17" s="1"/>
    </row>
    <row r="18" spans="1:17" ht="28.5">
      <c r="A18" s="10">
        <v>10</v>
      </c>
      <c r="B18" s="10" t="s">
        <v>1075</v>
      </c>
      <c r="C18" s="10" t="s">
        <v>1076</v>
      </c>
      <c r="D18" s="10" t="s">
        <v>1077</v>
      </c>
      <c r="E18" s="11">
        <v>0</v>
      </c>
      <c r="F18" s="10" t="s">
        <v>415</v>
      </c>
      <c r="G18" s="10" t="s">
        <v>1078</v>
      </c>
      <c r="H18" s="14" t="s">
        <v>3089</v>
      </c>
      <c r="I18" s="1"/>
      <c r="J18" s="1"/>
      <c r="K18" s="1"/>
      <c r="L18" s="1"/>
      <c r="M18" s="1"/>
      <c r="N18" s="1"/>
      <c r="O18" s="1"/>
      <c r="P18" s="1"/>
      <c r="Q18" s="1"/>
    </row>
    <row r="19" spans="1:17" ht="28.5">
      <c r="A19" s="10">
        <v>11</v>
      </c>
      <c r="B19" s="10" t="s">
        <v>1075</v>
      </c>
      <c r="C19" s="10" t="s">
        <v>1091</v>
      </c>
      <c r="D19" s="10" t="s">
        <v>1092</v>
      </c>
      <c r="E19" s="11">
        <v>0</v>
      </c>
      <c r="F19" s="10" t="s">
        <v>415</v>
      </c>
      <c r="G19" s="10" t="s">
        <v>1093</v>
      </c>
      <c r="H19" s="14" t="s">
        <v>3090</v>
      </c>
      <c r="I19" s="1"/>
      <c r="J19" s="1"/>
      <c r="K19" s="1"/>
      <c r="L19" s="1"/>
      <c r="M19" s="1"/>
      <c r="N19" s="1"/>
      <c r="O19" s="1"/>
      <c r="P19" s="1"/>
      <c r="Q19" s="1"/>
    </row>
    <row r="20" spans="1:17" ht="28.5">
      <c r="A20" s="10">
        <v>12</v>
      </c>
      <c r="B20" s="10" t="s">
        <v>1114</v>
      </c>
      <c r="C20" s="10" t="s">
        <v>1115</v>
      </c>
      <c r="D20" s="10" t="s">
        <v>1116</v>
      </c>
      <c r="E20" s="11">
        <v>1</v>
      </c>
      <c r="F20" s="10" t="s">
        <v>415</v>
      </c>
      <c r="G20" s="10" t="s">
        <v>1117</v>
      </c>
      <c r="H20" s="14" t="s">
        <v>3091</v>
      </c>
      <c r="I20" s="1"/>
      <c r="J20" s="1"/>
      <c r="K20" s="1"/>
      <c r="L20" s="1"/>
      <c r="M20" s="1"/>
      <c r="N20" s="1"/>
      <c r="O20" s="1"/>
      <c r="P20" s="1"/>
      <c r="Q20" s="1"/>
    </row>
    <row r="21" spans="1:17" ht="28.5">
      <c r="A21" s="10">
        <v>13</v>
      </c>
      <c r="B21" s="10" t="s">
        <v>296</v>
      </c>
      <c r="C21" s="10" t="s">
        <v>944</v>
      </c>
      <c r="D21" s="10" t="s">
        <v>945</v>
      </c>
      <c r="E21" s="11">
        <v>0</v>
      </c>
      <c r="F21" s="10" t="s">
        <v>415</v>
      </c>
      <c r="G21" s="10" t="s">
        <v>946</v>
      </c>
      <c r="H21" s="14" t="s">
        <v>3092</v>
      </c>
      <c r="I21" s="1"/>
      <c r="J21" s="1"/>
      <c r="K21" s="1"/>
      <c r="L21" s="1"/>
      <c r="M21" s="1"/>
      <c r="N21" s="1"/>
      <c r="O21" s="1"/>
      <c r="P21" s="1"/>
      <c r="Q21" s="1"/>
    </row>
    <row r="22" spans="1:17" ht="28.5">
      <c r="A22" s="10">
        <v>14</v>
      </c>
      <c r="B22" s="10" t="s">
        <v>296</v>
      </c>
      <c r="C22" s="10" t="s">
        <v>962</v>
      </c>
      <c r="D22" s="10" t="s">
        <v>963</v>
      </c>
      <c r="E22" s="11">
        <v>1</v>
      </c>
      <c r="F22" s="10" t="s">
        <v>86</v>
      </c>
      <c r="G22" s="10" t="s">
        <v>964</v>
      </c>
      <c r="H22" s="14" t="s">
        <v>3093</v>
      </c>
      <c r="I22" s="1"/>
      <c r="J22" s="1"/>
      <c r="K22" s="1"/>
      <c r="L22" s="1"/>
      <c r="M22" s="1"/>
      <c r="N22" s="1"/>
      <c r="O22" s="1"/>
      <c r="P22" s="1"/>
      <c r="Q22" s="1"/>
    </row>
    <row r="23" spans="1:17">
      <c r="A23" s="10">
        <v>15</v>
      </c>
      <c r="B23" s="10" t="s">
        <v>650</v>
      </c>
      <c r="C23" s="10" t="s">
        <v>651</v>
      </c>
      <c r="D23" s="10" t="s">
        <v>652</v>
      </c>
      <c r="E23" s="11">
        <v>4</v>
      </c>
      <c r="F23" s="10" t="s">
        <v>653</v>
      </c>
      <c r="G23" s="10" t="s">
        <v>654</v>
      </c>
      <c r="H23" s="14" t="s">
        <v>655</v>
      </c>
      <c r="I23" s="1"/>
      <c r="J23" s="1"/>
      <c r="K23" s="1"/>
      <c r="L23" s="1"/>
      <c r="M23" s="1"/>
      <c r="N23" s="1"/>
      <c r="O23" s="1"/>
      <c r="P23" s="1"/>
      <c r="Q23" s="1"/>
    </row>
    <row r="24" spans="1:17">
      <c r="A24" s="10">
        <v>16</v>
      </c>
      <c r="B24" s="10" t="s">
        <v>650</v>
      </c>
      <c r="C24" s="10" t="s">
        <v>656</v>
      </c>
      <c r="D24" s="10" t="s">
        <v>657</v>
      </c>
      <c r="E24" s="11">
        <v>4</v>
      </c>
      <c r="F24" s="10" t="s">
        <v>653</v>
      </c>
      <c r="G24" s="10" t="s">
        <v>658</v>
      </c>
      <c r="H24" s="14" t="s">
        <v>655</v>
      </c>
      <c r="I24" s="1"/>
      <c r="J24" s="1"/>
      <c r="K24" s="1"/>
      <c r="L24" s="1"/>
      <c r="M24" s="1"/>
      <c r="N24" s="1"/>
      <c r="O24" s="1"/>
      <c r="P24" s="1"/>
      <c r="Q24" s="1"/>
    </row>
    <row r="25" spans="1:17">
      <c r="A25" s="10">
        <v>17</v>
      </c>
      <c r="B25" s="10" t="s">
        <v>1012</v>
      </c>
      <c r="C25" s="10" t="s">
        <v>1025</v>
      </c>
      <c r="D25" s="10" t="s">
        <v>1026</v>
      </c>
      <c r="E25" s="11">
        <v>0</v>
      </c>
      <c r="F25" s="10" t="s">
        <v>1027</v>
      </c>
      <c r="G25" s="10" t="s">
        <v>1028</v>
      </c>
      <c r="H25" s="14" t="s">
        <v>1029</v>
      </c>
      <c r="I25" s="1"/>
      <c r="J25" s="1"/>
      <c r="K25" s="1"/>
      <c r="L25" s="1"/>
      <c r="M25" s="1"/>
      <c r="N25" s="1"/>
      <c r="O25" s="1"/>
      <c r="P25" s="1"/>
      <c r="Q25" s="1"/>
    </row>
    <row r="26" spans="1:17">
      <c r="A26" s="10">
        <v>18</v>
      </c>
      <c r="B26" s="10" t="s">
        <v>1208</v>
      </c>
      <c r="C26" s="10" t="s">
        <v>1209</v>
      </c>
      <c r="D26" s="10" t="s">
        <v>1210</v>
      </c>
      <c r="E26" s="11">
        <v>0</v>
      </c>
      <c r="F26" s="10" t="s">
        <v>415</v>
      </c>
      <c r="G26" s="10" t="s">
        <v>1211</v>
      </c>
      <c r="H26" s="14" t="s">
        <v>3094</v>
      </c>
      <c r="I26" s="1"/>
      <c r="J26" s="1"/>
      <c r="K26" s="1"/>
      <c r="L26" s="1"/>
      <c r="M26" s="1"/>
      <c r="N26" s="1"/>
      <c r="O26" s="1"/>
      <c r="P26" s="1"/>
      <c r="Q26" s="1"/>
    </row>
    <row r="27" spans="1:17">
      <c r="A27" s="10">
        <v>19</v>
      </c>
      <c r="B27" s="10" t="s">
        <v>1212</v>
      </c>
      <c r="C27" s="10" t="s">
        <v>1213</v>
      </c>
      <c r="D27" s="10" t="s">
        <v>1214</v>
      </c>
      <c r="E27" s="11">
        <v>0</v>
      </c>
      <c r="F27" s="10" t="s">
        <v>415</v>
      </c>
      <c r="G27" s="10" t="s">
        <v>1215</v>
      </c>
      <c r="H27" s="14" t="s">
        <v>3095</v>
      </c>
      <c r="I27" s="1"/>
      <c r="J27" s="1"/>
      <c r="K27" s="1"/>
      <c r="L27" s="1"/>
      <c r="M27" s="1"/>
      <c r="N27" s="1"/>
      <c r="O27" s="1"/>
      <c r="P27" s="1"/>
      <c r="Q27" s="1"/>
    </row>
    <row r="28" spans="1:17">
      <c r="A28" s="10">
        <v>20</v>
      </c>
      <c r="B28" s="10" t="s">
        <v>650</v>
      </c>
      <c r="C28" s="10" t="s">
        <v>1216</v>
      </c>
      <c r="D28" s="10" t="s">
        <v>1217</v>
      </c>
      <c r="E28" s="11">
        <v>0</v>
      </c>
      <c r="F28" s="10" t="s">
        <v>415</v>
      </c>
      <c r="G28" s="10" t="s">
        <v>1218</v>
      </c>
      <c r="H28" s="14" t="s">
        <v>674</v>
      </c>
      <c r="I28" s="1"/>
      <c r="J28" s="1"/>
      <c r="K28" s="1"/>
      <c r="L28" s="1"/>
      <c r="M28" s="1"/>
      <c r="N28" s="1"/>
      <c r="O28" s="1"/>
      <c r="P28" s="1"/>
      <c r="Q28" s="1"/>
    </row>
    <row r="29" spans="1:17" ht="28.5">
      <c r="A29" s="10">
        <v>21</v>
      </c>
      <c r="B29" s="10" t="s">
        <v>1219</v>
      </c>
      <c r="C29" s="10" t="s">
        <v>1220</v>
      </c>
      <c r="D29" s="10" t="s">
        <v>1221</v>
      </c>
      <c r="E29" s="11">
        <v>0</v>
      </c>
      <c r="F29" s="10" t="s">
        <v>415</v>
      </c>
      <c r="G29" s="10" t="s">
        <v>1222</v>
      </c>
      <c r="H29" s="14" t="s">
        <v>3096</v>
      </c>
      <c r="I29" s="1"/>
      <c r="J29" s="1"/>
      <c r="K29" s="1"/>
      <c r="L29" s="1"/>
      <c r="M29" s="1"/>
      <c r="N29" s="1"/>
      <c r="O29" s="1"/>
      <c r="P29" s="1"/>
      <c r="Q29" s="1"/>
    </row>
    <row r="30" spans="1:17" ht="28.5">
      <c r="A30" s="10">
        <v>22</v>
      </c>
      <c r="B30" s="10" t="s">
        <v>1224</v>
      </c>
      <c r="C30" s="10" t="s">
        <v>1225</v>
      </c>
      <c r="D30" s="10" t="s">
        <v>1226</v>
      </c>
      <c r="E30" s="11">
        <v>0</v>
      </c>
      <c r="F30" s="10" t="s">
        <v>415</v>
      </c>
      <c r="G30" s="10" t="s">
        <v>1227</v>
      </c>
      <c r="H30" s="14" t="s">
        <v>3097</v>
      </c>
      <c r="I30" s="1"/>
      <c r="J30" s="1"/>
      <c r="K30" s="1"/>
      <c r="L30" s="1"/>
      <c r="M30" s="1"/>
      <c r="N30" s="1"/>
      <c r="O30" s="1"/>
      <c r="P30" s="1"/>
      <c r="Q30" s="1"/>
    </row>
    <row r="31" spans="1:17">
      <c r="A31" s="10">
        <v>23</v>
      </c>
      <c r="B31" s="10" t="s">
        <v>1229</v>
      </c>
      <c r="C31" s="10" t="s">
        <v>1230</v>
      </c>
      <c r="D31" s="10" t="s">
        <v>1231</v>
      </c>
      <c r="E31" s="11">
        <v>0</v>
      </c>
      <c r="F31" s="10" t="s">
        <v>415</v>
      </c>
      <c r="G31" s="10" t="s">
        <v>3098</v>
      </c>
      <c r="H31" s="14" t="s">
        <v>3099</v>
      </c>
      <c r="I31" s="1"/>
      <c r="J31" s="1"/>
      <c r="K31" s="1"/>
      <c r="L31" s="1"/>
      <c r="M31" s="1"/>
      <c r="N31" s="1"/>
      <c r="O31" s="1"/>
      <c r="P31" s="1"/>
      <c r="Q31" s="1"/>
    </row>
    <row r="32" spans="1:17" ht="28.5">
      <c r="A32" s="10">
        <v>24</v>
      </c>
      <c r="B32" s="10" t="s">
        <v>1229</v>
      </c>
      <c r="C32" s="10" t="s">
        <v>1234</v>
      </c>
      <c r="D32" s="10" t="s">
        <v>1235</v>
      </c>
      <c r="E32" s="11">
        <v>0</v>
      </c>
      <c r="F32" s="10" t="s">
        <v>415</v>
      </c>
      <c r="G32" s="10" t="s">
        <v>1236</v>
      </c>
      <c r="H32" s="14" t="s">
        <v>3100</v>
      </c>
      <c r="I32" s="1"/>
      <c r="J32" s="1"/>
      <c r="K32" s="1"/>
      <c r="L32" s="1"/>
      <c r="M32" s="1"/>
      <c r="N32" s="1"/>
      <c r="O32" s="1"/>
      <c r="P32" s="1"/>
      <c r="Q32" s="1"/>
    </row>
    <row r="33" spans="1:17">
      <c r="A33" s="10">
        <v>25</v>
      </c>
      <c r="B33" s="10" t="s">
        <v>789</v>
      </c>
      <c r="C33" s="10" t="s">
        <v>1327</v>
      </c>
      <c r="D33" s="10" t="s">
        <v>1328</v>
      </c>
      <c r="E33" s="11">
        <v>0</v>
      </c>
      <c r="F33" s="10" t="s">
        <v>415</v>
      </c>
      <c r="G33" s="10" t="s">
        <v>1329</v>
      </c>
      <c r="H33" s="14" t="s">
        <v>3101</v>
      </c>
      <c r="I33" s="1"/>
      <c r="J33" s="1"/>
      <c r="K33" s="1"/>
      <c r="L33" s="1"/>
      <c r="M33" s="1"/>
      <c r="N33" s="1"/>
      <c r="O33" s="1"/>
      <c r="P33" s="1"/>
      <c r="Q33" s="1"/>
    </row>
    <row r="34" spans="1:17">
      <c r="A34" s="10">
        <v>26</v>
      </c>
      <c r="B34" s="10" t="s">
        <v>1366</v>
      </c>
      <c r="C34" s="10" t="s">
        <v>1367</v>
      </c>
      <c r="D34" s="10" t="s">
        <v>1368</v>
      </c>
      <c r="E34" s="11">
        <v>0</v>
      </c>
      <c r="F34" s="10" t="s">
        <v>415</v>
      </c>
      <c r="G34" s="10" t="s">
        <v>3102</v>
      </c>
      <c r="H34" s="14" t="s">
        <v>3103</v>
      </c>
      <c r="I34" s="1"/>
      <c r="J34" s="1"/>
      <c r="K34" s="1"/>
      <c r="L34" s="1"/>
      <c r="M34" s="1"/>
      <c r="N34" s="1"/>
      <c r="O34" s="1"/>
      <c r="P34" s="1"/>
      <c r="Q34" s="1"/>
    </row>
    <row r="35" spans="1:17" ht="28.5">
      <c r="A35" s="10">
        <v>27</v>
      </c>
      <c r="B35" s="10" t="s">
        <v>1366</v>
      </c>
      <c r="C35" s="10" t="s">
        <v>3104</v>
      </c>
      <c r="D35" s="10" t="s">
        <v>1378</v>
      </c>
      <c r="E35" s="11">
        <v>0</v>
      </c>
      <c r="F35" s="10" t="s">
        <v>415</v>
      </c>
      <c r="G35" s="10" t="s">
        <v>1379</v>
      </c>
      <c r="H35" s="14" t="s">
        <v>3105</v>
      </c>
      <c r="I35" s="1"/>
      <c r="J35" s="1"/>
      <c r="K35" s="1"/>
      <c r="L35" s="1"/>
      <c r="M35" s="1"/>
      <c r="N35" s="1"/>
      <c r="O35" s="1"/>
      <c r="P35" s="1"/>
      <c r="Q35" s="1"/>
    </row>
    <row r="36" spans="1:17">
      <c r="A36" s="1"/>
      <c r="B36" s="1"/>
      <c r="C36" s="1"/>
      <c r="D36" s="1"/>
      <c r="E36" s="1"/>
      <c r="F36" s="1"/>
      <c r="G36" s="1"/>
      <c r="H36" s="1"/>
      <c r="I36" s="1"/>
      <c r="J36" s="1"/>
      <c r="K36" s="1"/>
      <c r="L36" s="1"/>
      <c r="M36" s="1"/>
      <c r="N36" s="1"/>
      <c r="O36" s="1"/>
      <c r="P36" s="1"/>
      <c r="Q36" s="1"/>
    </row>
    <row r="37" spans="1:17">
      <c r="A37" s="1"/>
      <c r="B37" s="1"/>
      <c r="C37" s="1"/>
      <c r="D37" s="1"/>
      <c r="E37" s="1"/>
      <c r="F37" s="1"/>
      <c r="G37" s="1"/>
      <c r="H37" s="1"/>
      <c r="I37" s="1"/>
      <c r="J37" s="1"/>
      <c r="K37" s="1"/>
      <c r="L37" s="1"/>
      <c r="M37" s="1"/>
      <c r="N37" s="1"/>
      <c r="O37" s="1"/>
      <c r="P37" s="1"/>
      <c r="Q37" s="1"/>
    </row>
    <row r="38" spans="1:17">
      <c r="A38" s="1"/>
      <c r="B38" s="1"/>
      <c r="C38" s="1"/>
      <c r="D38" s="1"/>
      <c r="E38" s="1"/>
      <c r="F38" s="1"/>
      <c r="G38" s="1"/>
      <c r="H38" s="1"/>
      <c r="I38" s="1"/>
      <c r="J38" s="1"/>
      <c r="K38" s="1"/>
      <c r="L38" s="1"/>
      <c r="M38" s="1"/>
      <c r="N38" s="1"/>
      <c r="O38" s="1"/>
      <c r="P38" s="1"/>
      <c r="Q38" s="1"/>
    </row>
    <row r="39" spans="1:17">
      <c r="A39" s="1"/>
      <c r="B39" s="1"/>
      <c r="C39" s="1"/>
      <c r="D39" s="1"/>
      <c r="E39" s="1"/>
      <c r="F39" s="1"/>
      <c r="G39" s="1"/>
      <c r="H39" s="1"/>
      <c r="I39" s="1"/>
      <c r="J39" s="1"/>
      <c r="K39" s="1"/>
      <c r="L39" s="1"/>
      <c r="M39" s="1"/>
      <c r="N39" s="1"/>
      <c r="O39" s="1"/>
      <c r="P39" s="1"/>
      <c r="Q39" s="1"/>
    </row>
    <row r="40" spans="1:17">
      <c r="A40" s="1"/>
      <c r="B40" s="1"/>
      <c r="C40" s="1"/>
      <c r="D40" s="1"/>
      <c r="E40" s="1"/>
      <c r="F40" s="1"/>
      <c r="G40" s="1"/>
      <c r="H40" s="1"/>
      <c r="I40" s="1"/>
      <c r="J40" s="1"/>
      <c r="K40" s="1"/>
      <c r="L40" s="1"/>
      <c r="M40" s="1"/>
      <c r="N40" s="1"/>
      <c r="O40" s="1"/>
      <c r="P40" s="1"/>
      <c r="Q40" s="1"/>
    </row>
    <row r="41" spans="1:17">
      <c r="A41" s="1"/>
      <c r="B41" s="1"/>
      <c r="C41" s="1"/>
      <c r="D41" s="1"/>
      <c r="E41" s="1"/>
      <c r="F41" s="1"/>
      <c r="G41" s="1"/>
      <c r="H41" s="1"/>
      <c r="I41" s="1"/>
      <c r="J41" s="1"/>
      <c r="K41" s="1"/>
      <c r="L41" s="1"/>
      <c r="M41" s="1"/>
      <c r="N41" s="1"/>
      <c r="O41" s="1"/>
      <c r="P41" s="1"/>
      <c r="Q41" s="1"/>
    </row>
    <row r="42" spans="1:17">
      <c r="A42" s="1"/>
      <c r="B42" s="1"/>
      <c r="C42" s="1"/>
      <c r="D42" s="1"/>
      <c r="E42" s="1"/>
      <c r="F42" s="1"/>
      <c r="G42" s="1"/>
      <c r="H42" s="1"/>
      <c r="I42" s="1"/>
      <c r="J42" s="1"/>
      <c r="K42" s="1"/>
      <c r="L42" s="1"/>
      <c r="M42" s="1"/>
      <c r="N42" s="1"/>
      <c r="O42" s="1"/>
      <c r="P42" s="1"/>
      <c r="Q42" s="1"/>
    </row>
    <row r="43" spans="1:17">
      <c r="A43" s="1"/>
      <c r="B43" s="1"/>
      <c r="C43" s="1"/>
      <c r="D43" s="1"/>
      <c r="E43" s="1"/>
      <c r="F43" s="1"/>
      <c r="G43" s="1"/>
      <c r="H43" s="1"/>
      <c r="I43" s="1"/>
      <c r="J43" s="1"/>
      <c r="K43" s="1"/>
      <c r="L43" s="1"/>
      <c r="M43" s="1"/>
      <c r="N43" s="1"/>
      <c r="O43" s="1"/>
      <c r="P43" s="1"/>
      <c r="Q43" s="1"/>
    </row>
    <row r="44" spans="1:17">
      <c r="A44" s="1"/>
      <c r="B44" s="1"/>
      <c r="C44" s="1"/>
      <c r="D44" s="1"/>
      <c r="E44" s="1"/>
      <c r="F44" s="1"/>
      <c r="G44" s="1"/>
      <c r="H44" s="1"/>
      <c r="I44" s="1"/>
      <c r="J44" s="1"/>
      <c r="K44" s="1"/>
      <c r="L44" s="1"/>
      <c r="M44" s="1"/>
      <c r="N44" s="1"/>
      <c r="O44" s="1"/>
      <c r="P44" s="1"/>
      <c r="Q44" s="1"/>
    </row>
    <row r="45" spans="1:17">
      <c r="A45" s="1"/>
      <c r="B45" s="1"/>
      <c r="C45" s="1"/>
      <c r="D45" s="1"/>
      <c r="E45" s="1"/>
      <c r="F45" s="1"/>
      <c r="G45" s="1"/>
      <c r="H45" s="1"/>
      <c r="I45" s="1"/>
      <c r="J45" s="1"/>
      <c r="K45" s="1"/>
      <c r="L45" s="1"/>
      <c r="M45" s="1"/>
      <c r="N45" s="1"/>
      <c r="O45" s="1"/>
      <c r="P45" s="1"/>
      <c r="Q45" s="1"/>
    </row>
    <row r="46" spans="1:17">
      <c r="A46" s="1"/>
      <c r="B46" s="1"/>
      <c r="C46" s="1"/>
      <c r="D46" s="1"/>
      <c r="E46" s="1"/>
      <c r="F46" s="1"/>
      <c r="G46" s="1"/>
      <c r="H46" s="1"/>
      <c r="I46" s="1"/>
      <c r="J46" s="1"/>
      <c r="K46" s="1"/>
      <c r="L46" s="1"/>
      <c r="M46" s="1"/>
      <c r="N46" s="1"/>
      <c r="O46" s="1"/>
      <c r="P46" s="1"/>
      <c r="Q46" s="1"/>
    </row>
    <row r="47" spans="1:17">
      <c r="A47" s="1"/>
      <c r="B47" s="1"/>
      <c r="C47" s="1"/>
      <c r="D47" s="1"/>
      <c r="E47" s="1"/>
      <c r="F47" s="1"/>
      <c r="G47" s="1"/>
      <c r="H47" s="1"/>
      <c r="I47" s="1"/>
      <c r="J47" s="1"/>
      <c r="K47" s="1"/>
      <c r="L47" s="1"/>
      <c r="M47" s="1"/>
      <c r="N47" s="1"/>
      <c r="O47" s="1"/>
      <c r="P47" s="1"/>
      <c r="Q47" s="1"/>
    </row>
    <row r="48" spans="1:17">
      <c r="A48" s="1"/>
      <c r="B48" s="1"/>
      <c r="C48" s="1"/>
      <c r="D48" s="1"/>
      <c r="E48" s="1"/>
      <c r="F48" s="1"/>
      <c r="G48" s="1"/>
      <c r="H48" s="1"/>
      <c r="I48" s="1"/>
      <c r="J48" s="1"/>
      <c r="K48" s="1"/>
      <c r="L48" s="1"/>
      <c r="M48" s="1"/>
      <c r="N48" s="1"/>
      <c r="O48" s="1"/>
      <c r="P48" s="1"/>
      <c r="Q48" s="1"/>
    </row>
    <row r="49" spans="1:17">
      <c r="A49" s="1"/>
      <c r="B49" s="1"/>
      <c r="C49" s="1"/>
      <c r="D49" s="1"/>
      <c r="E49" s="1"/>
      <c r="F49" s="1"/>
      <c r="G49" s="1"/>
      <c r="H49" s="1"/>
      <c r="I49" s="1"/>
      <c r="J49" s="1"/>
      <c r="K49" s="1"/>
      <c r="L49" s="1"/>
      <c r="M49" s="1"/>
      <c r="N49" s="1"/>
      <c r="O49" s="1"/>
      <c r="P49" s="1"/>
      <c r="Q49" s="1"/>
    </row>
    <row r="50" spans="1:17">
      <c r="A50" s="1"/>
      <c r="B50" s="1"/>
      <c r="C50" s="1"/>
      <c r="D50" s="1"/>
      <c r="E50" s="1"/>
      <c r="F50" s="1"/>
      <c r="G50" s="1"/>
      <c r="H50" s="1"/>
      <c r="I50" s="1"/>
      <c r="J50" s="1"/>
      <c r="K50" s="1"/>
      <c r="L50" s="1"/>
      <c r="M50" s="1"/>
      <c r="N50" s="1"/>
      <c r="O50" s="1"/>
      <c r="P50" s="1"/>
      <c r="Q50" s="1"/>
    </row>
    <row r="51" spans="1:17">
      <c r="A51" s="1"/>
      <c r="B51" s="1"/>
      <c r="C51" s="1"/>
      <c r="D51" s="1"/>
      <c r="E51" s="1"/>
      <c r="F51" s="1"/>
      <c r="G51" s="1"/>
      <c r="H51" s="1"/>
      <c r="I51" s="1"/>
      <c r="J51" s="1"/>
      <c r="K51" s="1"/>
      <c r="L51" s="1"/>
      <c r="M51" s="1"/>
      <c r="N51" s="1"/>
      <c r="O51" s="1"/>
      <c r="P51" s="1"/>
      <c r="Q51" s="1"/>
    </row>
    <row r="52" spans="1:17">
      <c r="A52" s="1"/>
      <c r="B52" s="1"/>
      <c r="C52" s="1"/>
      <c r="D52" s="1"/>
      <c r="E52" s="1"/>
      <c r="F52" s="1"/>
      <c r="G52" s="1"/>
      <c r="H52" s="1"/>
      <c r="I52" s="1"/>
      <c r="J52" s="1"/>
      <c r="K52" s="1"/>
      <c r="L52" s="1"/>
      <c r="M52" s="1"/>
      <c r="N52" s="1"/>
      <c r="O52" s="1"/>
      <c r="P52" s="1"/>
      <c r="Q52" s="1"/>
    </row>
    <row r="53" spans="1:17">
      <c r="A53" s="1"/>
      <c r="B53" s="1"/>
      <c r="C53" s="1"/>
      <c r="D53" s="1"/>
      <c r="E53" s="1"/>
      <c r="F53" s="1"/>
      <c r="G53" s="1"/>
      <c r="H53" s="1"/>
      <c r="I53" s="1"/>
      <c r="J53" s="1"/>
      <c r="K53" s="1"/>
      <c r="L53" s="1"/>
      <c r="M53" s="1"/>
      <c r="N53" s="1"/>
      <c r="O53" s="1"/>
      <c r="P53" s="1"/>
      <c r="Q53" s="1"/>
    </row>
    <row r="54" spans="1:17">
      <c r="A54" s="1"/>
      <c r="B54" s="1"/>
      <c r="C54" s="1"/>
      <c r="D54" s="1"/>
      <c r="E54" s="1"/>
      <c r="F54" s="1"/>
      <c r="G54" s="1"/>
      <c r="H54" s="1"/>
      <c r="I54" s="1"/>
      <c r="J54" s="1"/>
      <c r="K54" s="1"/>
      <c r="L54" s="1"/>
      <c r="M54" s="1"/>
      <c r="N54" s="1"/>
      <c r="O54" s="1"/>
      <c r="P54" s="1"/>
      <c r="Q54" s="1"/>
    </row>
    <row r="55" spans="1:17">
      <c r="A55" s="1"/>
      <c r="B55" s="1"/>
      <c r="C55" s="1"/>
      <c r="D55" s="1"/>
      <c r="E55" s="1"/>
      <c r="F55" s="1"/>
      <c r="G55" s="1"/>
      <c r="H55" s="1"/>
      <c r="I55" s="1"/>
      <c r="J55" s="1"/>
      <c r="K55" s="1"/>
      <c r="L55" s="1"/>
      <c r="M55" s="1"/>
      <c r="N55" s="1"/>
      <c r="O55" s="1"/>
      <c r="P55" s="1"/>
      <c r="Q55" s="1"/>
    </row>
    <row r="56" spans="1:17">
      <c r="A56" s="1"/>
      <c r="B56" s="1"/>
      <c r="C56" s="1"/>
      <c r="D56" s="1"/>
      <c r="E56" s="1"/>
      <c r="F56" s="1"/>
      <c r="G56" s="1"/>
      <c r="H56" s="1"/>
      <c r="I56" s="1"/>
      <c r="J56" s="1"/>
      <c r="K56" s="1"/>
      <c r="L56" s="1"/>
      <c r="M56" s="1"/>
      <c r="N56" s="1"/>
      <c r="O56" s="1"/>
      <c r="P56" s="1"/>
      <c r="Q56" s="1"/>
    </row>
    <row r="57" spans="1:17">
      <c r="A57" s="1"/>
      <c r="B57" s="1"/>
      <c r="C57" s="1"/>
      <c r="D57" s="1"/>
      <c r="E57" s="1"/>
      <c r="F57" s="1"/>
      <c r="G57" s="1"/>
      <c r="H57" s="1"/>
      <c r="I57" s="1"/>
      <c r="J57" s="1"/>
      <c r="K57" s="1"/>
      <c r="L57" s="1"/>
      <c r="M57" s="1"/>
      <c r="N57" s="1"/>
      <c r="O57" s="1"/>
      <c r="P57" s="1"/>
      <c r="Q57" s="1"/>
    </row>
    <row r="58" spans="1:17">
      <c r="A58" s="1"/>
      <c r="B58" s="1"/>
      <c r="C58" s="1"/>
      <c r="D58" s="1"/>
      <c r="E58" s="1"/>
      <c r="F58" s="1"/>
      <c r="G58" s="1"/>
      <c r="H58" s="1"/>
      <c r="I58" s="1"/>
      <c r="J58" s="1"/>
      <c r="K58" s="1"/>
      <c r="L58" s="1"/>
      <c r="M58" s="1"/>
      <c r="N58" s="1"/>
      <c r="O58" s="1"/>
      <c r="P58" s="1"/>
      <c r="Q58" s="1"/>
    </row>
    <row r="59" spans="1:17">
      <c r="A59" s="1"/>
      <c r="B59" s="1"/>
      <c r="C59" s="1"/>
      <c r="D59" s="1"/>
      <c r="E59" s="1"/>
      <c r="F59" s="1"/>
      <c r="G59" s="1"/>
      <c r="H59" s="1"/>
      <c r="I59" s="1"/>
      <c r="J59" s="1"/>
      <c r="K59" s="1"/>
      <c r="L59" s="1"/>
      <c r="M59" s="1"/>
      <c r="N59" s="1"/>
      <c r="O59" s="1"/>
      <c r="P59" s="1"/>
      <c r="Q59" s="1"/>
    </row>
    <row r="60" spans="1:17">
      <c r="A60" s="1"/>
      <c r="B60" s="1"/>
      <c r="C60" s="1"/>
      <c r="D60" s="1"/>
      <c r="E60" s="1"/>
      <c r="F60" s="1"/>
      <c r="G60" s="1"/>
      <c r="H60" s="1"/>
      <c r="I60" s="1"/>
      <c r="J60" s="1"/>
      <c r="K60" s="1"/>
      <c r="L60" s="1"/>
      <c r="M60" s="1"/>
      <c r="N60" s="1"/>
      <c r="O60" s="1"/>
      <c r="P60" s="1"/>
      <c r="Q60" s="1"/>
    </row>
    <row r="61" spans="1:17">
      <c r="A61" s="1"/>
      <c r="B61" s="1"/>
      <c r="C61" s="1"/>
      <c r="D61" s="1"/>
      <c r="E61" s="1"/>
      <c r="F61" s="1"/>
      <c r="G61" s="1"/>
      <c r="H61" s="1"/>
      <c r="I61" s="1"/>
      <c r="J61" s="1"/>
      <c r="K61" s="1"/>
      <c r="L61" s="1"/>
      <c r="M61" s="1"/>
      <c r="N61" s="1"/>
      <c r="O61" s="1"/>
      <c r="P61" s="1"/>
      <c r="Q61" s="1"/>
    </row>
    <row r="62" spans="1:17">
      <c r="A62" s="1"/>
      <c r="B62" s="1"/>
      <c r="C62" s="1"/>
      <c r="D62" s="1"/>
      <c r="E62" s="1"/>
      <c r="F62" s="1"/>
      <c r="G62" s="1"/>
      <c r="H62" s="1"/>
      <c r="I62" s="1"/>
      <c r="J62" s="1"/>
      <c r="K62" s="1"/>
      <c r="L62" s="1"/>
      <c r="M62" s="1"/>
      <c r="N62" s="1"/>
      <c r="O62" s="1"/>
      <c r="P62" s="1"/>
      <c r="Q62" s="1"/>
    </row>
    <row r="63" spans="1:17">
      <c r="A63" s="1"/>
      <c r="B63" s="1"/>
      <c r="C63" s="1"/>
      <c r="D63" s="1"/>
      <c r="E63" s="1"/>
      <c r="F63" s="1"/>
      <c r="G63" s="1"/>
      <c r="H63" s="1"/>
      <c r="I63" s="1"/>
      <c r="J63" s="1"/>
      <c r="K63" s="1"/>
      <c r="L63" s="1"/>
      <c r="M63" s="1"/>
      <c r="N63" s="1"/>
      <c r="O63" s="1"/>
      <c r="P63" s="1"/>
      <c r="Q63" s="1"/>
    </row>
    <row r="64" spans="1:17">
      <c r="A64" s="1"/>
      <c r="B64" s="1"/>
      <c r="C64" s="1"/>
      <c r="D64" s="1"/>
      <c r="E64" s="1"/>
      <c r="F64" s="1"/>
      <c r="G64" s="1"/>
      <c r="H64" s="1"/>
      <c r="I64" s="1"/>
      <c r="J64" s="1"/>
      <c r="K64" s="1"/>
      <c r="L64" s="1"/>
      <c r="M64" s="1"/>
      <c r="N64" s="1"/>
      <c r="O64" s="1"/>
      <c r="P64" s="1"/>
      <c r="Q64" s="1"/>
    </row>
    <row r="65" spans="1:17">
      <c r="A65" s="1"/>
      <c r="B65" s="1"/>
      <c r="C65" s="1"/>
      <c r="D65" s="1"/>
      <c r="E65" s="1"/>
      <c r="F65" s="1"/>
      <c r="G65" s="1"/>
      <c r="H65" s="1"/>
      <c r="I65" s="1"/>
      <c r="J65" s="1"/>
      <c r="K65" s="1"/>
      <c r="L65" s="1"/>
      <c r="M65" s="1"/>
      <c r="N65" s="1"/>
      <c r="O65" s="1"/>
      <c r="P65" s="1"/>
      <c r="Q65" s="1"/>
    </row>
    <row r="66" spans="1:17">
      <c r="A66" s="1"/>
      <c r="B66" s="1"/>
      <c r="C66" s="1"/>
      <c r="D66" s="1"/>
      <c r="E66" s="1"/>
      <c r="F66" s="1"/>
      <c r="G66" s="1"/>
      <c r="H66" s="1"/>
      <c r="I66" s="1"/>
      <c r="J66" s="1"/>
      <c r="K66" s="1"/>
      <c r="L66" s="1"/>
      <c r="M66" s="1"/>
      <c r="N66" s="1"/>
      <c r="O66" s="1"/>
      <c r="P66" s="1"/>
      <c r="Q66" s="1"/>
    </row>
    <row r="67" spans="1:17">
      <c r="A67" s="1"/>
      <c r="B67" s="1"/>
      <c r="C67" s="1"/>
      <c r="D67" s="1"/>
      <c r="E67" s="1"/>
      <c r="F67" s="1"/>
      <c r="G67" s="1"/>
      <c r="H67" s="1"/>
      <c r="I67" s="1"/>
      <c r="J67" s="1"/>
      <c r="K67" s="1"/>
      <c r="L67" s="1"/>
      <c r="M67" s="1"/>
      <c r="N67" s="1"/>
      <c r="O67" s="1"/>
      <c r="P67" s="1"/>
      <c r="Q67" s="1"/>
    </row>
    <row r="68" spans="1:17">
      <c r="A68" s="1"/>
      <c r="B68" s="1"/>
      <c r="C68" s="1"/>
      <c r="D68" s="1"/>
      <c r="E68" s="1"/>
      <c r="F68" s="1"/>
      <c r="G68" s="1"/>
      <c r="H68" s="1"/>
      <c r="I68" s="1"/>
      <c r="J68" s="1"/>
      <c r="K68" s="1"/>
      <c r="L68" s="1"/>
      <c r="M68" s="1"/>
      <c r="N68" s="1"/>
      <c r="O68" s="1"/>
      <c r="P68" s="1"/>
      <c r="Q68" s="1"/>
    </row>
    <row r="69" spans="1:17">
      <c r="A69" s="1"/>
      <c r="B69" s="1"/>
      <c r="C69" s="1"/>
      <c r="D69" s="1"/>
      <c r="E69" s="1"/>
      <c r="F69" s="1"/>
      <c r="G69" s="1"/>
      <c r="H69" s="1"/>
      <c r="I69" s="1"/>
      <c r="J69" s="1"/>
      <c r="K69" s="1"/>
      <c r="L69" s="1"/>
      <c r="M69" s="1"/>
      <c r="N69" s="1"/>
      <c r="O69" s="1"/>
      <c r="P69" s="1"/>
      <c r="Q69" s="1"/>
    </row>
    <row r="70" spans="1:17">
      <c r="A70" s="1"/>
      <c r="B70" s="1"/>
      <c r="C70" s="1"/>
      <c r="D70" s="1"/>
      <c r="E70" s="1"/>
      <c r="F70" s="1"/>
      <c r="G70" s="1"/>
      <c r="H70" s="1"/>
      <c r="I70" s="1"/>
      <c r="J70" s="1"/>
      <c r="K70" s="1"/>
      <c r="L70" s="1"/>
      <c r="M70" s="1"/>
      <c r="N70" s="1"/>
      <c r="O70" s="1"/>
      <c r="P70" s="1"/>
      <c r="Q70" s="1"/>
    </row>
    <row r="71" spans="1:17">
      <c r="A71" s="1"/>
      <c r="B71" s="1"/>
      <c r="C71" s="1"/>
      <c r="D71" s="1"/>
      <c r="E71" s="1"/>
      <c r="F71" s="1"/>
      <c r="G71" s="1"/>
      <c r="H71" s="1"/>
      <c r="I71" s="1"/>
      <c r="J71" s="1"/>
      <c r="K71" s="1"/>
      <c r="L71" s="1"/>
      <c r="M71" s="1"/>
      <c r="N71" s="1"/>
      <c r="O71" s="1"/>
      <c r="P71" s="1"/>
      <c r="Q71" s="1"/>
    </row>
    <row r="72" spans="1:17">
      <c r="A72" s="1"/>
      <c r="B72" s="1"/>
      <c r="C72" s="1"/>
      <c r="D72" s="1"/>
      <c r="E72" s="1"/>
      <c r="F72" s="1"/>
      <c r="G72" s="1"/>
      <c r="H72" s="1"/>
      <c r="I72" s="1"/>
      <c r="J72" s="1"/>
      <c r="K72" s="1"/>
      <c r="L72" s="1"/>
      <c r="M72" s="1"/>
      <c r="N72" s="1"/>
      <c r="O72" s="1"/>
      <c r="P72" s="1"/>
      <c r="Q72" s="1"/>
    </row>
    <row r="73" spans="1:17">
      <c r="A73" s="1"/>
      <c r="B73" s="1"/>
      <c r="C73" s="1"/>
      <c r="D73" s="1"/>
      <c r="E73" s="1"/>
      <c r="F73" s="1"/>
      <c r="G73" s="1"/>
      <c r="H73" s="1"/>
      <c r="I73" s="1"/>
      <c r="J73" s="1"/>
      <c r="K73" s="1"/>
      <c r="L73" s="1"/>
      <c r="M73" s="1"/>
      <c r="N73" s="1"/>
      <c r="O73" s="1"/>
      <c r="P73" s="1"/>
      <c r="Q73" s="1"/>
    </row>
    <row r="74" spans="1:17">
      <c r="A74" s="1"/>
      <c r="B74" s="1"/>
      <c r="C74" s="1"/>
      <c r="D74" s="1"/>
      <c r="E74" s="1"/>
      <c r="F74" s="1"/>
      <c r="G74" s="1"/>
      <c r="H74" s="1"/>
      <c r="I74" s="1"/>
      <c r="J74" s="1"/>
      <c r="K74" s="1"/>
      <c r="L74" s="1"/>
      <c r="M74" s="1"/>
      <c r="N74" s="1"/>
      <c r="O74" s="1"/>
      <c r="P74" s="1"/>
      <c r="Q74" s="1"/>
    </row>
    <row r="75" spans="1:17">
      <c r="A75" s="1"/>
      <c r="B75" s="1"/>
      <c r="C75" s="1"/>
      <c r="D75" s="1"/>
      <c r="E75" s="1"/>
      <c r="F75" s="1"/>
      <c r="G75" s="1"/>
      <c r="H75" s="1"/>
      <c r="I75" s="1"/>
      <c r="J75" s="1"/>
      <c r="K75" s="1"/>
      <c r="L75" s="1"/>
      <c r="M75" s="1"/>
      <c r="N75" s="1"/>
      <c r="O75" s="1"/>
      <c r="P75" s="1"/>
      <c r="Q75" s="1"/>
    </row>
    <row r="76" spans="1:17">
      <c r="A76" s="1"/>
      <c r="B76" s="1"/>
      <c r="C76" s="1"/>
      <c r="D76" s="1"/>
      <c r="E76" s="1"/>
      <c r="F76" s="1"/>
      <c r="G76" s="1"/>
      <c r="H76" s="1"/>
      <c r="I76" s="1"/>
      <c r="J76" s="1"/>
      <c r="K76" s="1"/>
      <c r="L76" s="1"/>
      <c r="M76" s="1"/>
      <c r="N76" s="1"/>
      <c r="O76" s="1"/>
      <c r="P76" s="1"/>
      <c r="Q76" s="1"/>
    </row>
    <row r="77" spans="1:17">
      <c r="A77" s="1"/>
      <c r="B77" s="1"/>
      <c r="C77" s="1"/>
      <c r="D77" s="1"/>
      <c r="E77" s="1"/>
      <c r="F77" s="1"/>
      <c r="G77" s="1"/>
      <c r="H77" s="1"/>
      <c r="I77" s="1"/>
      <c r="J77" s="1"/>
      <c r="K77" s="1"/>
      <c r="L77" s="1"/>
      <c r="M77" s="1"/>
      <c r="N77" s="1"/>
      <c r="O77" s="1"/>
      <c r="P77" s="1"/>
      <c r="Q77" s="1"/>
    </row>
    <row r="78" spans="1:17">
      <c r="A78" s="1"/>
      <c r="B78" s="1"/>
      <c r="C78" s="1"/>
      <c r="D78" s="1"/>
      <c r="E78" s="1"/>
      <c r="F78" s="1"/>
      <c r="G78" s="1"/>
      <c r="H78" s="1"/>
      <c r="I78" s="1"/>
      <c r="J78" s="1"/>
      <c r="K78" s="1"/>
      <c r="L78" s="1"/>
      <c r="M78" s="1"/>
      <c r="N78" s="1"/>
      <c r="O78" s="1"/>
      <c r="P78" s="1"/>
      <c r="Q78" s="1"/>
    </row>
    <row r="79" spans="1:17">
      <c r="A79" s="1"/>
      <c r="B79" s="1"/>
      <c r="C79" s="1"/>
      <c r="D79" s="1"/>
      <c r="E79" s="1"/>
      <c r="F79" s="1"/>
      <c r="G79" s="1"/>
      <c r="H79" s="1"/>
      <c r="I79" s="1"/>
      <c r="J79" s="1"/>
      <c r="K79" s="1"/>
      <c r="L79" s="1"/>
      <c r="M79" s="1"/>
      <c r="N79" s="1"/>
      <c r="O79" s="1"/>
      <c r="P79" s="1"/>
      <c r="Q79" s="1"/>
    </row>
    <row r="80" spans="1:17">
      <c r="A80" s="1"/>
      <c r="B80" s="1"/>
      <c r="C80" s="1"/>
      <c r="D80" s="1"/>
      <c r="E80" s="1"/>
      <c r="F80" s="1"/>
      <c r="G80" s="1"/>
      <c r="H80" s="1"/>
      <c r="I80" s="1"/>
      <c r="J80" s="1"/>
      <c r="K80" s="1"/>
      <c r="L80" s="1"/>
      <c r="M80" s="1"/>
      <c r="N80" s="1"/>
      <c r="O80" s="1"/>
      <c r="P80" s="1"/>
      <c r="Q80" s="1"/>
    </row>
    <row r="81" spans="1:17">
      <c r="A81" s="1"/>
      <c r="B81" s="1"/>
      <c r="C81" s="1"/>
      <c r="D81" s="1"/>
      <c r="E81" s="1"/>
      <c r="F81" s="1"/>
      <c r="G81" s="1"/>
      <c r="H81" s="1"/>
      <c r="I81" s="1"/>
      <c r="J81" s="1"/>
      <c r="K81" s="1"/>
      <c r="L81" s="1"/>
      <c r="M81" s="1"/>
      <c r="N81" s="1"/>
      <c r="O81" s="1"/>
      <c r="P81" s="1"/>
      <c r="Q81" s="1"/>
    </row>
    <row r="82" spans="1:17">
      <c r="A82" s="1"/>
      <c r="B82" s="1"/>
      <c r="C82" s="1"/>
      <c r="D82" s="1"/>
      <c r="E82" s="1"/>
      <c r="F82" s="1"/>
      <c r="G82" s="1"/>
      <c r="H82" s="1"/>
      <c r="I82" s="1"/>
      <c r="J82" s="1"/>
      <c r="K82" s="1"/>
      <c r="L82" s="1"/>
      <c r="M82" s="1"/>
      <c r="N82" s="1"/>
      <c r="O82" s="1"/>
      <c r="P82" s="1"/>
      <c r="Q82" s="1"/>
    </row>
    <row r="83" spans="1:17">
      <c r="A83" s="1"/>
      <c r="B83" s="1"/>
      <c r="C83" s="1"/>
      <c r="D83" s="1"/>
      <c r="E83" s="1"/>
      <c r="F83" s="1"/>
      <c r="G83" s="1"/>
      <c r="H83" s="1"/>
      <c r="I83" s="1"/>
      <c r="J83" s="1"/>
      <c r="K83" s="1"/>
      <c r="L83" s="1"/>
      <c r="M83" s="1"/>
      <c r="N83" s="1"/>
      <c r="O83" s="1"/>
      <c r="P83" s="1"/>
      <c r="Q83" s="1"/>
    </row>
    <row r="84" spans="1:17">
      <c r="A84" s="1"/>
      <c r="B84" s="1"/>
      <c r="C84" s="1"/>
      <c r="D84" s="1"/>
      <c r="E84" s="1"/>
      <c r="F84" s="1"/>
      <c r="G84" s="1"/>
      <c r="H84" s="1"/>
      <c r="I84" s="1"/>
      <c r="J84" s="1"/>
      <c r="K84" s="1"/>
      <c r="L84" s="1"/>
      <c r="M84" s="1"/>
      <c r="N84" s="1"/>
      <c r="O84" s="1"/>
      <c r="P84" s="1"/>
      <c r="Q84" s="1"/>
    </row>
    <row r="85" spans="1:17">
      <c r="A85" s="1"/>
      <c r="B85" s="1"/>
      <c r="C85" s="1"/>
      <c r="D85" s="1"/>
      <c r="E85" s="1"/>
      <c r="F85" s="1"/>
      <c r="G85" s="1"/>
      <c r="H85" s="1"/>
      <c r="I85" s="1"/>
      <c r="J85" s="1"/>
      <c r="K85" s="1"/>
      <c r="L85" s="1"/>
      <c r="M85" s="1"/>
      <c r="N85" s="1"/>
      <c r="O85" s="1"/>
      <c r="P85" s="1"/>
      <c r="Q85" s="1"/>
    </row>
    <row r="86" spans="1:17">
      <c r="A86" s="1"/>
      <c r="B86" s="1"/>
      <c r="C86" s="1"/>
      <c r="D86" s="1"/>
      <c r="E86" s="1"/>
      <c r="F86" s="1"/>
      <c r="G86" s="1"/>
      <c r="H86" s="1"/>
      <c r="I86" s="1"/>
      <c r="J86" s="1"/>
      <c r="K86" s="1"/>
      <c r="L86" s="1"/>
      <c r="M86" s="1"/>
      <c r="N86" s="1"/>
      <c r="O86" s="1"/>
      <c r="P86" s="1"/>
      <c r="Q86" s="1"/>
    </row>
    <row r="87" spans="1:17">
      <c r="A87" s="1"/>
      <c r="B87" s="1"/>
      <c r="C87" s="1"/>
      <c r="D87" s="1"/>
      <c r="E87" s="1"/>
      <c r="F87" s="1"/>
      <c r="G87" s="1"/>
      <c r="H87" s="1"/>
      <c r="I87" s="1"/>
      <c r="J87" s="1"/>
      <c r="K87" s="1"/>
      <c r="L87" s="1"/>
      <c r="M87" s="1"/>
      <c r="N87" s="1"/>
      <c r="O87" s="1"/>
      <c r="P87" s="1"/>
      <c r="Q87" s="1"/>
    </row>
    <row r="88" spans="1:17">
      <c r="A88" s="1"/>
      <c r="B88" s="1"/>
      <c r="C88" s="1"/>
      <c r="D88" s="1"/>
      <c r="E88" s="1"/>
      <c r="F88" s="1"/>
      <c r="G88" s="1"/>
      <c r="H88" s="1"/>
      <c r="I88" s="1"/>
      <c r="J88" s="1"/>
      <c r="K88" s="1"/>
      <c r="L88" s="1"/>
      <c r="M88" s="1"/>
      <c r="N88" s="1"/>
      <c r="O88" s="1"/>
      <c r="P88" s="1"/>
      <c r="Q88" s="1"/>
    </row>
    <row r="89" spans="1:17">
      <c r="A89" s="1"/>
      <c r="B89" s="1"/>
      <c r="C89" s="1"/>
      <c r="D89" s="1"/>
      <c r="E89" s="1"/>
      <c r="F89" s="1"/>
      <c r="G89" s="1"/>
      <c r="H89" s="1"/>
      <c r="I89" s="1"/>
      <c r="J89" s="1"/>
      <c r="K89" s="1"/>
      <c r="L89" s="1"/>
      <c r="M89" s="1"/>
      <c r="N89" s="1"/>
      <c r="O89" s="1"/>
      <c r="P89" s="1"/>
      <c r="Q89" s="1"/>
    </row>
    <row r="90" spans="1:17">
      <c r="A90" s="1"/>
      <c r="B90" s="1"/>
      <c r="C90" s="1"/>
      <c r="D90" s="1"/>
      <c r="E90" s="1"/>
      <c r="F90" s="1"/>
      <c r="G90" s="1"/>
      <c r="H90" s="1"/>
      <c r="I90" s="1"/>
      <c r="J90" s="1"/>
      <c r="K90" s="1"/>
      <c r="L90" s="1"/>
      <c r="M90" s="1"/>
      <c r="N90" s="1"/>
      <c r="O90" s="1"/>
      <c r="P90" s="1"/>
      <c r="Q90" s="1"/>
    </row>
    <row r="91" spans="1:17">
      <c r="A91" s="1"/>
      <c r="B91" s="1"/>
      <c r="C91" s="1"/>
      <c r="D91" s="1"/>
      <c r="E91" s="1"/>
      <c r="F91" s="1"/>
      <c r="G91" s="1"/>
      <c r="H91" s="1"/>
      <c r="I91" s="1"/>
      <c r="J91" s="1"/>
      <c r="K91" s="1"/>
      <c r="L91" s="1"/>
      <c r="M91" s="1"/>
      <c r="N91" s="1"/>
      <c r="O91" s="1"/>
      <c r="P91" s="1"/>
      <c r="Q91" s="1"/>
    </row>
    <row r="92" spans="1:17">
      <c r="A92" s="1"/>
      <c r="B92" s="1"/>
      <c r="C92" s="1"/>
      <c r="D92" s="1"/>
      <c r="E92" s="1"/>
      <c r="F92" s="1"/>
      <c r="G92" s="1"/>
      <c r="H92" s="1"/>
      <c r="I92" s="1"/>
      <c r="J92" s="1"/>
      <c r="K92" s="1"/>
      <c r="L92" s="1"/>
      <c r="M92" s="1"/>
      <c r="N92" s="1"/>
      <c r="O92" s="1"/>
      <c r="P92" s="1"/>
      <c r="Q92" s="1"/>
    </row>
    <row r="93" spans="1:17">
      <c r="A93" s="1"/>
      <c r="B93" s="1"/>
      <c r="C93" s="1"/>
      <c r="D93" s="1"/>
      <c r="E93" s="1"/>
      <c r="F93" s="1"/>
      <c r="G93" s="1"/>
      <c r="H93" s="1"/>
      <c r="I93" s="1"/>
      <c r="J93" s="1"/>
      <c r="K93" s="1"/>
      <c r="L93" s="1"/>
      <c r="M93" s="1"/>
      <c r="N93" s="1"/>
      <c r="O93" s="1"/>
      <c r="P93" s="1"/>
      <c r="Q93" s="1"/>
    </row>
    <row r="94" spans="1:17">
      <c r="A94" s="1"/>
      <c r="B94" s="1"/>
      <c r="C94" s="1"/>
      <c r="D94" s="1"/>
      <c r="E94" s="1"/>
      <c r="F94" s="1"/>
      <c r="G94" s="1"/>
      <c r="H94" s="1"/>
      <c r="I94" s="1"/>
      <c r="J94" s="1"/>
      <c r="K94" s="1"/>
      <c r="L94" s="1"/>
      <c r="M94" s="1"/>
      <c r="N94" s="1"/>
      <c r="O94" s="1"/>
      <c r="P94" s="1"/>
      <c r="Q94" s="1"/>
    </row>
    <row r="95" spans="1:17">
      <c r="A95" s="1"/>
      <c r="B95" s="1"/>
      <c r="C95" s="1"/>
      <c r="D95" s="1"/>
      <c r="E95" s="1"/>
      <c r="F95" s="1"/>
      <c r="G95" s="1"/>
      <c r="H95" s="1"/>
      <c r="I95" s="1"/>
      <c r="J95" s="1"/>
      <c r="K95" s="1"/>
      <c r="L95" s="1"/>
      <c r="M95" s="1"/>
      <c r="N95" s="1"/>
      <c r="O95" s="1"/>
      <c r="P95" s="1"/>
      <c r="Q95" s="1"/>
    </row>
    <row r="96" spans="1:17">
      <c r="A96" s="1"/>
      <c r="B96" s="1"/>
      <c r="C96" s="1"/>
      <c r="D96" s="1"/>
      <c r="E96" s="1"/>
      <c r="F96" s="1"/>
      <c r="G96" s="1"/>
      <c r="H96" s="1"/>
      <c r="I96" s="1"/>
      <c r="J96" s="1"/>
      <c r="K96" s="1"/>
      <c r="L96" s="1"/>
      <c r="M96" s="1"/>
      <c r="N96" s="1"/>
      <c r="O96" s="1"/>
      <c r="P96" s="1"/>
      <c r="Q96" s="1"/>
    </row>
    <row r="97" spans="1:17">
      <c r="A97" s="1"/>
      <c r="B97" s="1"/>
      <c r="C97" s="1"/>
      <c r="D97" s="1"/>
      <c r="E97" s="1"/>
      <c r="F97" s="1"/>
      <c r="G97" s="1"/>
      <c r="H97" s="1"/>
      <c r="I97" s="1"/>
      <c r="J97" s="1"/>
      <c r="K97" s="1"/>
      <c r="L97" s="1"/>
      <c r="M97" s="1"/>
      <c r="N97" s="1"/>
      <c r="O97" s="1"/>
      <c r="P97" s="1"/>
      <c r="Q97" s="1"/>
    </row>
    <row r="98" spans="1:17">
      <c r="A98" s="1"/>
      <c r="B98" s="1"/>
      <c r="C98" s="1"/>
      <c r="D98" s="1"/>
      <c r="E98" s="1"/>
      <c r="F98" s="1"/>
      <c r="G98" s="1"/>
      <c r="H98" s="1"/>
      <c r="I98" s="1"/>
      <c r="J98" s="1"/>
      <c r="K98" s="1"/>
      <c r="L98" s="1"/>
      <c r="M98" s="1"/>
      <c r="N98" s="1"/>
      <c r="O98" s="1"/>
      <c r="P98" s="1"/>
      <c r="Q98" s="1"/>
    </row>
    <row r="99" spans="1:17">
      <c r="A99" s="1"/>
      <c r="B99" s="1"/>
      <c r="C99" s="1"/>
      <c r="D99" s="1"/>
      <c r="E99" s="1"/>
      <c r="F99" s="1"/>
      <c r="G99" s="1"/>
      <c r="H99" s="1"/>
      <c r="I99" s="1"/>
      <c r="J99" s="1"/>
      <c r="K99" s="1"/>
      <c r="L99" s="1"/>
      <c r="M99" s="1"/>
      <c r="N99" s="1"/>
      <c r="O99" s="1"/>
      <c r="P99" s="1"/>
      <c r="Q99" s="1"/>
    </row>
    <row r="100" spans="1:17">
      <c r="A100" s="1"/>
      <c r="B100" s="1"/>
      <c r="C100" s="1"/>
      <c r="D100" s="1"/>
      <c r="E100" s="1"/>
      <c r="F100" s="1"/>
      <c r="G100" s="1"/>
      <c r="H100" s="1"/>
      <c r="I100" s="1"/>
      <c r="J100" s="1"/>
      <c r="K100" s="1"/>
      <c r="L100" s="1"/>
      <c r="M100" s="1"/>
      <c r="N100" s="1"/>
      <c r="O100" s="1"/>
      <c r="P100" s="1"/>
      <c r="Q100" s="1"/>
    </row>
    <row r="101" spans="1:17">
      <c r="A101" s="1"/>
      <c r="B101" s="1"/>
      <c r="C101" s="1"/>
      <c r="D101" s="1"/>
      <c r="E101" s="1"/>
      <c r="F101" s="1"/>
      <c r="G101" s="1"/>
      <c r="H101" s="1"/>
      <c r="I101" s="1"/>
      <c r="J101" s="1"/>
      <c r="K101" s="1"/>
      <c r="L101" s="1"/>
      <c r="M101" s="1"/>
      <c r="N101" s="1"/>
      <c r="O101" s="1"/>
      <c r="P101" s="1"/>
      <c r="Q101" s="1"/>
    </row>
    <row r="102" spans="1:17">
      <c r="A102" s="1"/>
      <c r="B102" s="1"/>
      <c r="C102" s="1"/>
      <c r="D102" s="1"/>
      <c r="E102" s="1"/>
      <c r="F102" s="1"/>
      <c r="G102" s="1"/>
      <c r="H102" s="1"/>
      <c r="I102" s="1"/>
      <c r="J102" s="1"/>
      <c r="K102" s="1"/>
      <c r="L102" s="1"/>
      <c r="M102" s="1"/>
      <c r="N102" s="1"/>
      <c r="O102" s="1"/>
      <c r="P102" s="1"/>
      <c r="Q102" s="1"/>
    </row>
    <row r="103" spans="1:17">
      <c r="A103" s="1"/>
      <c r="B103" s="1"/>
      <c r="C103" s="1"/>
      <c r="D103" s="1"/>
      <c r="E103" s="1"/>
      <c r="F103" s="1"/>
      <c r="G103" s="1"/>
      <c r="H103" s="1"/>
      <c r="I103" s="1"/>
      <c r="J103" s="1"/>
      <c r="K103" s="1"/>
      <c r="L103" s="1"/>
      <c r="M103" s="1"/>
      <c r="N103" s="1"/>
      <c r="O103" s="1"/>
      <c r="P103" s="1"/>
      <c r="Q103" s="1"/>
    </row>
    <row r="104" spans="1:17">
      <c r="A104" s="1"/>
      <c r="B104" s="1"/>
      <c r="C104" s="1"/>
      <c r="D104" s="1"/>
      <c r="E104" s="1"/>
      <c r="F104" s="1"/>
      <c r="G104" s="1"/>
      <c r="H104" s="1"/>
      <c r="I104" s="1"/>
      <c r="J104" s="1"/>
      <c r="K104" s="1"/>
      <c r="L104" s="1"/>
      <c r="M104" s="1"/>
      <c r="N104" s="1"/>
      <c r="O104" s="1"/>
      <c r="P104" s="1"/>
      <c r="Q104" s="1"/>
    </row>
    <row r="105" spans="1:17">
      <c r="A105" s="1"/>
      <c r="B105" s="1"/>
      <c r="C105" s="1"/>
      <c r="D105" s="1"/>
      <c r="E105" s="1"/>
      <c r="F105" s="1"/>
      <c r="G105" s="1"/>
      <c r="H105" s="1"/>
      <c r="I105" s="1"/>
      <c r="J105" s="1"/>
      <c r="K105" s="1"/>
      <c r="L105" s="1"/>
      <c r="M105" s="1"/>
      <c r="N105" s="1"/>
      <c r="O105" s="1"/>
      <c r="P105" s="1"/>
      <c r="Q105" s="1"/>
    </row>
    <row r="106" spans="1:17">
      <c r="A106" s="1"/>
      <c r="B106" s="1"/>
      <c r="C106" s="1"/>
      <c r="D106" s="1"/>
      <c r="E106" s="1"/>
      <c r="F106" s="1"/>
      <c r="G106" s="1"/>
      <c r="H106" s="1"/>
      <c r="I106" s="1"/>
      <c r="J106" s="1"/>
      <c r="K106" s="1"/>
      <c r="L106" s="1"/>
      <c r="M106" s="1"/>
      <c r="N106" s="1"/>
      <c r="O106" s="1"/>
      <c r="P106" s="1"/>
      <c r="Q106" s="1"/>
    </row>
    <row r="107" spans="1:17">
      <c r="A107" s="1"/>
      <c r="B107" s="1"/>
      <c r="C107" s="1"/>
      <c r="D107" s="1"/>
      <c r="E107" s="1"/>
      <c r="F107" s="1"/>
      <c r="G107" s="1"/>
      <c r="H107" s="1"/>
      <c r="I107" s="1"/>
      <c r="J107" s="1"/>
      <c r="K107" s="1"/>
      <c r="L107" s="1"/>
      <c r="M107" s="1"/>
      <c r="N107" s="1"/>
      <c r="O107" s="1"/>
      <c r="P107" s="1"/>
      <c r="Q107" s="1"/>
    </row>
    <row r="108" spans="1:17">
      <c r="A108" s="1"/>
      <c r="B108" s="1"/>
      <c r="C108" s="1"/>
      <c r="D108" s="1"/>
      <c r="E108" s="1"/>
      <c r="F108" s="1"/>
      <c r="G108" s="1"/>
      <c r="H108" s="1"/>
      <c r="I108" s="1"/>
      <c r="J108" s="1"/>
      <c r="K108" s="1"/>
      <c r="L108" s="1"/>
      <c r="M108" s="1"/>
      <c r="N108" s="1"/>
      <c r="O108" s="1"/>
      <c r="P108" s="1"/>
      <c r="Q108" s="1"/>
    </row>
    <row r="109" spans="1:17">
      <c r="A109" s="1"/>
      <c r="B109" s="1"/>
      <c r="C109" s="1"/>
      <c r="D109" s="1"/>
      <c r="E109" s="1"/>
      <c r="F109" s="1"/>
      <c r="G109" s="1"/>
      <c r="H109" s="1"/>
      <c r="I109" s="1"/>
      <c r="J109" s="1"/>
      <c r="K109" s="1"/>
      <c r="L109" s="1"/>
      <c r="M109" s="1"/>
      <c r="N109" s="1"/>
      <c r="O109" s="1"/>
      <c r="P109" s="1"/>
      <c r="Q109" s="1"/>
    </row>
    <row r="110" spans="1:17">
      <c r="A110" s="1"/>
      <c r="B110" s="1"/>
      <c r="C110" s="1"/>
      <c r="D110" s="1"/>
      <c r="E110" s="1"/>
      <c r="F110" s="1"/>
      <c r="G110" s="1"/>
      <c r="H110" s="1"/>
      <c r="I110" s="1"/>
      <c r="J110" s="1"/>
      <c r="K110" s="1"/>
      <c r="L110" s="1"/>
      <c r="M110" s="1"/>
      <c r="N110" s="1"/>
      <c r="O110" s="1"/>
      <c r="P110" s="1"/>
      <c r="Q110" s="1"/>
    </row>
    <row r="111" spans="1:17">
      <c r="A111" s="1"/>
      <c r="B111" s="1"/>
      <c r="C111" s="1"/>
      <c r="D111" s="1"/>
      <c r="E111" s="1"/>
      <c r="F111" s="1"/>
      <c r="G111" s="1"/>
      <c r="H111" s="1"/>
      <c r="I111" s="1"/>
      <c r="J111" s="1"/>
      <c r="K111" s="1"/>
      <c r="L111" s="1"/>
      <c r="M111" s="1"/>
      <c r="N111" s="1"/>
      <c r="O111" s="1"/>
      <c r="P111" s="1"/>
      <c r="Q111" s="1"/>
    </row>
    <row r="112" spans="1:17">
      <c r="A112" s="1"/>
      <c r="B112" s="1"/>
      <c r="C112" s="1"/>
      <c r="D112" s="1"/>
      <c r="E112" s="1"/>
      <c r="F112" s="1"/>
      <c r="G112" s="1"/>
      <c r="H112" s="1"/>
      <c r="I112" s="1"/>
      <c r="J112" s="1"/>
      <c r="K112" s="1"/>
      <c r="L112" s="1"/>
      <c r="M112" s="1"/>
      <c r="N112" s="1"/>
      <c r="O112" s="1"/>
      <c r="P112" s="1"/>
      <c r="Q112" s="1"/>
    </row>
    <row r="113" spans="1:17">
      <c r="A113" s="1"/>
      <c r="B113" s="1"/>
      <c r="C113" s="1"/>
      <c r="D113" s="1"/>
      <c r="E113" s="1"/>
      <c r="F113" s="1"/>
      <c r="G113" s="1"/>
      <c r="H113" s="1"/>
      <c r="I113" s="1"/>
      <c r="J113" s="1"/>
      <c r="K113" s="1"/>
      <c r="L113" s="1"/>
      <c r="M113" s="1"/>
      <c r="N113" s="1"/>
      <c r="O113" s="1"/>
      <c r="P113" s="1"/>
      <c r="Q113" s="1"/>
    </row>
    <row r="114" spans="1:17">
      <c r="A114" s="1"/>
      <c r="B114" s="1"/>
      <c r="C114" s="1"/>
      <c r="D114" s="1"/>
      <c r="E114" s="1"/>
      <c r="F114" s="1"/>
      <c r="G114" s="1"/>
      <c r="H114" s="1"/>
      <c r="I114" s="1"/>
      <c r="J114" s="1"/>
      <c r="K114" s="1"/>
      <c r="L114" s="1"/>
      <c r="M114" s="1"/>
      <c r="N114" s="1"/>
      <c r="O114" s="1"/>
      <c r="P114" s="1"/>
      <c r="Q114" s="1"/>
    </row>
    <row r="115" spans="1:17">
      <c r="A115" s="1"/>
      <c r="B115" s="1"/>
      <c r="C115" s="1"/>
      <c r="D115" s="1"/>
      <c r="E115" s="1"/>
      <c r="F115" s="1"/>
      <c r="G115" s="1"/>
      <c r="H115" s="1"/>
      <c r="I115" s="1"/>
      <c r="J115" s="1"/>
      <c r="K115" s="1"/>
      <c r="L115" s="1"/>
      <c r="M115" s="1"/>
      <c r="N115" s="1"/>
      <c r="O115" s="1"/>
      <c r="P115" s="1"/>
      <c r="Q115" s="1"/>
    </row>
    <row r="116" spans="1:17">
      <c r="A116" s="1"/>
      <c r="B116" s="1"/>
      <c r="C116" s="1"/>
      <c r="D116" s="1"/>
      <c r="E116" s="1"/>
      <c r="F116" s="1"/>
      <c r="G116" s="1"/>
      <c r="H116" s="1"/>
      <c r="I116" s="1"/>
      <c r="J116" s="1"/>
      <c r="K116" s="1"/>
      <c r="L116" s="1"/>
      <c r="M116" s="1"/>
      <c r="N116" s="1"/>
      <c r="O116" s="1"/>
      <c r="P116" s="1"/>
      <c r="Q116" s="1"/>
    </row>
    <row r="117" spans="1:17">
      <c r="A117" s="1"/>
      <c r="B117" s="1"/>
      <c r="C117" s="1"/>
      <c r="D117" s="1"/>
      <c r="E117" s="1"/>
      <c r="F117" s="1"/>
      <c r="G117" s="1"/>
      <c r="H117" s="1"/>
      <c r="I117" s="1"/>
      <c r="J117" s="1"/>
      <c r="K117" s="1"/>
      <c r="L117" s="1"/>
      <c r="M117" s="1"/>
      <c r="N117" s="1"/>
      <c r="O117" s="1"/>
      <c r="P117" s="1"/>
      <c r="Q117" s="1"/>
    </row>
    <row r="118" spans="1:17">
      <c r="A118" s="1"/>
      <c r="B118" s="1"/>
      <c r="C118" s="1"/>
      <c r="D118" s="1"/>
      <c r="E118" s="1"/>
      <c r="F118" s="1"/>
      <c r="G118" s="1"/>
      <c r="H118" s="1"/>
      <c r="I118" s="1"/>
      <c r="J118" s="1"/>
      <c r="K118" s="1"/>
      <c r="L118" s="1"/>
      <c r="M118" s="1"/>
      <c r="N118" s="1"/>
      <c r="O118" s="1"/>
      <c r="P118" s="1"/>
      <c r="Q118" s="1"/>
    </row>
    <row r="119" spans="1:17">
      <c r="A119" s="1"/>
      <c r="B119" s="1"/>
      <c r="C119" s="1"/>
      <c r="D119" s="1"/>
      <c r="E119" s="1"/>
      <c r="F119" s="1"/>
      <c r="G119" s="1"/>
      <c r="H119" s="1"/>
      <c r="I119" s="1"/>
      <c r="J119" s="1"/>
      <c r="K119" s="1"/>
      <c r="L119" s="1"/>
      <c r="M119" s="1"/>
      <c r="N119" s="1"/>
      <c r="O119" s="1"/>
      <c r="P119" s="1"/>
      <c r="Q119" s="1"/>
    </row>
    <row r="120" spans="1:17">
      <c r="A120" s="1"/>
      <c r="B120" s="1"/>
      <c r="C120" s="1"/>
      <c r="D120" s="1"/>
      <c r="E120" s="1"/>
      <c r="F120" s="1"/>
      <c r="G120" s="1"/>
      <c r="H120" s="1"/>
      <c r="I120" s="1"/>
      <c r="J120" s="1"/>
      <c r="K120" s="1"/>
      <c r="L120" s="1"/>
      <c r="M120" s="1"/>
      <c r="N120" s="1"/>
      <c r="O120" s="1"/>
      <c r="P120" s="1"/>
      <c r="Q120" s="1"/>
    </row>
    <row r="121" spans="1:17">
      <c r="A121" s="1"/>
      <c r="B121" s="1"/>
      <c r="C121" s="1"/>
      <c r="D121" s="1"/>
      <c r="E121" s="1"/>
      <c r="F121" s="1"/>
      <c r="G121" s="1"/>
      <c r="H121" s="1"/>
      <c r="I121" s="1"/>
      <c r="J121" s="1"/>
      <c r="K121" s="1"/>
      <c r="L121" s="1"/>
      <c r="M121" s="1"/>
      <c r="N121" s="1"/>
      <c r="O121" s="1"/>
      <c r="P121" s="1"/>
      <c r="Q121" s="1"/>
    </row>
    <row r="122" spans="1:17">
      <c r="A122" s="1"/>
      <c r="B122" s="1"/>
      <c r="C122" s="1"/>
      <c r="D122" s="1"/>
      <c r="E122" s="1"/>
      <c r="F122" s="1"/>
      <c r="G122" s="1"/>
      <c r="H122" s="1"/>
      <c r="I122" s="1"/>
      <c r="J122" s="1"/>
      <c r="K122" s="1"/>
      <c r="L122" s="1"/>
      <c r="M122" s="1"/>
      <c r="N122" s="1"/>
      <c r="O122" s="1"/>
      <c r="P122" s="1"/>
      <c r="Q122" s="1"/>
    </row>
    <row r="123" spans="1:17">
      <c r="A123" s="1"/>
      <c r="B123" s="1"/>
      <c r="C123" s="1"/>
      <c r="D123" s="1"/>
      <c r="E123" s="1"/>
      <c r="F123" s="1"/>
      <c r="G123" s="1"/>
      <c r="H123" s="1"/>
      <c r="I123" s="1"/>
      <c r="J123" s="1"/>
      <c r="K123" s="1"/>
      <c r="L123" s="1"/>
      <c r="M123" s="1"/>
      <c r="N123" s="1"/>
      <c r="O123" s="1"/>
      <c r="P123" s="1"/>
      <c r="Q123" s="1"/>
    </row>
    <row r="124" spans="1:17">
      <c r="A124" s="1"/>
      <c r="B124" s="1"/>
      <c r="C124" s="1"/>
      <c r="D124" s="1"/>
      <c r="E124" s="1"/>
      <c r="F124" s="1"/>
      <c r="G124" s="1"/>
      <c r="H124" s="1"/>
      <c r="I124" s="1"/>
      <c r="J124" s="1"/>
      <c r="K124" s="1"/>
      <c r="L124" s="1"/>
      <c r="M124" s="1"/>
      <c r="N124" s="1"/>
      <c r="O124" s="1"/>
      <c r="P124" s="1"/>
      <c r="Q124" s="1"/>
    </row>
    <row r="125" spans="1:17">
      <c r="A125" s="1"/>
      <c r="B125" s="1"/>
      <c r="C125" s="1"/>
      <c r="D125" s="1"/>
      <c r="E125" s="1"/>
      <c r="F125" s="1"/>
      <c r="G125" s="1"/>
      <c r="H125" s="1"/>
      <c r="I125" s="1"/>
      <c r="J125" s="1"/>
      <c r="K125" s="1"/>
      <c r="L125" s="1"/>
      <c r="M125" s="1"/>
      <c r="N125" s="1"/>
      <c r="O125" s="1"/>
      <c r="P125" s="1"/>
      <c r="Q125" s="1"/>
    </row>
    <row r="126" spans="1:17">
      <c r="A126" s="1"/>
      <c r="B126" s="1"/>
      <c r="C126" s="1"/>
      <c r="D126" s="1"/>
      <c r="E126" s="1"/>
      <c r="F126" s="1"/>
      <c r="G126" s="1"/>
      <c r="H126" s="1"/>
      <c r="I126" s="1"/>
      <c r="J126" s="1"/>
      <c r="K126" s="1"/>
      <c r="L126" s="1"/>
      <c r="M126" s="1"/>
      <c r="N126" s="1"/>
      <c r="O126" s="1"/>
      <c r="P126" s="1"/>
      <c r="Q126" s="1"/>
    </row>
    <row r="127" spans="1:17">
      <c r="A127" s="1"/>
      <c r="B127" s="1"/>
      <c r="C127" s="1"/>
      <c r="D127" s="1"/>
      <c r="E127" s="1"/>
      <c r="F127" s="1"/>
      <c r="G127" s="1"/>
      <c r="H127" s="1"/>
      <c r="I127" s="1"/>
      <c r="J127" s="1"/>
      <c r="K127" s="1"/>
      <c r="L127" s="1"/>
      <c r="M127" s="1"/>
      <c r="N127" s="1"/>
      <c r="O127" s="1"/>
      <c r="P127" s="1"/>
      <c r="Q127" s="1"/>
    </row>
    <row r="128" spans="1:17">
      <c r="A128" s="1"/>
      <c r="B128" s="1"/>
      <c r="C128" s="1"/>
      <c r="D128" s="1"/>
      <c r="E128" s="1"/>
      <c r="F128" s="1"/>
      <c r="G128" s="1"/>
      <c r="H128" s="1"/>
      <c r="I128" s="1"/>
      <c r="J128" s="1"/>
      <c r="K128" s="1"/>
      <c r="L128" s="1"/>
      <c r="M128" s="1"/>
      <c r="N128" s="1"/>
      <c r="O128" s="1"/>
      <c r="P128" s="1"/>
      <c r="Q128" s="1"/>
    </row>
    <row r="129" spans="1:17">
      <c r="A129" s="1"/>
      <c r="B129" s="1"/>
      <c r="C129" s="1"/>
      <c r="D129" s="1"/>
      <c r="E129" s="1"/>
      <c r="F129" s="1"/>
      <c r="G129" s="1"/>
      <c r="H129" s="1"/>
      <c r="I129" s="1"/>
      <c r="J129" s="1"/>
      <c r="K129" s="1"/>
      <c r="L129" s="1"/>
      <c r="M129" s="1"/>
      <c r="N129" s="1"/>
      <c r="O129" s="1"/>
      <c r="P129" s="1"/>
      <c r="Q129" s="1"/>
    </row>
    <row r="130" spans="1:17">
      <c r="A130" s="1"/>
      <c r="B130" s="1"/>
      <c r="C130" s="1"/>
      <c r="D130" s="1"/>
      <c r="E130" s="1"/>
      <c r="F130" s="1"/>
      <c r="G130" s="1"/>
      <c r="H130" s="1"/>
      <c r="I130" s="1"/>
      <c r="J130" s="1"/>
      <c r="K130" s="1"/>
      <c r="L130" s="1"/>
      <c r="M130" s="1"/>
      <c r="N130" s="1"/>
      <c r="O130" s="1"/>
      <c r="P130" s="1"/>
      <c r="Q130" s="1"/>
    </row>
    <row r="131" spans="1:17">
      <c r="A131" s="1"/>
      <c r="B131" s="1"/>
      <c r="C131" s="1"/>
      <c r="D131" s="1"/>
      <c r="E131" s="1"/>
      <c r="F131" s="1"/>
      <c r="G131" s="1"/>
      <c r="H131" s="1"/>
      <c r="I131" s="1"/>
      <c r="J131" s="1"/>
      <c r="K131" s="1"/>
      <c r="L131" s="1"/>
      <c r="M131" s="1"/>
      <c r="N131" s="1"/>
      <c r="O131" s="1"/>
      <c r="P131" s="1"/>
      <c r="Q131" s="1"/>
    </row>
    <row r="132" spans="1:17">
      <c r="A132" s="1"/>
      <c r="B132" s="1"/>
      <c r="C132" s="1"/>
      <c r="D132" s="1"/>
      <c r="E132" s="1"/>
      <c r="F132" s="1"/>
      <c r="G132" s="1"/>
      <c r="H132" s="1"/>
      <c r="I132" s="1"/>
      <c r="J132" s="1"/>
      <c r="K132" s="1"/>
      <c r="L132" s="1"/>
      <c r="M132" s="1"/>
      <c r="N132" s="1"/>
      <c r="O132" s="1"/>
      <c r="P132" s="1"/>
      <c r="Q132" s="1"/>
    </row>
    <row r="133" spans="1:17">
      <c r="A133" s="1"/>
      <c r="B133" s="1"/>
      <c r="C133" s="1"/>
      <c r="D133" s="1"/>
      <c r="E133" s="1"/>
      <c r="F133" s="1"/>
      <c r="G133" s="1"/>
      <c r="H133" s="1"/>
      <c r="I133" s="1"/>
      <c r="J133" s="1"/>
      <c r="K133" s="1"/>
      <c r="L133" s="1"/>
      <c r="M133" s="1"/>
      <c r="N133" s="1"/>
      <c r="O133" s="1"/>
      <c r="P133" s="1"/>
      <c r="Q133" s="1"/>
    </row>
    <row r="134" spans="1:17">
      <c r="A134" s="1"/>
      <c r="B134" s="1"/>
      <c r="C134" s="1"/>
      <c r="D134" s="1"/>
      <c r="E134" s="1"/>
      <c r="F134" s="1"/>
      <c r="G134" s="1"/>
      <c r="H134" s="1"/>
      <c r="I134" s="1"/>
      <c r="J134" s="1"/>
      <c r="K134" s="1"/>
      <c r="L134" s="1"/>
      <c r="M134" s="1"/>
      <c r="N134" s="1"/>
      <c r="O134" s="1"/>
      <c r="P134" s="1"/>
      <c r="Q134" s="1"/>
    </row>
    <row r="135" spans="1:17">
      <c r="A135" s="1"/>
      <c r="B135" s="1"/>
      <c r="C135" s="1"/>
      <c r="D135" s="1"/>
      <c r="E135" s="1"/>
      <c r="F135" s="1"/>
      <c r="G135" s="1"/>
      <c r="H135" s="1"/>
      <c r="I135" s="1"/>
      <c r="J135" s="1"/>
      <c r="K135" s="1"/>
      <c r="L135" s="1"/>
      <c r="M135" s="1"/>
      <c r="N135" s="1"/>
      <c r="O135" s="1"/>
      <c r="P135" s="1"/>
      <c r="Q135" s="1"/>
    </row>
    <row r="136" spans="1:17">
      <c r="A136" s="1"/>
      <c r="B136" s="1"/>
      <c r="C136" s="1"/>
      <c r="D136" s="1"/>
      <c r="E136" s="1"/>
      <c r="F136" s="1"/>
      <c r="G136" s="1"/>
      <c r="H136" s="1"/>
      <c r="I136" s="1"/>
      <c r="J136" s="1"/>
      <c r="K136" s="1"/>
      <c r="L136" s="1"/>
      <c r="M136" s="1"/>
      <c r="N136" s="1"/>
      <c r="O136" s="1"/>
      <c r="P136" s="1"/>
      <c r="Q136" s="1"/>
    </row>
    <row r="137" spans="1:17">
      <c r="A137" s="1"/>
      <c r="B137" s="1"/>
      <c r="C137" s="1"/>
      <c r="D137" s="1"/>
      <c r="E137" s="1"/>
      <c r="F137" s="1"/>
      <c r="G137" s="1"/>
      <c r="H137" s="1"/>
      <c r="I137" s="1"/>
      <c r="J137" s="1"/>
      <c r="K137" s="1"/>
      <c r="L137" s="1"/>
      <c r="M137" s="1"/>
      <c r="N137" s="1"/>
      <c r="O137" s="1"/>
      <c r="P137" s="1"/>
      <c r="Q137" s="1"/>
    </row>
    <row r="138" spans="1:17">
      <c r="A138" s="1"/>
      <c r="B138" s="1"/>
      <c r="C138" s="1"/>
      <c r="D138" s="1"/>
      <c r="E138" s="1"/>
      <c r="F138" s="1"/>
      <c r="G138" s="1"/>
      <c r="H138" s="1"/>
      <c r="I138" s="1"/>
      <c r="J138" s="1"/>
      <c r="K138" s="1"/>
      <c r="L138" s="1"/>
      <c r="M138" s="1"/>
      <c r="N138" s="1"/>
      <c r="O138" s="1"/>
      <c r="P138" s="1"/>
      <c r="Q138" s="1"/>
    </row>
    <row r="139" spans="1:17">
      <c r="A139" s="1"/>
      <c r="B139" s="1"/>
      <c r="C139" s="1"/>
      <c r="D139" s="1"/>
      <c r="E139" s="1"/>
      <c r="F139" s="1"/>
      <c r="G139" s="1"/>
      <c r="H139" s="1"/>
      <c r="I139" s="1"/>
      <c r="J139" s="1"/>
      <c r="K139" s="1"/>
      <c r="L139" s="1"/>
      <c r="M139" s="1"/>
      <c r="N139" s="1"/>
      <c r="O139" s="1"/>
      <c r="P139" s="1"/>
      <c r="Q139" s="1"/>
    </row>
    <row r="140" spans="1:17">
      <c r="A140" s="1"/>
      <c r="B140" s="1"/>
      <c r="C140" s="1"/>
      <c r="D140" s="1"/>
      <c r="E140" s="1"/>
      <c r="F140" s="1"/>
      <c r="G140" s="1"/>
      <c r="H140" s="1"/>
      <c r="I140" s="1"/>
      <c r="J140" s="1"/>
      <c r="K140" s="1"/>
      <c r="L140" s="1"/>
      <c r="M140" s="1"/>
      <c r="N140" s="1"/>
      <c r="O140" s="1"/>
      <c r="P140" s="1"/>
      <c r="Q140" s="1"/>
    </row>
    <row r="141" spans="1:17">
      <c r="A141" s="1"/>
      <c r="B141" s="1"/>
      <c r="C141" s="1"/>
      <c r="D141" s="1"/>
      <c r="E141" s="1"/>
      <c r="F141" s="1"/>
      <c r="G141" s="1"/>
      <c r="H141" s="1"/>
      <c r="I141" s="1"/>
      <c r="J141" s="1"/>
      <c r="K141" s="1"/>
      <c r="L141" s="1"/>
      <c r="M141" s="1"/>
      <c r="N141" s="1"/>
      <c r="O141" s="1"/>
      <c r="P141" s="1"/>
      <c r="Q141" s="1"/>
    </row>
    <row r="142" spans="1:17">
      <c r="A142" s="1"/>
      <c r="B142" s="1"/>
      <c r="C142" s="1"/>
      <c r="D142" s="1"/>
      <c r="E142" s="1"/>
      <c r="F142" s="1"/>
      <c r="G142" s="1"/>
      <c r="H142" s="1"/>
      <c r="I142" s="1"/>
      <c r="J142" s="1"/>
      <c r="K142" s="1"/>
      <c r="L142" s="1"/>
      <c r="M142" s="1"/>
      <c r="N142" s="1"/>
      <c r="O142" s="1"/>
      <c r="P142" s="1"/>
      <c r="Q142" s="1"/>
    </row>
    <row r="143" spans="1:17">
      <c r="A143" s="1"/>
      <c r="B143" s="1"/>
      <c r="C143" s="1"/>
      <c r="D143" s="1"/>
      <c r="E143" s="1"/>
      <c r="F143" s="1"/>
      <c r="G143" s="1"/>
      <c r="H143" s="1"/>
      <c r="I143" s="1"/>
      <c r="J143" s="1"/>
      <c r="K143" s="1"/>
      <c r="L143" s="1"/>
      <c r="M143" s="1"/>
      <c r="N143" s="1"/>
      <c r="O143" s="1"/>
      <c r="P143" s="1"/>
      <c r="Q143" s="1"/>
    </row>
    <row r="144" spans="1:17">
      <c r="A144" s="1"/>
      <c r="B144" s="1"/>
      <c r="C144" s="1"/>
      <c r="D144" s="1"/>
      <c r="E144" s="1"/>
      <c r="F144" s="1"/>
      <c r="G144" s="1"/>
      <c r="H144" s="1"/>
      <c r="I144" s="1"/>
      <c r="J144" s="1"/>
      <c r="K144" s="1"/>
      <c r="L144" s="1"/>
      <c r="M144" s="1"/>
      <c r="N144" s="1"/>
      <c r="O144" s="1"/>
      <c r="P144" s="1"/>
      <c r="Q144" s="1"/>
    </row>
    <row r="145" spans="1:17">
      <c r="A145" s="1"/>
      <c r="B145" s="1"/>
      <c r="C145" s="1"/>
      <c r="D145" s="1"/>
      <c r="E145" s="1"/>
      <c r="F145" s="1"/>
      <c r="G145" s="1"/>
      <c r="H145" s="1"/>
      <c r="I145" s="1"/>
      <c r="J145" s="1"/>
      <c r="K145" s="1"/>
      <c r="L145" s="1"/>
      <c r="M145" s="1"/>
      <c r="N145" s="1"/>
      <c r="O145" s="1"/>
      <c r="P145" s="1"/>
      <c r="Q145" s="1"/>
    </row>
    <row r="146" spans="1:17">
      <c r="A146" s="1"/>
      <c r="B146" s="1"/>
      <c r="C146" s="1"/>
      <c r="D146" s="1"/>
      <c r="E146" s="1"/>
      <c r="F146" s="1"/>
      <c r="G146" s="1"/>
      <c r="H146" s="1"/>
      <c r="I146" s="1"/>
      <c r="J146" s="1"/>
      <c r="K146" s="1"/>
      <c r="L146" s="1"/>
      <c r="M146" s="1"/>
      <c r="N146" s="1"/>
      <c r="O146" s="1"/>
      <c r="P146" s="1"/>
      <c r="Q146" s="1"/>
    </row>
    <row r="147" spans="1:17">
      <c r="A147" s="1"/>
      <c r="B147" s="1"/>
      <c r="C147" s="1"/>
      <c r="D147" s="1"/>
      <c r="E147" s="1"/>
      <c r="F147" s="1"/>
      <c r="G147" s="1"/>
      <c r="H147" s="1"/>
      <c r="I147" s="1"/>
      <c r="J147" s="1"/>
      <c r="K147" s="1"/>
      <c r="L147" s="1"/>
      <c r="M147" s="1"/>
      <c r="N147" s="1"/>
      <c r="O147" s="1"/>
      <c r="P147" s="1"/>
      <c r="Q147" s="1"/>
    </row>
    <row r="148" spans="1:17">
      <c r="A148" s="1"/>
      <c r="B148" s="1"/>
      <c r="C148" s="1"/>
      <c r="D148" s="1"/>
      <c r="E148" s="1"/>
      <c r="F148" s="1"/>
      <c r="G148" s="1"/>
      <c r="H148" s="1"/>
      <c r="I148" s="1"/>
      <c r="J148" s="1"/>
      <c r="K148" s="1"/>
      <c r="L148" s="1"/>
      <c r="M148" s="1"/>
      <c r="N148" s="1"/>
      <c r="O148" s="1"/>
      <c r="P148" s="1"/>
      <c r="Q148" s="1"/>
    </row>
    <row r="149" spans="1:17">
      <c r="A149" s="1"/>
      <c r="B149" s="1"/>
      <c r="C149" s="1"/>
      <c r="D149" s="1"/>
      <c r="E149" s="1"/>
      <c r="F149" s="1"/>
      <c r="G149" s="1"/>
      <c r="H149" s="1"/>
      <c r="I149" s="1"/>
      <c r="J149" s="1"/>
      <c r="K149" s="1"/>
      <c r="L149" s="1"/>
      <c r="M149" s="1"/>
      <c r="N149" s="1"/>
      <c r="O149" s="1"/>
      <c r="P149" s="1"/>
      <c r="Q149" s="1"/>
    </row>
    <row r="150" spans="1:17">
      <c r="A150" s="1"/>
      <c r="B150" s="1"/>
      <c r="C150" s="1"/>
      <c r="D150" s="1"/>
      <c r="E150" s="1"/>
      <c r="F150" s="1"/>
      <c r="G150" s="1"/>
      <c r="H150" s="1"/>
      <c r="I150" s="1"/>
      <c r="J150" s="1"/>
      <c r="K150" s="1"/>
      <c r="L150" s="1"/>
      <c r="M150" s="1"/>
      <c r="N150" s="1"/>
      <c r="O150" s="1"/>
      <c r="P150" s="1"/>
      <c r="Q150" s="1"/>
    </row>
    <row r="151" spans="1:17">
      <c r="A151" s="1"/>
      <c r="B151" s="1"/>
      <c r="C151" s="1"/>
      <c r="D151" s="1"/>
      <c r="E151" s="1"/>
      <c r="F151" s="1"/>
      <c r="G151" s="1"/>
      <c r="H151" s="1"/>
      <c r="I151" s="1"/>
      <c r="J151" s="1"/>
      <c r="K151" s="1"/>
      <c r="L151" s="1"/>
      <c r="M151" s="1"/>
      <c r="N151" s="1"/>
      <c r="O151" s="1"/>
      <c r="P151" s="1"/>
      <c r="Q151" s="1"/>
    </row>
    <row r="152" spans="1:17">
      <c r="A152" s="1"/>
      <c r="B152" s="1"/>
      <c r="C152" s="1"/>
      <c r="D152" s="1"/>
      <c r="E152" s="1"/>
      <c r="F152" s="1"/>
      <c r="G152" s="1"/>
      <c r="H152" s="1"/>
      <c r="I152" s="1"/>
      <c r="J152" s="1"/>
      <c r="K152" s="1"/>
      <c r="L152" s="1"/>
      <c r="M152" s="1"/>
      <c r="N152" s="1"/>
      <c r="O152" s="1"/>
      <c r="P152" s="1"/>
      <c r="Q152" s="1"/>
    </row>
    <row r="153" spans="1:17">
      <c r="A153" s="1"/>
      <c r="B153" s="1"/>
      <c r="C153" s="1"/>
      <c r="D153" s="1"/>
      <c r="E153" s="1"/>
      <c r="F153" s="1"/>
      <c r="G153" s="1"/>
      <c r="H153" s="1"/>
      <c r="I153" s="1"/>
      <c r="J153" s="1"/>
      <c r="K153" s="1"/>
      <c r="L153" s="1"/>
      <c r="M153" s="1"/>
      <c r="N153" s="1"/>
      <c r="O153" s="1"/>
      <c r="P153" s="1"/>
      <c r="Q153" s="1"/>
    </row>
    <row r="154" spans="1:17">
      <c r="A154" s="1"/>
      <c r="B154" s="1"/>
      <c r="C154" s="1"/>
      <c r="D154" s="1"/>
      <c r="E154" s="1"/>
      <c r="F154" s="1"/>
      <c r="G154" s="1"/>
      <c r="H154" s="1"/>
      <c r="I154" s="1"/>
      <c r="J154" s="1"/>
      <c r="K154" s="1"/>
      <c r="L154" s="1"/>
      <c r="M154" s="1"/>
      <c r="N154" s="1"/>
      <c r="O154" s="1"/>
      <c r="P154" s="1"/>
      <c r="Q154" s="1"/>
    </row>
    <row r="155" spans="1:17">
      <c r="A155" s="1"/>
      <c r="B155" s="1"/>
      <c r="C155" s="1"/>
      <c r="D155" s="1"/>
      <c r="E155" s="1"/>
      <c r="F155" s="1"/>
      <c r="G155" s="1"/>
      <c r="H155" s="1"/>
      <c r="I155" s="1"/>
      <c r="J155" s="1"/>
      <c r="K155" s="1"/>
      <c r="L155" s="1"/>
      <c r="M155" s="1"/>
      <c r="N155" s="1"/>
      <c r="O155" s="1"/>
      <c r="P155" s="1"/>
      <c r="Q155" s="1"/>
    </row>
    <row r="156" spans="1:17">
      <c r="A156" s="1"/>
      <c r="B156" s="1"/>
      <c r="C156" s="1"/>
      <c r="D156" s="1"/>
      <c r="E156" s="1"/>
      <c r="F156" s="1"/>
      <c r="G156" s="1"/>
      <c r="H156" s="1"/>
      <c r="I156" s="1"/>
      <c r="J156" s="1"/>
      <c r="K156" s="1"/>
      <c r="L156" s="1"/>
      <c r="M156" s="1"/>
      <c r="N156" s="1"/>
      <c r="O156" s="1"/>
      <c r="P156" s="1"/>
      <c r="Q156" s="1"/>
    </row>
    <row r="157" spans="1:17">
      <c r="A157" s="1"/>
      <c r="B157" s="1"/>
      <c r="C157" s="1"/>
      <c r="D157" s="1"/>
      <c r="E157" s="1"/>
      <c r="F157" s="1"/>
      <c r="G157" s="1"/>
      <c r="H157" s="1"/>
      <c r="I157" s="1"/>
      <c r="J157" s="1"/>
      <c r="K157" s="1"/>
      <c r="L157" s="1"/>
      <c r="M157" s="1"/>
      <c r="N157" s="1"/>
      <c r="O157" s="1"/>
      <c r="P157" s="1"/>
      <c r="Q157" s="1"/>
    </row>
    <row r="158" spans="1:17">
      <c r="A158" s="1"/>
      <c r="B158" s="1"/>
      <c r="C158" s="1"/>
      <c r="D158" s="1"/>
      <c r="E158" s="1"/>
      <c r="F158" s="1"/>
      <c r="G158" s="1"/>
      <c r="H158" s="1"/>
      <c r="I158" s="1"/>
      <c r="J158" s="1"/>
      <c r="K158" s="1"/>
      <c r="L158" s="1"/>
      <c r="M158" s="1"/>
      <c r="N158" s="1"/>
      <c r="O158" s="1"/>
      <c r="P158" s="1"/>
      <c r="Q158" s="1"/>
    </row>
    <row r="159" spans="1:17">
      <c r="A159" s="1"/>
      <c r="B159" s="1"/>
      <c r="C159" s="1"/>
      <c r="D159" s="1"/>
      <c r="E159" s="1"/>
      <c r="F159" s="1"/>
      <c r="G159" s="1"/>
      <c r="H159" s="1"/>
      <c r="I159" s="1"/>
      <c r="J159" s="1"/>
      <c r="K159" s="1"/>
      <c r="L159" s="1"/>
      <c r="M159" s="1"/>
      <c r="N159" s="1"/>
      <c r="O159" s="1"/>
      <c r="P159" s="1"/>
      <c r="Q159" s="1"/>
    </row>
    <row r="160" spans="1:17">
      <c r="A160" s="1"/>
      <c r="B160" s="1"/>
      <c r="C160" s="1"/>
      <c r="D160" s="1"/>
      <c r="E160" s="1"/>
      <c r="F160" s="1"/>
      <c r="G160" s="1"/>
      <c r="H160" s="1"/>
      <c r="I160" s="1"/>
      <c r="J160" s="1"/>
      <c r="K160" s="1"/>
      <c r="L160" s="1"/>
      <c r="M160" s="1"/>
      <c r="N160" s="1"/>
      <c r="O160" s="1"/>
      <c r="P160" s="1"/>
      <c r="Q160" s="1"/>
    </row>
    <row r="161" spans="1:17">
      <c r="A161" s="1"/>
      <c r="B161" s="1"/>
      <c r="C161" s="1"/>
      <c r="D161" s="1"/>
      <c r="E161" s="1"/>
      <c r="F161" s="1"/>
      <c r="G161" s="1"/>
      <c r="H161" s="1"/>
      <c r="I161" s="1"/>
      <c r="J161" s="1"/>
      <c r="K161" s="1"/>
      <c r="L161" s="1"/>
      <c r="M161" s="1"/>
      <c r="N161" s="1"/>
      <c r="O161" s="1"/>
      <c r="P161" s="1"/>
      <c r="Q161" s="1"/>
    </row>
    <row r="162" spans="1:17">
      <c r="A162" s="1"/>
      <c r="B162" s="1"/>
      <c r="C162" s="1"/>
      <c r="D162" s="1"/>
      <c r="E162" s="1"/>
      <c r="F162" s="1"/>
      <c r="G162" s="1"/>
      <c r="H162" s="1"/>
      <c r="I162" s="1"/>
      <c r="J162" s="1"/>
      <c r="K162" s="1"/>
      <c r="L162" s="1"/>
      <c r="M162" s="1"/>
      <c r="N162" s="1"/>
      <c r="O162" s="1"/>
      <c r="P162" s="1"/>
      <c r="Q162" s="1"/>
    </row>
    <row r="163" spans="1:17">
      <c r="A163" s="1"/>
      <c r="B163" s="1"/>
      <c r="C163" s="1"/>
      <c r="D163" s="1"/>
      <c r="E163" s="1"/>
      <c r="F163" s="1"/>
      <c r="G163" s="1"/>
      <c r="H163" s="1"/>
      <c r="I163" s="1"/>
      <c r="J163" s="1"/>
      <c r="K163" s="1"/>
      <c r="L163" s="1"/>
      <c r="M163" s="1"/>
      <c r="N163" s="1"/>
      <c r="O163" s="1"/>
      <c r="P163" s="1"/>
      <c r="Q163" s="1"/>
    </row>
    <row r="164" spans="1:17">
      <c r="A164" s="1"/>
      <c r="B164" s="1"/>
      <c r="C164" s="1"/>
      <c r="D164" s="1"/>
      <c r="E164" s="1"/>
      <c r="F164" s="1"/>
      <c r="G164" s="1"/>
      <c r="H164" s="1"/>
      <c r="I164" s="1"/>
      <c r="J164" s="1"/>
      <c r="K164" s="1"/>
      <c r="L164" s="1"/>
      <c r="M164" s="1"/>
      <c r="N164" s="1"/>
      <c r="O164" s="1"/>
      <c r="P164" s="1"/>
      <c r="Q164" s="1"/>
    </row>
    <row r="165" spans="1:17">
      <c r="A165" s="1"/>
      <c r="B165" s="1"/>
      <c r="C165" s="1"/>
      <c r="D165" s="1"/>
      <c r="E165" s="1"/>
      <c r="F165" s="1"/>
      <c r="G165" s="1"/>
      <c r="H165" s="1"/>
      <c r="I165" s="1"/>
      <c r="J165" s="1"/>
      <c r="K165" s="1"/>
      <c r="L165" s="1"/>
      <c r="M165" s="1"/>
      <c r="N165" s="1"/>
      <c r="O165" s="1"/>
      <c r="P165" s="1"/>
      <c r="Q165" s="1"/>
    </row>
    <row r="166" spans="1:17">
      <c r="A166" s="1"/>
      <c r="B166" s="1"/>
      <c r="C166" s="1"/>
      <c r="D166" s="1"/>
      <c r="E166" s="1"/>
      <c r="F166" s="1"/>
      <c r="G166" s="1"/>
      <c r="H166" s="1"/>
      <c r="I166" s="1"/>
      <c r="J166" s="1"/>
      <c r="K166" s="1"/>
      <c r="L166" s="1"/>
      <c r="M166" s="1"/>
      <c r="N166" s="1"/>
      <c r="O166" s="1"/>
      <c r="P166" s="1"/>
      <c r="Q166" s="1"/>
    </row>
    <row r="167" spans="1:17">
      <c r="A167" s="1"/>
      <c r="B167" s="1"/>
      <c r="C167" s="1"/>
      <c r="D167" s="1"/>
      <c r="E167" s="1"/>
      <c r="F167" s="1"/>
      <c r="G167" s="1"/>
      <c r="H167" s="1"/>
      <c r="I167" s="1"/>
      <c r="J167" s="1"/>
      <c r="K167" s="1"/>
      <c r="L167" s="1"/>
      <c r="M167" s="1"/>
      <c r="N167" s="1"/>
      <c r="O167" s="1"/>
      <c r="P167" s="1"/>
      <c r="Q167" s="1"/>
    </row>
    <row r="168" spans="1:17">
      <c r="A168" s="1"/>
      <c r="B168" s="1"/>
      <c r="C168" s="1"/>
      <c r="D168" s="1"/>
      <c r="E168" s="1"/>
      <c r="F168" s="1"/>
      <c r="G168" s="1"/>
      <c r="H168" s="1"/>
      <c r="I168" s="1"/>
      <c r="J168" s="1"/>
      <c r="K168" s="1"/>
      <c r="L168" s="1"/>
      <c r="M168" s="1"/>
      <c r="N168" s="1"/>
      <c r="O168" s="1"/>
      <c r="P168" s="1"/>
      <c r="Q168" s="1"/>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c r="A171" s="1"/>
      <c r="B171" s="1"/>
      <c r="C171" s="1"/>
      <c r="D171" s="1"/>
      <c r="E171" s="1"/>
      <c r="F171" s="1"/>
      <c r="G171" s="1"/>
      <c r="H171" s="1"/>
      <c r="I171" s="1"/>
      <c r="J171" s="1"/>
      <c r="K171" s="1"/>
      <c r="L171" s="1"/>
      <c r="M171" s="1"/>
      <c r="N171" s="1"/>
      <c r="O171" s="1"/>
      <c r="P171" s="1"/>
      <c r="Q171" s="1"/>
    </row>
    <row r="172" spans="1:17">
      <c r="A172" s="1"/>
      <c r="B172" s="1"/>
      <c r="C172" s="1"/>
      <c r="D172" s="1"/>
      <c r="E172" s="1"/>
      <c r="F172" s="1"/>
      <c r="G172" s="1"/>
      <c r="H172" s="1"/>
      <c r="I172" s="1"/>
      <c r="J172" s="1"/>
      <c r="K172" s="1"/>
      <c r="L172" s="1"/>
      <c r="M172" s="1"/>
      <c r="N172" s="1"/>
      <c r="O172" s="1"/>
      <c r="P172" s="1"/>
      <c r="Q172" s="1"/>
    </row>
    <row r="173" spans="1:17">
      <c r="A173" s="1"/>
      <c r="B173" s="1"/>
      <c r="C173" s="1"/>
      <c r="D173" s="1"/>
      <c r="E173" s="1"/>
      <c r="F173" s="1"/>
      <c r="G173" s="1"/>
      <c r="H173" s="1"/>
      <c r="I173" s="1"/>
      <c r="J173" s="1"/>
      <c r="K173" s="1"/>
      <c r="L173" s="1"/>
      <c r="M173" s="1"/>
      <c r="N173" s="1"/>
      <c r="O173" s="1"/>
      <c r="P173" s="1"/>
      <c r="Q173" s="1"/>
    </row>
    <row r="174" spans="1:17">
      <c r="A174" s="1"/>
      <c r="B174" s="1"/>
      <c r="C174" s="1"/>
      <c r="D174" s="1"/>
      <c r="E174" s="1"/>
      <c r="F174" s="1"/>
      <c r="G174" s="1"/>
      <c r="H174" s="1"/>
      <c r="I174" s="1"/>
      <c r="J174" s="1"/>
      <c r="K174" s="1"/>
      <c r="L174" s="1"/>
      <c r="M174" s="1"/>
      <c r="N174" s="1"/>
      <c r="O174" s="1"/>
      <c r="P174" s="1"/>
      <c r="Q174" s="1"/>
    </row>
    <row r="175" spans="1:17">
      <c r="A175" s="1"/>
      <c r="B175" s="1"/>
      <c r="C175" s="1"/>
      <c r="D175" s="1"/>
      <c r="E175" s="1"/>
      <c r="F175" s="1"/>
      <c r="G175" s="1"/>
      <c r="H175" s="1"/>
      <c r="I175" s="1"/>
      <c r="J175" s="1"/>
      <c r="K175" s="1"/>
      <c r="L175" s="1"/>
      <c r="M175" s="1"/>
      <c r="N175" s="1"/>
      <c r="O175" s="1"/>
      <c r="P175" s="1"/>
      <c r="Q175" s="1"/>
    </row>
    <row r="176" spans="1:17">
      <c r="A176" s="1"/>
      <c r="B176" s="1"/>
      <c r="C176" s="1"/>
      <c r="D176" s="1"/>
      <c r="E176" s="1"/>
      <c r="F176" s="1"/>
      <c r="G176" s="1"/>
      <c r="H176" s="1"/>
      <c r="I176" s="1"/>
      <c r="J176" s="1"/>
      <c r="K176" s="1"/>
      <c r="L176" s="1"/>
      <c r="M176" s="1"/>
      <c r="N176" s="1"/>
      <c r="O176" s="1"/>
      <c r="P176" s="1"/>
      <c r="Q176" s="1"/>
    </row>
    <row r="177" spans="1:17">
      <c r="A177" s="1"/>
      <c r="B177" s="1"/>
      <c r="C177" s="1"/>
      <c r="D177" s="1"/>
      <c r="E177" s="1"/>
      <c r="F177" s="1"/>
      <c r="G177" s="1"/>
      <c r="H177" s="1"/>
      <c r="I177" s="1"/>
      <c r="J177" s="1"/>
      <c r="K177" s="1"/>
      <c r="L177" s="1"/>
      <c r="M177" s="1"/>
      <c r="N177" s="1"/>
      <c r="O177" s="1"/>
      <c r="P177" s="1"/>
      <c r="Q177" s="1"/>
    </row>
    <row r="178" spans="1:17">
      <c r="A178" s="1"/>
      <c r="B178" s="1"/>
      <c r="C178" s="1"/>
      <c r="D178" s="1"/>
      <c r="E178" s="1"/>
      <c r="F178" s="1"/>
      <c r="G178" s="1"/>
      <c r="H178" s="1"/>
      <c r="I178" s="1"/>
      <c r="J178" s="1"/>
      <c r="K178" s="1"/>
      <c r="L178" s="1"/>
      <c r="M178" s="1"/>
      <c r="N178" s="1"/>
      <c r="O178" s="1"/>
      <c r="P178" s="1"/>
      <c r="Q178" s="1"/>
    </row>
    <row r="179" spans="1:17">
      <c r="A179" s="1"/>
      <c r="B179" s="1"/>
      <c r="C179" s="1"/>
      <c r="D179" s="1"/>
      <c r="E179" s="1"/>
      <c r="F179" s="1"/>
      <c r="G179" s="1"/>
      <c r="H179" s="1"/>
      <c r="I179" s="1"/>
      <c r="J179" s="1"/>
      <c r="K179" s="1"/>
      <c r="L179" s="1"/>
      <c r="M179" s="1"/>
      <c r="N179" s="1"/>
      <c r="O179" s="1"/>
      <c r="P179" s="1"/>
      <c r="Q179" s="1"/>
    </row>
    <row r="180" spans="1:17">
      <c r="A180" s="1"/>
      <c r="B180" s="1"/>
      <c r="C180" s="1"/>
      <c r="D180" s="1"/>
      <c r="E180" s="1"/>
      <c r="F180" s="1"/>
      <c r="G180" s="1"/>
      <c r="H180" s="1"/>
      <c r="I180" s="1"/>
      <c r="J180" s="1"/>
      <c r="K180" s="1"/>
      <c r="L180" s="1"/>
      <c r="M180" s="1"/>
      <c r="N180" s="1"/>
      <c r="O180" s="1"/>
      <c r="P180" s="1"/>
      <c r="Q180" s="1"/>
    </row>
    <row r="181" spans="1:17">
      <c r="A181" s="1"/>
      <c r="B181" s="1"/>
      <c r="C181" s="1"/>
      <c r="D181" s="1"/>
      <c r="E181" s="1"/>
      <c r="F181" s="1"/>
      <c r="G181" s="1"/>
      <c r="H181" s="1"/>
      <c r="I181" s="1"/>
      <c r="J181" s="1"/>
      <c r="K181" s="1"/>
      <c r="L181" s="1"/>
      <c r="M181" s="1"/>
      <c r="N181" s="1"/>
      <c r="O181" s="1"/>
      <c r="P181" s="1"/>
      <c r="Q181" s="1"/>
    </row>
    <row r="182" spans="1:17">
      <c r="A182" s="1"/>
      <c r="B182" s="1"/>
      <c r="C182" s="1"/>
      <c r="D182" s="1"/>
      <c r="E182" s="1"/>
      <c r="F182" s="1"/>
      <c r="G182" s="1"/>
      <c r="H182" s="1"/>
      <c r="I182" s="1"/>
      <c r="J182" s="1"/>
      <c r="K182" s="1"/>
      <c r="L182" s="1"/>
      <c r="M182" s="1"/>
      <c r="N182" s="1"/>
      <c r="O182" s="1"/>
      <c r="P182" s="1"/>
      <c r="Q182" s="1"/>
    </row>
    <row r="183" spans="1:17">
      <c r="A183" s="1"/>
      <c r="B183" s="1"/>
      <c r="C183" s="1"/>
      <c r="D183" s="1"/>
      <c r="E183" s="1"/>
      <c r="F183" s="1"/>
      <c r="G183" s="1"/>
      <c r="H183" s="1"/>
      <c r="I183" s="1"/>
      <c r="J183" s="1"/>
      <c r="K183" s="1"/>
      <c r="L183" s="1"/>
      <c r="M183" s="1"/>
      <c r="N183" s="1"/>
      <c r="O183" s="1"/>
      <c r="P183" s="1"/>
      <c r="Q183" s="1"/>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1"/>
      <c r="J188" s="1"/>
      <c r="K188" s="1"/>
      <c r="L188" s="1"/>
      <c r="M188" s="1"/>
      <c r="N188" s="1"/>
      <c r="O188" s="1"/>
      <c r="P188" s="1"/>
      <c r="Q188" s="1"/>
    </row>
    <row r="189" spans="1:17">
      <c r="A189" s="1"/>
      <c r="B189" s="1"/>
      <c r="C189" s="1"/>
      <c r="D189" s="1"/>
      <c r="E189" s="1"/>
      <c r="F189" s="1"/>
      <c r="G189" s="1"/>
      <c r="H189" s="1"/>
      <c r="I189" s="1"/>
      <c r="J189" s="1"/>
      <c r="K189" s="1"/>
      <c r="L189" s="1"/>
      <c r="M189" s="1"/>
      <c r="N189" s="1"/>
      <c r="O189" s="1"/>
      <c r="P189" s="1"/>
      <c r="Q189" s="1"/>
    </row>
    <row r="190" spans="1:17">
      <c r="A190" s="1"/>
      <c r="B190" s="1"/>
      <c r="C190" s="1"/>
      <c r="D190" s="1"/>
      <c r="E190" s="1"/>
      <c r="F190" s="1"/>
      <c r="G190" s="1"/>
      <c r="H190" s="1"/>
      <c r="I190" s="1"/>
      <c r="J190" s="1"/>
      <c r="K190" s="1"/>
      <c r="L190" s="1"/>
      <c r="M190" s="1"/>
      <c r="N190" s="1"/>
      <c r="O190" s="1"/>
      <c r="P190" s="1"/>
      <c r="Q190" s="1"/>
    </row>
    <row r="191" spans="1:17">
      <c r="A191" s="1"/>
      <c r="B191" s="1"/>
      <c r="C191" s="1"/>
      <c r="D191" s="1"/>
      <c r="E191" s="1"/>
      <c r="F191" s="1"/>
      <c r="G191" s="1"/>
      <c r="H191" s="1"/>
      <c r="I191" s="1"/>
      <c r="J191" s="1"/>
      <c r="K191" s="1"/>
      <c r="L191" s="1"/>
      <c r="M191" s="1"/>
      <c r="N191" s="1"/>
      <c r="O191" s="1"/>
      <c r="P191" s="1"/>
      <c r="Q191" s="1"/>
    </row>
    <row r="192" spans="1:17">
      <c r="A192" s="1"/>
      <c r="B192" s="1"/>
      <c r="C192" s="1"/>
      <c r="D192" s="1"/>
      <c r="E192" s="1"/>
      <c r="F192" s="1"/>
      <c r="G192" s="1"/>
      <c r="H192" s="1"/>
      <c r="I192" s="1"/>
      <c r="J192" s="1"/>
      <c r="K192" s="1"/>
      <c r="L192" s="1"/>
      <c r="M192" s="1"/>
      <c r="N192" s="1"/>
      <c r="O192" s="1"/>
      <c r="P192" s="1"/>
      <c r="Q192" s="1"/>
    </row>
    <row r="193" spans="1:17">
      <c r="A193" s="1"/>
      <c r="B193" s="1"/>
      <c r="C193" s="1"/>
      <c r="D193" s="1"/>
      <c r="E193" s="1"/>
      <c r="F193" s="1"/>
      <c r="G193" s="1"/>
      <c r="H193" s="1"/>
      <c r="I193" s="1"/>
      <c r="J193" s="1"/>
      <c r="K193" s="1"/>
      <c r="L193" s="1"/>
      <c r="M193" s="1"/>
      <c r="N193" s="1"/>
      <c r="O193" s="1"/>
      <c r="P193" s="1"/>
      <c r="Q193" s="1"/>
    </row>
    <row r="194" spans="1:17">
      <c r="A194" s="1"/>
      <c r="B194" s="1"/>
      <c r="C194" s="1"/>
      <c r="D194" s="1"/>
      <c r="E194" s="1"/>
      <c r="F194" s="1"/>
      <c r="G194" s="1"/>
      <c r="H194" s="1"/>
      <c r="I194" s="1"/>
      <c r="J194" s="1"/>
      <c r="K194" s="1"/>
      <c r="L194" s="1"/>
      <c r="M194" s="1"/>
      <c r="N194" s="1"/>
      <c r="O194" s="1"/>
      <c r="P194" s="1"/>
      <c r="Q194" s="1"/>
    </row>
    <row r="195" spans="1:17">
      <c r="A195" s="1"/>
      <c r="B195" s="1"/>
      <c r="C195" s="1"/>
      <c r="D195" s="1"/>
      <c r="E195" s="1"/>
      <c r="F195" s="1"/>
      <c r="G195" s="1"/>
      <c r="H195" s="1"/>
      <c r="I195" s="1"/>
      <c r="J195" s="1"/>
      <c r="K195" s="1"/>
      <c r="L195" s="1"/>
      <c r="M195" s="1"/>
      <c r="N195" s="1"/>
      <c r="O195" s="1"/>
      <c r="P195" s="1"/>
      <c r="Q195" s="1"/>
    </row>
    <row r="196" spans="1:17">
      <c r="A196" s="1"/>
      <c r="B196" s="1"/>
      <c r="C196" s="1"/>
      <c r="D196" s="1"/>
      <c r="E196" s="1"/>
      <c r="F196" s="1"/>
      <c r="G196" s="1"/>
      <c r="H196" s="1"/>
      <c r="I196" s="1"/>
      <c r="J196" s="1"/>
      <c r="K196" s="1"/>
      <c r="L196" s="1"/>
      <c r="M196" s="1"/>
      <c r="N196" s="1"/>
      <c r="O196" s="1"/>
      <c r="P196" s="1"/>
      <c r="Q196" s="1"/>
    </row>
    <row r="197" spans="1:17">
      <c r="A197" s="1"/>
      <c r="B197" s="1"/>
      <c r="C197" s="1"/>
      <c r="D197" s="1"/>
      <c r="E197" s="1"/>
      <c r="F197" s="1"/>
      <c r="G197" s="1"/>
      <c r="H197" s="1"/>
      <c r="I197" s="1"/>
      <c r="J197" s="1"/>
      <c r="K197" s="1"/>
      <c r="L197" s="1"/>
      <c r="M197" s="1"/>
      <c r="N197" s="1"/>
      <c r="O197" s="1"/>
      <c r="P197" s="1"/>
      <c r="Q197" s="1"/>
    </row>
    <row r="198" spans="1:17">
      <c r="A198" s="1"/>
      <c r="B198" s="1"/>
      <c r="C198" s="1"/>
      <c r="D198" s="1"/>
      <c r="E198" s="1"/>
      <c r="F198" s="1"/>
      <c r="G198" s="1"/>
      <c r="H198" s="1"/>
      <c r="I198" s="1"/>
      <c r="J198" s="1"/>
      <c r="K198" s="1"/>
      <c r="L198" s="1"/>
      <c r="M198" s="1"/>
      <c r="N198" s="1"/>
      <c r="O198" s="1"/>
      <c r="P198" s="1"/>
      <c r="Q198" s="1"/>
    </row>
    <row r="199" spans="1:17">
      <c r="A199" s="1"/>
      <c r="B199" s="1"/>
      <c r="C199" s="1"/>
      <c r="D199" s="1"/>
      <c r="E199" s="1"/>
      <c r="F199" s="1"/>
      <c r="G199" s="1"/>
      <c r="H199" s="1"/>
      <c r="I199" s="1"/>
      <c r="J199" s="1"/>
      <c r="K199" s="1"/>
      <c r="L199" s="1"/>
      <c r="M199" s="1"/>
      <c r="N199" s="1"/>
      <c r="O199" s="1"/>
      <c r="P199" s="1"/>
      <c r="Q199" s="1"/>
    </row>
    <row r="200" spans="1:17">
      <c r="A200" s="1"/>
      <c r="B200" s="1"/>
      <c r="C200" s="1"/>
      <c r="D200" s="1"/>
      <c r="E200" s="1"/>
      <c r="F200" s="1"/>
      <c r="G200" s="1"/>
      <c r="H200" s="1"/>
      <c r="I200" s="1"/>
      <c r="J200" s="1"/>
      <c r="K200" s="1"/>
      <c r="L200" s="1"/>
      <c r="M200" s="1"/>
      <c r="N200" s="1"/>
      <c r="O200" s="1"/>
      <c r="P200" s="1"/>
      <c r="Q200" s="1"/>
    </row>
    <row r="201" spans="1:17">
      <c r="A201" s="1"/>
      <c r="B201" s="1"/>
      <c r="C201" s="1"/>
      <c r="D201" s="1"/>
      <c r="E201" s="1"/>
      <c r="F201" s="1"/>
      <c r="G201" s="1"/>
      <c r="H201" s="1"/>
      <c r="I201" s="1"/>
      <c r="J201" s="1"/>
      <c r="K201" s="1"/>
      <c r="L201" s="1"/>
      <c r="M201" s="1"/>
      <c r="N201" s="1"/>
      <c r="O201" s="1"/>
      <c r="P201" s="1"/>
      <c r="Q201" s="1"/>
    </row>
    <row r="202" spans="1:17">
      <c r="A202" s="1"/>
      <c r="B202" s="1"/>
      <c r="C202" s="1"/>
      <c r="D202" s="1"/>
      <c r="E202" s="1"/>
      <c r="F202" s="1"/>
      <c r="G202" s="1"/>
      <c r="H202" s="1"/>
      <c r="I202" s="1"/>
      <c r="J202" s="1"/>
      <c r="K202" s="1"/>
      <c r="L202" s="1"/>
      <c r="M202" s="1"/>
      <c r="N202" s="1"/>
      <c r="O202" s="1"/>
      <c r="P202" s="1"/>
      <c r="Q202" s="1"/>
    </row>
    <row r="203" spans="1:17">
      <c r="A203" s="1"/>
      <c r="B203" s="1"/>
      <c r="C203" s="1"/>
      <c r="D203" s="1"/>
      <c r="E203" s="1"/>
      <c r="F203" s="1"/>
      <c r="G203" s="1"/>
      <c r="H203" s="1"/>
      <c r="I203" s="1"/>
      <c r="J203" s="1"/>
      <c r="K203" s="1"/>
      <c r="L203" s="1"/>
      <c r="M203" s="1"/>
      <c r="N203" s="1"/>
      <c r="O203" s="1"/>
      <c r="P203" s="1"/>
      <c r="Q203" s="1"/>
    </row>
    <row r="204" spans="1:17">
      <c r="A204" s="1"/>
      <c r="B204" s="1"/>
      <c r="C204" s="1"/>
      <c r="D204" s="1"/>
      <c r="E204" s="1"/>
      <c r="F204" s="1"/>
      <c r="G204" s="1"/>
      <c r="H204" s="1"/>
      <c r="I204" s="1"/>
      <c r="J204" s="1"/>
      <c r="K204" s="1"/>
      <c r="L204" s="1"/>
      <c r="M204" s="1"/>
      <c r="N204" s="1"/>
      <c r="O204" s="1"/>
      <c r="P204" s="1"/>
      <c r="Q204" s="1"/>
    </row>
    <row r="205" spans="1:17">
      <c r="A205" s="1"/>
      <c r="B205" s="1"/>
      <c r="C205" s="1"/>
      <c r="D205" s="1"/>
      <c r="E205" s="1"/>
      <c r="F205" s="1"/>
      <c r="G205" s="1"/>
      <c r="H205" s="1"/>
      <c r="I205" s="1"/>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9:H35">
    <cfRule type="expression" dxfId="5" priority="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00"/>
  <sheetViews>
    <sheetView workbookViewId="0"/>
  </sheetViews>
  <sheetFormatPr defaultRowHeight="14.25"/>
  <cols>
    <col min="1" max="1" width="9" customWidth="1"/>
    <col min="2" max="2" width="20" customWidth="1"/>
    <col min="3" max="3" width="34" customWidth="1"/>
    <col min="4" max="4" width="30" customWidth="1"/>
    <col min="5" max="5" width="15" customWidth="1"/>
    <col min="6" max="6" width="11" customWidth="1"/>
    <col min="7" max="7" width="27" customWidth="1"/>
    <col min="8" max="8" width="22" customWidth="1"/>
    <col min="9" max="9" width="28" customWidth="1"/>
    <col min="10" max="10" width="18" customWidth="1"/>
    <col min="11" max="11" width="12" customWidth="1"/>
    <col min="12" max="12" width="56" customWidth="1"/>
  </cols>
  <sheetData>
    <row r="1" spans="1:17" ht="19.5">
      <c r="A1" s="19" t="s">
        <v>3106</v>
      </c>
      <c r="B1" s="6"/>
      <c r="C1" s="6"/>
      <c r="D1" s="6"/>
      <c r="E1" s="6"/>
      <c r="F1" s="6"/>
      <c r="G1" s="6"/>
      <c r="H1" s="6"/>
      <c r="I1" s="6"/>
      <c r="J1" s="6"/>
      <c r="K1" s="6"/>
      <c r="L1" s="6"/>
      <c r="M1" s="1"/>
      <c r="N1" s="1"/>
      <c r="O1" s="1"/>
      <c r="P1" s="1"/>
      <c r="Q1" s="1"/>
    </row>
    <row r="2" spans="1:17">
      <c r="A2" s="1"/>
      <c r="B2" s="1"/>
      <c r="C2" s="1"/>
      <c r="D2" s="1"/>
      <c r="E2" s="1"/>
      <c r="F2" s="1"/>
      <c r="G2" s="1"/>
      <c r="H2" s="1"/>
      <c r="I2" s="1"/>
      <c r="J2" s="1"/>
      <c r="K2" s="1"/>
      <c r="L2" s="1"/>
      <c r="M2" s="1"/>
      <c r="N2" s="1"/>
      <c r="O2" s="1"/>
      <c r="P2" s="1"/>
      <c r="Q2" s="1"/>
    </row>
    <row r="3" spans="1:17">
      <c r="A3" s="1"/>
      <c r="B3" s="1"/>
      <c r="C3" s="1"/>
      <c r="D3" s="1"/>
      <c r="E3" s="1"/>
      <c r="F3" s="1"/>
      <c r="G3" s="1"/>
      <c r="H3" s="1"/>
      <c r="I3" s="1"/>
      <c r="J3" s="1"/>
      <c r="K3" s="1"/>
      <c r="L3" s="1"/>
      <c r="M3" s="1"/>
      <c r="N3" s="1"/>
      <c r="O3" s="1"/>
      <c r="P3" s="1"/>
      <c r="Q3" s="1"/>
    </row>
    <row r="4" spans="1:17" ht="15">
      <c r="A4" s="9" t="s">
        <v>48</v>
      </c>
      <c r="B4" s="9" t="s">
        <v>3107</v>
      </c>
      <c r="C4" s="9"/>
      <c r="D4" s="9" t="s">
        <v>45</v>
      </c>
      <c r="E4" s="9" t="s">
        <v>3108</v>
      </c>
      <c r="F4" s="9" t="s">
        <v>3109</v>
      </c>
      <c r="G4" s="1"/>
      <c r="H4" s="1"/>
      <c r="I4" s="1"/>
      <c r="J4" s="1"/>
      <c r="K4" s="1"/>
      <c r="L4" s="1"/>
      <c r="M4" s="1"/>
      <c r="N4" s="1"/>
      <c r="O4" s="1"/>
      <c r="P4" s="1"/>
      <c r="Q4" s="1"/>
    </row>
    <row r="5" spans="1:17" ht="42.75">
      <c r="A5" s="10" t="s">
        <v>66</v>
      </c>
      <c r="B5" s="10">
        <v>24</v>
      </c>
      <c r="C5" s="10"/>
      <c r="D5" s="10" t="s">
        <v>67</v>
      </c>
      <c r="E5" s="10" t="s">
        <v>3110</v>
      </c>
      <c r="F5" s="10" t="s">
        <v>3111</v>
      </c>
      <c r="G5" s="1"/>
      <c r="H5" s="1"/>
      <c r="I5" s="1"/>
      <c r="J5" s="1"/>
      <c r="K5" s="1"/>
      <c r="L5" s="1"/>
      <c r="M5" s="1"/>
      <c r="N5" s="1"/>
      <c r="O5" s="1"/>
      <c r="P5" s="1"/>
      <c r="Q5" s="1"/>
    </row>
    <row r="6" spans="1:17" ht="42.75">
      <c r="A6" s="10" t="s">
        <v>419</v>
      </c>
      <c r="B6" s="10">
        <v>20</v>
      </c>
      <c r="C6" s="10"/>
      <c r="D6" s="10" t="s">
        <v>420</v>
      </c>
      <c r="E6" s="10" t="s">
        <v>3110</v>
      </c>
      <c r="F6" s="10" t="s">
        <v>3112</v>
      </c>
      <c r="G6" s="1"/>
      <c r="H6" s="1"/>
      <c r="I6" s="1"/>
      <c r="J6" s="1"/>
      <c r="K6" s="1"/>
      <c r="L6" s="1"/>
      <c r="M6" s="1"/>
      <c r="N6" s="1"/>
      <c r="O6" s="1"/>
      <c r="P6" s="1"/>
      <c r="Q6" s="1"/>
    </row>
    <row r="7" spans="1:17" ht="57">
      <c r="A7" s="10" t="s">
        <v>104</v>
      </c>
      <c r="B7" s="10">
        <v>254</v>
      </c>
      <c r="C7" s="10"/>
      <c r="D7" s="10" t="s">
        <v>105</v>
      </c>
      <c r="E7" s="10" t="s">
        <v>3113</v>
      </c>
      <c r="F7" s="10" t="s">
        <v>3114</v>
      </c>
      <c r="G7" s="1"/>
      <c r="H7" s="1"/>
      <c r="I7" s="1"/>
      <c r="J7" s="1"/>
      <c r="K7" s="1"/>
      <c r="L7" s="1"/>
      <c r="M7" s="1"/>
      <c r="N7" s="1"/>
      <c r="O7" s="1"/>
      <c r="P7" s="1"/>
      <c r="Q7" s="1"/>
    </row>
    <row r="8" spans="1:17">
      <c r="A8" s="1"/>
      <c r="B8" s="1"/>
      <c r="C8" s="1"/>
      <c r="D8" s="1"/>
      <c r="E8" s="1"/>
      <c r="F8" s="1"/>
      <c r="G8" s="1"/>
      <c r="H8" s="1"/>
      <c r="I8" s="1"/>
      <c r="J8" s="1"/>
      <c r="K8" s="1"/>
      <c r="L8" s="1"/>
      <c r="M8" s="1"/>
      <c r="N8" s="1"/>
      <c r="O8" s="1"/>
      <c r="P8" s="1"/>
      <c r="Q8" s="1"/>
    </row>
    <row r="9" spans="1:17">
      <c r="A9" s="1"/>
      <c r="B9" s="1"/>
      <c r="C9" s="1"/>
      <c r="D9" s="1"/>
      <c r="E9" s="1"/>
      <c r="F9" s="1"/>
      <c r="G9" s="1"/>
      <c r="H9" s="1"/>
      <c r="I9" s="1"/>
      <c r="J9" s="1"/>
      <c r="K9" s="1"/>
      <c r="L9" s="1"/>
      <c r="M9" s="1"/>
      <c r="N9" s="1"/>
      <c r="O9" s="1"/>
      <c r="P9" s="1"/>
      <c r="Q9" s="1"/>
    </row>
    <row r="10" spans="1:17" ht="15">
      <c r="A10" s="8" t="s">
        <v>3115</v>
      </c>
      <c r="B10" s="8" t="s">
        <v>48</v>
      </c>
      <c r="C10" s="8" t="s">
        <v>3116</v>
      </c>
      <c r="D10" s="8" t="s">
        <v>50</v>
      </c>
      <c r="E10" s="8" t="s">
        <v>1459</v>
      </c>
      <c r="F10" s="8" t="s">
        <v>52</v>
      </c>
      <c r="G10" s="8" t="s">
        <v>3117</v>
      </c>
      <c r="H10" s="8" t="s">
        <v>45</v>
      </c>
      <c r="I10" s="8" t="s">
        <v>46</v>
      </c>
      <c r="J10" s="8" t="s">
        <v>3033</v>
      </c>
      <c r="K10" s="8" t="s">
        <v>56</v>
      </c>
      <c r="L10" s="8" t="s">
        <v>54</v>
      </c>
      <c r="M10" s="1"/>
      <c r="N10" s="1"/>
      <c r="O10" s="1"/>
      <c r="P10" s="1"/>
      <c r="Q10" s="1"/>
    </row>
    <row r="11" spans="1:17">
      <c r="A11" s="10">
        <v>5</v>
      </c>
      <c r="B11" s="10" t="s">
        <v>57</v>
      </c>
      <c r="C11" s="10" t="s">
        <v>58</v>
      </c>
      <c r="D11" s="10" t="s">
        <v>59</v>
      </c>
      <c r="E11" s="10">
        <v>100</v>
      </c>
      <c r="F11" s="10" t="s">
        <v>60</v>
      </c>
      <c r="G11" s="12" t="s">
        <v>66</v>
      </c>
      <c r="H11" s="12" t="s">
        <v>67</v>
      </c>
      <c r="I11" s="12" t="s">
        <v>68</v>
      </c>
      <c r="J11" s="10" t="s">
        <v>1</v>
      </c>
      <c r="K11" s="10" t="s">
        <v>63</v>
      </c>
      <c r="L11" s="14" t="s">
        <v>62</v>
      </c>
      <c r="M11" s="1"/>
      <c r="N11" s="1"/>
      <c r="O11" s="1"/>
      <c r="P11" s="1"/>
      <c r="Q11" s="1"/>
    </row>
    <row r="12" spans="1:17">
      <c r="A12" s="10">
        <v>6</v>
      </c>
      <c r="B12" s="10" t="s">
        <v>70</v>
      </c>
      <c r="C12" s="10" t="s">
        <v>71</v>
      </c>
      <c r="D12" s="10" t="s">
        <v>72</v>
      </c>
      <c r="E12" s="10">
        <v>800</v>
      </c>
      <c r="F12" s="10" t="s">
        <v>73</v>
      </c>
      <c r="G12" s="12" t="s">
        <v>66</v>
      </c>
      <c r="H12" s="12" t="s">
        <v>67</v>
      </c>
      <c r="I12" s="12" t="s">
        <v>68</v>
      </c>
      <c r="J12" s="10" t="s">
        <v>3</v>
      </c>
      <c r="K12" s="10" t="s">
        <v>76</v>
      </c>
      <c r="L12" s="14" t="s">
        <v>75</v>
      </c>
      <c r="M12" s="1"/>
      <c r="N12" s="1"/>
      <c r="O12" s="1"/>
      <c r="P12" s="1"/>
      <c r="Q12" s="1"/>
    </row>
    <row r="13" spans="1:17">
      <c r="A13" s="10">
        <v>7</v>
      </c>
      <c r="B13" s="10" t="s">
        <v>70</v>
      </c>
      <c r="C13" s="10" t="s">
        <v>78</v>
      </c>
      <c r="D13" s="10" t="s">
        <v>79</v>
      </c>
      <c r="E13" s="10">
        <v>400</v>
      </c>
      <c r="F13" s="10" t="s">
        <v>73</v>
      </c>
      <c r="G13" s="12" t="s">
        <v>66</v>
      </c>
      <c r="H13" s="12" t="s">
        <v>67</v>
      </c>
      <c r="I13" s="12" t="s">
        <v>68</v>
      </c>
      <c r="J13" s="10" t="s">
        <v>3</v>
      </c>
      <c r="K13" s="10" t="s">
        <v>76</v>
      </c>
      <c r="L13" s="14" t="s">
        <v>81</v>
      </c>
      <c r="M13" s="1"/>
      <c r="N13" s="1"/>
      <c r="O13" s="1"/>
      <c r="P13" s="1"/>
      <c r="Q13" s="1"/>
    </row>
    <row r="14" spans="1:17">
      <c r="A14" s="10">
        <v>8</v>
      </c>
      <c r="B14" s="10" t="s">
        <v>70</v>
      </c>
      <c r="C14" s="10" t="s">
        <v>84</v>
      </c>
      <c r="D14" s="10" t="s">
        <v>85</v>
      </c>
      <c r="E14" s="10">
        <v>0.95</v>
      </c>
      <c r="F14" s="10" t="s">
        <v>86</v>
      </c>
      <c r="G14" s="12" t="s">
        <v>66</v>
      </c>
      <c r="H14" s="12" t="s">
        <v>67</v>
      </c>
      <c r="I14" s="12" t="s">
        <v>68</v>
      </c>
      <c r="J14" s="10" t="s">
        <v>3</v>
      </c>
      <c r="K14" s="10" t="s">
        <v>76</v>
      </c>
      <c r="L14" s="14" t="s">
        <v>87</v>
      </c>
      <c r="M14" s="1"/>
      <c r="N14" s="1"/>
      <c r="O14" s="1"/>
      <c r="P14" s="1"/>
      <c r="Q14" s="1"/>
    </row>
    <row r="15" spans="1:17">
      <c r="A15" s="10">
        <v>9</v>
      </c>
      <c r="B15" s="10" t="s">
        <v>70</v>
      </c>
      <c r="C15" s="10" t="s">
        <v>89</v>
      </c>
      <c r="D15" s="10" t="s">
        <v>90</v>
      </c>
      <c r="E15" s="10">
        <v>0.97</v>
      </c>
      <c r="F15" s="10" t="s">
        <v>86</v>
      </c>
      <c r="G15" s="12" t="s">
        <v>66</v>
      </c>
      <c r="H15" s="12" t="s">
        <v>67</v>
      </c>
      <c r="I15" s="12" t="s">
        <v>68</v>
      </c>
      <c r="J15" s="10" t="s">
        <v>3</v>
      </c>
      <c r="K15" s="10" t="s">
        <v>76</v>
      </c>
      <c r="L15" s="14" t="s">
        <v>92</v>
      </c>
      <c r="M15" s="1"/>
      <c r="N15" s="1"/>
      <c r="O15" s="1"/>
      <c r="P15" s="1"/>
      <c r="Q15" s="1"/>
    </row>
    <row r="16" spans="1:17">
      <c r="A16" s="10">
        <v>10</v>
      </c>
      <c r="B16" s="10" t="s">
        <v>70</v>
      </c>
      <c r="C16" s="10" t="s">
        <v>94</v>
      </c>
      <c r="D16" s="10" t="s">
        <v>95</v>
      </c>
      <c r="E16" s="10">
        <v>16000</v>
      </c>
      <c r="F16" s="10" t="s">
        <v>96</v>
      </c>
      <c r="G16" s="12" t="s">
        <v>66</v>
      </c>
      <c r="H16" s="12" t="s">
        <v>67</v>
      </c>
      <c r="I16" s="12" t="s">
        <v>68</v>
      </c>
      <c r="J16" s="10" t="s">
        <v>3</v>
      </c>
      <c r="K16" s="10" t="s">
        <v>76</v>
      </c>
      <c r="L16" s="14" t="s">
        <v>98</v>
      </c>
      <c r="M16" s="1"/>
      <c r="N16" s="1"/>
      <c r="O16" s="1"/>
      <c r="P16" s="1"/>
      <c r="Q16" s="1"/>
    </row>
    <row r="17" spans="1:17" ht="28.5">
      <c r="A17" s="10">
        <v>11</v>
      </c>
      <c r="B17" s="10" t="s">
        <v>70</v>
      </c>
      <c r="C17" s="10" t="s">
        <v>100</v>
      </c>
      <c r="D17" s="10" t="s">
        <v>101</v>
      </c>
      <c r="E17" s="10">
        <v>0.05</v>
      </c>
      <c r="F17" s="10" t="s">
        <v>86</v>
      </c>
      <c r="G17" s="12" t="s">
        <v>104</v>
      </c>
      <c r="H17" s="12" t="s">
        <v>105</v>
      </c>
      <c r="I17" s="12" t="s">
        <v>106</v>
      </c>
      <c r="J17" s="10" t="s">
        <v>3</v>
      </c>
      <c r="K17" s="10" t="s">
        <v>76</v>
      </c>
      <c r="L17" s="14"/>
      <c r="M17" s="1"/>
      <c r="N17" s="1"/>
      <c r="O17" s="1"/>
      <c r="P17" s="1"/>
      <c r="Q17" s="1"/>
    </row>
    <row r="18" spans="1:17" ht="28.5">
      <c r="A18" s="10">
        <v>12</v>
      </c>
      <c r="B18" s="10" t="s">
        <v>70</v>
      </c>
      <c r="C18" s="10" t="s">
        <v>107</v>
      </c>
      <c r="D18" s="10" t="s">
        <v>108</v>
      </c>
      <c r="E18" s="10">
        <v>5.0000000000000001E-4</v>
      </c>
      <c r="F18" s="10" t="s">
        <v>109</v>
      </c>
      <c r="G18" s="12" t="s">
        <v>104</v>
      </c>
      <c r="H18" s="12" t="s">
        <v>105</v>
      </c>
      <c r="I18" s="12" t="s">
        <v>106</v>
      </c>
      <c r="J18" s="10" t="s">
        <v>3</v>
      </c>
      <c r="K18" s="10" t="s">
        <v>76</v>
      </c>
      <c r="L18" s="14"/>
      <c r="M18" s="1"/>
      <c r="N18" s="1"/>
      <c r="O18" s="1"/>
      <c r="P18" s="1"/>
      <c r="Q18" s="1"/>
    </row>
    <row r="19" spans="1:17" ht="28.5">
      <c r="A19" s="10">
        <v>13</v>
      </c>
      <c r="B19" s="10" t="s">
        <v>111</v>
      </c>
      <c r="C19" s="10" t="s">
        <v>3118</v>
      </c>
      <c r="D19" s="10" t="s">
        <v>3119</v>
      </c>
      <c r="E19" s="10">
        <v>6</v>
      </c>
      <c r="F19" s="10" t="s">
        <v>114</v>
      </c>
      <c r="G19" s="12" t="s">
        <v>104</v>
      </c>
      <c r="H19" s="12" t="s">
        <v>105</v>
      </c>
      <c r="I19" s="12" t="s">
        <v>106</v>
      </c>
      <c r="J19" s="10" t="s">
        <v>3</v>
      </c>
      <c r="K19" s="10" t="s">
        <v>76</v>
      </c>
      <c r="L19" s="14"/>
      <c r="M19" s="1"/>
      <c r="N19" s="1"/>
      <c r="O19" s="1"/>
      <c r="P19" s="1"/>
      <c r="Q19" s="1"/>
    </row>
    <row r="20" spans="1:17" ht="28.5">
      <c r="A20" s="10">
        <v>14</v>
      </c>
      <c r="B20" s="10" t="s">
        <v>111</v>
      </c>
      <c r="C20" s="10" t="s">
        <v>119</v>
      </c>
      <c r="D20" s="10" t="s">
        <v>120</v>
      </c>
      <c r="E20" s="10">
        <v>1.25</v>
      </c>
      <c r="F20" s="10" t="s">
        <v>86</v>
      </c>
      <c r="G20" s="12" t="s">
        <v>104</v>
      </c>
      <c r="H20" s="12" t="s">
        <v>105</v>
      </c>
      <c r="I20" s="12" t="s">
        <v>106</v>
      </c>
      <c r="J20" s="10" t="s">
        <v>123</v>
      </c>
      <c r="K20" s="10" t="s">
        <v>76</v>
      </c>
      <c r="L20" s="14" t="s">
        <v>3120</v>
      </c>
      <c r="M20" s="1"/>
      <c r="N20" s="1"/>
      <c r="O20" s="1"/>
      <c r="P20" s="1"/>
      <c r="Q20" s="1"/>
    </row>
    <row r="21" spans="1:17" ht="28.5">
      <c r="A21" s="10">
        <v>15</v>
      </c>
      <c r="B21" s="10" t="s">
        <v>111</v>
      </c>
      <c r="C21" s="10" t="s">
        <v>124</v>
      </c>
      <c r="D21" s="10" t="s">
        <v>125</v>
      </c>
      <c r="E21" s="10">
        <v>0.72</v>
      </c>
      <c r="F21" s="10" t="s">
        <v>86</v>
      </c>
      <c r="G21" s="12" t="s">
        <v>104</v>
      </c>
      <c r="H21" s="12" t="s">
        <v>105</v>
      </c>
      <c r="I21" s="12" t="s">
        <v>106</v>
      </c>
      <c r="J21" s="10" t="s">
        <v>123</v>
      </c>
      <c r="K21" s="10" t="s">
        <v>76</v>
      </c>
      <c r="L21" s="14"/>
      <c r="M21" s="1"/>
      <c r="N21" s="1"/>
      <c r="O21" s="1"/>
      <c r="P21" s="1"/>
      <c r="Q21" s="1"/>
    </row>
    <row r="22" spans="1:17" ht="28.5">
      <c r="A22" s="10">
        <v>16</v>
      </c>
      <c r="B22" s="10" t="s">
        <v>111</v>
      </c>
      <c r="C22" s="10" t="s">
        <v>128</v>
      </c>
      <c r="D22" s="10" t="s">
        <v>129</v>
      </c>
      <c r="E22" s="10">
        <v>250000000</v>
      </c>
      <c r="F22" s="10" t="s">
        <v>130</v>
      </c>
      <c r="G22" s="12" t="s">
        <v>104</v>
      </c>
      <c r="H22" s="12" t="s">
        <v>105</v>
      </c>
      <c r="I22" s="12" t="s">
        <v>106</v>
      </c>
      <c r="J22" s="10" t="s">
        <v>132</v>
      </c>
      <c r="K22" s="10" t="s">
        <v>76</v>
      </c>
      <c r="L22" s="14" t="s">
        <v>3121</v>
      </c>
      <c r="M22" s="1"/>
      <c r="N22" s="1"/>
      <c r="O22" s="1"/>
      <c r="P22" s="1"/>
      <c r="Q22" s="1"/>
    </row>
    <row r="23" spans="1:17" ht="28.5">
      <c r="A23" s="10">
        <v>17</v>
      </c>
      <c r="B23" s="10" t="s">
        <v>111</v>
      </c>
      <c r="C23" s="10" t="s">
        <v>133</v>
      </c>
      <c r="D23" s="10" t="s">
        <v>134</v>
      </c>
      <c r="E23" s="10">
        <v>1.1499999999999999</v>
      </c>
      <c r="F23" s="10" t="s">
        <v>86</v>
      </c>
      <c r="G23" s="12" t="s">
        <v>104</v>
      </c>
      <c r="H23" s="12" t="s">
        <v>105</v>
      </c>
      <c r="I23" s="12" t="s">
        <v>106</v>
      </c>
      <c r="J23" s="10" t="s">
        <v>123</v>
      </c>
      <c r="K23" s="10" t="s">
        <v>76</v>
      </c>
      <c r="L23" s="14"/>
      <c r="M23" s="1"/>
      <c r="N23" s="1"/>
      <c r="O23" s="1"/>
      <c r="P23" s="1"/>
      <c r="Q23" s="1"/>
    </row>
    <row r="24" spans="1:17" ht="28.5">
      <c r="A24" s="10">
        <v>18</v>
      </c>
      <c r="B24" s="10" t="s">
        <v>111</v>
      </c>
      <c r="C24" s="10" t="s">
        <v>137</v>
      </c>
      <c r="D24" s="10" t="s">
        <v>138</v>
      </c>
      <c r="E24" s="10">
        <v>8E+21</v>
      </c>
      <c r="F24" s="10" t="s">
        <v>139</v>
      </c>
      <c r="G24" s="12" t="s">
        <v>104</v>
      </c>
      <c r="H24" s="12" t="s">
        <v>105</v>
      </c>
      <c r="I24" s="12" t="s">
        <v>106</v>
      </c>
      <c r="J24" s="10" t="s">
        <v>132</v>
      </c>
      <c r="K24" s="10" t="s">
        <v>76</v>
      </c>
      <c r="L24" s="14" t="s">
        <v>141</v>
      </c>
      <c r="M24" s="1"/>
      <c r="N24" s="1"/>
      <c r="O24" s="1"/>
      <c r="P24" s="1"/>
      <c r="Q24" s="1"/>
    </row>
    <row r="25" spans="1:17" ht="28.5">
      <c r="A25" s="10">
        <v>19</v>
      </c>
      <c r="B25" s="10" t="s">
        <v>111</v>
      </c>
      <c r="C25" s="10" t="s">
        <v>142</v>
      </c>
      <c r="D25" s="10" t="s">
        <v>143</v>
      </c>
      <c r="E25" s="10">
        <v>1200</v>
      </c>
      <c r="F25" s="10" t="s">
        <v>73</v>
      </c>
      <c r="G25" s="12" t="s">
        <v>104</v>
      </c>
      <c r="H25" s="12" t="s">
        <v>105</v>
      </c>
      <c r="I25" s="12" t="s">
        <v>106</v>
      </c>
      <c r="J25" s="10" t="s">
        <v>123</v>
      </c>
      <c r="K25" s="10" t="s">
        <v>76</v>
      </c>
      <c r="L25" s="14"/>
      <c r="M25" s="1"/>
      <c r="N25" s="1"/>
      <c r="O25" s="1"/>
      <c r="P25" s="1"/>
      <c r="Q25" s="1"/>
    </row>
    <row r="26" spans="1:17" ht="28.5">
      <c r="A26" s="10">
        <v>20</v>
      </c>
      <c r="B26" s="10" t="s">
        <v>111</v>
      </c>
      <c r="C26" s="10" t="s">
        <v>145</v>
      </c>
      <c r="D26" s="10" t="s">
        <v>146</v>
      </c>
      <c r="E26" s="10">
        <v>1.2</v>
      </c>
      <c r="F26" s="10" t="s">
        <v>86</v>
      </c>
      <c r="G26" s="12" t="s">
        <v>104</v>
      </c>
      <c r="H26" s="12" t="s">
        <v>105</v>
      </c>
      <c r="I26" s="12" t="s">
        <v>106</v>
      </c>
      <c r="J26" s="10" t="s">
        <v>123</v>
      </c>
      <c r="K26" s="10" t="s">
        <v>76</v>
      </c>
      <c r="L26" s="14" t="s">
        <v>147</v>
      </c>
      <c r="M26" s="1"/>
      <c r="N26" s="1"/>
      <c r="O26" s="1"/>
      <c r="P26" s="1"/>
      <c r="Q26" s="1"/>
    </row>
    <row r="27" spans="1:17" ht="28.5">
      <c r="A27" s="10">
        <v>21</v>
      </c>
      <c r="B27" s="10" t="s">
        <v>111</v>
      </c>
      <c r="C27" s="10" t="s">
        <v>148</v>
      </c>
      <c r="D27" s="10" t="s">
        <v>149</v>
      </c>
      <c r="E27" s="10">
        <v>0.08</v>
      </c>
      <c r="F27" s="10" t="s">
        <v>150</v>
      </c>
      <c r="G27" s="12" t="s">
        <v>104</v>
      </c>
      <c r="H27" s="12" t="s">
        <v>105</v>
      </c>
      <c r="I27" s="12" t="s">
        <v>106</v>
      </c>
      <c r="J27" s="10" t="s">
        <v>132</v>
      </c>
      <c r="K27" s="10" t="s">
        <v>76</v>
      </c>
      <c r="L27" s="14" t="s">
        <v>152</v>
      </c>
      <c r="M27" s="1"/>
      <c r="N27" s="1"/>
      <c r="O27" s="1"/>
      <c r="P27" s="1"/>
      <c r="Q27" s="1"/>
    </row>
    <row r="28" spans="1:17" ht="28.5">
      <c r="A28" s="10">
        <v>22</v>
      </c>
      <c r="B28" s="10" t="s">
        <v>111</v>
      </c>
      <c r="C28" s="10" t="s">
        <v>153</v>
      </c>
      <c r="D28" s="10" t="s">
        <v>154</v>
      </c>
      <c r="E28" s="10">
        <v>1.602E-19</v>
      </c>
      <c r="F28" s="10" t="s">
        <v>155</v>
      </c>
      <c r="G28" s="12" t="s">
        <v>104</v>
      </c>
      <c r="H28" s="12" t="s">
        <v>105</v>
      </c>
      <c r="I28" s="12" t="s">
        <v>106</v>
      </c>
      <c r="J28" s="10" t="s">
        <v>157</v>
      </c>
      <c r="K28" s="10" t="s">
        <v>63</v>
      </c>
      <c r="L28" s="14" t="s">
        <v>156</v>
      </c>
      <c r="M28" s="1"/>
      <c r="N28" s="1"/>
      <c r="O28" s="1"/>
      <c r="P28" s="1"/>
      <c r="Q28" s="1"/>
    </row>
    <row r="29" spans="1:17" ht="28.5">
      <c r="A29" s="10">
        <v>23</v>
      </c>
      <c r="B29" s="10" t="s">
        <v>111</v>
      </c>
      <c r="C29" s="10" t="s">
        <v>158</v>
      </c>
      <c r="D29" s="10" t="s">
        <v>159</v>
      </c>
      <c r="E29" s="10">
        <v>1</v>
      </c>
      <c r="F29" s="10" t="s">
        <v>86</v>
      </c>
      <c r="G29" s="12" t="s">
        <v>104</v>
      </c>
      <c r="H29" s="12" t="s">
        <v>105</v>
      </c>
      <c r="I29" s="12" t="s">
        <v>106</v>
      </c>
      <c r="J29" s="10" t="s">
        <v>123</v>
      </c>
      <c r="K29" s="10" t="s">
        <v>76</v>
      </c>
      <c r="L29" s="14"/>
      <c r="M29" s="1"/>
      <c r="N29" s="1"/>
      <c r="O29" s="1"/>
      <c r="P29" s="1"/>
      <c r="Q29" s="1"/>
    </row>
    <row r="30" spans="1:17" ht="28.5">
      <c r="A30" s="10">
        <v>24</v>
      </c>
      <c r="B30" s="10" t="s">
        <v>111</v>
      </c>
      <c r="C30" s="10" t="s">
        <v>162</v>
      </c>
      <c r="D30" s="10" t="s">
        <v>163</v>
      </c>
      <c r="E30" s="10">
        <v>1.5E-3</v>
      </c>
      <c r="F30" s="10" t="s">
        <v>164</v>
      </c>
      <c r="G30" s="12" t="s">
        <v>104</v>
      </c>
      <c r="H30" s="12" t="s">
        <v>105</v>
      </c>
      <c r="I30" s="12" t="s">
        <v>106</v>
      </c>
      <c r="J30" s="10" t="s">
        <v>123</v>
      </c>
      <c r="K30" s="10" t="s">
        <v>76</v>
      </c>
      <c r="L30" s="14" t="s">
        <v>141</v>
      </c>
      <c r="M30" s="1"/>
      <c r="N30" s="1"/>
      <c r="O30" s="1"/>
      <c r="P30" s="1"/>
      <c r="Q30" s="1"/>
    </row>
    <row r="31" spans="1:17" ht="28.5">
      <c r="A31" s="10">
        <v>25</v>
      </c>
      <c r="B31" s="10" t="s">
        <v>111</v>
      </c>
      <c r="C31" s="10" t="s">
        <v>166</v>
      </c>
      <c r="D31" s="10" t="s">
        <v>167</v>
      </c>
      <c r="E31" s="10">
        <v>100</v>
      </c>
      <c r="F31" s="10" t="s">
        <v>168</v>
      </c>
      <c r="G31" s="12" t="s">
        <v>104</v>
      </c>
      <c r="H31" s="12" t="s">
        <v>105</v>
      </c>
      <c r="I31" s="12" t="s">
        <v>106</v>
      </c>
      <c r="J31" s="10" t="s">
        <v>3</v>
      </c>
      <c r="K31" s="10" t="s">
        <v>76</v>
      </c>
      <c r="L31" s="14" t="s">
        <v>98</v>
      </c>
      <c r="M31" s="1"/>
      <c r="N31" s="1"/>
      <c r="O31" s="1"/>
      <c r="P31" s="1"/>
      <c r="Q31" s="1"/>
    </row>
    <row r="32" spans="1:17" ht="28.5">
      <c r="A32" s="10">
        <v>26</v>
      </c>
      <c r="B32" s="10" t="s">
        <v>111</v>
      </c>
      <c r="C32" s="10" t="s">
        <v>171</v>
      </c>
      <c r="D32" s="10" t="s">
        <v>172</v>
      </c>
      <c r="E32" s="10">
        <v>0.18</v>
      </c>
      <c r="F32" s="10" t="s">
        <v>173</v>
      </c>
      <c r="G32" s="12" t="s">
        <v>104</v>
      </c>
      <c r="H32" s="12" t="s">
        <v>105</v>
      </c>
      <c r="I32" s="12" t="s">
        <v>106</v>
      </c>
      <c r="J32" s="10" t="s">
        <v>3</v>
      </c>
      <c r="K32" s="10" t="s">
        <v>76</v>
      </c>
      <c r="L32" s="14"/>
      <c r="M32" s="1"/>
      <c r="N32" s="1"/>
      <c r="O32" s="1"/>
      <c r="P32" s="1"/>
      <c r="Q32" s="1"/>
    </row>
    <row r="33" spans="1:17" ht="28.5">
      <c r="A33" s="10">
        <v>27</v>
      </c>
      <c r="B33" s="10" t="s">
        <v>111</v>
      </c>
      <c r="C33" s="10" t="s">
        <v>176</v>
      </c>
      <c r="D33" s="10" t="s">
        <v>177</v>
      </c>
      <c r="E33" s="10">
        <v>3210</v>
      </c>
      <c r="F33" s="10" t="s">
        <v>178</v>
      </c>
      <c r="G33" s="12" t="s">
        <v>104</v>
      </c>
      <c r="H33" s="12" t="s">
        <v>105</v>
      </c>
      <c r="I33" s="12" t="s">
        <v>106</v>
      </c>
      <c r="J33" s="10" t="s">
        <v>132</v>
      </c>
      <c r="K33" s="10" t="s">
        <v>76</v>
      </c>
      <c r="L33" s="14" t="s">
        <v>179</v>
      </c>
      <c r="M33" s="1"/>
      <c r="N33" s="1"/>
      <c r="O33" s="1"/>
      <c r="P33" s="1"/>
      <c r="Q33" s="1"/>
    </row>
    <row r="34" spans="1:17" ht="28.5">
      <c r="A34" s="10">
        <v>28</v>
      </c>
      <c r="B34" s="10" t="s">
        <v>111</v>
      </c>
      <c r="C34" s="10" t="s">
        <v>180</v>
      </c>
      <c r="D34" s="10" t="s">
        <v>181</v>
      </c>
      <c r="E34" s="10">
        <v>0.55000000000000004</v>
      </c>
      <c r="F34" s="10" t="s">
        <v>182</v>
      </c>
      <c r="G34" s="12" t="s">
        <v>104</v>
      </c>
      <c r="H34" s="12" t="s">
        <v>105</v>
      </c>
      <c r="I34" s="12" t="s">
        <v>106</v>
      </c>
      <c r="J34" s="10" t="s">
        <v>123</v>
      </c>
      <c r="K34" s="10" t="s">
        <v>76</v>
      </c>
      <c r="L34" s="14" t="s">
        <v>141</v>
      </c>
      <c r="M34" s="1"/>
      <c r="N34" s="1"/>
      <c r="O34" s="1"/>
      <c r="P34" s="1"/>
      <c r="Q34" s="1"/>
    </row>
    <row r="35" spans="1:17" ht="28.5">
      <c r="A35" s="10">
        <v>29</v>
      </c>
      <c r="B35" s="10" t="s">
        <v>111</v>
      </c>
      <c r="C35" s="10" t="s">
        <v>184</v>
      </c>
      <c r="D35" s="10" t="s">
        <v>185</v>
      </c>
      <c r="E35" s="10">
        <v>0.35</v>
      </c>
      <c r="F35" s="10" t="s">
        <v>86</v>
      </c>
      <c r="G35" s="12" t="s">
        <v>104</v>
      </c>
      <c r="H35" s="12" t="s">
        <v>105</v>
      </c>
      <c r="I35" s="12" t="s">
        <v>106</v>
      </c>
      <c r="J35" s="10" t="s">
        <v>123</v>
      </c>
      <c r="K35" s="10" t="s">
        <v>76</v>
      </c>
      <c r="L35" s="14" t="s">
        <v>186</v>
      </c>
      <c r="M35" s="1"/>
      <c r="N35" s="1"/>
      <c r="O35" s="1"/>
      <c r="P35" s="1"/>
      <c r="Q35" s="1"/>
    </row>
    <row r="36" spans="1:17" ht="28.5">
      <c r="A36" s="10">
        <v>30</v>
      </c>
      <c r="B36" s="10" t="s">
        <v>111</v>
      </c>
      <c r="C36" s="10" t="s">
        <v>187</v>
      </c>
      <c r="D36" s="10" t="s">
        <v>188</v>
      </c>
      <c r="E36" s="10">
        <v>1200</v>
      </c>
      <c r="F36" s="10" t="s">
        <v>73</v>
      </c>
      <c r="G36" s="12" t="s">
        <v>104</v>
      </c>
      <c r="H36" s="12" t="s">
        <v>105</v>
      </c>
      <c r="I36" s="12" t="s">
        <v>106</v>
      </c>
      <c r="J36" s="10" t="s">
        <v>123</v>
      </c>
      <c r="K36" s="10" t="s">
        <v>76</v>
      </c>
      <c r="L36" s="14"/>
      <c r="M36" s="1"/>
      <c r="N36" s="1"/>
      <c r="O36" s="1"/>
      <c r="P36" s="1"/>
      <c r="Q36" s="1"/>
    </row>
    <row r="37" spans="1:17" ht="28.5">
      <c r="A37" s="10">
        <v>31</v>
      </c>
      <c r="B37" s="10" t="s">
        <v>111</v>
      </c>
      <c r="C37" s="10" t="s">
        <v>190</v>
      </c>
      <c r="D37" s="10" t="s">
        <v>191</v>
      </c>
      <c r="E37" s="10">
        <v>1</v>
      </c>
      <c r="F37" s="10" t="s">
        <v>86</v>
      </c>
      <c r="G37" s="12" t="s">
        <v>104</v>
      </c>
      <c r="H37" s="12" t="s">
        <v>105</v>
      </c>
      <c r="I37" s="12" t="s">
        <v>106</v>
      </c>
      <c r="J37" s="10" t="s">
        <v>123</v>
      </c>
      <c r="K37" s="10" t="s">
        <v>76</v>
      </c>
      <c r="L37" s="14" t="s">
        <v>193</v>
      </c>
      <c r="M37" s="1"/>
      <c r="N37" s="1"/>
      <c r="O37" s="1"/>
      <c r="P37" s="1"/>
      <c r="Q37" s="1"/>
    </row>
    <row r="38" spans="1:17" ht="28.5">
      <c r="A38" s="10">
        <v>32</v>
      </c>
      <c r="B38" s="10" t="s">
        <v>111</v>
      </c>
      <c r="C38" s="10" t="s">
        <v>194</v>
      </c>
      <c r="D38" s="10" t="s">
        <v>195</v>
      </c>
      <c r="E38" s="10">
        <v>1.25</v>
      </c>
      <c r="F38" s="10" t="s">
        <v>86</v>
      </c>
      <c r="G38" s="12" t="s">
        <v>104</v>
      </c>
      <c r="H38" s="12" t="s">
        <v>105</v>
      </c>
      <c r="I38" s="12" t="s">
        <v>106</v>
      </c>
      <c r="J38" s="10" t="s">
        <v>123</v>
      </c>
      <c r="K38" s="10" t="s">
        <v>76</v>
      </c>
      <c r="L38" s="14"/>
      <c r="M38" s="1"/>
      <c r="N38" s="1"/>
      <c r="O38" s="1"/>
      <c r="P38" s="1"/>
      <c r="Q38" s="1"/>
    </row>
    <row r="39" spans="1:17" ht="28.5">
      <c r="A39" s="10">
        <v>33</v>
      </c>
      <c r="B39" s="10" t="s">
        <v>111</v>
      </c>
      <c r="C39" s="10" t="s">
        <v>198</v>
      </c>
      <c r="D39" s="10" t="s">
        <v>199</v>
      </c>
      <c r="E39" s="10">
        <v>1.1499999999999999</v>
      </c>
      <c r="F39" s="10" t="s">
        <v>200</v>
      </c>
      <c r="G39" s="12" t="s">
        <v>104</v>
      </c>
      <c r="H39" s="12" t="s">
        <v>105</v>
      </c>
      <c r="I39" s="12" t="s">
        <v>106</v>
      </c>
      <c r="J39" s="10" t="s">
        <v>3</v>
      </c>
      <c r="K39" s="10" t="s">
        <v>76</v>
      </c>
      <c r="L39" s="14"/>
      <c r="M39" s="1"/>
      <c r="N39" s="1"/>
      <c r="O39" s="1"/>
      <c r="P39" s="1"/>
      <c r="Q39" s="1"/>
    </row>
    <row r="40" spans="1:17" ht="28.5">
      <c r="A40" s="10">
        <v>34</v>
      </c>
      <c r="B40" s="10" t="s">
        <v>111</v>
      </c>
      <c r="C40" s="10" t="s">
        <v>203</v>
      </c>
      <c r="D40" s="10" t="s">
        <v>204</v>
      </c>
      <c r="E40" s="10">
        <v>0.72</v>
      </c>
      <c r="F40" s="10" t="s">
        <v>86</v>
      </c>
      <c r="G40" s="12" t="s">
        <v>104</v>
      </c>
      <c r="H40" s="12" t="s">
        <v>105</v>
      </c>
      <c r="I40" s="12" t="s">
        <v>106</v>
      </c>
      <c r="J40" s="10" t="s">
        <v>123</v>
      </c>
      <c r="K40" s="10" t="s">
        <v>76</v>
      </c>
      <c r="L40" s="14"/>
      <c r="M40" s="1"/>
      <c r="N40" s="1"/>
      <c r="O40" s="1"/>
      <c r="P40" s="1"/>
      <c r="Q40" s="1"/>
    </row>
    <row r="41" spans="1:17" ht="28.5">
      <c r="A41" s="10">
        <v>35</v>
      </c>
      <c r="B41" s="10" t="s">
        <v>111</v>
      </c>
      <c r="C41" s="10" t="s">
        <v>207</v>
      </c>
      <c r="D41" s="10" t="s">
        <v>208</v>
      </c>
      <c r="E41" s="10">
        <v>4200</v>
      </c>
      <c r="F41" s="10" t="s">
        <v>168</v>
      </c>
      <c r="G41" s="12" t="s">
        <v>104</v>
      </c>
      <c r="H41" s="12" t="s">
        <v>105</v>
      </c>
      <c r="I41" s="12" t="s">
        <v>106</v>
      </c>
      <c r="J41" s="10" t="s">
        <v>3</v>
      </c>
      <c r="K41" s="10" t="s">
        <v>76</v>
      </c>
      <c r="L41" s="14"/>
      <c r="M41" s="1"/>
      <c r="N41" s="1"/>
      <c r="O41" s="1"/>
      <c r="P41" s="1"/>
      <c r="Q41" s="1"/>
    </row>
    <row r="42" spans="1:17" ht="28.5">
      <c r="A42" s="10">
        <v>36</v>
      </c>
      <c r="B42" s="10" t="s">
        <v>111</v>
      </c>
      <c r="C42" s="10" t="s">
        <v>211</v>
      </c>
      <c r="D42" s="10" t="s">
        <v>212</v>
      </c>
      <c r="E42" s="10">
        <v>0.92</v>
      </c>
      <c r="F42" s="10" t="s">
        <v>173</v>
      </c>
      <c r="G42" s="12" t="s">
        <v>104</v>
      </c>
      <c r="H42" s="12" t="s">
        <v>105</v>
      </c>
      <c r="I42" s="12" t="s">
        <v>106</v>
      </c>
      <c r="J42" s="10" t="s">
        <v>3</v>
      </c>
      <c r="K42" s="10" t="s">
        <v>76</v>
      </c>
      <c r="L42" s="14"/>
      <c r="M42" s="1"/>
      <c r="N42" s="1"/>
      <c r="O42" s="1"/>
      <c r="P42" s="1"/>
      <c r="Q42" s="1"/>
    </row>
    <row r="43" spans="1:17" ht="28.5">
      <c r="A43" s="10">
        <v>37</v>
      </c>
      <c r="B43" s="10" t="s">
        <v>111</v>
      </c>
      <c r="C43" s="10" t="s">
        <v>214</v>
      </c>
      <c r="D43" s="10" t="s">
        <v>215</v>
      </c>
      <c r="E43" s="10">
        <v>4000</v>
      </c>
      <c r="F43" s="10" t="s">
        <v>178</v>
      </c>
      <c r="G43" s="12" t="s">
        <v>104</v>
      </c>
      <c r="H43" s="12" t="s">
        <v>105</v>
      </c>
      <c r="I43" s="12" t="s">
        <v>106</v>
      </c>
      <c r="J43" s="10" t="s">
        <v>132</v>
      </c>
      <c r="K43" s="10" t="s">
        <v>76</v>
      </c>
      <c r="L43" s="14"/>
      <c r="M43" s="1"/>
      <c r="N43" s="1"/>
      <c r="O43" s="1"/>
      <c r="P43" s="1"/>
      <c r="Q43" s="1"/>
    </row>
    <row r="44" spans="1:17" ht="28.5">
      <c r="A44" s="10">
        <v>38</v>
      </c>
      <c r="B44" s="10" t="s">
        <v>111</v>
      </c>
      <c r="C44" s="10" t="s">
        <v>217</v>
      </c>
      <c r="D44" s="10" t="s">
        <v>218</v>
      </c>
      <c r="E44" s="10">
        <v>5000</v>
      </c>
      <c r="F44" s="10" t="s">
        <v>168</v>
      </c>
      <c r="G44" s="12" t="s">
        <v>104</v>
      </c>
      <c r="H44" s="12" t="s">
        <v>105</v>
      </c>
      <c r="I44" s="12" t="s">
        <v>106</v>
      </c>
      <c r="J44" s="10" t="s">
        <v>3</v>
      </c>
      <c r="K44" s="10" t="s">
        <v>76</v>
      </c>
      <c r="L44" s="14"/>
      <c r="M44" s="1"/>
      <c r="N44" s="1"/>
      <c r="O44" s="1"/>
      <c r="P44" s="1"/>
      <c r="Q44" s="1"/>
    </row>
    <row r="45" spans="1:17" ht="28.5">
      <c r="A45" s="10">
        <v>39</v>
      </c>
      <c r="B45" s="10" t="s">
        <v>111</v>
      </c>
      <c r="C45" s="10" t="s">
        <v>221</v>
      </c>
      <c r="D45" s="10" t="s">
        <v>222</v>
      </c>
      <c r="E45" s="10">
        <v>3</v>
      </c>
      <c r="F45" s="10" t="s">
        <v>173</v>
      </c>
      <c r="G45" s="12" t="s">
        <v>104</v>
      </c>
      <c r="H45" s="12" t="s">
        <v>105</v>
      </c>
      <c r="I45" s="12" t="s">
        <v>106</v>
      </c>
      <c r="J45" s="10" t="s">
        <v>3</v>
      </c>
      <c r="K45" s="10" t="s">
        <v>76</v>
      </c>
      <c r="L45" s="14"/>
      <c r="M45" s="1"/>
      <c r="N45" s="1"/>
      <c r="O45" s="1"/>
      <c r="P45" s="1"/>
      <c r="Q45" s="1"/>
    </row>
    <row r="46" spans="1:17" ht="28.5">
      <c r="A46" s="10">
        <v>40</v>
      </c>
      <c r="B46" s="10" t="s">
        <v>111</v>
      </c>
      <c r="C46" s="10" t="s">
        <v>224</v>
      </c>
      <c r="D46" s="10" t="s">
        <v>225</v>
      </c>
      <c r="E46" s="10">
        <v>2700</v>
      </c>
      <c r="F46" s="10" t="s">
        <v>178</v>
      </c>
      <c r="G46" s="12" t="s">
        <v>104</v>
      </c>
      <c r="H46" s="12" t="s">
        <v>105</v>
      </c>
      <c r="I46" s="12" t="s">
        <v>106</v>
      </c>
      <c r="J46" s="10" t="s">
        <v>132</v>
      </c>
      <c r="K46" s="10" t="s">
        <v>76</v>
      </c>
      <c r="L46" s="14" t="s">
        <v>226</v>
      </c>
      <c r="M46" s="1"/>
      <c r="N46" s="1"/>
      <c r="O46" s="1"/>
      <c r="P46" s="1"/>
      <c r="Q46" s="1"/>
    </row>
    <row r="47" spans="1:17" ht="28.5">
      <c r="A47" s="10">
        <v>41</v>
      </c>
      <c r="B47" s="10" t="s">
        <v>111</v>
      </c>
      <c r="C47" s="10" t="s">
        <v>227</v>
      </c>
      <c r="D47" s="10" t="s">
        <v>228</v>
      </c>
      <c r="E47" s="10">
        <v>7.4999999999999997E-2</v>
      </c>
      <c r="F47" s="10" t="s">
        <v>229</v>
      </c>
      <c r="G47" s="12" t="s">
        <v>104</v>
      </c>
      <c r="H47" s="12" t="s">
        <v>105</v>
      </c>
      <c r="I47" s="12" t="s">
        <v>106</v>
      </c>
      <c r="J47" s="10" t="s">
        <v>3</v>
      </c>
      <c r="K47" s="10" t="s">
        <v>76</v>
      </c>
      <c r="L47" s="14"/>
      <c r="M47" s="1"/>
      <c r="N47" s="1"/>
      <c r="O47" s="1"/>
      <c r="P47" s="1"/>
      <c r="Q47" s="1"/>
    </row>
    <row r="48" spans="1:17" ht="28.5">
      <c r="A48" s="10">
        <v>42</v>
      </c>
      <c r="B48" s="10" t="s">
        <v>232</v>
      </c>
      <c r="C48" s="10" t="s">
        <v>233</v>
      </c>
      <c r="D48" s="10" t="s">
        <v>234</v>
      </c>
      <c r="E48" s="10">
        <v>10000</v>
      </c>
      <c r="F48" s="10" t="s">
        <v>235</v>
      </c>
      <c r="G48" s="12" t="s">
        <v>104</v>
      </c>
      <c r="H48" s="12" t="s">
        <v>105</v>
      </c>
      <c r="I48" s="12" t="s">
        <v>106</v>
      </c>
      <c r="J48" s="10" t="s">
        <v>238</v>
      </c>
      <c r="K48" s="10" t="s">
        <v>76</v>
      </c>
      <c r="L48" s="14"/>
      <c r="M48" s="1"/>
      <c r="N48" s="1"/>
      <c r="O48" s="1"/>
      <c r="P48" s="1"/>
      <c r="Q48" s="1"/>
    </row>
    <row r="49" spans="1:17" ht="28.5">
      <c r="A49" s="10">
        <v>43</v>
      </c>
      <c r="B49" s="10" t="s">
        <v>232</v>
      </c>
      <c r="C49" s="10" t="s">
        <v>239</v>
      </c>
      <c r="D49" s="10" t="s">
        <v>240</v>
      </c>
      <c r="E49" s="10">
        <v>0.95</v>
      </c>
      <c r="F49" s="10" t="s">
        <v>86</v>
      </c>
      <c r="G49" s="12" t="s">
        <v>104</v>
      </c>
      <c r="H49" s="12" t="s">
        <v>105</v>
      </c>
      <c r="I49" s="12" t="s">
        <v>106</v>
      </c>
      <c r="J49" s="10" t="s">
        <v>123</v>
      </c>
      <c r="K49" s="10" t="s">
        <v>76</v>
      </c>
      <c r="L49" s="14"/>
      <c r="M49" s="1"/>
      <c r="N49" s="1"/>
      <c r="O49" s="1"/>
      <c r="P49" s="1"/>
      <c r="Q49" s="1"/>
    </row>
    <row r="50" spans="1:17" ht="28.5">
      <c r="A50" s="10">
        <v>44</v>
      </c>
      <c r="B50" s="10" t="s">
        <v>232</v>
      </c>
      <c r="C50" s="10" t="s">
        <v>242</v>
      </c>
      <c r="D50" s="10" t="s">
        <v>243</v>
      </c>
      <c r="E50" s="10">
        <v>0.95</v>
      </c>
      <c r="F50" s="10" t="s">
        <v>86</v>
      </c>
      <c r="G50" s="12" t="s">
        <v>104</v>
      </c>
      <c r="H50" s="12" t="s">
        <v>105</v>
      </c>
      <c r="I50" s="12" t="s">
        <v>106</v>
      </c>
      <c r="J50" s="10" t="s">
        <v>123</v>
      </c>
      <c r="K50" s="10" t="s">
        <v>76</v>
      </c>
      <c r="L50" s="14"/>
      <c r="M50" s="1"/>
      <c r="N50" s="1"/>
      <c r="O50" s="1"/>
      <c r="P50" s="1"/>
      <c r="Q50" s="1"/>
    </row>
    <row r="51" spans="1:17" ht="28.5">
      <c r="A51" s="10">
        <v>45</v>
      </c>
      <c r="B51" s="10" t="s">
        <v>232</v>
      </c>
      <c r="C51" s="10" t="s">
        <v>245</v>
      </c>
      <c r="D51" s="10" t="s">
        <v>246</v>
      </c>
      <c r="E51" s="10">
        <v>0.75</v>
      </c>
      <c r="F51" s="10" t="s">
        <v>86</v>
      </c>
      <c r="G51" s="12" t="s">
        <v>104</v>
      </c>
      <c r="H51" s="12" t="s">
        <v>105</v>
      </c>
      <c r="I51" s="12" t="s">
        <v>106</v>
      </c>
      <c r="J51" s="10" t="s">
        <v>123</v>
      </c>
      <c r="K51" s="10" t="s">
        <v>76</v>
      </c>
      <c r="L51" s="14"/>
      <c r="M51" s="1"/>
      <c r="N51" s="1"/>
      <c r="O51" s="1"/>
      <c r="P51" s="1"/>
      <c r="Q51" s="1"/>
    </row>
    <row r="52" spans="1:17" ht="28.5">
      <c r="A52" s="10">
        <v>46</v>
      </c>
      <c r="B52" s="10" t="s">
        <v>232</v>
      </c>
      <c r="C52" s="10" t="s">
        <v>248</v>
      </c>
      <c r="D52" s="10" t="s">
        <v>249</v>
      </c>
      <c r="E52" s="10">
        <v>1.5</v>
      </c>
      <c r="F52" s="10" t="s">
        <v>250</v>
      </c>
      <c r="G52" s="12" t="s">
        <v>104</v>
      </c>
      <c r="H52" s="12" t="s">
        <v>105</v>
      </c>
      <c r="I52" s="12" t="s">
        <v>106</v>
      </c>
      <c r="J52" s="10" t="s">
        <v>3</v>
      </c>
      <c r="K52" s="10" t="s">
        <v>76</v>
      </c>
      <c r="L52" s="14"/>
      <c r="M52" s="1"/>
      <c r="N52" s="1"/>
      <c r="O52" s="1"/>
      <c r="P52" s="1"/>
      <c r="Q52" s="1"/>
    </row>
    <row r="53" spans="1:17" ht="28.5">
      <c r="A53" s="10">
        <v>47</v>
      </c>
      <c r="B53" s="10" t="s">
        <v>232</v>
      </c>
      <c r="C53" s="10" t="s">
        <v>252</v>
      </c>
      <c r="D53" s="10" t="s">
        <v>253</v>
      </c>
      <c r="E53" s="10">
        <v>1</v>
      </c>
      <c r="F53" s="10" t="s">
        <v>250</v>
      </c>
      <c r="G53" s="12" t="s">
        <v>104</v>
      </c>
      <c r="H53" s="12" t="s">
        <v>105</v>
      </c>
      <c r="I53" s="12" t="s">
        <v>106</v>
      </c>
      <c r="J53" s="10" t="s">
        <v>123</v>
      </c>
      <c r="K53" s="10" t="s">
        <v>76</v>
      </c>
      <c r="L53" s="14"/>
      <c r="M53" s="1"/>
      <c r="N53" s="1"/>
      <c r="O53" s="1"/>
      <c r="P53" s="1"/>
      <c r="Q53" s="1"/>
    </row>
    <row r="54" spans="1:17" ht="28.5">
      <c r="A54" s="10">
        <v>48</v>
      </c>
      <c r="B54" s="10" t="s">
        <v>232</v>
      </c>
      <c r="C54" s="10" t="s">
        <v>255</v>
      </c>
      <c r="D54" s="10" t="s">
        <v>256</v>
      </c>
      <c r="E54" s="10">
        <v>20</v>
      </c>
      <c r="F54" s="10" t="s">
        <v>257</v>
      </c>
      <c r="G54" s="12" t="s">
        <v>104</v>
      </c>
      <c r="H54" s="12" t="s">
        <v>105</v>
      </c>
      <c r="I54" s="12" t="s">
        <v>106</v>
      </c>
      <c r="J54" s="10" t="s">
        <v>3</v>
      </c>
      <c r="K54" s="10" t="s">
        <v>76</v>
      </c>
      <c r="L54" s="14"/>
      <c r="M54" s="1"/>
      <c r="N54" s="1"/>
      <c r="O54" s="1"/>
      <c r="P54" s="1"/>
      <c r="Q54" s="1"/>
    </row>
    <row r="55" spans="1:17" ht="28.5">
      <c r="A55" s="10">
        <v>49</v>
      </c>
      <c r="B55" s="10" t="s">
        <v>232</v>
      </c>
      <c r="C55" s="10" t="s">
        <v>260</v>
      </c>
      <c r="D55" s="10" t="s">
        <v>261</v>
      </c>
      <c r="E55" s="10">
        <v>6.0000000000000001E-3</v>
      </c>
      <c r="F55" s="10" t="s">
        <v>262</v>
      </c>
      <c r="G55" s="12" t="s">
        <v>104</v>
      </c>
      <c r="H55" s="12" t="s">
        <v>105</v>
      </c>
      <c r="I55" s="12" t="s">
        <v>106</v>
      </c>
      <c r="J55" s="10" t="s">
        <v>3</v>
      </c>
      <c r="K55" s="10" t="s">
        <v>76</v>
      </c>
      <c r="L55" s="14"/>
      <c r="M55" s="1"/>
      <c r="N55" s="1"/>
      <c r="O55" s="1"/>
      <c r="P55" s="1"/>
      <c r="Q55" s="1"/>
    </row>
    <row r="56" spans="1:17" ht="28.5">
      <c r="A56" s="10">
        <v>50</v>
      </c>
      <c r="B56" s="10" t="s">
        <v>232</v>
      </c>
      <c r="C56" s="10" t="s">
        <v>265</v>
      </c>
      <c r="D56" s="10" t="s">
        <v>266</v>
      </c>
      <c r="E56" s="10">
        <v>850</v>
      </c>
      <c r="F56" s="10" t="s">
        <v>178</v>
      </c>
      <c r="G56" s="12" t="s">
        <v>104</v>
      </c>
      <c r="H56" s="12" t="s">
        <v>105</v>
      </c>
      <c r="I56" s="12" t="s">
        <v>106</v>
      </c>
      <c r="J56" s="10" t="s">
        <v>132</v>
      </c>
      <c r="K56" s="10" t="s">
        <v>76</v>
      </c>
      <c r="L56" s="14"/>
      <c r="M56" s="1"/>
      <c r="N56" s="1"/>
      <c r="O56" s="1"/>
      <c r="P56" s="1"/>
      <c r="Q56" s="1"/>
    </row>
    <row r="57" spans="1:17" ht="28.5">
      <c r="A57" s="10">
        <v>51</v>
      </c>
      <c r="B57" s="10" t="s">
        <v>232</v>
      </c>
      <c r="C57" s="10" t="s">
        <v>268</v>
      </c>
      <c r="D57" s="10" t="s">
        <v>269</v>
      </c>
      <c r="E57" s="10">
        <v>1.2</v>
      </c>
      <c r="F57" s="10" t="s">
        <v>86</v>
      </c>
      <c r="G57" s="12" t="s">
        <v>104</v>
      </c>
      <c r="H57" s="12" t="s">
        <v>105</v>
      </c>
      <c r="I57" s="12" t="s">
        <v>106</v>
      </c>
      <c r="J57" s="10" t="s">
        <v>123</v>
      </c>
      <c r="K57" s="10" t="s">
        <v>76</v>
      </c>
      <c r="L57" s="14"/>
      <c r="M57" s="1"/>
      <c r="N57" s="1"/>
      <c r="O57" s="1"/>
      <c r="P57" s="1"/>
      <c r="Q57" s="1"/>
    </row>
    <row r="58" spans="1:17" ht="28.5">
      <c r="A58" s="10">
        <v>52</v>
      </c>
      <c r="B58" s="10" t="s">
        <v>232</v>
      </c>
      <c r="C58" s="10" t="s">
        <v>272</v>
      </c>
      <c r="D58" s="10" t="s">
        <v>273</v>
      </c>
      <c r="E58" s="10">
        <v>0.35</v>
      </c>
      <c r="F58" s="10" t="s">
        <v>229</v>
      </c>
      <c r="G58" s="12" t="s">
        <v>104</v>
      </c>
      <c r="H58" s="12" t="s">
        <v>105</v>
      </c>
      <c r="I58" s="12" t="s">
        <v>106</v>
      </c>
      <c r="J58" s="10" t="s">
        <v>3</v>
      </c>
      <c r="K58" s="10" t="s">
        <v>76</v>
      </c>
      <c r="L58" s="14"/>
      <c r="M58" s="1"/>
      <c r="N58" s="1"/>
      <c r="O58" s="1"/>
      <c r="P58" s="1"/>
      <c r="Q58" s="1"/>
    </row>
    <row r="59" spans="1:17" ht="28.5">
      <c r="A59" s="10">
        <v>53</v>
      </c>
      <c r="B59" s="10" t="s">
        <v>276</v>
      </c>
      <c r="C59" s="10" t="s">
        <v>277</v>
      </c>
      <c r="D59" s="10" t="s">
        <v>278</v>
      </c>
      <c r="E59" s="10">
        <v>1.25</v>
      </c>
      <c r="F59" s="10" t="s">
        <v>86</v>
      </c>
      <c r="G59" s="12" t="s">
        <v>104</v>
      </c>
      <c r="H59" s="12" t="s">
        <v>105</v>
      </c>
      <c r="I59" s="12" t="s">
        <v>106</v>
      </c>
      <c r="J59" s="10" t="s">
        <v>123</v>
      </c>
      <c r="K59" s="10" t="s">
        <v>76</v>
      </c>
      <c r="L59" s="14"/>
      <c r="M59" s="1"/>
      <c r="N59" s="1"/>
      <c r="O59" s="1"/>
      <c r="P59" s="1"/>
      <c r="Q59" s="1"/>
    </row>
    <row r="60" spans="1:17" ht="28.5">
      <c r="A60" s="10">
        <v>54</v>
      </c>
      <c r="B60" s="10" t="s">
        <v>276</v>
      </c>
      <c r="C60" s="10" t="s">
        <v>281</v>
      </c>
      <c r="D60" s="10" t="s">
        <v>282</v>
      </c>
      <c r="E60" s="10">
        <v>1800</v>
      </c>
      <c r="F60" s="10" t="s">
        <v>283</v>
      </c>
      <c r="G60" s="12" t="s">
        <v>104</v>
      </c>
      <c r="H60" s="12" t="s">
        <v>105</v>
      </c>
      <c r="I60" s="12" t="s">
        <v>106</v>
      </c>
      <c r="J60" s="10" t="s">
        <v>238</v>
      </c>
      <c r="K60" s="10" t="s">
        <v>76</v>
      </c>
      <c r="L60" s="14"/>
      <c r="M60" s="1"/>
      <c r="N60" s="1"/>
      <c r="O60" s="1"/>
      <c r="P60" s="1"/>
      <c r="Q60" s="1"/>
    </row>
    <row r="61" spans="1:17" ht="28.5">
      <c r="A61" s="10">
        <v>55</v>
      </c>
      <c r="B61" s="10" t="s">
        <v>276</v>
      </c>
      <c r="C61" s="10" t="s">
        <v>286</v>
      </c>
      <c r="D61" s="10" t="s">
        <v>287</v>
      </c>
      <c r="E61" s="10">
        <v>1</v>
      </c>
      <c r="F61" s="10" t="s">
        <v>86</v>
      </c>
      <c r="G61" s="12" t="s">
        <v>104</v>
      </c>
      <c r="H61" s="12" t="s">
        <v>105</v>
      </c>
      <c r="I61" s="12" t="s">
        <v>106</v>
      </c>
      <c r="J61" s="10" t="s">
        <v>123</v>
      </c>
      <c r="K61" s="10" t="s">
        <v>76</v>
      </c>
      <c r="L61" s="14"/>
      <c r="M61" s="1"/>
      <c r="N61" s="1"/>
      <c r="O61" s="1"/>
      <c r="P61" s="1"/>
      <c r="Q61" s="1"/>
    </row>
    <row r="62" spans="1:17" ht="28.5">
      <c r="A62" s="10">
        <v>56</v>
      </c>
      <c r="B62" s="10" t="s">
        <v>276</v>
      </c>
      <c r="C62" s="10" t="s">
        <v>289</v>
      </c>
      <c r="D62" s="10" t="s">
        <v>290</v>
      </c>
      <c r="E62" s="10">
        <v>0.72</v>
      </c>
      <c r="F62" s="10" t="s">
        <v>86</v>
      </c>
      <c r="G62" s="12" t="s">
        <v>104</v>
      </c>
      <c r="H62" s="12" t="s">
        <v>105</v>
      </c>
      <c r="I62" s="12" t="s">
        <v>106</v>
      </c>
      <c r="J62" s="10" t="s">
        <v>123</v>
      </c>
      <c r="K62" s="10" t="s">
        <v>76</v>
      </c>
      <c r="L62" s="14"/>
      <c r="M62" s="1"/>
      <c r="N62" s="1"/>
      <c r="O62" s="1"/>
      <c r="P62" s="1"/>
      <c r="Q62" s="1"/>
    </row>
    <row r="63" spans="1:17" ht="28.5">
      <c r="A63" s="10">
        <v>57</v>
      </c>
      <c r="B63" s="10" t="s">
        <v>276</v>
      </c>
      <c r="C63" s="10" t="s">
        <v>292</v>
      </c>
      <c r="D63" s="10" t="s">
        <v>293</v>
      </c>
      <c r="E63" s="10">
        <v>0.1</v>
      </c>
      <c r="F63" s="10" t="s">
        <v>229</v>
      </c>
      <c r="G63" s="12" t="s">
        <v>104</v>
      </c>
      <c r="H63" s="12" t="s">
        <v>105</v>
      </c>
      <c r="I63" s="12" t="s">
        <v>106</v>
      </c>
      <c r="J63" s="10" t="s">
        <v>3</v>
      </c>
      <c r="K63" s="10" t="s">
        <v>76</v>
      </c>
      <c r="L63" s="14"/>
      <c r="M63" s="1"/>
      <c r="N63" s="1"/>
      <c r="O63" s="1"/>
      <c r="P63" s="1"/>
      <c r="Q63" s="1"/>
    </row>
    <row r="64" spans="1:17" ht="28.5">
      <c r="A64" s="10">
        <v>58</v>
      </c>
      <c r="B64" s="10" t="s">
        <v>296</v>
      </c>
      <c r="C64" s="10" t="s">
        <v>297</v>
      </c>
      <c r="D64" s="10" t="s">
        <v>298</v>
      </c>
      <c r="E64" s="10">
        <v>4</v>
      </c>
      <c r="F64" s="10" t="s">
        <v>200</v>
      </c>
      <c r="G64" s="12" t="s">
        <v>104</v>
      </c>
      <c r="H64" s="12" t="s">
        <v>105</v>
      </c>
      <c r="I64" s="12" t="s">
        <v>106</v>
      </c>
      <c r="J64" s="10" t="s">
        <v>238</v>
      </c>
      <c r="K64" s="10" t="s">
        <v>76</v>
      </c>
      <c r="L64" s="14"/>
      <c r="M64" s="1"/>
      <c r="N64" s="1"/>
      <c r="O64" s="1"/>
      <c r="P64" s="1"/>
      <c r="Q64" s="1"/>
    </row>
    <row r="65" spans="1:17" ht="28.5">
      <c r="A65" s="10">
        <v>59</v>
      </c>
      <c r="B65" s="10" t="s">
        <v>296</v>
      </c>
      <c r="C65" s="10" t="s">
        <v>301</v>
      </c>
      <c r="D65" s="10" t="s">
        <v>302</v>
      </c>
      <c r="E65" s="10">
        <v>105</v>
      </c>
      <c r="F65" s="10" t="s">
        <v>303</v>
      </c>
      <c r="G65" s="12" t="s">
        <v>104</v>
      </c>
      <c r="H65" s="12" t="s">
        <v>105</v>
      </c>
      <c r="I65" s="12" t="s">
        <v>106</v>
      </c>
      <c r="J65" s="10" t="s">
        <v>3</v>
      </c>
      <c r="K65" s="10" t="s">
        <v>76</v>
      </c>
      <c r="L65" s="14"/>
      <c r="M65" s="1"/>
      <c r="N65" s="1"/>
      <c r="O65" s="1"/>
      <c r="P65" s="1"/>
      <c r="Q65" s="1"/>
    </row>
    <row r="66" spans="1:17">
      <c r="A66" s="10">
        <v>60</v>
      </c>
      <c r="B66" s="10" t="s">
        <v>296</v>
      </c>
      <c r="C66" s="10" t="s">
        <v>306</v>
      </c>
      <c r="D66" s="10" t="s">
        <v>307</v>
      </c>
      <c r="E66" s="10">
        <v>45</v>
      </c>
      <c r="F66" s="10" t="s">
        <v>303</v>
      </c>
      <c r="G66" s="12" t="s">
        <v>66</v>
      </c>
      <c r="H66" s="12" t="s">
        <v>67</v>
      </c>
      <c r="I66" s="12" t="s">
        <v>68</v>
      </c>
      <c r="J66" s="10" t="s">
        <v>308</v>
      </c>
      <c r="K66" s="10" t="s">
        <v>76</v>
      </c>
      <c r="L66" s="14" t="s">
        <v>308</v>
      </c>
      <c r="M66" s="1"/>
      <c r="N66" s="1"/>
      <c r="O66" s="1"/>
      <c r="P66" s="1"/>
      <c r="Q66" s="1"/>
    </row>
    <row r="67" spans="1:17" ht="28.5">
      <c r="A67" s="10">
        <v>61</v>
      </c>
      <c r="B67" s="10" t="s">
        <v>296</v>
      </c>
      <c r="C67" s="10" t="s">
        <v>310</v>
      </c>
      <c r="D67" s="10" t="s">
        <v>311</v>
      </c>
      <c r="E67" s="10">
        <v>60</v>
      </c>
      <c r="F67" s="10" t="s">
        <v>257</v>
      </c>
      <c r="G67" s="12" t="s">
        <v>104</v>
      </c>
      <c r="H67" s="12" t="s">
        <v>105</v>
      </c>
      <c r="I67" s="12" t="s">
        <v>106</v>
      </c>
      <c r="J67" s="10" t="s">
        <v>123</v>
      </c>
      <c r="K67" s="10" t="s">
        <v>76</v>
      </c>
      <c r="L67" s="14"/>
      <c r="M67" s="1"/>
      <c r="N67" s="1"/>
      <c r="O67" s="1"/>
      <c r="P67" s="1"/>
      <c r="Q67" s="1"/>
    </row>
    <row r="68" spans="1:17" ht="28.5">
      <c r="A68" s="10">
        <v>62</v>
      </c>
      <c r="B68" s="10" t="s">
        <v>296</v>
      </c>
      <c r="C68" s="10" t="s">
        <v>313</v>
      </c>
      <c r="D68" s="10" t="s">
        <v>314</v>
      </c>
      <c r="E68" s="10">
        <v>1</v>
      </c>
      <c r="F68" s="10" t="s">
        <v>86</v>
      </c>
      <c r="G68" s="12" t="s">
        <v>104</v>
      </c>
      <c r="H68" s="12" t="s">
        <v>105</v>
      </c>
      <c r="I68" s="12" t="s">
        <v>106</v>
      </c>
      <c r="J68" s="10" t="s">
        <v>123</v>
      </c>
      <c r="K68" s="10" t="s">
        <v>76</v>
      </c>
      <c r="L68" s="14"/>
      <c r="M68" s="1"/>
      <c r="N68" s="1"/>
      <c r="O68" s="1"/>
      <c r="P68" s="1"/>
      <c r="Q68" s="1"/>
    </row>
    <row r="69" spans="1:17" ht="28.5">
      <c r="A69" s="10">
        <v>63</v>
      </c>
      <c r="B69" s="10" t="s">
        <v>296</v>
      </c>
      <c r="C69" s="10" t="s">
        <v>316</v>
      </c>
      <c r="D69" s="10" t="s">
        <v>317</v>
      </c>
      <c r="E69" s="10">
        <v>1.2</v>
      </c>
      <c r="F69" s="10" t="s">
        <v>262</v>
      </c>
      <c r="G69" s="12" t="s">
        <v>104</v>
      </c>
      <c r="H69" s="12" t="s">
        <v>105</v>
      </c>
      <c r="I69" s="12" t="s">
        <v>106</v>
      </c>
      <c r="J69" s="10" t="s">
        <v>3</v>
      </c>
      <c r="K69" s="10" t="s">
        <v>76</v>
      </c>
      <c r="L69" s="14"/>
      <c r="M69" s="1"/>
      <c r="N69" s="1"/>
      <c r="O69" s="1"/>
      <c r="P69" s="1"/>
      <c r="Q69" s="1"/>
    </row>
    <row r="70" spans="1:17" ht="28.5">
      <c r="A70" s="10">
        <v>64</v>
      </c>
      <c r="B70" s="10" t="s">
        <v>296</v>
      </c>
      <c r="C70" s="10" t="s">
        <v>320</v>
      </c>
      <c r="D70" s="10" t="s">
        <v>321</v>
      </c>
      <c r="E70" s="10">
        <v>2</v>
      </c>
      <c r="F70" s="10" t="s">
        <v>86</v>
      </c>
      <c r="G70" s="12" t="s">
        <v>104</v>
      </c>
      <c r="H70" s="12" t="s">
        <v>105</v>
      </c>
      <c r="I70" s="12" t="s">
        <v>106</v>
      </c>
      <c r="J70" s="10" t="s">
        <v>323</v>
      </c>
      <c r="K70" s="10" t="s">
        <v>76</v>
      </c>
      <c r="L70" s="14"/>
      <c r="M70" s="1"/>
      <c r="N70" s="1"/>
      <c r="O70" s="1"/>
      <c r="P70" s="1"/>
      <c r="Q70" s="1"/>
    </row>
    <row r="71" spans="1:17" ht="28.5">
      <c r="A71" s="10">
        <v>65</v>
      </c>
      <c r="B71" s="10" t="s">
        <v>296</v>
      </c>
      <c r="C71" s="10" t="s">
        <v>324</v>
      </c>
      <c r="D71" s="10" t="s">
        <v>325</v>
      </c>
      <c r="E71" s="10">
        <v>8960</v>
      </c>
      <c r="F71" s="10" t="s">
        <v>178</v>
      </c>
      <c r="G71" s="12" t="s">
        <v>104</v>
      </c>
      <c r="H71" s="12" t="s">
        <v>105</v>
      </c>
      <c r="I71" s="12" t="s">
        <v>106</v>
      </c>
      <c r="J71" s="10" t="s">
        <v>132</v>
      </c>
      <c r="K71" s="10" t="s">
        <v>76</v>
      </c>
      <c r="L71" s="14" t="s">
        <v>326</v>
      </c>
      <c r="M71" s="1"/>
      <c r="N71" s="1"/>
      <c r="O71" s="1"/>
      <c r="P71" s="1"/>
      <c r="Q71" s="1"/>
    </row>
    <row r="72" spans="1:17" ht="28.5">
      <c r="A72" s="10">
        <v>66</v>
      </c>
      <c r="B72" s="10" t="s">
        <v>296</v>
      </c>
      <c r="C72" s="10" t="s">
        <v>327</v>
      </c>
      <c r="D72" s="10" t="s">
        <v>328</v>
      </c>
      <c r="E72" s="10">
        <v>1.18</v>
      </c>
      <c r="F72" s="10" t="s">
        <v>86</v>
      </c>
      <c r="G72" s="12" t="s">
        <v>104</v>
      </c>
      <c r="H72" s="12" t="s">
        <v>105</v>
      </c>
      <c r="I72" s="12" t="s">
        <v>106</v>
      </c>
      <c r="J72" s="10" t="s">
        <v>123</v>
      </c>
      <c r="K72" s="10" t="s">
        <v>76</v>
      </c>
      <c r="L72" s="14"/>
      <c r="M72" s="1"/>
      <c r="N72" s="1"/>
      <c r="O72" s="1"/>
      <c r="P72" s="1"/>
      <c r="Q72" s="1"/>
    </row>
    <row r="73" spans="1:17" ht="28.5">
      <c r="A73" s="10">
        <v>67</v>
      </c>
      <c r="B73" s="10" t="s">
        <v>331</v>
      </c>
      <c r="C73" s="10" t="s">
        <v>332</v>
      </c>
      <c r="D73" s="10" t="s">
        <v>333</v>
      </c>
      <c r="E73" s="10">
        <v>0.45</v>
      </c>
      <c r="F73" s="10" t="s">
        <v>262</v>
      </c>
      <c r="G73" s="12" t="s">
        <v>104</v>
      </c>
      <c r="H73" s="12" t="s">
        <v>105</v>
      </c>
      <c r="I73" s="12" t="s">
        <v>106</v>
      </c>
      <c r="J73" s="10" t="s">
        <v>3</v>
      </c>
      <c r="K73" s="10" t="s">
        <v>76</v>
      </c>
      <c r="L73" s="14"/>
      <c r="M73" s="1"/>
      <c r="N73" s="1"/>
      <c r="O73" s="1"/>
      <c r="P73" s="1"/>
      <c r="Q73" s="1"/>
    </row>
    <row r="74" spans="1:17" ht="28.5">
      <c r="A74" s="10">
        <v>68</v>
      </c>
      <c r="B74" s="10" t="s">
        <v>331</v>
      </c>
      <c r="C74" s="10" t="s">
        <v>336</v>
      </c>
      <c r="D74" s="10" t="s">
        <v>337</v>
      </c>
      <c r="E74" s="10">
        <v>0.3</v>
      </c>
      <c r="F74" s="10" t="s">
        <v>262</v>
      </c>
      <c r="G74" s="12" t="s">
        <v>104</v>
      </c>
      <c r="H74" s="12" t="s">
        <v>105</v>
      </c>
      <c r="I74" s="12" t="s">
        <v>106</v>
      </c>
      <c r="J74" s="10" t="s">
        <v>3</v>
      </c>
      <c r="K74" s="10" t="s">
        <v>76</v>
      </c>
      <c r="L74" s="14"/>
      <c r="M74" s="1"/>
      <c r="N74" s="1"/>
      <c r="O74" s="1"/>
      <c r="P74" s="1"/>
      <c r="Q74" s="1"/>
    </row>
    <row r="75" spans="1:17" ht="28.5">
      <c r="A75" s="10">
        <v>69</v>
      </c>
      <c r="B75" s="10" t="s">
        <v>331</v>
      </c>
      <c r="C75" s="10" t="s">
        <v>339</v>
      </c>
      <c r="D75" s="10" t="s">
        <v>340</v>
      </c>
      <c r="E75" s="10">
        <v>0.15</v>
      </c>
      <c r="F75" s="10" t="s">
        <v>262</v>
      </c>
      <c r="G75" s="12" t="s">
        <v>104</v>
      </c>
      <c r="H75" s="12" t="s">
        <v>105</v>
      </c>
      <c r="I75" s="12" t="s">
        <v>106</v>
      </c>
      <c r="J75" s="10" t="s">
        <v>3</v>
      </c>
      <c r="K75" s="10" t="s">
        <v>76</v>
      </c>
      <c r="L75" s="14"/>
      <c r="M75" s="1"/>
      <c r="N75" s="1"/>
      <c r="O75" s="1"/>
      <c r="P75" s="1"/>
      <c r="Q75" s="1"/>
    </row>
    <row r="76" spans="1:17" ht="28.5">
      <c r="A76" s="10">
        <v>70</v>
      </c>
      <c r="B76" s="10" t="s">
        <v>331</v>
      </c>
      <c r="C76" s="10" t="s">
        <v>342</v>
      </c>
      <c r="D76" s="10" t="s">
        <v>343</v>
      </c>
      <c r="E76" s="10">
        <v>1.8E-3</v>
      </c>
      <c r="F76" s="10" t="s">
        <v>262</v>
      </c>
      <c r="G76" s="12" t="s">
        <v>104</v>
      </c>
      <c r="H76" s="12" t="s">
        <v>105</v>
      </c>
      <c r="I76" s="12" t="s">
        <v>106</v>
      </c>
      <c r="J76" s="10" t="s">
        <v>3</v>
      </c>
      <c r="K76" s="10" t="s">
        <v>76</v>
      </c>
      <c r="L76" s="14"/>
      <c r="M76" s="1"/>
      <c r="N76" s="1"/>
      <c r="O76" s="1"/>
      <c r="P76" s="1"/>
      <c r="Q76" s="1"/>
    </row>
    <row r="77" spans="1:17" ht="28.5">
      <c r="A77" s="10">
        <v>71</v>
      </c>
      <c r="B77" s="10" t="s">
        <v>331</v>
      </c>
      <c r="C77" s="10" t="s">
        <v>346</v>
      </c>
      <c r="D77" s="10" t="s">
        <v>347</v>
      </c>
      <c r="E77" s="10">
        <v>2700</v>
      </c>
      <c r="F77" s="10" t="s">
        <v>178</v>
      </c>
      <c r="G77" s="12" t="s">
        <v>104</v>
      </c>
      <c r="H77" s="12" t="s">
        <v>105</v>
      </c>
      <c r="I77" s="12" t="s">
        <v>106</v>
      </c>
      <c r="J77" s="10" t="s">
        <v>132</v>
      </c>
      <c r="K77" s="10" t="s">
        <v>76</v>
      </c>
      <c r="L77" s="14" t="s">
        <v>226</v>
      </c>
      <c r="M77" s="1"/>
      <c r="N77" s="1"/>
      <c r="O77" s="1"/>
      <c r="P77" s="1"/>
      <c r="Q77" s="1"/>
    </row>
    <row r="78" spans="1:17" ht="28.5">
      <c r="A78" s="10">
        <v>72</v>
      </c>
      <c r="B78" s="10" t="s">
        <v>331</v>
      </c>
      <c r="C78" s="10" t="s">
        <v>348</v>
      </c>
      <c r="D78" s="10" t="s">
        <v>349</v>
      </c>
      <c r="E78" s="10">
        <v>0.18</v>
      </c>
      <c r="F78" s="10" t="s">
        <v>86</v>
      </c>
      <c r="G78" s="12" t="s">
        <v>104</v>
      </c>
      <c r="H78" s="12" t="s">
        <v>105</v>
      </c>
      <c r="I78" s="12" t="s">
        <v>106</v>
      </c>
      <c r="J78" s="10" t="s">
        <v>3</v>
      </c>
      <c r="K78" s="10" t="s">
        <v>76</v>
      </c>
      <c r="L78" s="14"/>
      <c r="M78" s="1"/>
      <c r="N78" s="1"/>
      <c r="O78" s="1"/>
      <c r="P78" s="1"/>
      <c r="Q78" s="1"/>
    </row>
    <row r="79" spans="1:17" ht="28.5">
      <c r="A79" s="10">
        <v>73</v>
      </c>
      <c r="B79" s="10" t="s">
        <v>331</v>
      </c>
      <c r="C79" s="10" t="s">
        <v>352</v>
      </c>
      <c r="D79" s="10" t="s">
        <v>353</v>
      </c>
      <c r="E79" s="10">
        <v>1.08</v>
      </c>
      <c r="F79" s="10" t="s">
        <v>86</v>
      </c>
      <c r="G79" s="12" t="s">
        <v>104</v>
      </c>
      <c r="H79" s="12" t="s">
        <v>105</v>
      </c>
      <c r="I79" s="12" t="s">
        <v>106</v>
      </c>
      <c r="J79" s="10" t="s">
        <v>123</v>
      </c>
      <c r="K79" s="10" t="s">
        <v>76</v>
      </c>
      <c r="L79" s="14"/>
      <c r="M79" s="1"/>
      <c r="N79" s="1"/>
      <c r="O79" s="1"/>
      <c r="P79" s="1"/>
      <c r="Q79" s="1"/>
    </row>
    <row r="80" spans="1:17" ht="28.5">
      <c r="A80" s="10">
        <v>74</v>
      </c>
      <c r="B80" s="10" t="s">
        <v>331</v>
      </c>
      <c r="C80" s="10" t="s">
        <v>355</v>
      </c>
      <c r="D80" s="10" t="s">
        <v>356</v>
      </c>
      <c r="E80" s="10">
        <v>1.02</v>
      </c>
      <c r="F80" s="10" t="s">
        <v>86</v>
      </c>
      <c r="G80" s="12" t="s">
        <v>104</v>
      </c>
      <c r="H80" s="12" t="s">
        <v>105</v>
      </c>
      <c r="I80" s="12" t="s">
        <v>106</v>
      </c>
      <c r="J80" s="10" t="s">
        <v>123</v>
      </c>
      <c r="K80" s="10" t="s">
        <v>76</v>
      </c>
      <c r="L80" s="14"/>
      <c r="M80" s="1"/>
      <c r="N80" s="1"/>
      <c r="O80" s="1"/>
      <c r="P80" s="1"/>
      <c r="Q80" s="1"/>
    </row>
    <row r="81" spans="1:17" ht="28.5">
      <c r="A81" s="10">
        <v>75</v>
      </c>
      <c r="B81" s="10" t="s">
        <v>358</v>
      </c>
      <c r="C81" s="10" t="s">
        <v>359</v>
      </c>
      <c r="D81" s="10" t="s">
        <v>360</v>
      </c>
      <c r="E81" s="10">
        <v>60</v>
      </c>
      <c r="F81" s="10" t="s">
        <v>73</v>
      </c>
      <c r="G81" s="12" t="s">
        <v>104</v>
      </c>
      <c r="H81" s="12" t="s">
        <v>105</v>
      </c>
      <c r="I81" s="12" t="s">
        <v>106</v>
      </c>
      <c r="J81" s="10" t="s">
        <v>238</v>
      </c>
      <c r="K81" s="10" t="s">
        <v>76</v>
      </c>
      <c r="L81" s="14"/>
      <c r="M81" s="1"/>
      <c r="N81" s="1"/>
      <c r="O81" s="1"/>
      <c r="P81" s="1"/>
      <c r="Q81" s="1"/>
    </row>
    <row r="82" spans="1:17" ht="28.5">
      <c r="A82" s="10">
        <v>76</v>
      </c>
      <c r="B82" s="10" t="s">
        <v>358</v>
      </c>
      <c r="C82" s="10" t="s">
        <v>363</v>
      </c>
      <c r="D82" s="10" t="s">
        <v>364</v>
      </c>
      <c r="E82" s="10">
        <v>0.1</v>
      </c>
      <c r="F82" s="10" t="s">
        <v>86</v>
      </c>
      <c r="G82" s="12" t="s">
        <v>104</v>
      </c>
      <c r="H82" s="12" t="s">
        <v>105</v>
      </c>
      <c r="I82" s="12" t="s">
        <v>106</v>
      </c>
      <c r="J82" s="10" t="s">
        <v>3</v>
      </c>
      <c r="K82" s="10" t="s">
        <v>76</v>
      </c>
      <c r="L82" s="14"/>
      <c r="M82" s="1"/>
      <c r="N82" s="1"/>
      <c r="O82" s="1"/>
      <c r="P82" s="1"/>
      <c r="Q82" s="1"/>
    </row>
    <row r="83" spans="1:17" ht="28.5">
      <c r="A83" s="10">
        <v>77</v>
      </c>
      <c r="B83" s="10" t="s">
        <v>358</v>
      </c>
      <c r="C83" s="10" t="s">
        <v>367</v>
      </c>
      <c r="D83" s="10" t="s">
        <v>368</v>
      </c>
      <c r="E83" s="10">
        <v>0.1</v>
      </c>
      <c r="F83" s="10" t="s">
        <v>86</v>
      </c>
      <c r="G83" s="12" t="s">
        <v>104</v>
      </c>
      <c r="H83" s="12" t="s">
        <v>105</v>
      </c>
      <c r="I83" s="12" t="s">
        <v>106</v>
      </c>
      <c r="J83" s="10" t="s">
        <v>3</v>
      </c>
      <c r="K83" s="10" t="s">
        <v>76</v>
      </c>
      <c r="L83" s="14" t="s">
        <v>98</v>
      </c>
      <c r="M83" s="1"/>
      <c r="N83" s="1"/>
      <c r="O83" s="1"/>
      <c r="P83" s="1"/>
      <c r="Q83" s="1"/>
    </row>
    <row r="84" spans="1:17" ht="28.5">
      <c r="A84" s="10">
        <v>78</v>
      </c>
      <c r="B84" s="10" t="s">
        <v>358</v>
      </c>
      <c r="C84" s="10" t="s">
        <v>370</v>
      </c>
      <c r="D84" s="10" t="s">
        <v>371</v>
      </c>
      <c r="E84" s="10">
        <v>40</v>
      </c>
      <c r="F84" s="10" t="s">
        <v>372</v>
      </c>
      <c r="G84" s="12" t="s">
        <v>104</v>
      </c>
      <c r="H84" s="12" t="s">
        <v>105</v>
      </c>
      <c r="I84" s="12" t="s">
        <v>106</v>
      </c>
      <c r="J84" s="10" t="s">
        <v>123</v>
      </c>
      <c r="K84" s="10" t="s">
        <v>76</v>
      </c>
      <c r="L84" s="14" t="s">
        <v>374</v>
      </c>
      <c r="M84" s="1"/>
      <c r="N84" s="1"/>
      <c r="O84" s="1"/>
      <c r="P84" s="1"/>
      <c r="Q84" s="1"/>
    </row>
    <row r="85" spans="1:17" ht="28.5">
      <c r="A85" s="10">
        <v>79</v>
      </c>
      <c r="B85" s="10" t="s">
        <v>358</v>
      </c>
      <c r="C85" s="10" t="s">
        <v>375</v>
      </c>
      <c r="D85" s="10" t="s">
        <v>376</v>
      </c>
      <c r="E85" s="10">
        <v>0.08</v>
      </c>
      <c r="F85" s="10" t="s">
        <v>86</v>
      </c>
      <c r="G85" s="12" t="s">
        <v>104</v>
      </c>
      <c r="H85" s="12" t="s">
        <v>105</v>
      </c>
      <c r="I85" s="12" t="s">
        <v>106</v>
      </c>
      <c r="J85" s="10" t="s">
        <v>123</v>
      </c>
      <c r="K85" s="10" t="s">
        <v>76</v>
      </c>
      <c r="L85" s="14"/>
      <c r="M85" s="1"/>
      <c r="N85" s="1"/>
      <c r="O85" s="1"/>
      <c r="P85" s="1"/>
      <c r="Q85" s="1"/>
    </row>
    <row r="86" spans="1:17" ht="28.5">
      <c r="A86" s="10">
        <v>80</v>
      </c>
      <c r="B86" s="10" t="s">
        <v>358</v>
      </c>
      <c r="C86" s="10" t="s">
        <v>379</v>
      </c>
      <c r="D86" s="10" t="s">
        <v>380</v>
      </c>
      <c r="E86" s="10">
        <v>0.02</v>
      </c>
      <c r="F86" s="10" t="s">
        <v>86</v>
      </c>
      <c r="G86" s="12" t="s">
        <v>104</v>
      </c>
      <c r="H86" s="12" t="s">
        <v>105</v>
      </c>
      <c r="I86" s="12" t="s">
        <v>106</v>
      </c>
      <c r="J86" s="10" t="s">
        <v>3</v>
      </c>
      <c r="K86" s="10" t="s">
        <v>76</v>
      </c>
      <c r="L86" s="14"/>
      <c r="M86" s="1"/>
      <c r="N86" s="1"/>
      <c r="O86" s="1"/>
      <c r="P86" s="1"/>
      <c r="Q86" s="1"/>
    </row>
    <row r="87" spans="1:17" ht="28.5">
      <c r="A87" s="10">
        <v>81</v>
      </c>
      <c r="B87" s="10" t="s">
        <v>358</v>
      </c>
      <c r="C87" s="10" t="s">
        <v>383</v>
      </c>
      <c r="D87" s="10" t="s">
        <v>384</v>
      </c>
      <c r="E87" s="10">
        <v>0.18</v>
      </c>
      <c r="F87" s="10" t="s">
        <v>385</v>
      </c>
      <c r="G87" s="12" t="s">
        <v>104</v>
      </c>
      <c r="H87" s="12" t="s">
        <v>105</v>
      </c>
      <c r="I87" s="12" t="s">
        <v>106</v>
      </c>
      <c r="J87" s="10" t="s">
        <v>123</v>
      </c>
      <c r="K87" s="10" t="s">
        <v>76</v>
      </c>
      <c r="L87" s="14" t="s">
        <v>374</v>
      </c>
      <c r="M87" s="1"/>
      <c r="N87" s="1"/>
      <c r="O87" s="1"/>
      <c r="P87" s="1"/>
      <c r="Q87" s="1"/>
    </row>
    <row r="88" spans="1:17" ht="28.5">
      <c r="A88" s="10">
        <v>82</v>
      </c>
      <c r="B88" s="10" t="s">
        <v>292</v>
      </c>
      <c r="C88" s="10" t="s">
        <v>387</v>
      </c>
      <c r="D88" s="10" t="s">
        <v>388</v>
      </c>
      <c r="E88" s="10">
        <v>0.45</v>
      </c>
      <c r="F88" s="10" t="s">
        <v>229</v>
      </c>
      <c r="G88" s="12" t="s">
        <v>104</v>
      </c>
      <c r="H88" s="12" t="s">
        <v>105</v>
      </c>
      <c r="I88" s="12" t="s">
        <v>106</v>
      </c>
      <c r="J88" s="10" t="s">
        <v>391</v>
      </c>
      <c r="K88" s="10" t="s">
        <v>63</v>
      </c>
      <c r="L88" s="14"/>
      <c r="M88" s="1"/>
      <c r="N88" s="1"/>
      <c r="O88" s="1"/>
      <c r="P88" s="1"/>
      <c r="Q88" s="1"/>
    </row>
    <row r="89" spans="1:17" ht="28.5">
      <c r="A89" s="10">
        <v>83</v>
      </c>
      <c r="B89" s="10" t="s">
        <v>292</v>
      </c>
      <c r="C89" s="10" t="s">
        <v>392</v>
      </c>
      <c r="D89" s="10" t="s">
        <v>393</v>
      </c>
      <c r="E89" s="10">
        <v>0.28000000000000003</v>
      </c>
      <c r="F89" s="10" t="s">
        <v>229</v>
      </c>
      <c r="G89" s="12" t="s">
        <v>104</v>
      </c>
      <c r="H89" s="12" t="s">
        <v>105</v>
      </c>
      <c r="I89" s="12" t="s">
        <v>106</v>
      </c>
      <c r="J89" s="10" t="s">
        <v>391</v>
      </c>
      <c r="K89" s="10" t="s">
        <v>63</v>
      </c>
      <c r="L89" s="14"/>
      <c r="M89" s="1"/>
      <c r="N89" s="1"/>
      <c r="O89" s="1"/>
      <c r="P89" s="1"/>
      <c r="Q89" s="1"/>
    </row>
    <row r="90" spans="1:17" ht="28.5">
      <c r="A90" s="10">
        <v>84</v>
      </c>
      <c r="B90" s="10" t="s">
        <v>292</v>
      </c>
      <c r="C90" s="10" t="s">
        <v>395</v>
      </c>
      <c r="D90" s="10" t="s">
        <v>396</v>
      </c>
      <c r="E90" s="10">
        <v>0.42</v>
      </c>
      <c r="F90" s="10" t="s">
        <v>229</v>
      </c>
      <c r="G90" s="12" t="s">
        <v>104</v>
      </c>
      <c r="H90" s="12" t="s">
        <v>105</v>
      </c>
      <c r="I90" s="12" t="s">
        <v>106</v>
      </c>
      <c r="J90" s="10" t="s">
        <v>391</v>
      </c>
      <c r="K90" s="10" t="s">
        <v>63</v>
      </c>
      <c r="L90" s="14"/>
      <c r="M90" s="1"/>
      <c r="N90" s="1"/>
      <c r="O90" s="1"/>
      <c r="P90" s="1"/>
      <c r="Q90" s="1"/>
    </row>
    <row r="91" spans="1:17" ht="28.5">
      <c r="A91" s="10">
        <v>85</v>
      </c>
      <c r="B91" s="10" t="s">
        <v>292</v>
      </c>
      <c r="C91" s="10" t="s">
        <v>398</v>
      </c>
      <c r="D91" s="10" t="s">
        <v>399</v>
      </c>
      <c r="E91" s="10">
        <v>0.5</v>
      </c>
      <c r="F91" s="10" t="s">
        <v>229</v>
      </c>
      <c r="G91" s="12" t="s">
        <v>104</v>
      </c>
      <c r="H91" s="12" t="s">
        <v>105</v>
      </c>
      <c r="I91" s="12" t="s">
        <v>106</v>
      </c>
      <c r="J91" s="10" t="s">
        <v>391</v>
      </c>
      <c r="K91" s="10" t="s">
        <v>63</v>
      </c>
      <c r="L91" s="14"/>
      <c r="M91" s="1"/>
      <c r="N91" s="1"/>
      <c r="O91" s="1"/>
      <c r="P91" s="1"/>
      <c r="Q91" s="1"/>
    </row>
    <row r="92" spans="1:17">
      <c r="A92" s="10">
        <v>86</v>
      </c>
      <c r="B92" s="10" t="s">
        <v>111</v>
      </c>
      <c r="C92" s="10" t="s">
        <v>401</v>
      </c>
      <c r="D92" s="10" t="s">
        <v>402</v>
      </c>
      <c r="E92" s="10">
        <v>3</v>
      </c>
      <c r="F92" s="10" t="s">
        <v>86</v>
      </c>
      <c r="G92" s="12" t="s">
        <v>66</v>
      </c>
      <c r="H92" s="12" t="s">
        <v>67</v>
      </c>
      <c r="I92" s="12" t="s">
        <v>117</v>
      </c>
      <c r="J92" s="10" t="s">
        <v>3</v>
      </c>
      <c r="K92" s="10" t="s">
        <v>76</v>
      </c>
      <c r="L92" s="14" t="s">
        <v>404</v>
      </c>
      <c r="M92" s="1"/>
      <c r="N92" s="1"/>
      <c r="O92" s="1"/>
      <c r="P92" s="1"/>
      <c r="Q92" s="1"/>
    </row>
    <row r="93" spans="1:17" ht="28.5">
      <c r="A93" s="10">
        <v>87</v>
      </c>
      <c r="B93" s="10" t="s">
        <v>111</v>
      </c>
      <c r="C93" s="10" t="s">
        <v>407</v>
      </c>
      <c r="D93" s="10" t="s">
        <v>408</v>
      </c>
      <c r="E93" s="10">
        <v>3.5000000000000003E-2</v>
      </c>
      <c r="F93" s="10" t="s">
        <v>409</v>
      </c>
      <c r="G93" s="12" t="s">
        <v>104</v>
      </c>
      <c r="H93" s="12" t="s">
        <v>105</v>
      </c>
      <c r="I93" s="12" t="s">
        <v>106</v>
      </c>
      <c r="J93" s="10" t="s">
        <v>123</v>
      </c>
      <c r="K93" s="10" t="s">
        <v>76</v>
      </c>
      <c r="L93" s="14" t="s">
        <v>411</v>
      </c>
      <c r="M93" s="1"/>
      <c r="N93" s="1"/>
      <c r="O93" s="1"/>
      <c r="P93" s="1"/>
      <c r="Q93" s="1"/>
    </row>
    <row r="94" spans="1:17">
      <c r="A94" s="10">
        <v>88</v>
      </c>
      <c r="B94" s="10" t="s">
        <v>412</v>
      </c>
      <c r="C94" s="10" t="s">
        <v>413</v>
      </c>
      <c r="D94" s="10" t="s">
        <v>414</v>
      </c>
      <c r="E94" s="10">
        <v>0</v>
      </c>
      <c r="F94" s="10" t="s">
        <v>415</v>
      </c>
      <c r="G94" s="12" t="s">
        <v>419</v>
      </c>
      <c r="H94" s="12" t="s">
        <v>420</v>
      </c>
      <c r="I94" s="12" t="s">
        <v>421</v>
      </c>
      <c r="J94" s="10" t="s">
        <v>418</v>
      </c>
      <c r="K94" s="10" t="s">
        <v>76</v>
      </c>
      <c r="L94" s="14" t="s">
        <v>417</v>
      </c>
      <c r="M94" s="1"/>
      <c r="N94" s="1"/>
      <c r="O94" s="1"/>
      <c r="P94" s="1"/>
      <c r="Q94" s="1"/>
    </row>
    <row r="95" spans="1:17" ht="28.5">
      <c r="A95" s="10">
        <v>89</v>
      </c>
      <c r="B95" s="10" t="s">
        <v>412</v>
      </c>
      <c r="C95" s="10" t="s">
        <v>423</v>
      </c>
      <c r="D95" s="10" t="s">
        <v>424</v>
      </c>
      <c r="E95" s="10">
        <v>0.25</v>
      </c>
      <c r="F95" s="10" t="s">
        <v>86</v>
      </c>
      <c r="G95" s="12" t="s">
        <v>104</v>
      </c>
      <c r="H95" s="12" t="s">
        <v>105</v>
      </c>
      <c r="I95" s="12" t="s">
        <v>106</v>
      </c>
      <c r="J95" s="10" t="s">
        <v>123</v>
      </c>
      <c r="K95" s="10" t="s">
        <v>76</v>
      </c>
      <c r="L95" s="14" t="s">
        <v>3122</v>
      </c>
      <c r="M95" s="1"/>
      <c r="N95" s="1"/>
      <c r="O95" s="1"/>
      <c r="P95" s="1"/>
      <c r="Q95" s="1"/>
    </row>
    <row r="96" spans="1:17" ht="28.5">
      <c r="A96" s="10">
        <v>90</v>
      </c>
      <c r="B96" s="10" t="s">
        <v>412</v>
      </c>
      <c r="C96" s="10" t="s">
        <v>427</v>
      </c>
      <c r="D96" s="10" t="s">
        <v>428</v>
      </c>
      <c r="E96" s="10">
        <v>2</v>
      </c>
      <c r="F96" s="10" t="s">
        <v>114</v>
      </c>
      <c r="G96" s="12" t="s">
        <v>104</v>
      </c>
      <c r="H96" s="12" t="s">
        <v>105</v>
      </c>
      <c r="I96" s="12" t="s">
        <v>106</v>
      </c>
      <c r="J96" s="10" t="s">
        <v>238</v>
      </c>
      <c r="K96" s="10" t="s">
        <v>76</v>
      </c>
      <c r="L96" s="14"/>
      <c r="M96" s="1"/>
      <c r="N96" s="1"/>
      <c r="O96" s="1"/>
      <c r="P96" s="1"/>
      <c r="Q96" s="1"/>
    </row>
    <row r="97" spans="1:17" ht="28.5">
      <c r="A97" s="10">
        <v>91</v>
      </c>
      <c r="B97" s="10" t="s">
        <v>412</v>
      </c>
      <c r="C97" s="10" t="s">
        <v>431</v>
      </c>
      <c r="D97" s="10" t="s">
        <v>432</v>
      </c>
      <c r="E97" s="10">
        <v>4.4999999999999998E-2</v>
      </c>
      <c r="F97" s="10" t="s">
        <v>433</v>
      </c>
      <c r="G97" s="12" t="s">
        <v>104</v>
      </c>
      <c r="H97" s="12" t="s">
        <v>105</v>
      </c>
      <c r="I97" s="12" t="s">
        <v>106</v>
      </c>
      <c r="J97" s="10" t="s">
        <v>238</v>
      </c>
      <c r="K97" s="10" t="s">
        <v>76</v>
      </c>
      <c r="L97" s="14"/>
      <c r="M97" s="1"/>
      <c r="N97" s="1"/>
      <c r="O97" s="1"/>
      <c r="P97" s="1"/>
      <c r="Q97" s="1"/>
    </row>
    <row r="98" spans="1:17" ht="28.5">
      <c r="A98" s="10">
        <v>92</v>
      </c>
      <c r="B98" s="10" t="s">
        <v>412</v>
      </c>
      <c r="C98" s="10" t="s">
        <v>435</v>
      </c>
      <c r="D98" s="10" t="s">
        <v>436</v>
      </c>
      <c r="E98" s="10">
        <v>0.18</v>
      </c>
      <c r="F98" s="10" t="s">
        <v>86</v>
      </c>
      <c r="G98" s="12" t="s">
        <v>104</v>
      </c>
      <c r="H98" s="12" t="s">
        <v>105</v>
      </c>
      <c r="I98" s="12" t="s">
        <v>106</v>
      </c>
      <c r="J98" s="10" t="s">
        <v>123</v>
      </c>
      <c r="K98" s="10" t="s">
        <v>76</v>
      </c>
      <c r="L98" s="14"/>
      <c r="M98" s="1"/>
      <c r="N98" s="1"/>
      <c r="O98" s="1"/>
      <c r="P98" s="1"/>
      <c r="Q98" s="1"/>
    </row>
    <row r="99" spans="1:17" ht="28.5">
      <c r="A99" s="10">
        <v>93</v>
      </c>
      <c r="B99" s="10" t="s">
        <v>412</v>
      </c>
      <c r="C99" s="10" t="s">
        <v>439</v>
      </c>
      <c r="D99" s="10" t="s">
        <v>440</v>
      </c>
      <c r="E99" s="10">
        <v>0.18</v>
      </c>
      <c r="F99" s="10" t="s">
        <v>86</v>
      </c>
      <c r="G99" s="12" t="s">
        <v>104</v>
      </c>
      <c r="H99" s="12" t="s">
        <v>105</v>
      </c>
      <c r="I99" s="12" t="s">
        <v>106</v>
      </c>
      <c r="J99" s="10" t="s">
        <v>123</v>
      </c>
      <c r="K99" s="10" t="s">
        <v>76</v>
      </c>
      <c r="L99" s="14"/>
      <c r="M99" s="1"/>
      <c r="N99" s="1"/>
      <c r="O99" s="1"/>
      <c r="P99" s="1"/>
      <c r="Q99" s="1"/>
    </row>
    <row r="100" spans="1:17" ht="28.5">
      <c r="A100" s="10">
        <v>94</v>
      </c>
      <c r="B100" s="10" t="s">
        <v>412</v>
      </c>
      <c r="C100" s="10" t="s">
        <v>443</v>
      </c>
      <c r="D100" s="10" t="s">
        <v>444</v>
      </c>
      <c r="E100" s="10">
        <v>18</v>
      </c>
      <c r="F100" s="10" t="s">
        <v>372</v>
      </c>
      <c r="G100" s="12" t="s">
        <v>104</v>
      </c>
      <c r="H100" s="12" t="s">
        <v>105</v>
      </c>
      <c r="I100" s="12" t="s">
        <v>106</v>
      </c>
      <c r="J100" s="10" t="s">
        <v>123</v>
      </c>
      <c r="K100" s="10" t="s">
        <v>76</v>
      </c>
      <c r="L100" s="14" t="s">
        <v>374</v>
      </c>
      <c r="M100" s="1"/>
      <c r="N100" s="1"/>
      <c r="O100" s="1"/>
      <c r="P100" s="1"/>
      <c r="Q100" s="1"/>
    </row>
    <row r="101" spans="1:17" ht="28.5">
      <c r="A101" s="10">
        <v>95</v>
      </c>
      <c r="B101" s="10" t="s">
        <v>412</v>
      </c>
      <c r="C101" s="10" t="s">
        <v>446</v>
      </c>
      <c r="D101" s="10" t="s">
        <v>447</v>
      </c>
      <c r="E101" s="10">
        <v>0.22</v>
      </c>
      <c r="F101" s="10" t="s">
        <v>385</v>
      </c>
      <c r="G101" s="12" t="s">
        <v>104</v>
      </c>
      <c r="H101" s="12" t="s">
        <v>105</v>
      </c>
      <c r="I101" s="12" t="s">
        <v>106</v>
      </c>
      <c r="J101" s="10" t="s">
        <v>123</v>
      </c>
      <c r="K101" s="10" t="s">
        <v>76</v>
      </c>
      <c r="L101" s="14" t="s">
        <v>374</v>
      </c>
      <c r="M101" s="1"/>
      <c r="N101" s="1"/>
      <c r="O101" s="1"/>
      <c r="P101" s="1"/>
      <c r="Q101" s="1"/>
    </row>
    <row r="102" spans="1:17" ht="28.5">
      <c r="A102" s="10">
        <v>96</v>
      </c>
      <c r="B102" s="10" t="s">
        <v>412</v>
      </c>
      <c r="C102" s="10" t="s">
        <v>449</v>
      </c>
      <c r="D102" s="10" t="s">
        <v>450</v>
      </c>
      <c r="E102" s="10">
        <v>0.08</v>
      </c>
      <c r="F102" s="10" t="s">
        <v>229</v>
      </c>
      <c r="G102" s="12" t="s">
        <v>104</v>
      </c>
      <c r="H102" s="12" t="s">
        <v>105</v>
      </c>
      <c r="I102" s="12" t="s">
        <v>106</v>
      </c>
      <c r="J102" s="10" t="s">
        <v>238</v>
      </c>
      <c r="K102" s="10" t="s">
        <v>76</v>
      </c>
      <c r="L102" s="14"/>
      <c r="M102" s="1"/>
      <c r="N102" s="1"/>
      <c r="O102" s="1"/>
      <c r="P102" s="1"/>
      <c r="Q102" s="1"/>
    </row>
    <row r="103" spans="1:17" ht="28.5">
      <c r="A103" s="10">
        <v>97</v>
      </c>
      <c r="B103" s="10" t="s">
        <v>453</v>
      </c>
      <c r="C103" s="10" t="s">
        <v>454</v>
      </c>
      <c r="D103" s="10" t="s">
        <v>455</v>
      </c>
      <c r="E103" s="10">
        <v>7.0000000000000007E-2</v>
      </c>
      <c r="F103" s="10" t="s">
        <v>262</v>
      </c>
      <c r="G103" s="12" t="s">
        <v>104</v>
      </c>
      <c r="H103" s="12" t="s">
        <v>105</v>
      </c>
      <c r="I103" s="12" t="s">
        <v>106</v>
      </c>
      <c r="J103" s="10" t="s">
        <v>3</v>
      </c>
      <c r="K103" s="10" t="s">
        <v>76</v>
      </c>
      <c r="L103" s="14"/>
      <c r="M103" s="1"/>
      <c r="N103" s="1"/>
      <c r="O103" s="1"/>
      <c r="P103" s="1"/>
      <c r="Q103" s="1"/>
    </row>
    <row r="104" spans="1:17" ht="28.5">
      <c r="A104" s="10">
        <v>98</v>
      </c>
      <c r="B104" s="10" t="s">
        <v>453</v>
      </c>
      <c r="C104" s="10" t="s">
        <v>457</v>
      </c>
      <c r="D104" s="10" t="s">
        <v>458</v>
      </c>
      <c r="E104" s="10">
        <v>0.06</v>
      </c>
      <c r="F104" s="10" t="s">
        <v>262</v>
      </c>
      <c r="G104" s="12" t="s">
        <v>104</v>
      </c>
      <c r="H104" s="12" t="s">
        <v>105</v>
      </c>
      <c r="I104" s="12" t="s">
        <v>106</v>
      </c>
      <c r="J104" s="10" t="s">
        <v>3</v>
      </c>
      <c r="K104" s="10" t="s">
        <v>76</v>
      </c>
      <c r="L104" s="14"/>
      <c r="M104" s="1"/>
      <c r="N104" s="1"/>
      <c r="O104" s="1"/>
      <c r="P104" s="1"/>
      <c r="Q104" s="1"/>
    </row>
    <row r="105" spans="1:17" ht="28.5">
      <c r="A105" s="10">
        <v>99</v>
      </c>
      <c r="B105" s="10" t="s">
        <v>453</v>
      </c>
      <c r="C105" s="10" t="s">
        <v>460</v>
      </c>
      <c r="D105" s="10" t="s">
        <v>461</v>
      </c>
      <c r="E105" s="10">
        <v>0.3</v>
      </c>
      <c r="F105" s="10" t="s">
        <v>173</v>
      </c>
      <c r="G105" s="12" t="s">
        <v>104</v>
      </c>
      <c r="H105" s="12" t="s">
        <v>105</v>
      </c>
      <c r="I105" s="12" t="s">
        <v>106</v>
      </c>
      <c r="J105" s="10" t="s">
        <v>3</v>
      </c>
      <c r="K105" s="10" t="s">
        <v>76</v>
      </c>
      <c r="L105" s="14"/>
      <c r="M105" s="1"/>
      <c r="N105" s="1"/>
      <c r="O105" s="1"/>
      <c r="P105" s="1"/>
      <c r="Q105" s="1"/>
    </row>
    <row r="106" spans="1:17" ht="28.5">
      <c r="A106" s="10">
        <v>100</v>
      </c>
      <c r="B106" s="10" t="s">
        <v>453</v>
      </c>
      <c r="C106" s="10" t="s">
        <v>464</v>
      </c>
      <c r="D106" s="10" t="s">
        <v>465</v>
      </c>
      <c r="E106" s="10">
        <v>0.32</v>
      </c>
      <c r="F106" s="10" t="s">
        <v>173</v>
      </c>
      <c r="G106" s="12" t="s">
        <v>104</v>
      </c>
      <c r="H106" s="12" t="s">
        <v>105</v>
      </c>
      <c r="I106" s="12" t="s">
        <v>106</v>
      </c>
      <c r="J106" s="10" t="s">
        <v>3</v>
      </c>
      <c r="K106" s="10" t="s">
        <v>76</v>
      </c>
      <c r="L106" s="14"/>
      <c r="M106" s="1"/>
      <c r="N106" s="1"/>
      <c r="O106" s="1"/>
      <c r="P106" s="1"/>
      <c r="Q106" s="1"/>
    </row>
    <row r="107" spans="1:17" ht="28.5">
      <c r="A107" s="10">
        <v>101</v>
      </c>
      <c r="B107" s="10" t="s">
        <v>453</v>
      </c>
      <c r="C107" s="10" t="s">
        <v>467</v>
      </c>
      <c r="D107" s="10" t="s">
        <v>468</v>
      </c>
      <c r="E107" s="10">
        <v>0.3</v>
      </c>
      <c r="F107" s="10" t="s">
        <v>173</v>
      </c>
      <c r="G107" s="12" t="s">
        <v>104</v>
      </c>
      <c r="H107" s="12" t="s">
        <v>105</v>
      </c>
      <c r="I107" s="12" t="s">
        <v>106</v>
      </c>
      <c r="J107" s="10" t="s">
        <v>3</v>
      </c>
      <c r="K107" s="10" t="s">
        <v>76</v>
      </c>
      <c r="L107" s="14"/>
      <c r="M107" s="1"/>
      <c r="N107" s="1"/>
      <c r="O107" s="1"/>
      <c r="P107" s="1"/>
      <c r="Q107" s="1"/>
    </row>
    <row r="108" spans="1:17" ht="28.5">
      <c r="A108" s="10">
        <v>102</v>
      </c>
      <c r="B108" s="10" t="s">
        <v>453</v>
      </c>
      <c r="C108" s="10" t="s">
        <v>470</v>
      </c>
      <c r="D108" s="10" t="s">
        <v>471</v>
      </c>
      <c r="E108" s="10">
        <v>8960</v>
      </c>
      <c r="F108" s="10" t="s">
        <v>178</v>
      </c>
      <c r="G108" s="12" t="s">
        <v>104</v>
      </c>
      <c r="H108" s="12" t="s">
        <v>105</v>
      </c>
      <c r="I108" s="12" t="s">
        <v>106</v>
      </c>
      <c r="J108" s="10" t="s">
        <v>132</v>
      </c>
      <c r="K108" s="10" t="s">
        <v>76</v>
      </c>
      <c r="L108" s="14"/>
      <c r="M108" s="1"/>
      <c r="N108" s="1"/>
      <c r="O108" s="1"/>
      <c r="P108" s="1"/>
      <c r="Q108" s="1"/>
    </row>
    <row r="109" spans="1:17" ht="28.5">
      <c r="A109" s="10">
        <v>103</v>
      </c>
      <c r="B109" s="10" t="s">
        <v>453</v>
      </c>
      <c r="C109" s="10" t="s">
        <v>473</v>
      </c>
      <c r="D109" s="10" t="s">
        <v>474</v>
      </c>
      <c r="E109" s="10">
        <v>3260</v>
      </c>
      <c r="F109" s="10" t="s">
        <v>178</v>
      </c>
      <c r="G109" s="12" t="s">
        <v>104</v>
      </c>
      <c r="H109" s="12" t="s">
        <v>105</v>
      </c>
      <c r="I109" s="12" t="s">
        <v>106</v>
      </c>
      <c r="J109" s="10" t="s">
        <v>132</v>
      </c>
      <c r="K109" s="10" t="s">
        <v>76</v>
      </c>
      <c r="L109" s="14" t="s">
        <v>475</v>
      </c>
      <c r="M109" s="1"/>
      <c r="N109" s="1"/>
      <c r="O109" s="1"/>
      <c r="P109" s="1"/>
      <c r="Q109" s="1"/>
    </row>
    <row r="110" spans="1:17" ht="28.5">
      <c r="A110" s="10">
        <v>104</v>
      </c>
      <c r="B110" s="10" t="s">
        <v>476</v>
      </c>
      <c r="C110" s="10" t="s">
        <v>477</v>
      </c>
      <c r="D110" s="10" t="s">
        <v>478</v>
      </c>
      <c r="E110" s="10">
        <v>0.08</v>
      </c>
      <c r="F110" s="10" t="s">
        <v>262</v>
      </c>
      <c r="G110" s="12" t="s">
        <v>104</v>
      </c>
      <c r="H110" s="12" t="s">
        <v>105</v>
      </c>
      <c r="I110" s="12" t="s">
        <v>106</v>
      </c>
      <c r="J110" s="10" t="s">
        <v>3</v>
      </c>
      <c r="K110" s="10" t="s">
        <v>76</v>
      </c>
      <c r="L110" s="14"/>
      <c r="M110" s="1"/>
      <c r="N110" s="1"/>
      <c r="O110" s="1"/>
      <c r="P110" s="1"/>
      <c r="Q110" s="1"/>
    </row>
    <row r="111" spans="1:17" ht="28.5">
      <c r="A111" s="10">
        <v>105</v>
      </c>
      <c r="B111" s="10" t="s">
        <v>476</v>
      </c>
      <c r="C111" s="10" t="s">
        <v>481</v>
      </c>
      <c r="D111" s="10" t="s">
        <v>482</v>
      </c>
      <c r="E111" s="10">
        <v>6.5000000000000002E-2</v>
      </c>
      <c r="F111" s="10" t="s">
        <v>262</v>
      </c>
      <c r="G111" s="12" t="s">
        <v>104</v>
      </c>
      <c r="H111" s="12" t="s">
        <v>105</v>
      </c>
      <c r="I111" s="12" t="s">
        <v>106</v>
      </c>
      <c r="J111" s="10" t="s">
        <v>3</v>
      </c>
      <c r="K111" s="10" t="s">
        <v>76</v>
      </c>
      <c r="L111" s="14"/>
      <c r="M111" s="1"/>
      <c r="N111" s="1"/>
      <c r="O111" s="1"/>
      <c r="P111" s="1"/>
      <c r="Q111" s="1"/>
    </row>
    <row r="112" spans="1:17" ht="28.5">
      <c r="A112" s="10">
        <v>106</v>
      </c>
      <c r="B112" s="10" t="s">
        <v>476</v>
      </c>
      <c r="C112" s="10" t="s">
        <v>484</v>
      </c>
      <c r="D112" s="10" t="s">
        <v>485</v>
      </c>
      <c r="E112" s="10">
        <v>1</v>
      </c>
      <c r="F112" s="10" t="s">
        <v>86</v>
      </c>
      <c r="G112" s="12" t="s">
        <v>104</v>
      </c>
      <c r="H112" s="12" t="s">
        <v>105</v>
      </c>
      <c r="I112" s="12" t="s">
        <v>106</v>
      </c>
      <c r="J112" s="10" t="s">
        <v>123</v>
      </c>
      <c r="K112" s="10" t="s">
        <v>76</v>
      </c>
      <c r="L112" s="14" t="s">
        <v>487</v>
      </c>
      <c r="M112" s="1"/>
      <c r="N112" s="1"/>
      <c r="O112" s="1"/>
      <c r="P112" s="1"/>
      <c r="Q112" s="1"/>
    </row>
    <row r="113" spans="1:17" ht="28.5">
      <c r="A113" s="10">
        <v>107</v>
      </c>
      <c r="B113" s="10" t="s">
        <v>476</v>
      </c>
      <c r="C113" s="10" t="s">
        <v>488</v>
      </c>
      <c r="D113" s="10" t="s">
        <v>489</v>
      </c>
      <c r="E113" s="10">
        <v>1</v>
      </c>
      <c r="F113" s="10" t="s">
        <v>86</v>
      </c>
      <c r="G113" s="12" t="s">
        <v>104</v>
      </c>
      <c r="H113" s="12" t="s">
        <v>105</v>
      </c>
      <c r="I113" s="12" t="s">
        <v>106</v>
      </c>
      <c r="J113" s="10" t="s">
        <v>132</v>
      </c>
      <c r="K113" s="10" t="s">
        <v>76</v>
      </c>
      <c r="L113" s="14" t="s">
        <v>490</v>
      </c>
      <c r="M113" s="1"/>
      <c r="N113" s="1"/>
      <c r="O113" s="1"/>
      <c r="P113" s="1"/>
      <c r="Q113" s="1"/>
    </row>
    <row r="114" spans="1:17" ht="28.5">
      <c r="A114" s="10">
        <v>108</v>
      </c>
      <c r="B114" s="10" t="s">
        <v>476</v>
      </c>
      <c r="C114" s="10" t="s">
        <v>491</v>
      </c>
      <c r="D114" s="10" t="s">
        <v>492</v>
      </c>
      <c r="E114" s="10">
        <v>1.2</v>
      </c>
      <c r="F114" s="10" t="s">
        <v>86</v>
      </c>
      <c r="G114" s="12" t="s">
        <v>104</v>
      </c>
      <c r="H114" s="12" t="s">
        <v>105</v>
      </c>
      <c r="I114" s="12" t="s">
        <v>106</v>
      </c>
      <c r="J114" s="10" t="s">
        <v>123</v>
      </c>
      <c r="K114" s="10" t="s">
        <v>76</v>
      </c>
      <c r="L114" s="14"/>
      <c r="M114" s="1"/>
      <c r="N114" s="1"/>
      <c r="O114" s="1"/>
      <c r="P114" s="1"/>
      <c r="Q114" s="1"/>
    </row>
    <row r="115" spans="1:17" ht="28.5">
      <c r="A115" s="10">
        <v>109</v>
      </c>
      <c r="B115" s="10" t="s">
        <v>494</v>
      </c>
      <c r="C115" s="10" t="s">
        <v>495</v>
      </c>
      <c r="D115" s="10" t="s">
        <v>496</v>
      </c>
      <c r="E115" s="10">
        <v>8.8539999999999992E-12</v>
      </c>
      <c r="F115" s="10" t="s">
        <v>497</v>
      </c>
      <c r="G115" s="12" t="s">
        <v>104</v>
      </c>
      <c r="H115" s="12" t="s">
        <v>105</v>
      </c>
      <c r="I115" s="12" t="s">
        <v>106</v>
      </c>
      <c r="J115" s="10" t="s">
        <v>157</v>
      </c>
      <c r="K115" s="10" t="s">
        <v>63</v>
      </c>
      <c r="L115" s="14" t="s">
        <v>156</v>
      </c>
      <c r="M115" s="1"/>
      <c r="N115" s="1"/>
      <c r="O115" s="1"/>
      <c r="P115" s="1"/>
      <c r="Q115" s="1"/>
    </row>
    <row r="116" spans="1:17" ht="28.5">
      <c r="A116" s="10">
        <v>110</v>
      </c>
      <c r="B116" s="10" t="s">
        <v>494</v>
      </c>
      <c r="C116" s="10" t="s">
        <v>499</v>
      </c>
      <c r="D116" s="10" t="s">
        <v>500</v>
      </c>
      <c r="E116" s="10">
        <v>2.2000000000000002</v>
      </c>
      <c r="F116" s="10" t="s">
        <v>86</v>
      </c>
      <c r="G116" s="12" t="s">
        <v>104</v>
      </c>
      <c r="H116" s="12" t="s">
        <v>105</v>
      </c>
      <c r="I116" s="12" t="s">
        <v>106</v>
      </c>
      <c r="J116" s="10" t="s">
        <v>132</v>
      </c>
      <c r="K116" s="10" t="s">
        <v>76</v>
      </c>
      <c r="L116" s="14"/>
      <c r="M116" s="1"/>
      <c r="N116" s="1"/>
      <c r="O116" s="1"/>
      <c r="P116" s="1"/>
      <c r="Q116" s="1"/>
    </row>
    <row r="117" spans="1:17" ht="28.5">
      <c r="A117" s="10">
        <v>111</v>
      </c>
      <c r="B117" s="10" t="s">
        <v>494</v>
      </c>
      <c r="C117" s="10" t="s">
        <v>502</v>
      </c>
      <c r="D117" s="10" t="s">
        <v>503</v>
      </c>
      <c r="E117" s="10">
        <v>550000000</v>
      </c>
      <c r="F117" s="10" t="s">
        <v>130</v>
      </c>
      <c r="G117" s="12" t="s">
        <v>104</v>
      </c>
      <c r="H117" s="12" t="s">
        <v>105</v>
      </c>
      <c r="I117" s="12" t="s">
        <v>106</v>
      </c>
      <c r="J117" s="10" t="s">
        <v>132</v>
      </c>
      <c r="K117" s="10" t="s">
        <v>76</v>
      </c>
      <c r="L117" s="14" t="s">
        <v>141</v>
      </c>
      <c r="M117" s="1"/>
      <c r="N117" s="1"/>
      <c r="O117" s="1"/>
      <c r="P117" s="1"/>
      <c r="Q117" s="1"/>
    </row>
    <row r="118" spans="1:17" ht="28.5">
      <c r="A118" s="10">
        <v>112</v>
      </c>
      <c r="B118" s="10" t="s">
        <v>494</v>
      </c>
      <c r="C118" s="10" t="s">
        <v>505</v>
      </c>
      <c r="D118" s="10" t="s">
        <v>506</v>
      </c>
      <c r="E118" s="10">
        <v>0.45</v>
      </c>
      <c r="F118" s="10" t="s">
        <v>86</v>
      </c>
      <c r="G118" s="12" t="s">
        <v>104</v>
      </c>
      <c r="H118" s="12" t="s">
        <v>105</v>
      </c>
      <c r="I118" s="12" t="s">
        <v>106</v>
      </c>
      <c r="J118" s="10" t="s">
        <v>123</v>
      </c>
      <c r="K118" s="10" t="s">
        <v>76</v>
      </c>
      <c r="L118" s="14"/>
      <c r="M118" s="1"/>
      <c r="N118" s="1"/>
      <c r="O118" s="1"/>
      <c r="P118" s="1"/>
      <c r="Q118" s="1"/>
    </row>
    <row r="119" spans="1:17" ht="28.5">
      <c r="A119" s="10">
        <v>113</v>
      </c>
      <c r="B119" s="10" t="s">
        <v>494</v>
      </c>
      <c r="C119" s="10" t="s">
        <v>508</v>
      </c>
      <c r="D119" s="10" t="s">
        <v>509</v>
      </c>
      <c r="E119" s="10">
        <v>1400</v>
      </c>
      <c r="F119" s="10" t="s">
        <v>178</v>
      </c>
      <c r="G119" s="12" t="s">
        <v>104</v>
      </c>
      <c r="H119" s="12" t="s">
        <v>105</v>
      </c>
      <c r="I119" s="12" t="s">
        <v>106</v>
      </c>
      <c r="J119" s="10" t="s">
        <v>132</v>
      </c>
      <c r="K119" s="10" t="s">
        <v>76</v>
      </c>
      <c r="L119" s="14"/>
      <c r="M119" s="1"/>
      <c r="N119" s="1"/>
      <c r="O119" s="1"/>
      <c r="P119" s="1"/>
      <c r="Q119" s="1"/>
    </row>
    <row r="120" spans="1:17" ht="28.5">
      <c r="A120" s="10">
        <v>114</v>
      </c>
      <c r="B120" s="10" t="s">
        <v>494</v>
      </c>
      <c r="C120" s="10" t="s">
        <v>511</v>
      </c>
      <c r="D120" s="10" t="s">
        <v>512</v>
      </c>
      <c r="E120" s="10">
        <v>0.55000000000000004</v>
      </c>
      <c r="F120" s="10" t="s">
        <v>86</v>
      </c>
      <c r="G120" s="12" t="s">
        <v>104</v>
      </c>
      <c r="H120" s="12" t="s">
        <v>105</v>
      </c>
      <c r="I120" s="12" t="s">
        <v>106</v>
      </c>
      <c r="J120" s="10" t="s">
        <v>123</v>
      </c>
      <c r="K120" s="10" t="s">
        <v>76</v>
      </c>
      <c r="L120" s="14"/>
      <c r="M120" s="1"/>
      <c r="N120" s="1"/>
      <c r="O120" s="1"/>
      <c r="P120" s="1"/>
      <c r="Q120" s="1"/>
    </row>
    <row r="121" spans="1:17" ht="28.5">
      <c r="A121" s="10">
        <v>115</v>
      </c>
      <c r="B121" s="10" t="s">
        <v>514</v>
      </c>
      <c r="C121" s="10" t="s">
        <v>515</v>
      </c>
      <c r="D121" s="10" t="s">
        <v>516</v>
      </c>
      <c r="E121" s="10">
        <v>1</v>
      </c>
      <c r="F121" s="10" t="s">
        <v>86</v>
      </c>
      <c r="G121" s="12" t="s">
        <v>104</v>
      </c>
      <c r="H121" s="12" t="s">
        <v>105</v>
      </c>
      <c r="I121" s="12" t="s">
        <v>106</v>
      </c>
      <c r="J121" s="10" t="s">
        <v>123</v>
      </c>
      <c r="K121" s="10" t="s">
        <v>76</v>
      </c>
      <c r="L121" s="14" t="s">
        <v>518</v>
      </c>
      <c r="M121" s="1"/>
      <c r="N121" s="1"/>
      <c r="O121" s="1"/>
      <c r="P121" s="1"/>
      <c r="Q121" s="1"/>
    </row>
    <row r="122" spans="1:17" ht="28.5">
      <c r="A122" s="10">
        <v>116</v>
      </c>
      <c r="B122" s="10" t="s">
        <v>514</v>
      </c>
      <c r="C122" s="10" t="s">
        <v>519</v>
      </c>
      <c r="D122" s="10" t="s">
        <v>520</v>
      </c>
      <c r="E122" s="10">
        <v>1</v>
      </c>
      <c r="F122" s="10" t="s">
        <v>86</v>
      </c>
      <c r="G122" s="12" t="s">
        <v>104</v>
      </c>
      <c r="H122" s="12" t="s">
        <v>105</v>
      </c>
      <c r="I122" s="12" t="s">
        <v>106</v>
      </c>
      <c r="J122" s="10" t="s">
        <v>132</v>
      </c>
      <c r="K122" s="10" t="s">
        <v>76</v>
      </c>
      <c r="L122" s="14" t="s">
        <v>522</v>
      </c>
      <c r="M122" s="1"/>
      <c r="N122" s="1"/>
      <c r="O122" s="1"/>
      <c r="P122" s="1"/>
      <c r="Q122" s="1"/>
    </row>
    <row r="123" spans="1:17" ht="28.5">
      <c r="A123" s="10">
        <v>117</v>
      </c>
      <c r="B123" s="10" t="s">
        <v>514</v>
      </c>
      <c r="C123" s="10" t="s">
        <v>523</v>
      </c>
      <c r="D123" s="10" t="s">
        <v>524</v>
      </c>
      <c r="E123" s="10">
        <v>0.9</v>
      </c>
      <c r="F123" s="10" t="s">
        <v>86</v>
      </c>
      <c r="G123" s="12" t="s">
        <v>104</v>
      </c>
      <c r="H123" s="12" t="s">
        <v>105</v>
      </c>
      <c r="I123" s="12" t="s">
        <v>106</v>
      </c>
      <c r="J123" s="10" t="s">
        <v>123</v>
      </c>
      <c r="K123" s="10" t="s">
        <v>76</v>
      </c>
      <c r="L123" s="14"/>
      <c r="M123" s="1"/>
      <c r="N123" s="1"/>
      <c r="O123" s="1"/>
      <c r="P123" s="1"/>
      <c r="Q123" s="1"/>
    </row>
    <row r="124" spans="1:17" ht="28.5">
      <c r="A124" s="10">
        <v>118</v>
      </c>
      <c r="B124" s="10" t="s">
        <v>514</v>
      </c>
      <c r="C124" s="10" t="s">
        <v>526</v>
      </c>
      <c r="D124" s="10" t="s">
        <v>527</v>
      </c>
      <c r="E124" s="10">
        <v>0.95</v>
      </c>
      <c r="F124" s="10" t="s">
        <v>86</v>
      </c>
      <c r="G124" s="12" t="s">
        <v>104</v>
      </c>
      <c r="H124" s="12" t="s">
        <v>105</v>
      </c>
      <c r="I124" s="12" t="s">
        <v>106</v>
      </c>
      <c r="J124" s="10" t="s">
        <v>123</v>
      </c>
      <c r="K124" s="10" t="s">
        <v>76</v>
      </c>
      <c r="L124" s="14"/>
      <c r="M124" s="1"/>
      <c r="N124" s="1"/>
      <c r="O124" s="1"/>
      <c r="P124" s="1"/>
      <c r="Q124" s="1"/>
    </row>
    <row r="125" spans="1:17" ht="28.5">
      <c r="A125" s="10">
        <v>119</v>
      </c>
      <c r="B125" s="10" t="s">
        <v>514</v>
      </c>
      <c r="C125" s="10" t="s">
        <v>529</v>
      </c>
      <c r="D125" s="10" t="s">
        <v>530</v>
      </c>
      <c r="E125" s="10">
        <v>1.1499999999999999</v>
      </c>
      <c r="F125" s="10" t="s">
        <v>86</v>
      </c>
      <c r="G125" s="12" t="s">
        <v>104</v>
      </c>
      <c r="H125" s="12" t="s">
        <v>105</v>
      </c>
      <c r="I125" s="12" t="s">
        <v>106</v>
      </c>
      <c r="J125" s="10" t="s">
        <v>123</v>
      </c>
      <c r="K125" s="10" t="s">
        <v>76</v>
      </c>
      <c r="L125" s="14"/>
      <c r="M125" s="1"/>
      <c r="N125" s="1"/>
      <c r="O125" s="1"/>
      <c r="P125" s="1"/>
      <c r="Q125" s="1"/>
    </row>
    <row r="126" spans="1:17" ht="28.5">
      <c r="A126" s="10">
        <v>120</v>
      </c>
      <c r="B126" s="10" t="s">
        <v>532</v>
      </c>
      <c r="C126" s="10" t="s">
        <v>533</v>
      </c>
      <c r="D126" s="10" t="s">
        <v>534</v>
      </c>
      <c r="E126" s="10">
        <v>20</v>
      </c>
      <c r="F126" s="10" t="s">
        <v>235</v>
      </c>
      <c r="G126" s="12" t="s">
        <v>104</v>
      </c>
      <c r="H126" s="12" t="s">
        <v>105</v>
      </c>
      <c r="I126" s="12" t="s">
        <v>106</v>
      </c>
      <c r="J126" s="10" t="s">
        <v>238</v>
      </c>
      <c r="K126" s="10" t="s">
        <v>76</v>
      </c>
      <c r="L126" s="14" t="s">
        <v>536</v>
      </c>
      <c r="M126" s="1"/>
      <c r="N126" s="1"/>
      <c r="O126" s="1"/>
      <c r="P126" s="1"/>
      <c r="Q126" s="1"/>
    </row>
    <row r="127" spans="1:17" ht="28.5">
      <c r="A127" s="10">
        <v>121</v>
      </c>
      <c r="B127" s="10" t="s">
        <v>532</v>
      </c>
      <c r="C127" s="10" t="s">
        <v>537</v>
      </c>
      <c r="D127" s="10" t="s">
        <v>538</v>
      </c>
      <c r="E127" s="10">
        <v>1.7199999999999999E-8</v>
      </c>
      <c r="F127" s="10" t="s">
        <v>539</v>
      </c>
      <c r="G127" s="12" t="s">
        <v>104</v>
      </c>
      <c r="H127" s="12" t="s">
        <v>105</v>
      </c>
      <c r="I127" s="12" t="s">
        <v>106</v>
      </c>
      <c r="J127" s="10" t="s">
        <v>132</v>
      </c>
      <c r="K127" s="10" t="s">
        <v>76</v>
      </c>
      <c r="L127" s="14"/>
      <c r="M127" s="1"/>
      <c r="N127" s="1"/>
      <c r="O127" s="1"/>
      <c r="P127" s="1"/>
      <c r="Q127" s="1"/>
    </row>
    <row r="128" spans="1:17" ht="28.5">
      <c r="A128" s="10">
        <v>122</v>
      </c>
      <c r="B128" s="10" t="s">
        <v>532</v>
      </c>
      <c r="C128" s="10" t="s">
        <v>541</v>
      </c>
      <c r="D128" s="10" t="s">
        <v>542</v>
      </c>
      <c r="E128" s="10">
        <v>500</v>
      </c>
      <c r="F128" s="10" t="s">
        <v>543</v>
      </c>
      <c r="G128" s="12" t="s">
        <v>104</v>
      </c>
      <c r="H128" s="12" t="s">
        <v>105</v>
      </c>
      <c r="I128" s="12" t="s">
        <v>106</v>
      </c>
      <c r="J128" s="10" t="s">
        <v>123</v>
      </c>
      <c r="K128" s="10" t="s">
        <v>76</v>
      </c>
      <c r="L128" s="14" t="s">
        <v>544</v>
      </c>
      <c r="M128" s="1"/>
      <c r="N128" s="1"/>
      <c r="O128" s="1"/>
      <c r="P128" s="1"/>
      <c r="Q128" s="1"/>
    </row>
    <row r="129" spans="1:17" ht="28.5">
      <c r="A129" s="10">
        <v>123</v>
      </c>
      <c r="B129" s="10" t="s">
        <v>545</v>
      </c>
      <c r="C129" s="10" t="s">
        <v>546</v>
      </c>
      <c r="D129" s="10" t="s">
        <v>547</v>
      </c>
      <c r="E129" s="10">
        <v>0.25</v>
      </c>
      <c r="F129" s="10" t="s">
        <v>548</v>
      </c>
      <c r="G129" s="12" t="s">
        <v>104</v>
      </c>
      <c r="H129" s="12" t="s">
        <v>105</v>
      </c>
      <c r="I129" s="12" t="s">
        <v>106</v>
      </c>
      <c r="J129" s="10" t="s">
        <v>132</v>
      </c>
      <c r="K129" s="10" t="s">
        <v>76</v>
      </c>
      <c r="L129" s="14"/>
      <c r="M129" s="1"/>
      <c r="N129" s="1"/>
      <c r="O129" s="1"/>
      <c r="P129" s="1"/>
      <c r="Q129" s="1"/>
    </row>
    <row r="130" spans="1:17" ht="28.5">
      <c r="A130" s="10">
        <v>124</v>
      </c>
      <c r="B130" s="10" t="s">
        <v>545</v>
      </c>
      <c r="C130" s="10" t="s">
        <v>551</v>
      </c>
      <c r="D130" s="10" t="s">
        <v>552</v>
      </c>
      <c r="E130" s="10">
        <v>1</v>
      </c>
      <c r="F130" s="10" t="s">
        <v>86</v>
      </c>
      <c r="G130" s="12" t="s">
        <v>104</v>
      </c>
      <c r="H130" s="12" t="s">
        <v>105</v>
      </c>
      <c r="I130" s="12" t="s">
        <v>106</v>
      </c>
      <c r="J130" s="10" t="s">
        <v>132</v>
      </c>
      <c r="K130" s="10" t="s">
        <v>76</v>
      </c>
      <c r="L130" s="14" t="s">
        <v>374</v>
      </c>
      <c r="M130" s="1"/>
      <c r="N130" s="1"/>
      <c r="O130" s="1"/>
      <c r="P130" s="1"/>
      <c r="Q130" s="1"/>
    </row>
    <row r="131" spans="1:17" ht="28.5">
      <c r="A131" s="10">
        <v>125</v>
      </c>
      <c r="B131" s="10" t="s">
        <v>545</v>
      </c>
      <c r="C131" s="10" t="s">
        <v>554</v>
      </c>
      <c r="D131" s="10" t="s">
        <v>555</v>
      </c>
      <c r="E131" s="10">
        <v>0.4</v>
      </c>
      <c r="F131" s="10" t="s">
        <v>86</v>
      </c>
      <c r="G131" s="12" t="s">
        <v>104</v>
      </c>
      <c r="H131" s="12" t="s">
        <v>105</v>
      </c>
      <c r="I131" s="12" t="s">
        <v>106</v>
      </c>
      <c r="J131" s="10" t="s">
        <v>123</v>
      </c>
      <c r="K131" s="10" t="s">
        <v>76</v>
      </c>
      <c r="L131" s="14"/>
      <c r="M131" s="1"/>
      <c r="N131" s="1"/>
      <c r="O131" s="1"/>
      <c r="P131" s="1"/>
      <c r="Q131" s="1"/>
    </row>
    <row r="132" spans="1:17" ht="28.5">
      <c r="A132" s="10">
        <v>126</v>
      </c>
      <c r="B132" s="10" t="s">
        <v>545</v>
      </c>
      <c r="C132" s="10" t="s">
        <v>558</v>
      </c>
      <c r="D132" s="10" t="s">
        <v>559</v>
      </c>
      <c r="E132" s="10">
        <v>5000</v>
      </c>
      <c r="F132" s="10" t="s">
        <v>178</v>
      </c>
      <c r="G132" s="12" t="s">
        <v>104</v>
      </c>
      <c r="H132" s="12" t="s">
        <v>105</v>
      </c>
      <c r="I132" s="12" t="s">
        <v>106</v>
      </c>
      <c r="J132" s="10" t="s">
        <v>132</v>
      </c>
      <c r="K132" s="10" t="s">
        <v>76</v>
      </c>
      <c r="L132" s="14"/>
      <c r="M132" s="1"/>
      <c r="N132" s="1"/>
      <c r="O132" s="1"/>
      <c r="P132" s="1"/>
      <c r="Q132" s="1"/>
    </row>
    <row r="133" spans="1:17" ht="28.5">
      <c r="A133" s="10">
        <v>127</v>
      </c>
      <c r="B133" s="10" t="s">
        <v>561</v>
      </c>
      <c r="C133" s="10" t="s">
        <v>562</v>
      </c>
      <c r="D133" s="10" t="s">
        <v>563</v>
      </c>
      <c r="E133" s="10">
        <v>0.03</v>
      </c>
      <c r="F133" s="10" t="s">
        <v>564</v>
      </c>
      <c r="G133" s="12" t="s">
        <v>104</v>
      </c>
      <c r="H133" s="12" t="s">
        <v>105</v>
      </c>
      <c r="I133" s="12" t="s">
        <v>106</v>
      </c>
      <c r="J133" s="10" t="s">
        <v>3</v>
      </c>
      <c r="K133" s="10" t="s">
        <v>76</v>
      </c>
      <c r="L133" s="14"/>
      <c r="M133" s="1"/>
      <c r="N133" s="1"/>
      <c r="O133" s="1"/>
      <c r="P133" s="1"/>
      <c r="Q133" s="1"/>
    </row>
    <row r="134" spans="1:17" ht="28.5">
      <c r="A134" s="10">
        <v>128</v>
      </c>
      <c r="B134" s="10" t="s">
        <v>561</v>
      </c>
      <c r="C134" s="10" t="s">
        <v>567</v>
      </c>
      <c r="D134" s="10" t="s">
        <v>568</v>
      </c>
      <c r="E134" s="10">
        <v>1.6000000000000001E-3</v>
      </c>
      <c r="F134" s="10" t="s">
        <v>262</v>
      </c>
      <c r="G134" s="12" t="s">
        <v>104</v>
      </c>
      <c r="H134" s="12" t="s">
        <v>105</v>
      </c>
      <c r="I134" s="12" t="s">
        <v>106</v>
      </c>
      <c r="J134" s="10" t="s">
        <v>3</v>
      </c>
      <c r="K134" s="10" t="s">
        <v>76</v>
      </c>
      <c r="L134" s="14"/>
      <c r="M134" s="1"/>
      <c r="N134" s="1"/>
      <c r="O134" s="1"/>
      <c r="P134" s="1"/>
      <c r="Q134" s="1"/>
    </row>
    <row r="135" spans="1:17" ht="28.5">
      <c r="A135" s="10">
        <v>129</v>
      </c>
      <c r="B135" s="10" t="s">
        <v>561</v>
      </c>
      <c r="C135" s="10" t="s">
        <v>570</v>
      </c>
      <c r="D135" s="10" t="s">
        <v>571</v>
      </c>
      <c r="E135" s="10">
        <v>1900</v>
      </c>
      <c r="F135" s="10" t="s">
        <v>178</v>
      </c>
      <c r="G135" s="12" t="s">
        <v>104</v>
      </c>
      <c r="H135" s="12" t="s">
        <v>105</v>
      </c>
      <c r="I135" s="12" t="s">
        <v>106</v>
      </c>
      <c r="J135" s="10" t="s">
        <v>132</v>
      </c>
      <c r="K135" s="10" t="s">
        <v>76</v>
      </c>
      <c r="L135" s="14"/>
      <c r="M135" s="1"/>
      <c r="N135" s="1"/>
      <c r="O135" s="1"/>
      <c r="P135" s="1"/>
      <c r="Q135" s="1"/>
    </row>
    <row r="136" spans="1:17" ht="28.5">
      <c r="A136" s="10">
        <v>130</v>
      </c>
      <c r="B136" s="10" t="s">
        <v>561</v>
      </c>
      <c r="C136" s="10" t="s">
        <v>573</v>
      </c>
      <c r="D136" s="10" t="s">
        <v>574</v>
      </c>
      <c r="E136" s="10">
        <v>0.1</v>
      </c>
      <c r="F136" s="10" t="s">
        <v>229</v>
      </c>
      <c r="G136" s="12" t="s">
        <v>104</v>
      </c>
      <c r="H136" s="12" t="s">
        <v>105</v>
      </c>
      <c r="I136" s="12" t="s">
        <v>106</v>
      </c>
      <c r="J136" s="10" t="s">
        <v>3</v>
      </c>
      <c r="K136" s="10" t="s">
        <v>76</v>
      </c>
      <c r="L136" s="14"/>
      <c r="M136" s="1"/>
      <c r="N136" s="1"/>
      <c r="O136" s="1"/>
      <c r="P136" s="1"/>
      <c r="Q136" s="1"/>
    </row>
    <row r="137" spans="1:17">
      <c r="A137" s="10">
        <v>131</v>
      </c>
      <c r="B137" s="10" t="s">
        <v>576</v>
      </c>
      <c r="C137" s="10" t="s">
        <v>577</v>
      </c>
      <c r="D137" s="10" t="s">
        <v>578</v>
      </c>
      <c r="E137" s="10">
        <v>6</v>
      </c>
      <c r="F137" s="10" t="s">
        <v>114</v>
      </c>
      <c r="G137" s="12" t="s">
        <v>66</v>
      </c>
      <c r="H137" s="12" t="s">
        <v>67</v>
      </c>
      <c r="I137" s="12" t="s">
        <v>68</v>
      </c>
      <c r="J137" s="10" t="s">
        <v>3</v>
      </c>
      <c r="K137" s="10" t="s">
        <v>76</v>
      </c>
      <c r="L137" s="14"/>
      <c r="M137" s="1"/>
      <c r="N137" s="1"/>
      <c r="O137" s="1"/>
      <c r="P137" s="1"/>
      <c r="Q137" s="1"/>
    </row>
    <row r="138" spans="1:17" ht="28.5">
      <c r="A138" s="10">
        <v>132</v>
      </c>
      <c r="B138" s="10" t="s">
        <v>576</v>
      </c>
      <c r="C138" s="10" t="s">
        <v>583</v>
      </c>
      <c r="D138" s="10" t="s">
        <v>584</v>
      </c>
      <c r="E138" s="10">
        <v>1.7999999999999999E-2</v>
      </c>
      <c r="F138" s="10" t="s">
        <v>433</v>
      </c>
      <c r="G138" s="12" t="s">
        <v>104</v>
      </c>
      <c r="H138" s="12" t="s">
        <v>105</v>
      </c>
      <c r="I138" s="12" t="s">
        <v>106</v>
      </c>
      <c r="J138" s="10" t="s">
        <v>3</v>
      </c>
      <c r="K138" s="10" t="s">
        <v>76</v>
      </c>
      <c r="L138" s="14"/>
      <c r="M138" s="1"/>
      <c r="N138" s="1"/>
      <c r="O138" s="1"/>
      <c r="P138" s="1"/>
      <c r="Q138" s="1"/>
    </row>
    <row r="139" spans="1:17" ht="28.5">
      <c r="A139" s="10">
        <v>133</v>
      </c>
      <c r="B139" s="10" t="s">
        <v>561</v>
      </c>
      <c r="C139" s="10" t="s">
        <v>587</v>
      </c>
      <c r="D139" s="10" t="s">
        <v>588</v>
      </c>
      <c r="E139" s="10">
        <v>0.12</v>
      </c>
      <c r="F139" s="10" t="s">
        <v>229</v>
      </c>
      <c r="G139" s="12" t="s">
        <v>104</v>
      </c>
      <c r="H139" s="12" t="s">
        <v>105</v>
      </c>
      <c r="I139" s="12" t="s">
        <v>106</v>
      </c>
      <c r="J139" s="10" t="s">
        <v>3</v>
      </c>
      <c r="K139" s="10" t="s">
        <v>76</v>
      </c>
      <c r="L139" s="14"/>
      <c r="M139" s="1"/>
      <c r="N139" s="1"/>
      <c r="O139" s="1"/>
      <c r="P139" s="1"/>
      <c r="Q139" s="1"/>
    </row>
    <row r="140" spans="1:17" ht="28.5">
      <c r="A140" s="10">
        <v>134</v>
      </c>
      <c r="B140" s="10" t="s">
        <v>591</v>
      </c>
      <c r="C140" s="10" t="s">
        <v>592</v>
      </c>
      <c r="D140" s="10" t="s">
        <v>593</v>
      </c>
      <c r="E140" s="10">
        <v>3</v>
      </c>
      <c r="F140" s="10" t="s">
        <v>114</v>
      </c>
      <c r="G140" s="12" t="s">
        <v>104</v>
      </c>
      <c r="H140" s="12" t="s">
        <v>105</v>
      </c>
      <c r="I140" s="12" t="s">
        <v>106</v>
      </c>
      <c r="J140" s="10" t="s">
        <v>3</v>
      </c>
      <c r="K140" s="10" t="s">
        <v>76</v>
      </c>
      <c r="L140" s="14"/>
      <c r="M140" s="1"/>
      <c r="N140" s="1"/>
      <c r="O140" s="1"/>
      <c r="P140" s="1"/>
      <c r="Q140" s="1"/>
    </row>
    <row r="141" spans="1:17" ht="28.5">
      <c r="A141" s="10">
        <v>135</v>
      </c>
      <c r="B141" s="10" t="s">
        <v>591</v>
      </c>
      <c r="C141" s="10" t="s">
        <v>596</v>
      </c>
      <c r="D141" s="10" t="s">
        <v>597</v>
      </c>
      <c r="E141" s="10">
        <v>4.4999999999999998E-2</v>
      </c>
      <c r="F141" s="10" t="s">
        <v>433</v>
      </c>
      <c r="G141" s="12" t="s">
        <v>104</v>
      </c>
      <c r="H141" s="12" t="s">
        <v>105</v>
      </c>
      <c r="I141" s="12" t="s">
        <v>106</v>
      </c>
      <c r="J141" s="10" t="s">
        <v>3</v>
      </c>
      <c r="K141" s="10" t="s">
        <v>76</v>
      </c>
      <c r="L141" s="14"/>
      <c r="M141" s="1"/>
      <c r="N141" s="1"/>
      <c r="O141" s="1"/>
      <c r="P141" s="1"/>
      <c r="Q141" s="1"/>
    </row>
    <row r="142" spans="1:17" ht="28.5">
      <c r="A142" s="10">
        <v>136</v>
      </c>
      <c r="B142" s="10" t="s">
        <v>591</v>
      </c>
      <c r="C142" s="10" t="s">
        <v>599</v>
      </c>
      <c r="D142" s="10" t="s">
        <v>600</v>
      </c>
      <c r="E142" s="10">
        <v>2</v>
      </c>
      <c r="F142" s="10" t="s">
        <v>114</v>
      </c>
      <c r="G142" s="12" t="s">
        <v>104</v>
      </c>
      <c r="H142" s="12" t="s">
        <v>105</v>
      </c>
      <c r="I142" s="12" t="s">
        <v>106</v>
      </c>
      <c r="J142" s="10" t="s">
        <v>3</v>
      </c>
      <c r="K142" s="10" t="s">
        <v>76</v>
      </c>
      <c r="L142" s="14"/>
      <c r="M142" s="1"/>
      <c r="N142" s="1"/>
      <c r="O142" s="1"/>
      <c r="P142" s="1"/>
      <c r="Q142" s="1"/>
    </row>
    <row r="143" spans="1:17" ht="28.5">
      <c r="A143" s="10">
        <v>137</v>
      </c>
      <c r="B143" s="10" t="s">
        <v>591</v>
      </c>
      <c r="C143" s="10" t="s">
        <v>603</v>
      </c>
      <c r="D143" s="10" t="s">
        <v>604</v>
      </c>
      <c r="E143" s="10">
        <v>2.5000000000000001E-2</v>
      </c>
      <c r="F143" s="10" t="s">
        <v>433</v>
      </c>
      <c r="G143" s="12" t="s">
        <v>104</v>
      </c>
      <c r="H143" s="12" t="s">
        <v>105</v>
      </c>
      <c r="I143" s="12" t="s">
        <v>106</v>
      </c>
      <c r="J143" s="10" t="s">
        <v>3</v>
      </c>
      <c r="K143" s="10" t="s">
        <v>76</v>
      </c>
      <c r="L143" s="14"/>
      <c r="M143" s="1"/>
      <c r="N143" s="1"/>
      <c r="O143" s="1"/>
      <c r="P143" s="1"/>
      <c r="Q143" s="1"/>
    </row>
    <row r="144" spans="1:17" ht="28.5">
      <c r="A144" s="10">
        <v>138</v>
      </c>
      <c r="B144" s="10" t="s">
        <v>591</v>
      </c>
      <c r="C144" s="10" t="s">
        <v>606</v>
      </c>
      <c r="D144" s="10" t="s">
        <v>607</v>
      </c>
      <c r="E144" s="10">
        <v>4</v>
      </c>
      <c r="F144" s="10" t="s">
        <v>114</v>
      </c>
      <c r="G144" s="12" t="s">
        <v>104</v>
      </c>
      <c r="H144" s="12" t="s">
        <v>105</v>
      </c>
      <c r="I144" s="12" t="s">
        <v>106</v>
      </c>
      <c r="J144" s="10" t="s">
        <v>3</v>
      </c>
      <c r="K144" s="10" t="s">
        <v>76</v>
      </c>
      <c r="L144" s="14"/>
      <c r="M144" s="1"/>
      <c r="N144" s="1"/>
      <c r="O144" s="1"/>
      <c r="P144" s="1"/>
      <c r="Q144" s="1"/>
    </row>
    <row r="145" spans="1:17" ht="28.5">
      <c r="A145" s="10">
        <v>139</v>
      </c>
      <c r="B145" s="10" t="s">
        <v>591</v>
      </c>
      <c r="C145" s="10" t="s">
        <v>610</v>
      </c>
      <c r="D145" s="10" t="s">
        <v>611</v>
      </c>
      <c r="E145" s="10">
        <v>0.01</v>
      </c>
      <c r="F145" s="10" t="s">
        <v>433</v>
      </c>
      <c r="G145" s="12" t="s">
        <v>104</v>
      </c>
      <c r="H145" s="12" t="s">
        <v>105</v>
      </c>
      <c r="I145" s="12" t="s">
        <v>106</v>
      </c>
      <c r="J145" s="10" t="s">
        <v>3</v>
      </c>
      <c r="K145" s="10" t="s">
        <v>76</v>
      </c>
      <c r="L145" s="14"/>
      <c r="M145" s="1"/>
      <c r="N145" s="1"/>
      <c r="O145" s="1"/>
      <c r="P145" s="1"/>
      <c r="Q145" s="1"/>
    </row>
    <row r="146" spans="1:17" ht="28.5">
      <c r="A146" s="10">
        <v>140</v>
      </c>
      <c r="B146" s="10" t="s">
        <v>591</v>
      </c>
      <c r="C146" s="10" t="s">
        <v>613</v>
      </c>
      <c r="D146" s="10" t="s">
        <v>614</v>
      </c>
      <c r="E146" s="10">
        <v>5.5E-2</v>
      </c>
      <c r="F146" s="10" t="s">
        <v>229</v>
      </c>
      <c r="G146" s="12" t="s">
        <v>104</v>
      </c>
      <c r="H146" s="12" t="s">
        <v>105</v>
      </c>
      <c r="I146" s="12" t="s">
        <v>106</v>
      </c>
      <c r="J146" s="10" t="s">
        <v>3</v>
      </c>
      <c r="K146" s="10" t="s">
        <v>76</v>
      </c>
      <c r="L146" s="14"/>
      <c r="M146" s="1"/>
      <c r="N146" s="1"/>
      <c r="O146" s="1"/>
      <c r="P146" s="1"/>
      <c r="Q146" s="1"/>
    </row>
    <row r="147" spans="1:17" ht="28.5">
      <c r="A147" s="10">
        <v>141</v>
      </c>
      <c r="B147" s="10" t="s">
        <v>617</v>
      </c>
      <c r="C147" s="10" t="s">
        <v>618</v>
      </c>
      <c r="D147" s="10" t="s">
        <v>619</v>
      </c>
      <c r="E147" s="10">
        <v>2</v>
      </c>
      <c r="F147" s="10" t="s">
        <v>114</v>
      </c>
      <c r="G147" s="12" t="s">
        <v>104</v>
      </c>
      <c r="H147" s="12" t="s">
        <v>105</v>
      </c>
      <c r="I147" s="12" t="s">
        <v>106</v>
      </c>
      <c r="J147" s="10" t="s">
        <v>3</v>
      </c>
      <c r="K147" s="10" t="s">
        <v>76</v>
      </c>
      <c r="L147" s="14"/>
      <c r="M147" s="1"/>
      <c r="N147" s="1"/>
      <c r="O147" s="1"/>
      <c r="P147" s="1"/>
      <c r="Q147" s="1"/>
    </row>
    <row r="148" spans="1:17" ht="28.5">
      <c r="A148" s="10">
        <v>142</v>
      </c>
      <c r="B148" s="10" t="s">
        <v>617</v>
      </c>
      <c r="C148" s="10" t="s">
        <v>622</v>
      </c>
      <c r="D148" s="10" t="s">
        <v>623</v>
      </c>
      <c r="E148" s="10">
        <v>5.5E-2</v>
      </c>
      <c r="F148" s="10" t="s">
        <v>433</v>
      </c>
      <c r="G148" s="12" t="s">
        <v>104</v>
      </c>
      <c r="H148" s="12" t="s">
        <v>105</v>
      </c>
      <c r="I148" s="12" t="s">
        <v>106</v>
      </c>
      <c r="J148" s="10" t="s">
        <v>3</v>
      </c>
      <c r="K148" s="10" t="s">
        <v>76</v>
      </c>
      <c r="L148" s="14"/>
      <c r="M148" s="1"/>
      <c r="N148" s="1"/>
      <c r="O148" s="1"/>
      <c r="P148" s="1"/>
      <c r="Q148" s="1"/>
    </row>
    <row r="149" spans="1:17" ht="28.5">
      <c r="A149" s="10">
        <v>143</v>
      </c>
      <c r="B149" s="10" t="s">
        <v>617</v>
      </c>
      <c r="C149" s="10" t="s">
        <v>625</v>
      </c>
      <c r="D149" s="10" t="s">
        <v>626</v>
      </c>
      <c r="E149" s="10">
        <v>3</v>
      </c>
      <c r="F149" s="10" t="s">
        <v>114</v>
      </c>
      <c r="G149" s="12" t="s">
        <v>104</v>
      </c>
      <c r="H149" s="12" t="s">
        <v>105</v>
      </c>
      <c r="I149" s="12" t="s">
        <v>106</v>
      </c>
      <c r="J149" s="10" t="s">
        <v>3</v>
      </c>
      <c r="K149" s="10" t="s">
        <v>76</v>
      </c>
      <c r="L149" s="14"/>
      <c r="M149" s="1"/>
      <c r="N149" s="1"/>
      <c r="O149" s="1"/>
      <c r="P149" s="1"/>
      <c r="Q149" s="1"/>
    </row>
    <row r="150" spans="1:17" ht="28.5">
      <c r="A150" s="10">
        <v>144</v>
      </c>
      <c r="B150" s="10" t="s">
        <v>617</v>
      </c>
      <c r="C150" s="10" t="s">
        <v>629</v>
      </c>
      <c r="D150" s="10" t="s">
        <v>630</v>
      </c>
      <c r="E150" s="10">
        <v>5.5E-2</v>
      </c>
      <c r="F150" s="10" t="s">
        <v>433</v>
      </c>
      <c r="G150" s="12" t="s">
        <v>104</v>
      </c>
      <c r="H150" s="12" t="s">
        <v>105</v>
      </c>
      <c r="I150" s="12" t="s">
        <v>106</v>
      </c>
      <c r="J150" s="10" t="s">
        <v>3</v>
      </c>
      <c r="K150" s="10" t="s">
        <v>76</v>
      </c>
      <c r="L150" s="14"/>
      <c r="M150" s="1"/>
      <c r="N150" s="1"/>
      <c r="O150" s="1"/>
      <c r="P150" s="1"/>
      <c r="Q150" s="1"/>
    </row>
    <row r="151" spans="1:17" ht="28.5">
      <c r="A151" s="10">
        <v>145</v>
      </c>
      <c r="B151" s="10" t="s">
        <v>617</v>
      </c>
      <c r="C151" s="10" t="s">
        <v>632</v>
      </c>
      <c r="D151" s="10" t="s">
        <v>633</v>
      </c>
      <c r="E151" s="10">
        <v>7.4999999999999997E-2</v>
      </c>
      <c r="F151" s="10" t="s">
        <v>229</v>
      </c>
      <c r="G151" s="12" t="s">
        <v>104</v>
      </c>
      <c r="H151" s="12" t="s">
        <v>105</v>
      </c>
      <c r="I151" s="12" t="s">
        <v>106</v>
      </c>
      <c r="J151" s="10" t="s">
        <v>3</v>
      </c>
      <c r="K151" s="10" t="s">
        <v>76</v>
      </c>
      <c r="L151" s="14"/>
      <c r="M151" s="1"/>
      <c r="N151" s="1"/>
      <c r="O151" s="1"/>
      <c r="P151" s="1"/>
      <c r="Q151" s="1"/>
    </row>
    <row r="152" spans="1:17" ht="28.5">
      <c r="A152" s="10">
        <v>146</v>
      </c>
      <c r="B152" s="10" t="s">
        <v>617</v>
      </c>
      <c r="C152" s="10" t="s">
        <v>636</v>
      </c>
      <c r="D152" s="10" t="s">
        <v>637</v>
      </c>
      <c r="E152" s="10">
        <v>7.0000000000000007E-2</v>
      </c>
      <c r="F152" s="10" t="s">
        <v>229</v>
      </c>
      <c r="G152" s="12" t="s">
        <v>104</v>
      </c>
      <c r="H152" s="12" t="s">
        <v>105</v>
      </c>
      <c r="I152" s="12" t="s">
        <v>106</v>
      </c>
      <c r="J152" s="10" t="s">
        <v>3</v>
      </c>
      <c r="K152" s="10" t="s">
        <v>76</v>
      </c>
      <c r="L152" s="14"/>
      <c r="M152" s="1"/>
      <c r="N152" s="1"/>
      <c r="O152" s="1"/>
      <c r="P152" s="1"/>
      <c r="Q152" s="1"/>
    </row>
    <row r="153" spans="1:17" ht="28.5">
      <c r="A153" s="10">
        <v>147</v>
      </c>
      <c r="B153" s="10" t="s">
        <v>639</v>
      </c>
      <c r="C153" s="10" t="s">
        <v>640</v>
      </c>
      <c r="D153" s="10" t="s">
        <v>641</v>
      </c>
      <c r="E153" s="10">
        <v>0.15</v>
      </c>
      <c r="F153" s="10" t="s">
        <v>229</v>
      </c>
      <c r="G153" s="12" t="s">
        <v>104</v>
      </c>
      <c r="H153" s="12" t="s">
        <v>105</v>
      </c>
      <c r="I153" s="12" t="s">
        <v>106</v>
      </c>
      <c r="J153" s="10" t="s">
        <v>3</v>
      </c>
      <c r="K153" s="10" t="s">
        <v>76</v>
      </c>
      <c r="L153" s="14"/>
      <c r="M153" s="1"/>
      <c r="N153" s="1"/>
      <c r="O153" s="1"/>
      <c r="P153" s="1"/>
      <c r="Q153" s="1"/>
    </row>
    <row r="154" spans="1:17" ht="28.5">
      <c r="A154" s="10">
        <v>148</v>
      </c>
      <c r="B154" s="10" t="s">
        <v>639</v>
      </c>
      <c r="C154" s="10" t="s">
        <v>644</v>
      </c>
      <c r="D154" s="10" t="s">
        <v>645</v>
      </c>
      <c r="E154" s="10">
        <v>0.15</v>
      </c>
      <c r="F154" s="10" t="s">
        <v>229</v>
      </c>
      <c r="G154" s="12" t="s">
        <v>104</v>
      </c>
      <c r="H154" s="12" t="s">
        <v>105</v>
      </c>
      <c r="I154" s="12" t="s">
        <v>106</v>
      </c>
      <c r="J154" s="10" t="s">
        <v>3</v>
      </c>
      <c r="K154" s="10" t="s">
        <v>76</v>
      </c>
      <c r="L154" s="14"/>
      <c r="M154" s="1"/>
      <c r="N154" s="1"/>
      <c r="O154" s="1"/>
      <c r="P154" s="1"/>
      <c r="Q154" s="1"/>
    </row>
    <row r="155" spans="1:17" ht="28.5">
      <c r="A155" s="10">
        <v>149</v>
      </c>
      <c r="B155" s="10" t="s">
        <v>639</v>
      </c>
      <c r="C155" s="10" t="s">
        <v>647</v>
      </c>
      <c r="D155" s="10" t="s">
        <v>648</v>
      </c>
      <c r="E155" s="10">
        <v>0.2</v>
      </c>
      <c r="F155" s="10" t="s">
        <v>229</v>
      </c>
      <c r="G155" s="12" t="s">
        <v>104</v>
      </c>
      <c r="H155" s="12" t="s">
        <v>105</v>
      </c>
      <c r="I155" s="12" t="s">
        <v>106</v>
      </c>
      <c r="J155" s="10" t="s">
        <v>3</v>
      </c>
      <c r="K155" s="10" t="s">
        <v>76</v>
      </c>
      <c r="L155" s="14"/>
      <c r="M155" s="1"/>
      <c r="N155" s="1"/>
      <c r="O155" s="1"/>
      <c r="P155" s="1"/>
      <c r="Q155" s="1"/>
    </row>
    <row r="156" spans="1:17">
      <c r="A156" s="10">
        <v>150</v>
      </c>
      <c r="B156" s="10" t="s">
        <v>650</v>
      </c>
      <c r="C156" s="10" t="s">
        <v>651</v>
      </c>
      <c r="D156" s="10" t="s">
        <v>652</v>
      </c>
      <c r="E156" s="10">
        <v>0</v>
      </c>
      <c r="F156" s="10" t="s">
        <v>653</v>
      </c>
      <c r="G156" s="12" t="s">
        <v>419</v>
      </c>
      <c r="H156" s="12" t="s">
        <v>420</v>
      </c>
      <c r="I156" s="12" t="s">
        <v>421</v>
      </c>
      <c r="J156" s="10" t="s">
        <v>3</v>
      </c>
      <c r="K156" s="10" t="s">
        <v>76</v>
      </c>
      <c r="L156" s="14" t="s">
        <v>655</v>
      </c>
      <c r="M156" s="1"/>
      <c r="N156" s="1"/>
      <c r="O156" s="1"/>
      <c r="P156" s="1"/>
      <c r="Q156" s="1"/>
    </row>
    <row r="157" spans="1:17">
      <c r="A157" s="10">
        <v>151</v>
      </c>
      <c r="B157" s="10" t="s">
        <v>650</v>
      </c>
      <c r="C157" s="10" t="s">
        <v>656</v>
      </c>
      <c r="D157" s="10" t="s">
        <v>657</v>
      </c>
      <c r="E157" s="10">
        <v>0</v>
      </c>
      <c r="F157" s="10" t="s">
        <v>653</v>
      </c>
      <c r="G157" s="12" t="s">
        <v>419</v>
      </c>
      <c r="H157" s="12" t="s">
        <v>420</v>
      </c>
      <c r="I157" s="12" t="s">
        <v>421</v>
      </c>
      <c r="J157" s="10" t="s">
        <v>3</v>
      </c>
      <c r="K157" s="10" t="s">
        <v>76</v>
      </c>
      <c r="L157" s="14" t="s">
        <v>655</v>
      </c>
      <c r="M157" s="1"/>
      <c r="N157" s="1"/>
      <c r="O157" s="1"/>
      <c r="P157" s="1"/>
      <c r="Q157" s="1"/>
    </row>
    <row r="158" spans="1:17" ht="28.5">
      <c r="A158" s="10">
        <v>152</v>
      </c>
      <c r="B158" s="10" t="s">
        <v>650</v>
      </c>
      <c r="C158" s="10" t="s">
        <v>659</v>
      </c>
      <c r="D158" s="10" t="s">
        <v>660</v>
      </c>
      <c r="E158" s="10">
        <v>4</v>
      </c>
      <c r="F158" s="10" t="s">
        <v>653</v>
      </c>
      <c r="G158" s="12" t="s">
        <v>104</v>
      </c>
      <c r="H158" s="12" t="s">
        <v>105</v>
      </c>
      <c r="I158" s="12" t="s">
        <v>106</v>
      </c>
      <c r="J158" s="10" t="s">
        <v>123</v>
      </c>
      <c r="K158" s="10" t="s">
        <v>76</v>
      </c>
      <c r="L158" s="14"/>
      <c r="M158" s="1"/>
      <c r="N158" s="1"/>
      <c r="O158" s="1"/>
      <c r="P158" s="1"/>
      <c r="Q158" s="1"/>
    </row>
    <row r="159" spans="1:17" ht="28.5">
      <c r="A159" s="10">
        <v>153</v>
      </c>
      <c r="B159" s="10" t="s">
        <v>650</v>
      </c>
      <c r="C159" s="10" t="s">
        <v>663</v>
      </c>
      <c r="D159" s="10" t="s">
        <v>664</v>
      </c>
      <c r="E159" s="10">
        <v>4.9999999999999998E-8</v>
      </c>
      <c r="F159" s="10" t="s">
        <v>109</v>
      </c>
      <c r="G159" s="12" t="s">
        <v>104</v>
      </c>
      <c r="H159" s="12" t="s">
        <v>105</v>
      </c>
      <c r="I159" s="12" t="s">
        <v>106</v>
      </c>
      <c r="J159" s="10" t="s">
        <v>123</v>
      </c>
      <c r="K159" s="10" t="s">
        <v>76</v>
      </c>
      <c r="L159" s="14"/>
      <c r="M159" s="1"/>
      <c r="N159" s="1"/>
      <c r="O159" s="1"/>
      <c r="P159" s="1"/>
      <c r="Q159" s="1"/>
    </row>
    <row r="160" spans="1:17" ht="28.5">
      <c r="A160" s="10">
        <v>154</v>
      </c>
      <c r="B160" s="10" t="s">
        <v>650</v>
      </c>
      <c r="C160" s="10" t="s">
        <v>667</v>
      </c>
      <c r="D160" s="10" t="s">
        <v>668</v>
      </c>
      <c r="E160" s="10">
        <v>4.9999999999999998E-8</v>
      </c>
      <c r="F160" s="10" t="s">
        <v>109</v>
      </c>
      <c r="G160" s="12" t="s">
        <v>104</v>
      </c>
      <c r="H160" s="12" t="s">
        <v>105</v>
      </c>
      <c r="I160" s="12" t="s">
        <v>106</v>
      </c>
      <c r="J160" s="10" t="s">
        <v>123</v>
      </c>
      <c r="K160" s="10" t="s">
        <v>76</v>
      </c>
      <c r="L160" s="14"/>
      <c r="M160" s="1"/>
      <c r="N160" s="1"/>
      <c r="O160" s="1"/>
      <c r="P160" s="1"/>
      <c r="Q160" s="1"/>
    </row>
    <row r="161" spans="1:17" ht="28.5">
      <c r="A161" s="10">
        <v>155</v>
      </c>
      <c r="B161" s="10" t="s">
        <v>650</v>
      </c>
      <c r="C161" s="10" t="s">
        <v>671</v>
      </c>
      <c r="D161" s="10" t="s">
        <v>672</v>
      </c>
      <c r="E161" s="10">
        <v>0</v>
      </c>
      <c r="F161" s="10" t="s">
        <v>415</v>
      </c>
      <c r="G161" s="12" t="s">
        <v>104</v>
      </c>
      <c r="H161" s="12" t="s">
        <v>105</v>
      </c>
      <c r="I161" s="12" t="s">
        <v>106</v>
      </c>
      <c r="J161" s="10" t="s">
        <v>418</v>
      </c>
      <c r="K161" s="10" t="s">
        <v>76</v>
      </c>
      <c r="L161" s="14" t="s">
        <v>674</v>
      </c>
      <c r="M161" s="1"/>
      <c r="N161" s="1"/>
      <c r="O161" s="1"/>
      <c r="P161" s="1"/>
      <c r="Q161" s="1"/>
    </row>
    <row r="162" spans="1:17" ht="28.5">
      <c r="A162" s="10">
        <v>156</v>
      </c>
      <c r="B162" s="10" t="s">
        <v>650</v>
      </c>
      <c r="C162" s="10" t="s">
        <v>675</v>
      </c>
      <c r="D162" s="10" t="s">
        <v>676</v>
      </c>
      <c r="E162" s="10">
        <v>0.9</v>
      </c>
      <c r="F162" s="10" t="s">
        <v>86</v>
      </c>
      <c r="G162" s="12" t="s">
        <v>104</v>
      </c>
      <c r="H162" s="12" t="s">
        <v>105</v>
      </c>
      <c r="I162" s="12" t="s">
        <v>106</v>
      </c>
      <c r="J162" s="10" t="s">
        <v>123</v>
      </c>
      <c r="K162" s="10" t="s">
        <v>76</v>
      </c>
      <c r="L162" s="14" t="s">
        <v>3123</v>
      </c>
      <c r="M162" s="1"/>
      <c r="N162" s="1"/>
      <c r="O162" s="1"/>
      <c r="P162" s="1"/>
      <c r="Q162" s="1"/>
    </row>
    <row r="163" spans="1:17" ht="28.5">
      <c r="A163" s="10">
        <v>157</v>
      </c>
      <c r="B163" s="10" t="s">
        <v>650</v>
      </c>
      <c r="C163" s="10" t="s">
        <v>679</v>
      </c>
      <c r="D163" s="10" t="s">
        <v>680</v>
      </c>
      <c r="E163" s="10">
        <v>3.0000000000000001E-3</v>
      </c>
      <c r="F163" s="10" t="s">
        <v>229</v>
      </c>
      <c r="G163" s="12" t="s">
        <v>104</v>
      </c>
      <c r="H163" s="12" t="s">
        <v>105</v>
      </c>
      <c r="I163" s="12" t="s">
        <v>106</v>
      </c>
      <c r="J163" s="10" t="s">
        <v>123</v>
      </c>
      <c r="K163" s="10" t="s">
        <v>76</v>
      </c>
      <c r="L163" s="14"/>
      <c r="M163" s="1"/>
      <c r="N163" s="1"/>
      <c r="O163" s="1"/>
      <c r="P163" s="1"/>
      <c r="Q163" s="1"/>
    </row>
    <row r="164" spans="1:17" ht="28.5">
      <c r="A164" s="10">
        <v>158</v>
      </c>
      <c r="B164" s="10" t="s">
        <v>650</v>
      </c>
      <c r="C164" s="10" t="s">
        <v>683</v>
      </c>
      <c r="D164" s="10" t="s">
        <v>684</v>
      </c>
      <c r="E164" s="10">
        <v>0.08</v>
      </c>
      <c r="F164" s="10" t="s">
        <v>229</v>
      </c>
      <c r="G164" s="12" t="s">
        <v>104</v>
      </c>
      <c r="H164" s="12" t="s">
        <v>105</v>
      </c>
      <c r="I164" s="12" t="s">
        <v>106</v>
      </c>
      <c r="J164" s="10" t="s">
        <v>123</v>
      </c>
      <c r="K164" s="10" t="s">
        <v>76</v>
      </c>
      <c r="L164" s="14"/>
      <c r="M164" s="1"/>
      <c r="N164" s="1"/>
      <c r="O164" s="1"/>
      <c r="P164" s="1"/>
      <c r="Q164" s="1"/>
    </row>
    <row r="165" spans="1:17" ht="28.5">
      <c r="A165" s="10">
        <v>159</v>
      </c>
      <c r="B165" s="10" t="s">
        <v>650</v>
      </c>
      <c r="C165" s="10" t="s">
        <v>687</v>
      </c>
      <c r="D165" s="10" t="s">
        <v>688</v>
      </c>
      <c r="E165" s="10">
        <v>0.7</v>
      </c>
      <c r="F165" s="10" t="s">
        <v>86</v>
      </c>
      <c r="G165" s="12" t="s">
        <v>104</v>
      </c>
      <c r="H165" s="12" t="s">
        <v>105</v>
      </c>
      <c r="I165" s="12" t="s">
        <v>106</v>
      </c>
      <c r="J165" s="10" t="s">
        <v>123</v>
      </c>
      <c r="K165" s="10" t="s">
        <v>76</v>
      </c>
      <c r="L165" s="14"/>
      <c r="M165" s="1"/>
      <c r="N165" s="1"/>
      <c r="O165" s="1"/>
      <c r="P165" s="1"/>
      <c r="Q165" s="1"/>
    </row>
    <row r="166" spans="1:17" ht="28.5">
      <c r="A166" s="10">
        <v>160</v>
      </c>
      <c r="B166" s="10" t="s">
        <v>690</v>
      </c>
      <c r="C166" s="10" t="s">
        <v>690</v>
      </c>
      <c r="D166" s="10" t="s">
        <v>691</v>
      </c>
      <c r="E166" s="10">
        <v>2.9999999999999999E-7</v>
      </c>
      <c r="F166" s="10" t="s">
        <v>109</v>
      </c>
      <c r="G166" s="12" t="s">
        <v>104</v>
      </c>
      <c r="H166" s="12" t="s">
        <v>105</v>
      </c>
      <c r="I166" s="12" t="s">
        <v>106</v>
      </c>
      <c r="J166" s="10" t="s">
        <v>3</v>
      </c>
      <c r="K166" s="10" t="s">
        <v>76</v>
      </c>
      <c r="L166" s="14"/>
      <c r="M166" s="1"/>
      <c r="N166" s="1"/>
      <c r="O166" s="1"/>
      <c r="P166" s="1"/>
      <c r="Q166" s="1"/>
    </row>
    <row r="167" spans="1:17" ht="28.5">
      <c r="A167" s="10">
        <v>161</v>
      </c>
      <c r="B167" s="10" t="s">
        <v>690</v>
      </c>
      <c r="C167" s="10" t="s">
        <v>695</v>
      </c>
      <c r="D167" s="10" t="s">
        <v>696</v>
      </c>
      <c r="E167" s="10">
        <v>2.5</v>
      </c>
      <c r="F167" s="10" t="s">
        <v>73</v>
      </c>
      <c r="G167" s="12" t="s">
        <v>104</v>
      </c>
      <c r="H167" s="12" t="s">
        <v>105</v>
      </c>
      <c r="I167" s="12" t="s">
        <v>106</v>
      </c>
      <c r="J167" s="10" t="s">
        <v>123</v>
      </c>
      <c r="K167" s="10" t="s">
        <v>76</v>
      </c>
      <c r="L167" s="14" t="s">
        <v>3124</v>
      </c>
      <c r="M167" s="1"/>
      <c r="N167" s="1"/>
      <c r="O167" s="1"/>
      <c r="P167" s="1"/>
      <c r="Q167" s="1"/>
    </row>
    <row r="168" spans="1:17" ht="28.5">
      <c r="A168" s="10">
        <v>162</v>
      </c>
      <c r="B168" s="10" t="s">
        <v>690</v>
      </c>
      <c r="C168" s="10" t="s">
        <v>698</v>
      </c>
      <c r="D168" s="10" t="s">
        <v>699</v>
      </c>
      <c r="E168" s="10">
        <v>0</v>
      </c>
      <c r="F168" s="10" t="s">
        <v>415</v>
      </c>
      <c r="G168" s="12" t="s">
        <v>104</v>
      </c>
      <c r="H168" s="12" t="s">
        <v>105</v>
      </c>
      <c r="I168" s="12" t="s">
        <v>106</v>
      </c>
      <c r="J168" s="10" t="s">
        <v>418</v>
      </c>
      <c r="K168" s="10" t="s">
        <v>76</v>
      </c>
      <c r="L168" s="14"/>
      <c r="M168" s="1"/>
      <c r="N168" s="1"/>
      <c r="O168" s="1"/>
      <c r="P168" s="1"/>
      <c r="Q168" s="1"/>
    </row>
    <row r="169" spans="1:17" ht="28.5">
      <c r="A169" s="10">
        <v>163</v>
      </c>
      <c r="B169" s="10" t="s">
        <v>690</v>
      </c>
      <c r="C169" s="10" t="s">
        <v>702</v>
      </c>
      <c r="D169" s="10" t="s">
        <v>703</v>
      </c>
      <c r="E169" s="10">
        <v>0.45</v>
      </c>
      <c r="F169" s="10" t="s">
        <v>86</v>
      </c>
      <c r="G169" s="12" t="s">
        <v>104</v>
      </c>
      <c r="H169" s="12" t="s">
        <v>105</v>
      </c>
      <c r="I169" s="12" t="s">
        <v>106</v>
      </c>
      <c r="J169" s="10" t="s">
        <v>123</v>
      </c>
      <c r="K169" s="10" t="s">
        <v>76</v>
      </c>
      <c r="L169" s="14"/>
      <c r="M169" s="1"/>
      <c r="N169" s="1"/>
      <c r="O169" s="1"/>
      <c r="P169" s="1"/>
      <c r="Q169" s="1"/>
    </row>
    <row r="170" spans="1:17" ht="28.5">
      <c r="A170" s="10">
        <v>164</v>
      </c>
      <c r="B170" s="10" t="s">
        <v>690</v>
      </c>
      <c r="C170" s="10" t="s">
        <v>706</v>
      </c>
      <c r="D170" s="10" t="s">
        <v>707</v>
      </c>
      <c r="E170" s="10">
        <v>1.4999999999999999E-2</v>
      </c>
      <c r="F170" s="10" t="s">
        <v>229</v>
      </c>
      <c r="G170" s="12" t="s">
        <v>104</v>
      </c>
      <c r="H170" s="12" t="s">
        <v>105</v>
      </c>
      <c r="I170" s="12" t="s">
        <v>106</v>
      </c>
      <c r="J170" s="10" t="s">
        <v>123</v>
      </c>
      <c r="K170" s="10" t="s">
        <v>76</v>
      </c>
      <c r="L170" s="14"/>
      <c r="M170" s="1"/>
      <c r="N170" s="1"/>
      <c r="O170" s="1"/>
      <c r="P170" s="1"/>
      <c r="Q170" s="1"/>
    </row>
    <row r="171" spans="1:17" ht="28.5">
      <c r="A171" s="10">
        <v>165</v>
      </c>
      <c r="B171" s="10" t="s">
        <v>709</v>
      </c>
      <c r="C171" s="10" t="s">
        <v>710</v>
      </c>
      <c r="D171" s="10" t="s">
        <v>711</v>
      </c>
      <c r="E171" s="10">
        <v>18</v>
      </c>
      <c r="F171" s="10" t="s">
        <v>73</v>
      </c>
      <c r="G171" s="12" t="s">
        <v>104</v>
      </c>
      <c r="H171" s="12" t="s">
        <v>105</v>
      </c>
      <c r="I171" s="12" t="s">
        <v>106</v>
      </c>
      <c r="J171" s="10" t="s">
        <v>3</v>
      </c>
      <c r="K171" s="10" t="s">
        <v>76</v>
      </c>
      <c r="L171" s="14"/>
      <c r="M171" s="1"/>
      <c r="N171" s="1"/>
      <c r="O171" s="1"/>
      <c r="P171" s="1"/>
      <c r="Q171" s="1"/>
    </row>
    <row r="172" spans="1:17" ht="28.5">
      <c r="A172" s="10">
        <v>166</v>
      </c>
      <c r="B172" s="10" t="s">
        <v>709</v>
      </c>
      <c r="C172" s="10" t="s">
        <v>714</v>
      </c>
      <c r="D172" s="10" t="s">
        <v>715</v>
      </c>
      <c r="E172" s="10">
        <v>-3</v>
      </c>
      <c r="F172" s="10" t="s">
        <v>73</v>
      </c>
      <c r="G172" s="12" t="s">
        <v>104</v>
      </c>
      <c r="H172" s="12" t="s">
        <v>105</v>
      </c>
      <c r="I172" s="12" t="s">
        <v>106</v>
      </c>
      <c r="J172" s="10" t="s">
        <v>3</v>
      </c>
      <c r="K172" s="10" t="s">
        <v>76</v>
      </c>
      <c r="L172" s="14"/>
      <c r="M172" s="1"/>
      <c r="N172" s="1"/>
      <c r="O172" s="1"/>
      <c r="P172" s="1"/>
      <c r="Q172" s="1"/>
    </row>
    <row r="173" spans="1:17" ht="28.5">
      <c r="A173" s="10">
        <v>167</v>
      </c>
      <c r="B173" s="10" t="s">
        <v>709</v>
      </c>
      <c r="C173" s="10" t="s">
        <v>718</v>
      </c>
      <c r="D173" s="10" t="s">
        <v>719</v>
      </c>
      <c r="E173" s="10">
        <v>18</v>
      </c>
      <c r="F173" s="10" t="s">
        <v>73</v>
      </c>
      <c r="G173" s="12" t="s">
        <v>104</v>
      </c>
      <c r="H173" s="12" t="s">
        <v>105</v>
      </c>
      <c r="I173" s="12" t="s">
        <v>106</v>
      </c>
      <c r="J173" s="10" t="s">
        <v>123</v>
      </c>
      <c r="K173" s="10" t="s">
        <v>76</v>
      </c>
      <c r="L173" s="14"/>
      <c r="M173" s="1"/>
      <c r="N173" s="1"/>
      <c r="O173" s="1"/>
      <c r="P173" s="1"/>
      <c r="Q173" s="1"/>
    </row>
    <row r="174" spans="1:17" ht="28.5">
      <c r="A174" s="10">
        <v>168</v>
      </c>
      <c r="B174" s="10" t="s">
        <v>709</v>
      </c>
      <c r="C174" s="10" t="s">
        <v>722</v>
      </c>
      <c r="D174" s="10" t="s">
        <v>723</v>
      </c>
      <c r="E174" s="10">
        <v>0.7</v>
      </c>
      <c r="F174" s="10" t="s">
        <v>86</v>
      </c>
      <c r="G174" s="12" t="s">
        <v>104</v>
      </c>
      <c r="H174" s="12" t="s">
        <v>105</v>
      </c>
      <c r="I174" s="12" t="s">
        <v>106</v>
      </c>
      <c r="J174" s="10" t="s">
        <v>123</v>
      </c>
      <c r="K174" s="10" t="s">
        <v>76</v>
      </c>
      <c r="L174" s="14"/>
      <c r="M174" s="1"/>
      <c r="N174" s="1"/>
      <c r="O174" s="1"/>
      <c r="P174" s="1"/>
      <c r="Q174" s="1"/>
    </row>
    <row r="175" spans="1:17" ht="28.5">
      <c r="A175" s="10">
        <v>169</v>
      </c>
      <c r="B175" s="10" t="s">
        <v>709</v>
      </c>
      <c r="C175" s="10" t="s">
        <v>725</v>
      </c>
      <c r="D175" s="10" t="s">
        <v>726</v>
      </c>
      <c r="E175" s="10">
        <v>1.1999999999999999E-7</v>
      </c>
      <c r="F175" s="10" t="s">
        <v>155</v>
      </c>
      <c r="G175" s="12" t="s">
        <v>104</v>
      </c>
      <c r="H175" s="12" t="s">
        <v>105</v>
      </c>
      <c r="I175" s="12" t="s">
        <v>106</v>
      </c>
      <c r="J175" s="10" t="s">
        <v>123</v>
      </c>
      <c r="K175" s="10" t="s">
        <v>76</v>
      </c>
      <c r="L175" s="14" t="s">
        <v>3124</v>
      </c>
      <c r="M175" s="1"/>
      <c r="N175" s="1"/>
      <c r="O175" s="1"/>
      <c r="P175" s="1"/>
      <c r="Q175" s="1"/>
    </row>
    <row r="176" spans="1:17" ht="28.5">
      <c r="A176" s="10">
        <v>170</v>
      </c>
      <c r="B176" s="10" t="s">
        <v>709</v>
      </c>
      <c r="C176" s="10" t="s">
        <v>729</v>
      </c>
      <c r="D176" s="10" t="s">
        <v>730</v>
      </c>
      <c r="E176" s="10">
        <v>0.03</v>
      </c>
      <c r="F176" s="10" t="s">
        <v>731</v>
      </c>
      <c r="G176" s="12" t="s">
        <v>104</v>
      </c>
      <c r="H176" s="12" t="s">
        <v>105</v>
      </c>
      <c r="I176" s="12" t="s">
        <v>106</v>
      </c>
      <c r="J176" s="10" t="s">
        <v>123</v>
      </c>
      <c r="K176" s="10" t="s">
        <v>76</v>
      </c>
      <c r="L176" s="14"/>
      <c r="M176" s="1"/>
      <c r="N176" s="1"/>
      <c r="O176" s="1"/>
      <c r="P176" s="1"/>
      <c r="Q176" s="1"/>
    </row>
    <row r="177" spans="1:17" ht="28.5">
      <c r="A177" s="10">
        <v>171</v>
      </c>
      <c r="B177" s="10" t="s">
        <v>709</v>
      </c>
      <c r="C177" s="10" t="s">
        <v>734</v>
      </c>
      <c r="D177" s="10" t="s">
        <v>735</v>
      </c>
      <c r="E177" s="10">
        <v>4.0000000000000001E-3</v>
      </c>
      <c r="F177" s="10" t="s">
        <v>736</v>
      </c>
      <c r="G177" s="12" t="s">
        <v>104</v>
      </c>
      <c r="H177" s="12" t="s">
        <v>105</v>
      </c>
      <c r="I177" s="12" t="s">
        <v>106</v>
      </c>
      <c r="J177" s="10" t="s">
        <v>123</v>
      </c>
      <c r="K177" s="10" t="s">
        <v>76</v>
      </c>
      <c r="L177" s="14"/>
      <c r="M177" s="1"/>
      <c r="N177" s="1"/>
      <c r="O177" s="1"/>
      <c r="P177" s="1"/>
      <c r="Q177" s="1"/>
    </row>
    <row r="178" spans="1:17" ht="28.5">
      <c r="A178" s="10">
        <v>172</v>
      </c>
      <c r="B178" s="10" t="s">
        <v>738</v>
      </c>
      <c r="C178" s="10" t="s">
        <v>739</v>
      </c>
      <c r="D178" s="10" t="s">
        <v>740</v>
      </c>
      <c r="E178" s="10">
        <v>1.4999999999999999E-8</v>
      </c>
      <c r="F178" s="10" t="s">
        <v>741</v>
      </c>
      <c r="G178" s="12" t="s">
        <v>104</v>
      </c>
      <c r="H178" s="12" t="s">
        <v>105</v>
      </c>
      <c r="I178" s="12" t="s">
        <v>106</v>
      </c>
      <c r="J178" s="10" t="s">
        <v>3</v>
      </c>
      <c r="K178" s="10" t="s">
        <v>76</v>
      </c>
      <c r="L178" s="14" t="s">
        <v>743</v>
      </c>
      <c r="M178" s="1"/>
      <c r="N178" s="1"/>
      <c r="O178" s="1"/>
      <c r="P178" s="1"/>
      <c r="Q178" s="1"/>
    </row>
    <row r="179" spans="1:17" ht="28.5">
      <c r="A179" s="10">
        <v>173</v>
      </c>
      <c r="B179" s="10" t="s">
        <v>738</v>
      </c>
      <c r="C179" s="10" t="s">
        <v>744</v>
      </c>
      <c r="D179" s="10" t="s">
        <v>745</v>
      </c>
      <c r="E179" s="10">
        <v>1.4999999999999999E-8</v>
      </c>
      <c r="F179" s="10" t="s">
        <v>741</v>
      </c>
      <c r="G179" s="12" t="s">
        <v>104</v>
      </c>
      <c r="H179" s="12" t="s">
        <v>105</v>
      </c>
      <c r="I179" s="12" t="s">
        <v>106</v>
      </c>
      <c r="J179" s="10" t="s">
        <v>123</v>
      </c>
      <c r="K179" s="10" t="s">
        <v>76</v>
      </c>
      <c r="L179" s="14"/>
      <c r="M179" s="1"/>
      <c r="N179" s="1"/>
      <c r="O179" s="1"/>
      <c r="P179" s="1"/>
      <c r="Q179" s="1"/>
    </row>
    <row r="180" spans="1:17" ht="28.5">
      <c r="A180" s="10">
        <v>174</v>
      </c>
      <c r="B180" s="10" t="s">
        <v>738</v>
      </c>
      <c r="C180" s="10" t="s">
        <v>748</v>
      </c>
      <c r="D180" s="10" t="s">
        <v>749</v>
      </c>
      <c r="E180" s="10">
        <v>0.05</v>
      </c>
      <c r="F180" s="10" t="s">
        <v>229</v>
      </c>
      <c r="G180" s="12" t="s">
        <v>104</v>
      </c>
      <c r="H180" s="12" t="s">
        <v>105</v>
      </c>
      <c r="I180" s="12" t="s">
        <v>106</v>
      </c>
      <c r="J180" s="10" t="s">
        <v>123</v>
      </c>
      <c r="K180" s="10" t="s">
        <v>76</v>
      </c>
      <c r="L180" s="14"/>
      <c r="M180" s="1"/>
      <c r="N180" s="1"/>
      <c r="O180" s="1"/>
      <c r="P180" s="1"/>
      <c r="Q180" s="1"/>
    </row>
    <row r="181" spans="1:17">
      <c r="A181" s="10">
        <v>175</v>
      </c>
      <c r="B181" s="10" t="s">
        <v>751</v>
      </c>
      <c r="C181" s="10" t="s">
        <v>752</v>
      </c>
      <c r="D181" s="10" t="s">
        <v>753</v>
      </c>
      <c r="E181" s="10">
        <v>0</v>
      </c>
      <c r="F181" s="10" t="s">
        <v>415</v>
      </c>
      <c r="G181" s="12" t="s">
        <v>419</v>
      </c>
      <c r="H181" s="12" t="s">
        <v>420</v>
      </c>
      <c r="I181" s="12" t="s">
        <v>421</v>
      </c>
      <c r="J181" s="10" t="s">
        <v>418</v>
      </c>
      <c r="K181" s="10" t="s">
        <v>76</v>
      </c>
      <c r="L181" s="14"/>
      <c r="M181" s="1"/>
      <c r="N181" s="1"/>
      <c r="O181" s="1"/>
      <c r="P181" s="1"/>
      <c r="Q181" s="1"/>
    </row>
    <row r="182" spans="1:17" ht="28.5">
      <c r="A182" s="10">
        <v>176</v>
      </c>
      <c r="B182" s="10" t="s">
        <v>751</v>
      </c>
      <c r="C182" s="10" t="s">
        <v>756</v>
      </c>
      <c r="D182" s="10" t="s">
        <v>757</v>
      </c>
      <c r="E182" s="10">
        <v>0.65</v>
      </c>
      <c r="F182" s="10" t="s">
        <v>86</v>
      </c>
      <c r="G182" s="12" t="s">
        <v>104</v>
      </c>
      <c r="H182" s="12" t="s">
        <v>105</v>
      </c>
      <c r="I182" s="12" t="s">
        <v>106</v>
      </c>
      <c r="J182" s="10" t="s">
        <v>123</v>
      </c>
      <c r="K182" s="10" t="s">
        <v>76</v>
      </c>
      <c r="L182" s="14"/>
      <c r="M182" s="1"/>
      <c r="N182" s="1"/>
      <c r="O182" s="1"/>
      <c r="P182" s="1"/>
      <c r="Q182" s="1"/>
    </row>
    <row r="183" spans="1:17" ht="28.5">
      <c r="A183" s="10">
        <v>177</v>
      </c>
      <c r="B183" s="10" t="s">
        <v>751</v>
      </c>
      <c r="C183" s="10" t="s">
        <v>760</v>
      </c>
      <c r="D183" s="10" t="s">
        <v>761</v>
      </c>
      <c r="E183" s="10">
        <v>5.0000000000000001E-9</v>
      </c>
      <c r="F183" s="10" t="s">
        <v>762</v>
      </c>
      <c r="G183" s="12" t="s">
        <v>104</v>
      </c>
      <c r="H183" s="12" t="s">
        <v>105</v>
      </c>
      <c r="I183" s="12" t="s">
        <v>106</v>
      </c>
      <c r="J183" s="10" t="s">
        <v>3</v>
      </c>
      <c r="K183" s="10" t="s">
        <v>76</v>
      </c>
      <c r="L183" s="14"/>
      <c r="M183" s="1"/>
      <c r="N183" s="1"/>
      <c r="O183" s="1"/>
      <c r="P183" s="1"/>
      <c r="Q183" s="1"/>
    </row>
    <row r="184" spans="1:17" ht="28.5">
      <c r="A184" s="10">
        <v>178</v>
      </c>
      <c r="B184" s="10" t="s">
        <v>751</v>
      </c>
      <c r="C184" s="10" t="s">
        <v>765</v>
      </c>
      <c r="D184" s="10" t="s">
        <v>766</v>
      </c>
      <c r="E184" s="10">
        <v>0.03</v>
      </c>
      <c r="F184" s="10" t="s">
        <v>229</v>
      </c>
      <c r="G184" s="12" t="s">
        <v>104</v>
      </c>
      <c r="H184" s="12" t="s">
        <v>105</v>
      </c>
      <c r="I184" s="12" t="s">
        <v>106</v>
      </c>
      <c r="J184" s="10" t="s">
        <v>123</v>
      </c>
      <c r="K184" s="10" t="s">
        <v>76</v>
      </c>
      <c r="L184" s="14"/>
      <c r="M184" s="1"/>
      <c r="N184" s="1"/>
      <c r="O184" s="1"/>
      <c r="P184" s="1"/>
      <c r="Q184" s="1"/>
    </row>
    <row r="185" spans="1:17">
      <c r="A185" s="10">
        <v>179</v>
      </c>
      <c r="B185" s="10" t="s">
        <v>769</v>
      </c>
      <c r="C185" s="10" t="s">
        <v>770</v>
      </c>
      <c r="D185" s="10" t="s">
        <v>771</v>
      </c>
      <c r="E185" s="10">
        <v>0</v>
      </c>
      <c r="F185" s="10" t="s">
        <v>415</v>
      </c>
      <c r="G185" s="12" t="s">
        <v>419</v>
      </c>
      <c r="H185" s="12" t="s">
        <v>420</v>
      </c>
      <c r="I185" s="12" t="s">
        <v>421</v>
      </c>
      <c r="J185" s="10" t="s">
        <v>418</v>
      </c>
      <c r="K185" s="10" t="s">
        <v>76</v>
      </c>
      <c r="L185" s="14"/>
      <c r="M185" s="1"/>
      <c r="N185" s="1"/>
      <c r="O185" s="1"/>
      <c r="P185" s="1"/>
      <c r="Q185" s="1"/>
    </row>
    <row r="186" spans="1:17" ht="28.5">
      <c r="A186" s="10">
        <v>180</v>
      </c>
      <c r="B186" s="10" t="s">
        <v>769</v>
      </c>
      <c r="C186" s="10" t="s">
        <v>774</v>
      </c>
      <c r="D186" s="10" t="s">
        <v>775</v>
      </c>
      <c r="E186" s="10">
        <v>0.67</v>
      </c>
      <c r="F186" s="10" t="s">
        <v>86</v>
      </c>
      <c r="G186" s="12" t="s">
        <v>104</v>
      </c>
      <c r="H186" s="12" t="s">
        <v>105</v>
      </c>
      <c r="I186" s="12" t="s">
        <v>106</v>
      </c>
      <c r="J186" s="10" t="s">
        <v>123</v>
      </c>
      <c r="K186" s="10" t="s">
        <v>76</v>
      </c>
      <c r="L186" s="14"/>
      <c r="M186" s="1"/>
      <c r="N186" s="1"/>
      <c r="O186" s="1"/>
      <c r="P186" s="1"/>
      <c r="Q186" s="1"/>
    </row>
    <row r="187" spans="1:17" ht="28.5">
      <c r="A187" s="10">
        <v>181</v>
      </c>
      <c r="B187" s="10" t="s">
        <v>769</v>
      </c>
      <c r="C187" s="10" t="s">
        <v>778</v>
      </c>
      <c r="D187" s="10" t="s">
        <v>779</v>
      </c>
      <c r="E187" s="10">
        <v>0.3</v>
      </c>
      <c r="F187" s="10" t="s">
        <v>86</v>
      </c>
      <c r="G187" s="12" t="s">
        <v>104</v>
      </c>
      <c r="H187" s="12" t="s">
        <v>105</v>
      </c>
      <c r="I187" s="12" t="s">
        <v>106</v>
      </c>
      <c r="J187" s="10" t="s">
        <v>123</v>
      </c>
      <c r="K187" s="10" t="s">
        <v>76</v>
      </c>
      <c r="L187" s="14" t="s">
        <v>3125</v>
      </c>
      <c r="M187" s="1"/>
      <c r="N187" s="1"/>
      <c r="O187" s="1"/>
      <c r="P187" s="1"/>
      <c r="Q187" s="1"/>
    </row>
    <row r="188" spans="1:17">
      <c r="A188" s="10">
        <v>182</v>
      </c>
      <c r="B188" s="10" t="s">
        <v>769</v>
      </c>
      <c r="C188" s="10" t="s">
        <v>782</v>
      </c>
      <c r="D188" s="10" t="s">
        <v>783</v>
      </c>
      <c r="E188" s="10">
        <v>0</v>
      </c>
      <c r="F188" s="10" t="s">
        <v>415</v>
      </c>
      <c r="G188" s="12" t="s">
        <v>419</v>
      </c>
      <c r="H188" s="12" t="s">
        <v>420</v>
      </c>
      <c r="I188" s="12" t="s">
        <v>421</v>
      </c>
      <c r="J188" s="10" t="s">
        <v>418</v>
      </c>
      <c r="K188" s="10" t="s">
        <v>76</v>
      </c>
      <c r="L188" s="14"/>
      <c r="M188" s="1"/>
      <c r="N188" s="1"/>
      <c r="O188" s="1"/>
      <c r="P188" s="1"/>
      <c r="Q188" s="1"/>
    </row>
    <row r="189" spans="1:17" ht="28.5">
      <c r="A189" s="10">
        <v>183</v>
      </c>
      <c r="B189" s="10" t="s">
        <v>769</v>
      </c>
      <c r="C189" s="10" t="s">
        <v>786</v>
      </c>
      <c r="D189" s="10" t="s">
        <v>787</v>
      </c>
      <c r="E189" s="10">
        <v>1.08</v>
      </c>
      <c r="F189" s="10" t="s">
        <v>86</v>
      </c>
      <c r="G189" s="12" t="s">
        <v>104</v>
      </c>
      <c r="H189" s="12" t="s">
        <v>105</v>
      </c>
      <c r="I189" s="12" t="s">
        <v>106</v>
      </c>
      <c r="J189" s="10" t="s">
        <v>123</v>
      </c>
      <c r="K189" s="10" t="s">
        <v>76</v>
      </c>
      <c r="L189" s="14"/>
      <c r="M189" s="1"/>
      <c r="N189" s="1"/>
      <c r="O189" s="1"/>
      <c r="P189" s="1"/>
      <c r="Q189" s="1"/>
    </row>
    <row r="190" spans="1:17" ht="28.5">
      <c r="A190" s="10">
        <v>184</v>
      </c>
      <c r="B190" s="10" t="s">
        <v>789</v>
      </c>
      <c r="C190" s="10" t="s">
        <v>790</v>
      </c>
      <c r="D190" s="10" t="s">
        <v>791</v>
      </c>
      <c r="E190" s="10">
        <v>0.2</v>
      </c>
      <c r="F190" s="10" t="s">
        <v>229</v>
      </c>
      <c r="G190" s="12" t="s">
        <v>104</v>
      </c>
      <c r="H190" s="12" t="s">
        <v>105</v>
      </c>
      <c r="I190" s="12" t="s">
        <v>106</v>
      </c>
      <c r="J190" s="10" t="s">
        <v>123</v>
      </c>
      <c r="K190" s="10" t="s">
        <v>76</v>
      </c>
      <c r="L190" s="14"/>
      <c r="M190" s="1"/>
      <c r="N190" s="1"/>
      <c r="O190" s="1"/>
      <c r="P190" s="1"/>
      <c r="Q190" s="1"/>
    </row>
    <row r="191" spans="1:17" ht="28.5">
      <c r="A191" s="10">
        <v>185</v>
      </c>
      <c r="B191" s="10" t="s">
        <v>769</v>
      </c>
      <c r="C191" s="10" t="s">
        <v>3126</v>
      </c>
      <c r="D191" s="10" t="s">
        <v>795</v>
      </c>
      <c r="E191" s="10">
        <v>0.6</v>
      </c>
      <c r="F191" s="10" t="s">
        <v>86</v>
      </c>
      <c r="G191" s="12" t="s">
        <v>104</v>
      </c>
      <c r="H191" s="12" t="s">
        <v>105</v>
      </c>
      <c r="I191" s="12" t="s">
        <v>106</v>
      </c>
      <c r="J191" s="10" t="s">
        <v>123</v>
      </c>
      <c r="K191" s="10" t="s">
        <v>76</v>
      </c>
      <c r="L191" s="14"/>
      <c r="M191" s="1"/>
      <c r="N191" s="1"/>
      <c r="O191" s="1"/>
      <c r="P191" s="1"/>
      <c r="Q191" s="1"/>
    </row>
    <row r="192" spans="1:17" ht="28.5">
      <c r="A192" s="10">
        <v>186</v>
      </c>
      <c r="B192" s="10" t="s">
        <v>769</v>
      </c>
      <c r="C192" s="10" t="s">
        <v>798</v>
      </c>
      <c r="D192" s="10" t="s">
        <v>799</v>
      </c>
      <c r="E192" s="10">
        <v>5.0000000000000001E-3</v>
      </c>
      <c r="F192" s="10" t="s">
        <v>229</v>
      </c>
      <c r="G192" s="12" t="s">
        <v>104</v>
      </c>
      <c r="H192" s="12" t="s">
        <v>105</v>
      </c>
      <c r="I192" s="12" t="s">
        <v>106</v>
      </c>
      <c r="J192" s="10" t="s">
        <v>123</v>
      </c>
      <c r="K192" s="10" t="s">
        <v>76</v>
      </c>
      <c r="L192" s="14"/>
      <c r="M192" s="1"/>
      <c r="N192" s="1"/>
      <c r="O192" s="1"/>
      <c r="P192" s="1"/>
      <c r="Q192" s="1"/>
    </row>
    <row r="193" spans="1:17" ht="28.5">
      <c r="A193" s="10">
        <v>187</v>
      </c>
      <c r="B193" s="10" t="s">
        <v>276</v>
      </c>
      <c r="C193" s="10" t="s">
        <v>802</v>
      </c>
      <c r="D193" s="10" t="s">
        <v>803</v>
      </c>
      <c r="E193" s="10">
        <v>0.55000000000000004</v>
      </c>
      <c r="F193" s="10" t="s">
        <v>86</v>
      </c>
      <c r="G193" s="12" t="s">
        <v>104</v>
      </c>
      <c r="H193" s="12" t="s">
        <v>105</v>
      </c>
      <c r="I193" s="12" t="s">
        <v>106</v>
      </c>
      <c r="J193" s="10" t="s">
        <v>123</v>
      </c>
      <c r="K193" s="10" t="s">
        <v>76</v>
      </c>
      <c r="L193" s="14" t="s">
        <v>805</v>
      </c>
      <c r="M193" s="1"/>
      <c r="N193" s="1"/>
      <c r="O193" s="1"/>
      <c r="P193" s="1"/>
      <c r="Q193" s="1"/>
    </row>
    <row r="194" spans="1:17" ht="28.5">
      <c r="A194" s="10">
        <v>188</v>
      </c>
      <c r="B194" s="10" t="s">
        <v>276</v>
      </c>
      <c r="C194" s="10" t="s">
        <v>806</v>
      </c>
      <c r="D194" s="10" t="s">
        <v>807</v>
      </c>
      <c r="E194" s="10">
        <v>25</v>
      </c>
      <c r="F194" s="10" t="s">
        <v>808</v>
      </c>
      <c r="G194" s="12" t="s">
        <v>104</v>
      </c>
      <c r="H194" s="12" t="s">
        <v>105</v>
      </c>
      <c r="I194" s="12" t="s">
        <v>106</v>
      </c>
      <c r="J194" s="10" t="s">
        <v>3</v>
      </c>
      <c r="K194" s="10" t="s">
        <v>76</v>
      </c>
      <c r="L194" s="14"/>
      <c r="M194" s="1"/>
      <c r="N194" s="1"/>
      <c r="O194" s="1"/>
      <c r="P194" s="1"/>
      <c r="Q194" s="1"/>
    </row>
    <row r="195" spans="1:17" ht="28.5">
      <c r="A195" s="10">
        <v>189</v>
      </c>
      <c r="B195" s="10" t="s">
        <v>276</v>
      </c>
      <c r="C195" s="10" t="s">
        <v>811</v>
      </c>
      <c r="D195" s="10" t="s">
        <v>812</v>
      </c>
      <c r="E195" s="10">
        <v>0.35</v>
      </c>
      <c r="F195" s="10" t="s">
        <v>433</v>
      </c>
      <c r="G195" s="12" t="s">
        <v>104</v>
      </c>
      <c r="H195" s="12" t="s">
        <v>105</v>
      </c>
      <c r="I195" s="12" t="s">
        <v>106</v>
      </c>
      <c r="J195" s="10" t="s">
        <v>123</v>
      </c>
      <c r="K195" s="10" t="s">
        <v>76</v>
      </c>
      <c r="L195" s="14"/>
      <c r="M195" s="1"/>
      <c r="N195" s="1"/>
      <c r="O195" s="1"/>
      <c r="P195" s="1"/>
      <c r="Q195" s="1"/>
    </row>
    <row r="196" spans="1:17" ht="28.5">
      <c r="A196" s="10">
        <v>190</v>
      </c>
      <c r="B196" s="10" t="s">
        <v>276</v>
      </c>
      <c r="C196" s="10" t="s">
        <v>815</v>
      </c>
      <c r="D196" s="10" t="s">
        <v>816</v>
      </c>
      <c r="E196" s="10">
        <v>3.0000000000000001E-3</v>
      </c>
      <c r="F196" s="10" t="s">
        <v>653</v>
      </c>
      <c r="G196" s="12" t="s">
        <v>104</v>
      </c>
      <c r="H196" s="12" t="s">
        <v>105</v>
      </c>
      <c r="I196" s="12" t="s">
        <v>106</v>
      </c>
      <c r="J196" s="10" t="s">
        <v>3</v>
      </c>
      <c r="K196" s="10" t="s">
        <v>76</v>
      </c>
      <c r="L196" s="14"/>
      <c r="M196" s="1"/>
      <c r="N196" s="1"/>
      <c r="O196" s="1"/>
      <c r="P196" s="1"/>
      <c r="Q196" s="1"/>
    </row>
    <row r="197" spans="1:17" ht="28.5">
      <c r="A197" s="10">
        <v>191</v>
      </c>
      <c r="B197" s="10" t="s">
        <v>276</v>
      </c>
      <c r="C197" s="10" t="s">
        <v>819</v>
      </c>
      <c r="D197" s="10" t="s">
        <v>820</v>
      </c>
      <c r="E197" s="10">
        <v>2</v>
      </c>
      <c r="F197" s="10" t="s">
        <v>821</v>
      </c>
      <c r="G197" s="12" t="s">
        <v>104</v>
      </c>
      <c r="H197" s="12" t="s">
        <v>105</v>
      </c>
      <c r="I197" s="12" t="s">
        <v>106</v>
      </c>
      <c r="J197" s="10" t="s">
        <v>123</v>
      </c>
      <c r="K197" s="10" t="s">
        <v>76</v>
      </c>
      <c r="L197" s="14"/>
      <c r="M197" s="1"/>
      <c r="N197" s="1"/>
      <c r="O197" s="1"/>
      <c r="P197" s="1"/>
      <c r="Q197" s="1"/>
    </row>
    <row r="198" spans="1:17" ht="28.5">
      <c r="A198" s="10">
        <v>192</v>
      </c>
      <c r="B198" s="10" t="s">
        <v>276</v>
      </c>
      <c r="C198" s="10" t="s">
        <v>823</v>
      </c>
      <c r="D198" s="10" t="s">
        <v>824</v>
      </c>
      <c r="E198" s="10">
        <v>85</v>
      </c>
      <c r="F198" s="10" t="s">
        <v>303</v>
      </c>
      <c r="G198" s="12" t="s">
        <v>104</v>
      </c>
      <c r="H198" s="12" t="s">
        <v>105</v>
      </c>
      <c r="I198" s="12" t="s">
        <v>106</v>
      </c>
      <c r="J198" s="10" t="s">
        <v>123</v>
      </c>
      <c r="K198" s="10" t="s">
        <v>76</v>
      </c>
      <c r="L198" s="14"/>
      <c r="M198" s="1"/>
      <c r="N198" s="1"/>
      <c r="O198" s="1"/>
      <c r="P198" s="1"/>
      <c r="Q198" s="1"/>
    </row>
    <row r="199" spans="1:17" ht="28.5">
      <c r="A199" s="10">
        <v>193</v>
      </c>
      <c r="B199" s="10" t="s">
        <v>276</v>
      </c>
      <c r="C199" s="10" t="s">
        <v>827</v>
      </c>
      <c r="D199" s="10" t="s">
        <v>828</v>
      </c>
      <c r="E199" s="10">
        <v>10000</v>
      </c>
      <c r="F199" s="10" t="s">
        <v>829</v>
      </c>
      <c r="G199" s="12" t="s">
        <v>104</v>
      </c>
      <c r="H199" s="12" t="s">
        <v>105</v>
      </c>
      <c r="I199" s="12" t="s">
        <v>106</v>
      </c>
      <c r="J199" s="10" t="s">
        <v>123</v>
      </c>
      <c r="K199" s="10" t="s">
        <v>76</v>
      </c>
      <c r="L199" s="14"/>
      <c r="M199" s="1"/>
      <c r="N199" s="1"/>
      <c r="O199" s="1"/>
      <c r="P199" s="1"/>
      <c r="Q199" s="1"/>
    </row>
    <row r="200" spans="1:17">
      <c r="A200" s="10">
        <v>194</v>
      </c>
      <c r="B200" s="10" t="s">
        <v>276</v>
      </c>
      <c r="C200" s="10" t="s">
        <v>831</v>
      </c>
      <c r="D200" s="10" t="s">
        <v>832</v>
      </c>
      <c r="E200" s="10">
        <v>150000</v>
      </c>
      <c r="F200" s="10" t="s">
        <v>829</v>
      </c>
      <c r="G200" s="12" t="s">
        <v>66</v>
      </c>
      <c r="H200" s="12" t="s">
        <v>67</v>
      </c>
      <c r="I200" s="12" t="s">
        <v>68</v>
      </c>
      <c r="J200" s="10" t="s">
        <v>835</v>
      </c>
      <c r="K200" s="10" t="s">
        <v>76</v>
      </c>
      <c r="L200" s="14"/>
      <c r="M200" s="1"/>
      <c r="N200" s="1"/>
      <c r="O200" s="1"/>
      <c r="P200" s="1"/>
      <c r="Q200" s="1"/>
    </row>
    <row r="201" spans="1:17" ht="28.5">
      <c r="A201" s="10">
        <v>195</v>
      </c>
      <c r="B201" s="10" t="s">
        <v>650</v>
      </c>
      <c r="C201" s="10" t="s">
        <v>836</v>
      </c>
      <c r="D201" s="10" t="s">
        <v>837</v>
      </c>
      <c r="E201" s="10">
        <v>800</v>
      </c>
      <c r="F201" s="10" t="s">
        <v>73</v>
      </c>
      <c r="G201" s="12" t="s">
        <v>104</v>
      </c>
      <c r="H201" s="12" t="s">
        <v>105</v>
      </c>
      <c r="I201" s="12" t="s">
        <v>106</v>
      </c>
      <c r="J201" s="10" t="s">
        <v>123</v>
      </c>
      <c r="K201" s="10" t="s">
        <v>76</v>
      </c>
      <c r="L201" s="14"/>
      <c r="M201" s="1"/>
      <c r="N201" s="1"/>
      <c r="O201" s="1"/>
      <c r="P201" s="1"/>
      <c r="Q201" s="1"/>
    </row>
    <row r="202" spans="1:17" ht="28.5">
      <c r="A202" s="10">
        <v>196</v>
      </c>
      <c r="B202" s="10" t="s">
        <v>839</v>
      </c>
      <c r="C202" s="10" t="s">
        <v>840</v>
      </c>
      <c r="D202" s="10" t="s">
        <v>841</v>
      </c>
      <c r="E202" s="10">
        <v>1.2E-8</v>
      </c>
      <c r="F202" s="10" t="s">
        <v>741</v>
      </c>
      <c r="G202" s="12" t="s">
        <v>104</v>
      </c>
      <c r="H202" s="12" t="s">
        <v>105</v>
      </c>
      <c r="I202" s="12" t="s">
        <v>106</v>
      </c>
      <c r="J202" s="10" t="s">
        <v>3</v>
      </c>
      <c r="K202" s="10" t="s">
        <v>76</v>
      </c>
      <c r="L202" s="14"/>
      <c r="M202" s="1"/>
      <c r="N202" s="1"/>
      <c r="O202" s="1"/>
      <c r="P202" s="1"/>
      <c r="Q202" s="1"/>
    </row>
    <row r="203" spans="1:17">
      <c r="A203" s="10">
        <v>197</v>
      </c>
      <c r="B203" s="10" t="s">
        <v>839</v>
      </c>
      <c r="C203" s="10" t="s">
        <v>843</v>
      </c>
      <c r="D203" s="10" t="s">
        <v>844</v>
      </c>
      <c r="E203" s="10">
        <v>0</v>
      </c>
      <c r="F203" s="10" t="s">
        <v>415</v>
      </c>
      <c r="G203" s="12" t="s">
        <v>419</v>
      </c>
      <c r="H203" s="12" t="s">
        <v>420</v>
      </c>
      <c r="I203" s="12" t="s">
        <v>421</v>
      </c>
      <c r="J203" s="10" t="s">
        <v>418</v>
      </c>
      <c r="K203" s="10" t="s">
        <v>76</v>
      </c>
      <c r="L203" s="14"/>
      <c r="M203" s="1"/>
      <c r="N203" s="1"/>
      <c r="O203" s="1"/>
      <c r="P203" s="1"/>
      <c r="Q203" s="1"/>
    </row>
    <row r="204" spans="1:17" ht="28.5">
      <c r="A204" s="10">
        <v>198</v>
      </c>
      <c r="B204" s="10" t="s">
        <v>839</v>
      </c>
      <c r="C204" s="10" t="s">
        <v>847</v>
      </c>
      <c r="D204" s="10" t="s">
        <v>848</v>
      </c>
      <c r="E204" s="10">
        <v>0.45</v>
      </c>
      <c r="F204" s="10" t="s">
        <v>86</v>
      </c>
      <c r="G204" s="12" t="s">
        <v>104</v>
      </c>
      <c r="H204" s="12" t="s">
        <v>105</v>
      </c>
      <c r="I204" s="12" t="s">
        <v>106</v>
      </c>
      <c r="J204" s="10" t="s">
        <v>123</v>
      </c>
      <c r="K204" s="10" t="s">
        <v>76</v>
      </c>
      <c r="L204" s="14"/>
      <c r="M204" s="1"/>
      <c r="N204" s="1"/>
      <c r="O204" s="1"/>
      <c r="P204" s="1"/>
      <c r="Q204" s="1"/>
    </row>
    <row r="205" spans="1:17" ht="28.5">
      <c r="A205" s="10">
        <v>199</v>
      </c>
      <c r="B205" s="10" t="s">
        <v>839</v>
      </c>
      <c r="C205" s="10" t="s">
        <v>850</v>
      </c>
      <c r="D205" s="10" t="s">
        <v>851</v>
      </c>
      <c r="E205" s="10">
        <v>3.5000000000000003E-2</v>
      </c>
      <c r="F205" s="10" t="s">
        <v>229</v>
      </c>
      <c r="G205" s="12" t="s">
        <v>104</v>
      </c>
      <c r="H205" s="12" t="s">
        <v>105</v>
      </c>
      <c r="I205" s="12" t="s">
        <v>106</v>
      </c>
      <c r="J205" s="10" t="s">
        <v>123</v>
      </c>
      <c r="K205" s="10" t="s">
        <v>76</v>
      </c>
      <c r="L205" s="14"/>
      <c r="M205" s="1"/>
      <c r="N205" s="1"/>
      <c r="O205" s="1"/>
      <c r="P205" s="1"/>
      <c r="Q205" s="1"/>
    </row>
    <row r="206" spans="1:17" ht="28.5">
      <c r="A206" s="10">
        <v>200</v>
      </c>
      <c r="B206" s="10" t="s">
        <v>232</v>
      </c>
      <c r="C206" s="10" t="s">
        <v>853</v>
      </c>
      <c r="D206" s="10" t="s">
        <v>854</v>
      </c>
      <c r="E206" s="10">
        <v>1.4999999999999999E-4</v>
      </c>
      <c r="F206" s="10" t="s">
        <v>855</v>
      </c>
      <c r="G206" s="12" t="s">
        <v>104</v>
      </c>
      <c r="H206" s="12" t="s">
        <v>105</v>
      </c>
      <c r="I206" s="12" t="s">
        <v>106</v>
      </c>
      <c r="J206" s="10" t="s">
        <v>3</v>
      </c>
      <c r="K206" s="10" t="s">
        <v>76</v>
      </c>
      <c r="L206" s="14"/>
      <c r="M206" s="1"/>
      <c r="N206" s="1"/>
      <c r="O206" s="1"/>
      <c r="P206" s="1"/>
      <c r="Q206" s="1"/>
    </row>
    <row r="207" spans="1:17" ht="28.5">
      <c r="A207" s="10">
        <v>201</v>
      </c>
      <c r="B207" s="10" t="s">
        <v>232</v>
      </c>
      <c r="C207" s="10" t="s">
        <v>858</v>
      </c>
      <c r="D207" s="10" t="s">
        <v>859</v>
      </c>
      <c r="E207" s="10">
        <v>1.4999999999999999E-4</v>
      </c>
      <c r="F207" s="10" t="s">
        <v>855</v>
      </c>
      <c r="G207" s="12" t="s">
        <v>104</v>
      </c>
      <c r="H207" s="12" t="s">
        <v>105</v>
      </c>
      <c r="I207" s="12" t="s">
        <v>106</v>
      </c>
      <c r="J207" s="10" t="s">
        <v>123</v>
      </c>
      <c r="K207" s="10" t="s">
        <v>76</v>
      </c>
      <c r="L207" s="14"/>
      <c r="M207" s="1"/>
      <c r="N207" s="1"/>
      <c r="O207" s="1"/>
      <c r="P207" s="1"/>
      <c r="Q207" s="1"/>
    </row>
    <row r="208" spans="1:17" ht="28.5">
      <c r="A208" s="10">
        <v>202</v>
      </c>
      <c r="B208" s="10" t="s">
        <v>232</v>
      </c>
      <c r="C208" s="10" t="s">
        <v>862</v>
      </c>
      <c r="D208" s="10" t="s">
        <v>863</v>
      </c>
      <c r="E208" s="10">
        <v>45000</v>
      </c>
      <c r="F208" s="10" t="s">
        <v>864</v>
      </c>
      <c r="G208" s="12" t="s">
        <v>104</v>
      </c>
      <c r="H208" s="12" t="s">
        <v>105</v>
      </c>
      <c r="I208" s="12" t="s">
        <v>106</v>
      </c>
      <c r="J208" s="10" t="s">
        <v>123</v>
      </c>
      <c r="K208" s="10" t="s">
        <v>76</v>
      </c>
      <c r="L208" s="14"/>
      <c r="M208" s="1"/>
      <c r="N208" s="1"/>
      <c r="O208" s="1"/>
      <c r="P208" s="1"/>
      <c r="Q208" s="1"/>
    </row>
    <row r="209" spans="1:17" ht="28.5">
      <c r="A209" s="10">
        <v>203</v>
      </c>
      <c r="B209" s="10" t="s">
        <v>232</v>
      </c>
      <c r="C209" s="10" t="s">
        <v>866</v>
      </c>
      <c r="D209" s="10" t="s">
        <v>867</v>
      </c>
      <c r="E209" s="10">
        <v>1.8</v>
      </c>
      <c r="F209" s="10" t="s">
        <v>86</v>
      </c>
      <c r="G209" s="12" t="s">
        <v>104</v>
      </c>
      <c r="H209" s="12" t="s">
        <v>105</v>
      </c>
      <c r="I209" s="12" t="s">
        <v>106</v>
      </c>
      <c r="J209" s="10" t="s">
        <v>123</v>
      </c>
      <c r="K209" s="10" t="s">
        <v>76</v>
      </c>
      <c r="L209" s="14"/>
      <c r="M209" s="1"/>
      <c r="N209" s="1"/>
      <c r="O209" s="1"/>
      <c r="P209" s="1"/>
      <c r="Q209" s="1"/>
    </row>
    <row r="210" spans="1:17" ht="28.5">
      <c r="A210" s="10">
        <v>204</v>
      </c>
      <c r="B210" s="10" t="s">
        <v>232</v>
      </c>
      <c r="C210" s="10" t="s">
        <v>869</v>
      </c>
      <c r="D210" s="10" t="s">
        <v>870</v>
      </c>
      <c r="E210" s="10">
        <v>0.45</v>
      </c>
      <c r="F210" s="10" t="s">
        <v>86</v>
      </c>
      <c r="G210" s="12" t="s">
        <v>104</v>
      </c>
      <c r="H210" s="12" t="s">
        <v>105</v>
      </c>
      <c r="I210" s="12" t="s">
        <v>106</v>
      </c>
      <c r="J210" s="10" t="s">
        <v>3</v>
      </c>
      <c r="K210" s="10" t="s">
        <v>76</v>
      </c>
      <c r="L210" s="14"/>
      <c r="M210" s="1"/>
      <c r="N210" s="1"/>
      <c r="O210" s="1"/>
      <c r="P210" s="1"/>
      <c r="Q210" s="1"/>
    </row>
    <row r="211" spans="1:17" ht="28.5">
      <c r="A211" s="10">
        <v>205</v>
      </c>
      <c r="B211" s="10" t="s">
        <v>232</v>
      </c>
      <c r="C211" s="10" t="s">
        <v>872</v>
      </c>
      <c r="D211" s="10" t="s">
        <v>873</v>
      </c>
      <c r="E211" s="10">
        <v>0.01</v>
      </c>
      <c r="F211" s="10" t="s">
        <v>731</v>
      </c>
      <c r="G211" s="12" t="s">
        <v>104</v>
      </c>
      <c r="H211" s="12" t="s">
        <v>105</v>
      </c>
      <c r="I211" s="12" t="s">
        <v>106</v>
      </c>
      <c r="J211" s="10" t="s">
        <v>123</v>
      </c>
      <c r="K211" s="10" t="s">
        <v>76</v>
      </c>
      <c r="L211" s="14"/>
      <c r="M211" s="1"/>
      <c r="N211" s="1"/>
      <c r="O211" s="1"/>
      <c r="P211" s="1"/>
      <c r="Q211" s="1"/>
    </row>
    <row r="212" spans="1:17" ht="28.5">
      <c r="A212" s="10">
        <v>206</v>
      </c>
      <c r="B212" s="10" t="s">
        <v>232</v>
      </c>
      <c r="C212" s="10" t="s">
        <v>876</v>
      </c>
      <c r="D212" s="10" t="s">
        <v>877</v>
      </c>
      <c r="E212" s="10">
        <v>1</v>
      </c>
      <c r="F212" s="10" t="s">
        <v>86</v>
      </c>
      <c r="G212" s="12" t="s">
        <v>104</v>
      </c>
      <c r="H212" s="12" t="s">
        <v>105</v>
      </c>
      <c r="I212" s="12" t="s">
        <v>106</v>
      </c>
      <c r="J212" s="10" t="s">
        <v>3</v>
      </c>
      <c r="K212" s="10" t="s">
        <v>76</v>
      </c>
      <c r="L212" s="14"/>
      <c r="M212" s="1"/>
      <c r="N212" s="1"/>
      <c r="O212" s="1"/>
      <c r="P212" s="1"/>
      <c r="Q212" s="1"/>
    </row>
    <row r="213" spans="1:17" ht="28.5">
      <c r="A213" s="10">
        <v>207</v>
      </c>
      <c r="B213" s="10" t="s">
        <v>232</v>
      </c>
      <c r="C213" s="10" t="s">
        <v>881</v>
      </c>
      <c r="D213" s="10" t="s">
        <v>882</v>
      </c>
      <c r="E213" s="10">
        <v>0.65</v>
      </c>
      <c r="F213" s="10" t="s">
        <v>86</v>
      </c>
      <c r="G213" s="12" t="s">
        <v>104</v>
      </c>
      <c r="H213" s="12" t="s">
        <v>105</v>
      </c>
      <c r="I213" s="12" t="s">
        <v>106</v>
      </c>
      <c r="J213" s="10" t="s">
        <v>123</v>
      </c>
      <c r="K213" s="10" t="s">
        <v>76</v>
      </c>
      <c r="L213" s="14"/>
      <c r="M213" s="1"/>
      <c r="N213" s="1"/>
      <c r="O213" s="1"/>
      <c r="P213" s="1"/>
      <c r="Q213" s="1"/>
    </row>
    <row r="214" spans="1:17" ht="28.5">
      <c r="A214" s="10">
        <v>208</v>
      </c>
      <c r="B214" s="10" t="s">
        <v>232</v>
      </c>
      <c r="C214" s="10" t="s">
        <v>884</v>
      </c>
      <c r="D214" s="10" t="s">
        <v>885</v>
      </c>
      <c r="E214" s="10">
        <v>1.7</v>
      </c>
      <c r="F214" s="10" t="s">
        <v>86</v>
      </c>
      <c r="G214" s="12" t="s">
        <v>104</v>
      </c>
      <c r="H214" s="12" t="s">
        <v>105</v>
      </c>
      <c r="I214" s="12" t="s">
        <v>106</v>
      </c>
      <c r="J214" s="10" t="s">
        <v>123</v>
      </c>
      <c r="K214" s="10" t="s">
        <v>76</v>
      </c>
      <c r="L214" s="14"/>
      <c r="M214" s="1"/>
      <c r="N214" s="1"/>
      <c r="O214" s="1"/>
      <c r="P214" s="1"/>
      <c r="Q214" s="1"/>
    </row>
    <row r="215" spans="1:17" ht="28.5">
      <c r="A215" s="10">
        <v>209</v>
      </c>
      <c r="B215" s="10" t="s">
        <v>887</v>
      </c>
      <c r="C215" s="10" t="s">
        <v>888</v>
      </c>
      <c r="D215" s="10" t="s">
        <v>889</v>
      </c>
      <c r="E215" s="10">
        <v>1.4999999999999999E-4</v>
      </c>
      <c r="F215" s="10" t="s">
        <v>262</v>
      </c>
      <c r="G215" s="12" t="s">
        <v>104</v>
      </c>
      <c r="H215" s="12" t="s">
        <v>105</v>
      </c>
      <c r="I215" s="12" t="s">
        <v>106</v>
      </c>
      <c r="J215" s="10" t="s">
        <v>3</v>
      </c>
      <c r="K215" s="10" t="s">
        <v>76</v>
      </c>
      <c r="L215" s="14"/>
      <c r="M215" s="1"/>
      <c r="N215" s="1"/>
      <c r="O215" s="1"/>
      <c r="P215" s="1"/>
      <c r="Q215" s="1"/>
    </row>
    <row r="216" spans="1:17" ht="28.5">
      <c r="A216" s="10">
        <v>210</v>
      </c>
      <c r="B216" s="10" t="s">
        <v>887</v>
      </c>
      <c r="C216" s="10" t="s">
        <v>892</v>
      </c>
      <c r="D216" s="10" t="s">
        <v>893</v>
      </c>
      <c r="E216" s="10">
        <v>5</v>
      </c>
      <c r="F216" s="10" t="s">
        <v>894</v>
      </c>
      <c r="G216" s="12" t="s">
        <v>104</v>
      </c>
      <c r="H216" s="12" t="s">
        <v>105</v>
      </c>
      <c r="I216" s="12" t="s">
        <v>106</v>
      </c>
      <c r="J216" s="10" t="s">
        <v>3</v>
      </c>
      <c r="K216" s="10" t="s">
        <v>76</v>
      </c>
      <c r="L216" s="14"/>
      <c r="M216" s="1"/>
      <c r="N216" s="1"/>
      <c r="O216" s="1"/>
      <c r="P216" s="1"/>
      <c r="Q216" s="1"/>
    </row>
    <row r="217" spans="1:17" ht="28.5">
      <c r="A217" s="10">
        <v>211</v>
      </c>
      <c r="B217" s="10" t="s">
        <v>887</v>
      </c>
      <c r="C217" s="10" t="s">
        <v>896</v>
      </c>
      <c r="D217" s="10" t="s">
        <v>897</v>
      </c>
      <c r="E217" s="10">
        <v>2.5000000000000001E-2</v>
      </c>
      <c r="F217" s="10" t="s">
        <v>898</v>
      </c>
      <c r="G217" s="12" t="s">
        <v>104</v>
      </c>
      <c r="H217" s="12" t="s">
        <v>105</v>
      </c>
      <c r="I217" s="12" t="s">
        <v>106</v>
      </c>
      <c r="J217" s="10" t="s">
        <v>3</v>
      </c>
      <c r="K217" s="10" t="s">
        <v>76</v>
      </c>
      <c r="L217" s="14"/>
      <c r="M217" s="1"/>
      <c r="N217" s="1"/>
      <c r="O217" s="1"/>
      <c r="P217" s="1"/>
      <c r="Q217" s="1"/>
    </row>
    <row r="218" spans="1:17" ht="28.5">
      <c r="A218" s="10">
        <v>212</v>
      </c>
      <c r="B218" s="10" t="s">
        <v>887</v>
      </c>
      <c r="C218" s="10" t="s">
        <v>900</v>
      </c>
      <c r="D218" s="10" t="s">
        <v>901</v>
      </c>
      <c r="E218" s="10">
        <v>1.1999999999999999E-3</v>
      </c>
      <c r="F218" s="10" t="s">
        <v>821</v>
      </c>
      <c r="G218" s="12" t="s">
        <v>104</v>
      </c>
      <c r="H218" s="12" t="s">
        <v>105</v>
      </c>
      <c r="I218" s="12" t="s">
        <v>106</v>
      </c>
      <c r="J218" s="10" t="s">
        <v>123</v>
      </c>
      <c r="K218" s="10" t="s">
        <v>76</v>
      </c>
      <c r="L218" s="14"/>
      <c r="M218" s="1"/>
      <c r="N218" s="1"/>
      <c r="O218" s="1"/>
      <c r="P218" s="1"/>
      <c r="Q218" s="1"/>
    </row>
    <row r="219" spans="1:17" ht="28.5">
      <c r="A219" s="10">
        <v>213</v>
      </c>
      <c r="B219" s="10" t="s">
        <v>887</v>
      </c>
      <c r="C219" s="10" t="s">
        <v>904</v>
      </c>
      <c r="D219" s="10" t="s">
        <v>905</v>
      </c>
      <c r="E219" s="10">
        <v>1</v>
      </c>
      <c r="F219" s="10" t="s">
        <v>86</v>
      </c>
      <c r="G219" s="12" t="s">
        <v>104</v>
      </c>
      <c r="H219" s="12" t="s">
        <v>105</v>
      </c>
      <c r="I219" s="12" t="s">
        <v>106</v>
      </c>
      <c r="J219" s="10" t="s">
        <v>3</v>
      </c>
      <c r="K219" s="10" t="s">
        <v>76</v>
      </c>
      <c r="L219" s="14"/>
      <c r="M219" s="1"/>
      <c r="N219" s="1"/>
      <c r="O219" s="1"/>
      <c r="P219" s="1"/>
      <c r="Q219" s="1"/>
    </row>
    <row r="220" spans="1:17" ht="28.5">
      <c r="A220" s="10">
        <v>214</v>
      </c>
      <c r="B220" s="10" t="s">
        <v>887</v>
      </c>
      <c r="C220" s="10" t="s">
        <v>908</v>
      </c>
      <c r="D220" s="10" t="s">
        <v>909</v>
      </c>
      <c r="E220" s="10">
        <v>0.25</v>
      </c>
      <c r="F220" s="10" t="s">
        <v>86</v>
      </c>
      <c r="G220" s="12" t="s">
        <v>104</v>
      </c>
      <c r="H220" s="12" t="s">
        <v>105</v>
      </c>
      <c r="I220" s="12" t="s">
        <v>106</v>
      </c>
      <c r="J220" s="10" t="s">
        <v>123</v>
      </c>
      <c r="K220" s="10" t="s">
        <v>76</v>
      </c>
      <c r="L220" s="14"/>
      <c r="M220" s="1"/>
      <c r="N220" s="1"/>
      <c r="O220" s="1"/>
      <c r="P220" s="1"/>
      <c r="Q220" s="1"/>
    </row>
    <row r="221" spans="1:17" ht="28.5">
      <c r="A221" s="10">
        <v>215</v>
      </c>
      <c r="B221" s="10" t="s">
        <v>887</v>
      </c>
      <c r="C221" s="10" t="s">
        <v>911</v>
      </c>
      <c r="D221" s="10" t="s">
        <v>912</v>
      </c>
      <c r="E221" s="10">
        <v>0.05</v>
      </c>
      <c r="F221" s="10" t="s">
        <v>229</v>
      </c>
      <c r="G221" s="12" t="s">
        <v>104</v>
      </c>
      <c r="H221" s="12" t="s">
        <v>105</v>
      </c>
      <c r="I221" s="12" t="s">
        <v>106</v>
      </c>
      <c r="J221" s="10" t="s">
        <v>123</v>
      </c>
      <c r="K221" s="10" t="s">
        <v>76</v>
      </c>
      <c r="L221" s="14"/>
      <c r="M221" s="1"/>
      <c r="N221" s="1"/>
      <c r="O221" s="1"/>
      <c r="P221" s="1"/>
      <c r="Q221" s="1"/>
    </row>
    <row r="222" spans="1:17">
      <c r="A222" s="10">
        <v>216</v>
      </c>
      <c r="B222" s="10" t="s">
        <v>915</v>
      </c>
      <c r="C222" s="10" t="s">
        <v>916</v>
      </c>
      <c r="D222" s="10" t="s">
        <v>917</v>
      </c>
      <c r="E222" s="10">
        <v>150</v>
      </c>
      <c r="F222" s="10" t="s">
        <v>918</v>
      </c>
      <c r="G222" s="12" t="s">
        <v>66</v>
      </c>
      <c r="H222" s="12" t="s">
        <v>67</v>
      </c>
      <c r="I222" s="12" t="s">
        <v>68</v>
      </c>
      <c r="J222" s="10" t="s">
        <v>3</v>
      </c>
      <c r="K222" s="10" t="s">
        <v>76</v>
      </c>
      <c r="L222" s="14"/>
      <c r="M222" s="1"/>
      <c r="N222" s="1"/>
      <c r="O222" s="1"/>
      <c r="P222" s="1"/>
      <c r="Q222" s="1"/>
    </row>
    <row r="223" spans="1:17" ht="28.5">
      <c r="A223" s="10">
        <v>217</v>
      </c>
      <c r="B223" s="10" t="s">
        <v>915</v>
      </c>
      <c r="C223" s="10" t="s">
        <v>920</v>
      </c>
      <c r="D223" s="10" t="s">
        <v>921</v>
      </c>
      <c r="E223" s="10">
        <v>125</v>
      </c>
      <c r="F223" s="10" t="s">
        <v>918</v>
      </c>
      <c r="G223" s="12" t="s">
        <v>104</v>
      </c>
      <c r="H223" s="12" t="s">
        <v>105</v>
      </c>
      <c r="I223" s="12" t="s">
        <v>106</v>
      </c>
      <c r="J223" s="10" t="s">
        <v>123</v>
      </c>
      <c r="K223" s="10" t="s">
        <v>76</v>
      </c>
      <c r="L223" s="14"/>
      <c r="M223" s="1"/>
      <c r="N223" s="1"/>
      <c r="O223" s="1"/>
      <c r="P223" s="1"/>
      <c r="Q223" s="1"/>
    </row>
    <row r="224" spans="1:17">
      <c r="A224" s="10">
        <v>218</v>
      </c>
      <c r="B224" s="10" t="s">
        <v>915</v>
      </c>
      <c r="C224" s="10" t="s">
        <v>923</v>
      </c>
      <c r="D224" s="10" t="s">
        <v>924</v>
      </c>
      <c r="E224" s="10">
        <v>65</v>
      </c>
      <c r="F224" s="10" t="s">
        <v>918</v>
      </c>
      <c r="G224" s="12" t="s">
        <v>66</v>
      </c>
      <c r="H224" s="12" t="s">
        <v>67</v>
      </c>
      <c r="I224" s="12" t="s">
        <v>68</v>
      </c>
      <c r="J224" s="10" t="s">
        <v>308</v>
      </c>
      <c r="K224" s="10" t="s">
        <v>76</v>
      </c>
      <c r="L224" s="14"/>
      <c r="M224" s="1"/>
      <c r="N224" s="1"/>
      <c r="O224" s="1"/>
      <c r="P224" s="1"/>
      <c r="Q224" s="1"/>
    </row>
    <row r="225" spans="1:17" ht="28.5">
      <c r="A225" s="10">
        <v>219</v>
      </c>
      <c r="B225" s="10" t="s">
        <v>915</v>
      </c>
      <c r="C225" s="10" t="s">
        <v>925</v>
      </c>
      <c r="D225" s="10" t="s">
        <v>926</v>
      </c>
      <c r="E225" s="10">
        <v>3.5000000000000001E-3</v>
      </c>
      <c r="F225" s="10" t="s">
        <v>927</v>
      </c>
      <c r="G225" s="12" t="s">
        <v>104</v>
      </c>
      <c r="H225" s="12" t="s">
        <v>105</v>
      </c>
      <c r="I225" s="12" t="s">
        <v>106</v>
      </c>
      <c r="J225" s="10" t="s">
        <v>123</v>
      </c>
      <c r="K225" s="10" t="s">
        <v>76</v>
      </c>
      <c r="L225" s="14"/>
      <c r="M225" s="1"/>
      <c r="N225" s="1"/>
      <c r="O225" s="1"/>
      <c r="P225" s="1"/>
      <c r="Q225" s="1"/>
    </row>
    <row r="226" spans="1:17" ht="28.5">
      <c r="A226" s="10">
        <v>220</v>
      </c>
      <c r="B226" s="10" t="s">
        <v>296</v>
      </c>
      <c r="C226" s="10" t="s">
        <v>930</v>
      </c>
      <c r="D226" s="10" t="s">
        <v>931</v>
      </c>
      <c r="E226" s="10">
        <v>1E-3</v>
      </c>
      <c r="F226" s="10" t="s">
        <v>262</v>
      </c>
      <c r="G226" s="12" t="s">
        <v>104</v>
      </c>
      <c r="H226" s="12" t="s">
        <v>105</v>
      </c>
      <c r="I226" s="12" t="s">
        <v>106</v>
      </c>
      <c r="J226" s="10" t="s">
        <v>3</v>
      </c>
      <c r="K226" s="10" t="s">
        <v>76</v>
      </c>
      <c r="L226" s="14"/>
      <c r="M226" s="1"/>
      <c r="N226" s="1"/>
      <c r="O226" s="1"/>
      <c r="P226" s="1"/>
      <c r="Q226" s="1"/>
    </row>
    <row r="227" spans="1:17" ht="28.5">
      <c r="A227" s="10">
        <v>221</v>
      </c>
      <c r="B227" s="10" t="s">
        <v>296</v>
      </c>
      <c r="C227" s="10" t="s">
        <v>934</v>
      </c>
      <c r="D227" s="10" t="s">
        <v>935</v>
      </c>
      <c r="E227" s="10">
        <v>1E-3</v>
      </c>
      <c r="F227" s="10" t="s">
        <v>262</v>
      </c>
      <c r="G227" s="12" t="s">
        <v>104</v>
      </c>
      <c r="H227" s="12" t="s">
        <v>105</v>
      </c>
      <c r="I227" s="12" t="s">
        <v>106</v>
      </c>
      <c r="J227" s="10" t="s">
        <v>123</v>
      </c>
      <c r="K227" s="10" t="s">
        <v>76</v>
      </c>
      <c r="L227" s="14"/>
      <c r="M227" s="1"/>
      <c r="N227" s="1"/>
      <c r="O227" s="1"/>
      <c r="P227" s="1"/>
      <c r="Q227" s="1"/>
    </row>
    <row r="228" spans="1:17" ht="28.5">
      <c r="A228" s="10">
        <v>222</v>
      </c>
      <c r="B228" s="10" t="s">
        <v>296</v>
      </c>
      <c r="C228" s="10" t="s">
        <v>937</v>
      </c>
      <c r="D228" s="10" t="s">
        <v>938</v>
      </c>
      <c r="E228" s="10">
        <v>1</v>
      </c>
      <c r="F228" s="10" t="s">
        <v>86</v>
      </c>
      <c r="G228" s="12" t="s">
        <v>104</v>
      </c>
      <c r="H228" s="12" t="s">
        <v>105</v>
      </c>
      <c r="I228" s="12" t="s">
        <v>106</v>
      </c>
      <c r="J228" s="10" t="s">
        <v>3</v>
      </c>
      <c r="K228" s="10" t="s">
        <v>76</v>
      </c>
      <c r="L228" s="14"/>
      <c r="M228" s="1"/>
      <c r="N228" s="1"/>
      <c r="O228" s="1"/>
      <c r="P228" s="1"/>
      <c r="Q228" s="1"/>
    </row>
    <row r="229" spans="1:17" ht="28.5">
      <c r="A229" s="10">
        <v>223</v>
      </c>
      <c r="B229" s="10" t="s">
        <v>296</v>
      </c>
      <c r="C229" s="10" t="s">
        <v>941</v>
      </c>
      <c r="D229" s="10" t="s">
        <v>942</v>
      </c>
      <c r="E229" s="10">
        <v>0.08</v>
      </c>
      <c r="F229" s="10" t="s">
        <v>229</v>
      </c>
      <c r="G229" s="12" t="s">
        <v>104</v>
      </c>
      <c r="H229" s="12" t="s">
        <v>105</v>
      </c>
      <c r="I229" s="12" t="s">
        <v>106</v>
      </c>
      <c r="J229" s="10" t="s">
        <v>123</v>
      </c>
      <c r="K229" s="10" t="s">
        <v>76</v>
      </c>
      <c r="L229" s="14"/>
      <c r="M229" s="1"/>
      <c r="N229" s="1"/>
      <c r="O229" s="1"/>
      <c r="P229" s="1"/>
      <c r="Q229" s="1"/>
    </row>
    <row r="230" spans="1:17">
      <c r="A230" s="10">
        <v>224</v>
      </c>
      <c r="B230" s="10" t="s">
        <v>296</v>
      </c>
      <c r="C230" s="10" t="s">
        <v>944</v>
      </c>
      <c r="D230" s="10" t="s">
        <v>945</v>
      </c>
      <c r="E230" s="10">
        <v>0</v>
      </c>
      <c r="F230" s="10" t="s">
        <v>415</v>
      </c>
      <c r="G230" s="12" t="s">
        <v>419</v>
      </c>
      <c r="H230" s="12" t="s">
        <v>420</v>
      </c>
      <c r="I230" s="12" t="s">
        <v>421</v>
      </c>
      <c r="J230" s="10" t="s">
        <v>418</v>
      </c>
      <c r="K230" s="10" t="s">
        <v>76</v>
      </c>
      <c r="L230" s="14"/>
      <c r="M230" s="1"/>
      <c r="N230" s="1"/>
      <c r="O230" s="1"/>
      <c r="P230" s="1"/>
      <c r="Q230" s="1"/>
    </row>
    <row r="231" spans="1:17" ht="28.5">
      <c r="A231" s="10">
        <v>225</v>
      </c>
      <c r="B231" s="10" t="s">
        <v>296</v>
      </c>
      <c r="C231" s="10" t="s">
        <v>948</v>
      </c>
      <c r="D231" s="10" t="s">
        <v>949</v>
      </c>
      <c r="E231" s="10">
        <v>0.30099999999999999</v>
      </c>
      <c r="F231" s="10" t="s">
        <v>86</v>
      </c>
      <c r="G231" s="12" t="s">
        <v>104</v>
      </c>
      <c r="H231" s="12" t="s">
        <v>105</v>
      </c>
      <c r="I231" s="12" t="s">
        <v>106</v>
      </c>
      <c r="J231" s="10" t="s">
        <v>123</v>
      </c>
      <c r="K231" s="10" t="s">
        <v>76</v>
      </c>
      <c r="L231" s="14"/>
      <c r="M231" s="1"/>
      <c r="N231" s="1"/>
      <c r="O231" s="1"/>
      <c r="P231" s="1"/>
      <c r="Q231" s="1"/>
    </row>
    <row r="232" spans="1:17" ht="28.5">
      <c r="A232" s="10">
        <v>226</v>
      </c>
      <c r="B232" s="10" t="s">
        <v>296</v>
      </c>
      <c r="C232" s="10" t="s">
        <v>951</v>
      </c>
      <c r="D232" s="10" t="s">
        <v>952</v>
      </c>
      <c r="E232" s="10">
        <v>1.64</v>
      </c>
      <c r="F232" s="10" t="s">
        <v>86</v>
      </c>
      <c r="G232" s="12" t="s">
        <v>104</v>
      </c>
      <c r="H232" s="12" t="s">
        <v>105</v>
      </c>
      <c r="I232" s="12" t="s">
        <v>106</v>
      </c>
      <c r="J232" s="10" t="s">
        <v>123</v>
      </c>
      <c r="K232" s="10" t="s">
        <v>76</v>
      </c>
      <c r="L232" s="14"/>
      <c r="M232" s="1"/>
      <c r="N232" s="1"/>
      <c r="O232" s="1"/>
      <c r="P232" s="1"/>
      <c r="Q232" s="1"/>
    </row>
    <row r="233" spans="1:17" ht="28.5">
      <c r="A233" s="10">
        <v>227</v>
      </c>
      <c r="B233" s="10" t="s">
        <v>296</v>
      </c>
      <c r="C233" s="10" t="s">
        <v>955</v>
      </c>
      <c r="D233" s="10" t="s">
        <v>956</v>
      </c>
      <c r="E233" s="10">
        <v>1.5E-3</v>
      </c>
      <c r="F233" s="10" t="s">
        <v>262</v>
      </c>
      <c r="G233" s="12" t="s">
        <v>104</v>
      </c>
      <c r="H233" s="12" t="s">
        <v>105</v>
      </c>
      <c r="I233" s="12" t="s">
        <v>106</v>
      </c>
      <c r="J233" s="10" t="s">
        <v>3</v>
      </c>
      <c r="K233" s="10" t="s">
        <v>76</v>
      </c>
      <c r="L233" s="14"/>
      <c r="M233" s="1"/>
      <c r="N233" s="1"/>
      <c r="O233" s="1"/>
      <c r="P233" s="1"/>
      <c r="Q233" s="1"/>
    </row>
    <row r="234" spans="1:17" ht="28.5">
      <c r="A234" s="10">
        <v>228</v>
      </c>
      <c r="B234" s="10" t="s">
        <v>296</v>
      </c>
      <c r="C234" s="10" t="s">
        <v>959</v>
      </c>
      <c r="D234" s="10" t="s">
        <v>960</v>
      </c>
      <c r="E234" s="10">
        <v>6.6E-4</v>
      </c>
      <c r="F234" s="10" t="s">
        <v>262</v>
      </c>
      <c r="G234" s="12" t="s">
        <v>104</v>
      </c>
      <c r="H234" s="12" t="s">
        <v>105</v>
      </c>
      <c r="I234" s="12" t="s">
        <v>106</v>
      </c>
      <c r="J234" s="10" t="s">
        <v>123</v>
      </c>
      <c r="K234" s="10" t="s">
        <v>76</v>
      </c>
      <c r="L234" s="14"/>
      <c r="M234" s="1"/>
      <c r="N234" s="1"/>
      <c r="O234" s="1"/>
      <c r="P234" s="1"/>
      <c r="Q234" s="1"/>
    </row>
    <row r="235" spans="1:17">
      <c r="A235" s="10">
        <v>229</v>
      </c>
      <c r="B235" s="10" t="s">
        <v>296</v>
      </c>
      <c r="C235" s="10" t="s">
        <v>962</v>
      </c>
      <c r="D235" s="10" t="s">
        <v>963</v>
      </c>
      <c r="E235" s="10">
        <v>1</v>
      </c>
      <c r="F235" s="10" t="s">
        <v>86</v>
      </c>
      <c r="G235" s="12" t="s">
        <v>419</v>
      </c>
      <c r="H235" s="12" t="s">
        <v>420</v>
      </c>
      <c r="I235" s="12" t="s">
        <v>421</v>
      </c>
      <c r="J235" s="10" t="s">
        <v>3</v>
      </c>
      <c r="K235" s="10" t="s">
        <v>76</v>
      </c>
      <c r="L235" s="14"/>
      <c r="M235" s="1"/>
      <c r="N235" s="1"/>
      <c r="O235" s="1"/>
      <c r="P235" s="1"/>
      <c r="Q235" s="1"/>
    </row>
    <row r="236" spans="1:17" ht="28.5">
      <c r="A236" s="10">
        <v>230</v>
      </c>
      <c r="B236" s="10" t="s">
        <v>296</v>
      </c>
      <c r="C236" s="10" t="s">
        <v>966</v>
      </c>
      <c r="D236" s="10" t="s">
        <v>967</v>
      </c>
      <c r="E236" s="10">
        <v>3.5000000000000003E-2</v>
      </c>
      <c r="F236" s="10" t="s">
        <v>968</v>
      </c>
      <c r="G236" s="12" t="s">
        <v>104</v>
      </c>
      <c r="H236" s="12" t="s">
        <v>105</v>
      </c>
      <c r="I236" s="12" t="s">
        <v>106</v>
      </c>
      <c r="J236" s="10" t="s">
        <v>123</v>
      </c>
      <c r="K236" s="10" t="s">
        <v>76</v>
      </c>
      <c r="L236" s="14"/>
      <c r="M236" s="1"/>
      <c r="N236" s="1"/>
      <c r="O236" s="1"/>
      <c r="P236" s="1"/>
      <c r="Q236" s="1"/>
    </row>
    <row r="237" spans="1:17">
      <c r="A237" s="10">
        <v>231</v>
      </c>
      <c r="B237" s="10" t="s">
        <v>971</v>
      </c>
      <c r="C237" s="10" t="s">
        <v>972</v>
      </c>
      <c r="D237" s="10" t="s">
        <v>973</v>
      </c>
      <c r="E237" s="10">
        <v>0</v>
      </c>
      <c r="F237" s="10" t="s">
        <v>415</v>
      </c>
      <c r="G237" s="12" t="s">
        <v>419</v>
      </c>
      <c r="H237" s="12" t="s">
        <v>420</v>
      </c>
      <c r="I237" s="12" t="s">
        <v>421</v>
      </c>
      <c r="J237" s="10" t="s">
        <v>418</v>
      </c>
      <c r="K237" s="10" t="s">
        <v>76</v>
      </c>
      <c r="L237" s="14"/>
      <c r="M237" s="1"/>
      <c r="N237" s="1"/>
      <c r="O237" s="1"/>
      <c r="P237" s="1"/>
      <c r="Q237" s="1"/>
    </row>
    <row r="238" spans="1:17" ht="28.5">
      <c r="A238" s="10">
        <v>232</v>
      </c>
      <c r="B238" s="10" t="s">
        <v>971</v>
      </c>
      <c r="C238" s="10" t="s">
        <v>976</v>
      </c>
      <c r="D238" s="10" t="s">
        <v>977</v>
      </c>
      <c r="E238" s="10">
        <v>0.18</v>
      </c>
      <c r="F238" s="10" t="s">
        <v>229</v>
      </c>
      <c r="G238" s="12" t="s">
        <v>104</v>
      </c>
      <c r="H238" s="12" t="s">
        <v>105</v>
      </c>
      <c r="I238" s="12" t="s">
        <v>106</v>
      </c>
      <c r="J238" s="10" t="s">
        <v>123</v>
      </c>
      <c r="K238" s="10" t="s">
        <v>76</v>
      </c>
      <c r="L238" s="14"/>
      <c r="M238" s="1"/>
      <c r="N238" s="1"/>
      <c r="O238" s="1"/>
      <c r="P238" s="1"/>
      <c r="Q238" s="1"/>
    </row>
    <row r="239" spans="1:17" ht="28.5">
      <c r="A239" s="10">
        <v>233</v>
      </c>
      <c r="B239" s="10" t="s">
        <v>971</v>
      </c>
      <c r="C239" s="10" t="s">
        <v>979</v>
      </c>
      <c r="D239" s="10" t="s">
        <v>980</v>
      </c>
      <c r="E239" s="10">
        <v>0.75</v>
      </c>
      <c r="F239" s="10" t="s">
        <v>86</v>
      </c>
      <c r="G239" s="12" t="s">
        <v>104</v>
      </c>
      <c r="H239" s="12" t="s">
        <v>105</v>
      </c>
      <c r="I239" s="12" t="s">
        <v>106</v>
      </c>
      <c r="J239" s="10" t="s">
        <v>123</v>
      </c>
      <c r="K239" s="10" t="s">
        <v>76</v>
      </c>
      <c r="L239" s="14"/>
      <c r="M239" s="1"/>
      <c r="N239" s="1"/>
      <c r="O239" s="1"/>
      <c r="P239" s="1"/>
      <c r="Q239" s="1"/>
    </row>
    <row r="240" spans="1:17" ht="28.5">
      <c r="A240" s="10">
        <v>234</v>
      </c>
      <c r="B240" s="10" t="s">
        <v>971</v>
      </c>
      <c r="C240" s="10" t="s">
        <v>982</v>
      </c>
      <c r="D240" s="10" t="s">
        <v>983</v>
      </c>
      <c r="E240" s="10">
        <v>120</v>
      </c>
      <c r="F240" s="10" t="s">
        <v>984</v>
      </c>
      <c r="G240" s="12" t="s">
        <v>104</v>
      </c>
      <c r="H240" s="12" t="s">
        <v>105</v>
      </c>
      <c r="I240" s="12" t="s">
        <v>106</v>
      </c>
      <c r="J240" s="10" t="s">
        <v>123</v>
      </c>
      <c r="K240" s="10" t="s">
        <v>76</v>
      </c>
      <c r="L240" s="14"/>
      <c r="M240" s="1"/>
      <c r="N240" s="1"/>
      <c r="O240" s="1"/>
      <c r="P240" s="1"/>
      <c r="Q240" s="1"/>
    </row>
    <row r="241" spans="1:17">
      <c r="A241" s="10">
        <v>235</v>
      </c>
      <c r="B241" s="10" t="s">
        <v>789</v>
      </c>
      <c r="C241" s="10" t="s">
        <v>3127</v>
      </c>
      <c r="D241" s="10" t="s">
        <v>987</v>
      </c>
      <c r="E241" s="10">
        <v>1</v>
      </c>
      <c r="F241" s="10" t="s">
        <v>415</v>
      </c>
      <c r="G241" s="12" t="s">
        <v>419</v>
      </c>
      <c r="H241" s="12" t="s">
        <v>420</v>
      </c>
      <c r="I241" s="12" t="s">
        <v>421</v>
      </c>
      <c r="J241" s="10" t="s">
        <v>418</v>
      </c>
      <c r="K241" s="10" t="s">
        <v>76</v>
      </c>
      <c r="L241" s="14"/>
      <c r="M241" s="1"/>
      <c r="N241" s="1"/>
      <c r="O241" s="1"/>
      <c r="P241" s="1"/>
      <c r="Q241" s="1"/>
    </row>
    <row r="242" spans="1:17" ht="28.5">
      <c r="A242" s="10">
        <v>236</v>
      </c>
      <c r="B242" s="10" t="s">
        <v>789</v>
      </c>
      <c r="C242" s="10" t="s">
        <v>989</v>
      </c>
      <c r="D242" s="10" t="s">
        <v>990</v>
      </c>
      <c r="E242" s="10">
        <v>0.08</v>
      </c>
      <c r="F242" s="10" t="s">
        <v>229</v>
      </c>
      <c r="G242" s="12" t="s">
        <v>104</v>
      </c>
      <c r="H242" s="12" t="s">
        <v>105</v>
      </c>
      <c r="I242" s="12" t="s">
        <v>106</v>
      </c>
      <c r="J242" s="10" t="s">
        <v>123</v>
      </c>
      <c r="K242" s="10" t="s">
        <v>76</v>
      </c>
      <c r="L242" s="14"/>
      <c r="M242" s="1"/>
      <c r="N242" s="1"/>
      <c r="O242" s="1"/>
      <c r="P242" s="1"/>
      <c r="Q242" s="1"/>
    </row>
    <row r="243" spans="1:17" ht="28.5">
      <c r="A243" s="10">
        <v>237</v>
      </c>
      <c r="B243" s="10" t="s">
        <v>789</v>
      </c>
      <c r="C243" s="10" t="s">
        <v>993</v>
      </c>
      <c r="D243" s="10" t="s">
        <v>994</v>
      </c>
      <c r="E243" s="10">
        <v>0.65</v>
      </c>
      <c r="F243" s="10" t="s">
        <v>86</v>
      </c>
      <c r="G243" s="12" t="s">
        <v>104</v>
      </c>
      <c r="H243" s="12" t="s">
        <v>105</v>
      </c>
      <c r="I243" s="12" t="s">
        <v>106</v>
      </c>
      <c r="J243" s="10" t="s">
        <v>123</v>
      </c>
      <c r="K243" s="10" t="s">
        <v>76</v>
      </c>
      <c r="L243" s="14"/>
      <c r="M243" s="1"/>
      <c r="N243" s="1"/>
      <c r="O243" s="1"/>
      <c r="P243" s="1"/>
      <c r="Q243" s="1"/>
    </row>
    <row r="244" spans="1:17" ht="28.5">
      <c r="A244" s="10">
        <v>238</v>
      </c>
      <c r="B244" s="10" t="s">
        <v>789</v>
      </c>
      <c r="C244" s="10" t="s">
        <v>996</v>
      </c>
      <c r="D244" s="10" t="s">
        <v>997</v>
      </c>
      <c r="E244" s="10">
        <v>0.3</v>
      </c>
      <c r="F244" s="10" t="s">
        <v>86</v>
      </c>
      <c r="G244" s="12" t="s">
        <v>104</v>
      </c>
      <c r="H244" s="12" t="s">
        <v>105</v>
      </c>
      <c r="I244" s="12" t="s">
        <v>106</v>
      </c>
      <c r="J244" s="10" t="s">
        <v>123</v>
      </c>
      <c r="K244" s="10" t="s">
        <v>76</v>
      </c>
      <c r="L244" s="14"/>
      <c r="M244" s="1"/>
      <c r="N244" s="1"/>
      <c r="O244" s="1"/>
      <c r="P244" s="1"/>
      <c r="Q244" s="1"/>
    </row>
    <row r="245" spans="1:17">
      <c r="A245" s="10">
        <v>239</v>
      </c>
      <c r="B245" s="10" t="s">
        <v>999</v>
      </c>
      <c r="C245" s="10" t="s">
        <v>1000</v>
      </c>
      <c r="D245" s="10" t="s">
        <v>1001</v>
      </c>
      <c r="E245" s="10">
        <v>4</v>
      </c>
      <c r="F245" s="10" t="s">
        <v>415</v>
      </c>
      <c r="G245" s="12" t="s">
        <v>419</v>
      </c>
      <c r="H245" s="12" t="s">
        <v>420</v>
      </c>
      <c r="I245" s="12" t="s">
        <v>421</v>
      </c>
      <c r="J245" s="10" t="s">
        <v>418</v>
      </c>
      <c r="K245" s="10" t="s">
        <v>76</v>
      </c>
      <c r="L245" s="14"/>
      <c r="M245" s="1"/>
      <c r="N245" s="1"/>
      <c r="O245" s="1"/>
      <c r="P245" s="1"/>
      <c r="Q245" s="1"/>
    </row>
    <row r="246" spans="1:17" ht="28.5">
      <c r="A246" s="10">
        <v>240</v>
      </c>
      <c r="B246" s="10" t="s">
        <v>999</v>
      </c>
      <c r="C246" s="10" t="s">
        <v>1004</v>
      </c>
      <c r="D246" s="10" t="s">
        <v>1005</v>
      </c>
      <c r="E246" s="10">
        <v>0.12</v>
      </c>
      <c r="F246" s="10" t="s">
        <v>229</v>
      </c>
      <c r="G246" s="12" t="s">
        <v>104</v>
      </c>
      <c r="H246" s="12" t="s">
        <v>105</v>
      </c>
      <c r="I246" s="12" t="s">
        <v>106</v>
      </c>
      <c r="J246" s="10" t="s">
        <v>123</v>
      </c>
      <c r="K246" s="10" t="s">
        <v>76</v>
      </c>
      <c r="L246" s="14"/>
      <c r="M246" s="1"/>
      <c r="N246" s="1"/>
      <c r="O246" s="1"/>
      <c r="P246" s="1"/>
      <c r="Q246" s="1"/>
    </row>
    <row r="247" spans="1:17" ht="28.5">
      <c r="A247" s="10">
        <v>241</v>
      </c>
      <c r="B247" s="10" t="s">
        <v>999</v>
      </c>
      <c r="C247" s="10" t="s">
        <v>1008</v>
      </c>
      <c r="D247" s="10" t="s">
        <v>1009</v>
      </c>
      <c r="E247" s="10">
        <v>0.35</v>
      </c>
      <c r="F247" s="10" t="s">
        <v>86</v>
      </c>
      <c r="G247" s="12" t="s">
        <v>104</v>
      </c>
      <c r="H247" s="12" t="s">
        <v>105</v>
      </c>
      <c r="I247" s="12" t="s">
        <v>106</v>
      </c>
      <c r="J247" s="10" t="s">
        <v>123</v>
      </c>
      <c r="K247" s="10" t="s">
        <v>76</v>
      </c>
      <c r="L247" s="14"/>
      <c r="M247" s="1"/>
      <c r="N247" s="1"/>
      <c r="O247" s="1"/>
      <c r="P247" s="1"/>
      <c r="Q247" s="1"/>
    </row>
    <row r="248" spans="1:17" ht="28.5">
      <c r="A248" s="10">
        <v>242</v>
      </c>
      <c r="B248" s="10" t="s">
        <v>1012</v>
      </c>
      <c r="C248" s="10" t="s">
        <v>1013</v>
      </c>
      <c r="D248" s="10" t="s">
        <v>1014</v>
      </c>
      <c r="E248" s="10">
        <v>5.0000000000000001E-4</v>
      </c>
      <c r="F248" s="10" t="s">
        <v>1015</v>
      </c>
      <c r="G248" s="12" t="s">
        <v>104</v>
      </c>
      <c r="H248" s="12" t="s">
        <v>105</v>
      </c>
      <c r="I248" s="12" t="s">
        <v>106</v>
      </c>
      <c r="J248" s="10" t="s">
        <v>3</v>
      </c>
      <c r="K248" s="10" t="s">
        <v>76</v>
      </c>
      <c r="L248" s="14"/>
      <c r="M248" s="1"/>
      <c r="N248" s="1"/>
      <c r="O248" s="1"/>
      <c r="P248" s="1"/>
      <c r="Q248" s="1"/>
    </row>
    <row r="249" spans="1:17" ht="28.5">
      <c r="A249" s="10">
        <v>243</v>
      </c>
      <c r="B249" s="10" t="s">
        <v>1012</v>
      </c>
      <c r="C249" s="10" t="s">
        <v>1018</v>
      </c>
      <c r="D249" s="10" t="s">
        <v>1019</v>
      </c>
      <c r="E249" s="10">
        <v>5.0000000000000001E-4</v>
      </c>
      <c r="F249" s="10" t="s">
        <v>1015</v>
      </c>
      <c r="G249" s="12" t="s">
        <v>104</v>
      </c>
      <c r="H249" s="12" t="s">
        <v>105</v>
      </c>
      <c r="I249" s="12" t="s">
        <v>106</v>
      </c>
      <c r="J249" s="10" t="s">
        <v>123</v>
      </c>
      <c r="K249" s="10" t="s">
        <v>76</v>
      </c>
      <c r="L249" s="14"/>
      <c r="M249" s="1"/>
      <c r="N249" s="1"/>
      <c r="O249" s="1"/>
      <c r="P249" s="1"/>
      <c r="Q249" s="1"/>
    </row>
    <row r="250" spans="1:17" ht="28.5">
      <c r="A250" s="10">
        <v>244</v>
      </c>
      <c r="B250" s="10" t="s">
        <v>1012</v>
      </c>
      <c r="C250" s="10" t="s">
        <v>1022</v>
      </c>
      <c r="D250" s="10" t="s">
        <v>1023</v>
      </c>
      <c r="E250" s="10">
        <v>3.5000000000000003E-2</v>
      </c>
      <c r="F250" s="10" t="s">
        <v>229</v>
      </c>
      <c r="G250" s="12" t="s">
        <v>104</v>
      </c>
      <c r="H250" s="12" t="s">
        <v>105</v>
      </c>
      <c r="I250" s="12" t="s">
        <v>106</v>
      </c>
      <c r="J250" s="10" t="s">
        <v>123</v>
      </c>
      <c r="K250" s="10" t="s">
        <v>76</v>
      </c>
      <c r="L250" s="14"/>
      <c r="M250" s="1"/>
      <c r="N250" s="1"/>
      <c r="O250" s="1"/>
      <c r="P250" s="1"/>
      <c r="Q250" s="1"/>
    </row>
    <row r="251" spans="1:17">
      <c r="A251" s="10">
        <v>245</v>
      </c>
      <c r="B251" s="10" t="s">
        <v>1012</v>
      </c>
      <c r="C251" s="10" t="s">
        <v>1025</v>
      </c>
      <c r="D251" s="10" t="s">
        <v>1026</v>
      </c>
      <c r="E251" s="10">
        <v>4</v>
      </c>
      <c r="F251" s="10" t="s">
        <v>1027</v>
      </c>
      <c r="G251" s="12" t="s">
        <v>419</v>
      </c>
      <c r="H251" s="12" t="s">
        <v>420</v>
      </c>
      <c r="I251" s="12" t="s">
        <v>421</v>
      </c>
      <c r="J251" s="10" t="s">
        <v>418</v>
      </c>
      <c r="K251" s="10" t="s">
        <v>76</v>
      </c>
      <c r="L251" s="14" t="s">
        <v>1029</v>
      </c>
      <c r="M251" s="1"/>
      <c r="N251" s="1"/>
      <c r="O251" s="1"/>
      <c r="P251" s="1"/>
      <c r="Q251" s="1"/>
    </row>
    <row r="252" spans="1:17" ht="28.5">
      <c r="A252" s="10">
        <v>246</v>
      </c>
      <c r="B252" s="10" t="s">
        <v>1012</v>
      </c>
      <c r="C252" s="10" t="s">
        <v>1030</v>
      </c>
      <c r="D252" s="10" t="s">
        <v>1031</v>
      </c>
      <c r="E252" s="10">
        <v>0.08</v>
      </c>
      <c r="F252" s="10" t="s">
        <v>229</v>
      </c>
      <c r="G252" s="12" t="s">
        <v>104</v>
      </c>
      <c r="H252" s="12" t="s">
        <v>105</v>
      </c>
      <c r="I252" s="12" t="s">
        <v>106</v>
      </c>
      <c r="J252" s="10" t="s">
        <v>123</v>
      </c>
      <c r="K252" s="10" t="s">
        <v>76</v>
      </c>
      <c r="L252" s="14"/>
      <c r="M252" s="1"/>
      <c r="N252" s="1"/>
      <c r="O252" s="1"/>
      <c r="P252" s="1"/>
      <c r="Q252" s="1"/>
    </row>
    <row r="253" spans="1:17" ht="28.5">
      <c r="A253" s="10">
        <v>247</v>
      </c>
      <c r="B253" s="10" t="s">
        <v>1012</v>
      </c>
      <c r="C253" s="10" t="s">
        <v>1034</v>
      </c>
      <c r="D253" s="10" t="s">
        <v>1035</v>
      </c>
      <c r="E253" s="10">
        <v>0.06</v>
      </c>
      <c r="F253" s="10" t="s">
        <v>229</v>
      </c>
      <c r="G253" s="12" t="s">
        <v>104</v>
      </c>
      <c r="H253" s="12" t="s">
        <v>105</v>
      </c>
      <c r="I253" s="12" t="s">
        <v>106</v>
      </c>
      <c r="J253" s="10" t="s">
        <v>123</v>
      </c>
      <c r="K253" s="10" t="s">
        <v>76</v>
      </c>
      <c r="L253" s="14"/>
      <c r="M253" s="1"/>
      <c r="N253" s="1"/>
      <c r="O253" s="1"/>
      <c r="P253" s="1"/>
      <c r="Q253" s="1"/>
    </row>
    <row r="254" spans="1:17" ht="28.5">
      <c r="A254" s="10">
        <v>248</v>
      </c>
      <c r="B254" s="10" t="s">
        <v>1037</v>
      </c>
      <c r="C254" s="10" t="s">
        <v>1038</v>
      </c>
      <c r="D254" s="10" t="s">
        <v>1039</v>
      </c>
      <c r="E254" s="10">
        <v>1</v>
      </c>
      <c r="F254" s="10" t="s">
        <v>415</v>
      </c>
      <c r="G254" s="12" t="s">
        <v>104</v>
      </c>
      <c r="H254" s="12" t="s">
        <v>105</v>
      </c>
      <c r="I254" s="12" t="s">
        <v>106</v>
      </c>
      <c r="J254" s="10" t="s">
        <v>418</v>
      </c>
      <c r="K254" s="10" t="s">
        <v>76</v>
      </c>
      <c r="L254" s="14"/>
      <c r="M254" s="1"/>
      <c r="N254" s="1"/>
      <c r="O254" s="1"/>
      <c r="P254" s="1"/>
      <c r="Q254" s="1"/>
    </row>
    <row r="255" spans="1:17" ht="28.5">
      <c r="A255" s="10">
        <v>249</v>
      </c>
      <c r="B255" s="10" t="s">
        <v>1037</v>
      </c>
      <c r="C255" s="10" t="s">
        <v>1042</v>
      </c>
      <c r="D255" s="10" t="s">
        <v>1043</v>
      </c>
      <c r="E255" s="10">
        <v>0.09</v>
      </c>
      <c r="F255" s="10" t="s">
        <v>229</v>
      </c>
      <c r="G255" s="12" t="s">
        <v>104</v>
      </c>
      <c r="H255" s="12" t="s">
        <v>105</v>
      </c>
      <c r="I255" s="12" t="s">
        <v>106</v>
      </c>
      <c r="J255" s="10" t="s">
        <v>123</v>
      </c>
      <c r="K255" s="10" t="s">
        <v>76</v>
      </c>
      <c r="L255" s="14"/>
      <c r="M255" s="1"/>
      <c r="N255" s="1"/>
      <c r="O255" s="1"/>
      <c r="P255" s="1"/>
      <c r="Q255" s="1"/>
    </row>
    <row r="256" spans="1:17" ht="28.5">
      <c r="A256" s="10">
        <v>250</v>
      </c>
      <c r="B256" s="10" t="s">
        <v>1037</v>
      </c>
      <c r="C256" s="10" t="s">
        <v>1046</v>
      </c>
      <c r="D256" s="10" t="s">
        <v>1047</v>
      </c>
      <c r="E256" s="10">
        <v>0.04</v>
      </c>
      <c r="F256" s="10" t="s">
        <v>229</v>
      </c>
      <c r="G256" s="12" t="s">
        <v>104</v>
      </c>
      <c r="H256" s="12" t="s">
        <v>105</v>
      </c>
      <c r="I256" s="12" t="s">
        <v>106</v>
      </c>
      <c r="J256" s="10" t="s">
        <v>123</v>
      </c>
      <c r="K256" s="10" t="s">
        <v>76</v>
      </c>
      <c r="L256" s="14"/>
      <c r="M256" s="1"/>
      <c r="N256" s="1"/>
      <c r="O256" s="1"/>
      <c r="P256" s="1"/>
      <c r="Q256" s="1"/>
    </row>
    <row r="257" spans="1:17" ht="28.5">
      <c r="A257" s="10">
        <v>251</v>
      </c>
      <c r="B257" s="10" t="s">
        <v>1049</v>
      </c>
      <c r="C257" s="10" t="s">
        <v>1050</v>
      </c>
      <c r="D257" s="10" t="s">
        <v>1051</v>
      </c>
      <c r="E257" s="10">
        <v>1</v>
      </c>
      <c r="F257" s="10" t="s">
        <v>415</v>
      </c>
      <c r="G257" s="12" t="s">
        <v>104</v>
      </c>
      <c r="H257" s="12" t="s">
        <v>105</v>
      </c>
      <c r="I257" s="12" t="s">
        <v>106</v>
      </c>
      <c r="J257" s="10" t="s">
        <v>418</v>
      </c>
      <c r="K257" s="10" t="s">
        <v>76</v>
      </c>
      <c r="L257" s="14"/>
      <c r="M257" s="1"/>
      <c r="N257" s="1"/>
      <c r="O257" s="1"/>
      <c r="P257" s="1"/>
      <c r="Q257" s="1"/>
    </row>
    <row r="258" spans="1:17" ht="28.5">
      <c r="A258" s="10">
        <v>252</v>
      </c>
      <c r="B258" s="10" t="s">
        <v>1049</v>
      </c>
      <c r="C258" s="10" t="s">
        <v>1054</v>
      </c>
      <c r="D258" s="10" t="s">
        <v>1055</v>
      </c>
      <c r="E258" s="10">
        <v>2.5000000000000001E-2</v>
      </c>
      <c r="F258" s="10" t="s">
        <v>229</v>
      </c>
      <c r="G258" s="12" t="s">
        <v>104</v>
      </c>
      <c r="H258" s="12" t="s">
        <v>105</v>
      </c>
      <c r="I258" s="12" t="s">
        <v>106</v>
      </c>
      <c r="J258" s="10" t="s">
        <v>123</v>
      </c>
      <c r="K258" s="10" t="s">
        <v>76</v>
      </c>
      <c r="L258" s="14"/>
      <c r="M258" s="1"/>
      <c r="N258" s="1"/>
      <c r="O258" s="1"/>
      <c r="P258" s="1"/>
      <c r="Q258" s="1"/>
    </row>
    <row r="259" spans="1:17" ht="28.5">
      <c r="A259" s="10">
        <v>253</v>
      </c>
      <c r="B259" s="10" t="s">
        <v>1049</v>
      </c>
      <c r="C259" s="10" t="s">
        <v>1058</v>
      </c>
      <c r="D259" s="10" t="s">
        <v>1059</v>
      </c>
      <c r="E259" s="10">
        <v>0.08</v>
      </c>
      <c r="F259" s="10" t="s">
        <v>86</v>
      </c>
      <c r="G259" s="12" t="s">
        <v>104</v>
      </c>
      <c r="H259" s="12" t="s">
        <v>105</v>
      </c>
      <c r="I259" s="12" t="s">
        <v>106</v>
      </c>
      <c r="J259" s="10" t="s">
        <v>123</v>
      </c>
      <c r="K259" s="10" t="s">
        <v>76</v>
      </c>
      <c r="L259" s="14"/>
      <c r="M259" s="1"/>
      <c r="N259" s="1"/>
      <c r="O259" s="1"/>
      <c r="P259" s="1"/>
      <c r="Q259" s="1"/>
    </row>
    <row r="260" spans="1:17">
      <c r="A260" s="10">
        <v>254</v>
      </c>
      <c r="B260" s="10" t="s">
        <v>1049</v>
      </c>
      <c r="C260" s="10" t="s">
        <v>1061</v>
      </c>
      <c r="D260" s="10" t="s">
        <v>1062</v>
      </c>
      <c r="E260" s="10">
        <v>0</v>
      </c>
      <c r="F260" s="10" t="s">
        <v>415</v>
      </c>
      <c r="G260" s="12" t="s">
        <v>419</v>
      </c>
      <c r="H260" s="12" t="s">
        <v>420</v>
      </c>
      <c r="I260" s="12" t="s">
        <v>421</v>
      </c>
      <c r="J260" s="10" t="s">
        <v>418</v>
      </c>
      <c r="K260" s="10" t="s">
        <v>76</v>
      </c>
      <c r="L260" s="14"/>
      <c r="M260" s="1"/>
      <c r="N260" s="1"/>
      <c r="O260" s="1"/>
      <c r="P260" s="1"/>
      <c r="Q260" s="1"/>
    </row>
    <row r="261" spans="1:17" ht="28.5">
      <c r="A261" s="10">
        <v>255</v>
      </c>
      <c r="B261" s="10" t="s">
        <v>1049</v>
      </c>
      <c r="C261" s="10" t="s">
        <v>1065</v>
      </c>
      <c r="D261" s="10" t="s">
        <v>1066</v>
      </c>
      <c r="E261" s="10">
        <v>0.45</v>
      </c>
      <c r="F261" s="10" t="s">
        <v>86</v>
      </c>
      <c r="G261" s="12" t="s">
        <v>104</v>
      </c>
      <c r="H261" s="12" t="s">
        <v>105</v>
      </c>
      <c r="I261" s="12" t="s">
        <v>106</v>
      </c>
      <c r="J261" s="10" t="s">
        <v>123</v>
      </c>
      <c r="K261" s="10" t="s">
        <v>76</v>
      </c>
      <c r="L261" s="14"/>
      <c r="M261" s="1"/>
      <c r="N261" s="1"/>
      <c r="O261" s="1"/>
      <c r="P261" s="1"/>
      <c r="Q261" s="1"/>
    </row>
    <row r="262" spans="1:17" ht="28.5">
      <c r="A262" s="10">
        <v>256</v>
      </c>
      <c r="B262" s="10" t="s">
        <v>1049</v>
      </c>
      <c r="C262" s="10" t="s">
        <v>1068</v>
      </c>
      <c r="D262" s="10" t="s">
        <v>1069</v>
      </c>
      <c r="E262" s="10">
        <v>3.5000000000000003E-2</v>
      </c>
      <c r="F262" s="10" t="s">
        <v>229</v>
      </c>
      <c r="G262" s="12" t="s">
        <v>104</v>
      </c>
      <c r="H262" s="12" t="s">
        <v>105</v>
      </c>
      <c r="I262" s="12" t="s">
        <v>106</v>
      </c>
      <c r="J262" s="10" t="s">
        <v>123</v>
      </c>
      <c r="K262" s="10" t="s">
        <v>76</v>
      </c>
      <c r="L262" s="14"/>
      <c r="M262" s="1"/>
      <c r="N262" s="1"/>
      <c r="O262" s="1"/>
      <c r="P262" s="1"/>
      <c r="Q262" s="1"/>
    </row>
    <row r="263" spans="1:17" ht="28.5">
      <c r="A263" s="10">
        <v>257</v>
      </c>
      <c r="B263" s="10" t="s">
        <v>1049</v>
      </c>
      <c r="C263" s="10" t="s">
        <v>1072</v>
      </c>
      <c r="D263" s="10" t="s">
        <v>1073</v>
      </c>
      <c r="E263" s="10">
        <v>25</v>
      </c>
      <c r="F263" s="10" t="s">
        <v>984</v>
      </c>
      <c r="G263" s="12" t="s">
        <v>104</v>
      </c>
      <c r="H263" s="12" t="s">
        <v>105</v>
      </c>
      <c r="I263" s="12" t="s">
        <v>106</v>
      </c>
      <c r="J263" s="10" t="s">
        <v>123</v>
      </c>
      <c r="K263" s="10" t="s">
        <v>76</v>
      </c>
      <c r="L263" s="14"/>
      <c r="M263" s="1"/>
      <c r="N263" s="1"/>
      <c r="O263" s="1"/>
      <c r="P263" s="1"/>
      <c r="Q263" s="1"/>
    </row>
    <row r="264" spans="1:17">
      <c r="A264" s="10">
        <v>258</v>
      </c>
      <c r="B264" s="10" t="s">
        <v>1075</v>
      </c>
      <c r="C264" s="10" t="s">
        <v>1076</v>
      </c>
      <c r="D264" s="10" t="s">
        <v>1077</v>
      </c>
      <c r="E264" s="10">
        <v>0</v>
      </c>
      <c r="F264" s="10" t="s">
        <v>415</v>
      </c>
      <c r="G264" s="12" t="s">
        <v>419</v>
      </c>
      <c r="H264" s="12" t="s">
        <v>420</v>
      </c>
      <c r="I264" s="12" t="s">
        <v>421</v>
      </c>
      <c r="J264" s="10" t="s">
        <v>418</v>
      </c>
      <c r="K264" s="10" t="s">
        <v>76</v>
      </c>
      <c r="L264" s="14"/>
      <c r="M264" s="1"/>
      <c r="N264" s="1"/>
      <c r="O264" s="1"/>
      <c r="P264" s="1"/>
      <c r="Q264" s="1"/>
    </row>
    <row r="265" spans="1:17" ht="28.5">
      <c r="A265" s="10">
        <v>259</v>
      </c>
      <c r="B265" s="10" t="s">
        <v>1075</v>
      </c>
      <c r="C265" s="10" t="s">
        <v>1080</v>
      </c>
      <c r="D265" s="10" t="s">
        <v>1081</v>
      </c>
      <c r="E265" s="10">
        <v>0.3</v>
      </c>
      <c r="F265" s="10" t="s">
        <v>86</v>
      </c>
      <c r="G265" s="12" t="s">
        <v>104</v>
      </c>
      <c r="H265" s="12" t="s">
        <v>105</v>
      </c>
      <c r="I265" s="12" t="s">
        <v>106</v>
      </c>
      <c r="J265" s="10" t="s">
        <v>123</v>
      </c>
      <c r="K265" s="10" t="s">
        <v>76</v>
      </c>
      <c r="L265" s="14"/>
      <c r="M265" s="1"/>
      <c r="N265" s="1"/>
      <c r="O265" s="1"/>
      <c r="P265" s="1"/>
      <c r="Q265" s="1"/>
    </row>
    <row r="266" spans="1:17" ht="28.5">
      <c r="A266" s="10">
        <v>260</v>
      </c>
      <c r="B266" s="10" t="s">
        <v>1075</v>
      </c>
      <c r="C266" s="10" t="s">
        <v>1084</v>
      </c>
      <c r="D266" s="10" t="s">
        <v>1085</v>
      </c>
      <c r="E266" s="10">
        <v>0.06</v>
      </c>
      <c r="F266" s="10" t="s">
        <v>229</v>
      </c>
      <c r="G266" s="12" t="s">
        <v>104</v>
      </c>
      <c r="H266" s="12" t="s">
        <v>105</v>
      </c>
      <c r="I266" s="12" t="s">
        <v>106</v>
      </c>
      <c r="J266" s="10" t="s">
        <v>123</v>
      </c>
      <c r="K266" s="10" t="s">
        <v>76</v>
      </c>
      <c r="L266" s="14"/>
      <c r="M266" s="1"/>
      <c r="N266" s="1"/>
      <c r="O266" s="1"/>
      <c r="P266" s="1"/>
      <c r="Q266" s="1"/>
    </row>
    <row r="267" spans="1:17" ht="28.5">
      <c r="A267" s="10">
        <v>261</v>
      </c>
      <c r="B267" s="10" t="s">
        <v>1075</v>
      </c>
      <c r="C267" s="10" t="s">
        <v>1088</v>
      </c>
      <c r="D267" s="10" t="s">
        <v>1089</v>
      </c>
      <c r="E267" s="10">
        <v>0.18</v>
      </c>
      <c r="F267" s="10" t="s">
        <v>229</v>
      </c>
      <c r="G267" s="12" t="s">
        <v>104</v>
      </c>
      <c r="H267" s="12" t="s">
        <v>105</v>
      </c>
      <c r="I267" s="12" t="s">
        <v>106</v>
      </c>
      <c r="J267" s="10" t="s">
        <v>123</v>
      </c>
      <c r="K267" s="10" t="s">
        <v>76</v>
      </c>
      <c r="L267" s="14"/>
      <c r="M267" s="1"/>
      <c r="N267" s="1"/>
      <c r="O267" s="1"/>
      <c r="P267" s="1"/>
      <c r="Q267" s="1"/>
    </row>
    <row r="268" spans="1:17">
      <c r="A268" s="10">
        <v>262</v>
      </c>
      <c r="B268" s="10" t="s">
        <v>1075</v>
      </c>
      <c r="C268" s="10" t="s">
        <v>1091</v>
      </c>
      <c r="D268" s="10" t="s">
        <v>1092</v>
      </c>
      <c r="E268" s="10">
        <v>0</v>
      </c>
      <c r="F268" s="10" t="s">
        <v>415</v>
      </c>
      <c r="G268" s="12" t="s">
        <v>419</v>
      </c>
      <c r="H268" s="12" t="s">
        <v>420</v>
      </c>
      <c r="I268" s="12" t="s">
        <v>421</v>
      </c>
      <c r="J268" s="10" t="s">
        <v>418</v>
      </c>
      <c r="K268" s="10" t="s">
        <v>76</v>
      </c>
      <c r="L268" s="14"/>
      <c r="M268" s="1"/>
      <c r="N268" s="1"/>
      <c r="O268" s="1"/>
      <c r="P268" s="1"/>
      <c r="Q268" s="1"/>
    </row>
    <row r="269" spans="1:17" ht="28.5">
      <c r="A269" s="10">
        <v>263</v>
      </c>
      <c r="B269" s="10" t="s">
        <v>1075</v>
      </c>
      <c r="C269" s="10" t="s">
        <v>1095</v>
      </c>
      <c r="D269" s="10" t="s">
        <v>1096</v>
      </c>
      <c r="E269" s="10">
        <v>0.22</v>
      </c>
      <c r="F269" s="10" t="s">
        <v>229</v>
      </c>
      <c r="G269" s="12" t="s">
        <v>104</v>
      </c>
      <c r="H269" s="12" t="s">
        <v>105</v>
      </c>
      <c r="I269" s="12" t="s">
        <v>106</v>
      </c>
      <c r="J269" s="10" t="s">
        <v>123</v>
      </c>
      <c r="K269" s="10" t="s">
        <v>76</v>
      </c>
      <c r="L269" s="14"/>
      <c r="M269" s="1"/>
      <c r="N269" s="1"/>
      <c r="O269" s="1"/>
      <c r="P269" s="1"/>
      <c r="Q269" s="1"/>
    </row>
    <row r="270" spans="1:17" ht="28.5">
      <c r="A270" s="10">
        <v>264</v>
      </c>
      <c r="B270" s="10" t="s">
        <v>1075</v>
      </c>
      <c r="C270" s="10" t="s">
        <v>1099</v>
      </c>
      <c r="D270" s="10" t="s">
        <v>1100</v>
      </c>
      <c r="E270" s="10">
        <v>0.45</v>
      </c>
      <c r="F270" s="10" t="s">
        <v>86</v>
      </c>
      <c r="G270" s="12" t="s">
        <v>104</v>
      </c>
      <c r="H270" s="12" t="s">
        <v>105</v>
      </c>
      <c r="I270" s="12" t="s">
        <v>106</v>
      </c>
      <c r="J270" s="10" t="s">
        <v>123</v>
      </c>
      <c r="K270" s="10" t="s">
        <v>76</v>
      </c>
      <c r="L270" s="14"/>
      <c r="M270" s="1"/>
      <c r="N270" s="1"/>
      <c r="O270" s="1"/>
      <c r="P270" s="1"/>
      <c r="Q270" s="1"/>
    </row>
    <row r="271" spans="1:17" ht="28.5">
      <c r="A271" s="10">
        <v>265</v>
      </c>
      <c r="B271" s="10" t="s">
        <v>1075</v>
      </c>
      <c r="C271" s="10" t="s">
        <v>1102</v>
      </c>
      <c r="D271" s="10" t="s">
        <v>1103</v>
      </c>
      <c r="E271" s="10">
        <v>0.08</v>
      </c>
      <c r="F271" s="10" t="s">
        <v>86</v>
      </c>
      <c r="G271" s="12" t="s">
        <v>104</v>
      </c>
      <c r="H271" s="12" t="s">
        <v>105</v>
      </c>
      <c r="I271" s="12" t="s">
        <v>106</v>
      </c>
      <c r="J271" s="10" t="s">
        <v>123</v>
      </c>
      <c r="K271" s="10" t="s">
        <v>76</v>
      </c>
      <c r="L271" s="14"/>
      <c r="M271" s="1"/>
      <c r="N271" s="1"/>
      <c r="O271" s="1"/>
      <c r="P271" s="1"/>
      <c r="Q271" s="1"/>
    </row>
    <row r="272" spans="1:17" ht="28.5">
      <c r="A272" s="10">
        <v>266</v>
      </c>
      <c r="B272" s="10" t="s">
        <v>1105</v>
      </c>
      <c r="C272" s="10" t="s">
        <v>1106</v>
      </c>
      <c r="D272" s="10" t="s">
        <v>1107</v>
      </c>
      <c r="E272" s="10">
        <v>0.82</v>
      </c>
      <c r="F272" s="10" t="s">
        <v>86</v>
      </c>
      <c r="G272" s="12" t="s">
        <v>104</v>
      </c>
      <c r="H272" s="12" t="s">
        <v>105</v>
      </c>
      <c r="I272" s="12" t="s">
        <v>106</v>
      </c>
      <c r="J272" s="10" t="s">
        <v>3</v>
      </c>
      <c r="K272" s="10" t="s">
        <v>76</v>
      </c>
      <c r="L272" s="14"/>
      <c r="M272" s="1"/>
      <c r="N272" s="1"/>
      <c r="O272" s="1"/>
      <c r="P272" s="1"/>
      <c r="Q272" s="1"/>
    </row>
    <row r="273" spans="1:17" ht="28.5">
      <c r="A273" s="10">
        <v>267</v>
      </c>
      <c r="B273" s="10" t="s">
        <v>1105</v>
      </c>
      <c r="C273" s="10" t="s">
        <v>1110</v>
      </c>
      <c r="D273" s="10" t="s">
        <v>1111</v>
      </c>
      <c r="E273" s="10">
        <v>0.02</v>
      </c>
      <c r="F273" s="10" t="s">
        <v>731</v>
      </c>
      <c r="G273" s="12" t="s">
        <v>104</v>
      </c>
      <c r="H273" s="12" t="s">
        <v>105</v>
      </c>
      <c r="I273" s="12" t="s">
        <v>106</v>
      </c>
      <c r="J273" s="10" t="s">
        <v>123</v>
      </c>
      <c r="K273" s="10" t="s">
        <v>76</v>
      </c>
      <c r="L273" s="14"/>
      <c r="M273" s="1"/>
      <c r="N273" s="1"/>
      <c r="O273" s="1"/>
      <c r="P273" s="1"/>
      <c r="Q273" s="1"/>
    </row>
    <row r="274" spans="1:17">
      <c r="A274" s="10">
        <v>268</v>
      </c>
      <c r="B274" s="10" t="s">
        <v>1114</v>
      </c>
      <c r="C274" s="10" t="s">
        <v>1115</v>
      </c>
      <c r="D274" s="10" t="s">
        <v>1116</v>
      </c>
      <c r="E274" s="10">
        <v>0</v>
      </c>
      <c r="F274" s="10" t="s">
        <v>415</v>
      </c>
      <c r="G274" s="12" t="s">
        <v>419</v>
      </c>
      <c r="H274" s="12" t="s">
        <v>420</v>
      </c>
      <c r="I274" s="12" t="s">
        <v>421</v>
      </c>
      <c r="J274" s="10" t="s">
        <v>418</v>
      </c>
      <c r="K274" s="10" t="s">
        <v>76</v>
      </c>
      <c r="L274" s="14"/>
      <c r="M274" s="1"/>
      <c r="N274" s="1"/>
      <c r="O274" s="1"/>
      <c r="P274" s="1"/>
      <c r="Q274" s="1"/>
    </row>
    <row r="275" spans="1:17" ht="28.5">
      <c r="A275" s="10">
        <v>269</v>
      </c>
      <c r="B275" s="10" t="s">
        <v>1114</v>
      </c>
      <c r="C275" s="10" t="s">
        <v>1119</v>
      </c>
      <c r="D275" s="10" t="s">
        <v>1120</v>
      </c>
      <c r="E275" s="10">
        <v>0.1</v>
      </c>
      <c r="F275" s="10" t="s">
        <v>229</v>
      </c>
      <c r="G275" s="12" t="s">
        <v>104</v>
      </c>
      <c r="H275" s="12" t="s">
        <v>105</v>
      </c>
      <c r="I275" s="12" t="s">
        <v>106</v>
      </c>
      <c r="J275" s="10" t="s">
        <v>123</v>
      </c>
      <c r="K275" s="10" t="s">
        <v>76</v>
      </c>
      <c r="L275" s="14"/>
      <c r="M275" s="1"/>
      <c r="N275" s="1"/>
      <c r="O275" s="1"/>
      <c r="P275" s="1"/>
      <c r="Q275" s="1"/>
    </row>
    <row r="276" spans="1:17" ht="28.5">
      <c r="A276" s="10">
        <v>270</v>
      </c>
      <c r="B276" s="10" t="s">
        <v>1114</v>
      </c>
      <c r="C276" s="10" t="s">
        <v>1123</v>
      </c>
      <c r="D276" s="10" t="s">
        <v>1124</v>
      </c>
      <c r="E276" s="10">
        <v>0.2</v>
      </c>
      <c r="F276" s="10" t="s">
        <v>86</v>
      </c>
      <c r="G276" s="12" t="s">
        <v>104</v>
      </c>
      <c r="H276" s="12" t="s">
        <v>105</v>
      </c>
      <c r="I276" s="12" t="s">
        <v>106</v>
      </c>
      <c r="J276" s="10" t="s">
        <v>123</v>
      </c>
      <c r="K276" s="10" t="s">
        <v>76</v>
      </c>
      <c r="L276" s="14"/>
      <c r="M276" s="1"/>
      <c r="N276" s="1"/>
      <c r="O276" s="1"/>
      <c r="P276" s="1"/>
      <c r="Q276" s="1"/>
    </row>
    <row r="277" spans="1:17" ht="28.5">
      <c r="A277" s="10">
        <v>271</v>
      </c>
      <c r="B277" s="10" t="s">
        <v>1114</v>
      </c>
      <c r="C277" s="10" t="s">
        <v>1127</v>
      </c>
      <c r="D277" s="10" t="s">
        <v>1128</v>
      </c>
      <c r="E277" s="10">
        <v>0.35</v>
      </c>
      <c r="F277" s="10" t="s">
        <v>229</v>
      </c>
      <c r="G277" s="12" t="s">
        <v>104</v>
      </c>
      <c r="H277" s="12" t="s">
        <v>105</v>
      </c>
      <c r="I277" s="12" t="s">
        <v>106</v>
      </c>
      <c r="J277" s="10" t="s">
        <v>123</v>
      </c>
      <c r="K277" s="10" t="s">
        <v>76</v>
      </c>
      <c r="L277" s="14"/>
      <c r="M277" s="1"/>
      <c r="N277" s="1"/>
      <c r="O277" s="1"/>
      <c r="P277" s="1"/>
      <c r="Q277" s="1"/>
    </row>
    <row r="278" spans="1:17">
      <c r="A278" s="10">
        <v>272</v>
      </c>
      <c r="B278" s="10" t="s">
        <v>57</v>
      </c>
      <c r="C278" s="10" t="s">
        <v>1130</v>
      </c>
      <c r="D278" s="10" t="s">
        <v>1131</v>
      </c>
      <c r="E278" s="10">
        <v>2</v>
      </c>
      <c r="F278" s="10" t="s">
        <v>262</v>
      </c>
      <c r="G278" s="12" t="s">
        <v>66</v>
      </c>
      <c r="H278" s="12" t="s">
        <v>67</v>
      </c>
      <c r="I278" s="12" t="s">
        <v>1134</v>
      </c>
      <c r="J278" s="10" t="s">
        <v>1</v>
      </c>
      <c r="K278" s="10" t="s">
        <v>63</v>
      </c>
      <c r="L278" s="14" t="s">
        <v>1133</v>
      </c>
      <c r="M278" s="1"/>
      <c r="N278" s="1"/>
      <c r="O278" s="1"/>
      <c r="P278" s="1"/>
      <c r="Q278" s="1"/>
    </row>
    <row r="279" spans="1:17">
      <c r="A279" s="10">
        <v>273</v>
      </c>
      <c r="B279" s="10" t="s">
        <v>57</v>
      </c>
      <c r="C279" s="10" t="s">
        <v>1136</v>
      </c>
      <c r="D279" s="10" t="s">
        <v>1137</v>
      </c>
      <c r="E279" s="10">
        <v>0.1</v>
      </c>
      <c r="F279" s="10" t="s">
        <v>86</v>
      </c>
      <c r="G279" s="12" t="s">
        <v>66</v>
      </c>
      <c r="H279" s="12" t="s">
        <v>67</v>
      </c>
      <c r="I279" s="12" t="s">
        <v>1134</v>
      </c>
      <c r="J279" s="10" t="s">
        <v>1</v>
      </c>
      <c r="K279" s="10" t="s">
        <v>63</v>
      </c>
      <c r="L279" s="14" t="s">
        <v>1133</v>
      </c>
      <c r="M279" s="1"/>
      <c r="N279" s="1"/>
      <c r="O279" s="1"/>
      <c r="P279" s="1"/>
      <c r="Q279" s="1"/>
    </row>
    <row r="280" spans="1:17">
      <c r="A280" s="10">
        <v>274</v>
      </c>
      <c r="B280" s="10" t="s">
        <v>57</v>
      </c>
      <c r="C280" s="10" t="s">
        <v>1138</v>
      </c>
      <c r="D280" s="10" t="s">
        <v>1139</v>
      </c>
      <c r="E280" s="10">
        <v>3.5E-4</v>
      </c>
      <c r="F280" s="10" t="s">
        <v>741</v>
      </c>
      <c r="G280" s="12" t="s">
        <v>66</v>
      </c>
      <c r="H280" s="12" t="s">
        <v>67</v>
      </c>
      <c r="I280" s="12" t="s">
        <v>1134</v>
      </c>
      <c r="J280" s="10" t="s">
        <v>1</v>
      </c>
      <c r="K280" s="10" t="s">
        <v>63</v>
      </c>
      <c r="L280" s="14" t="s">
        <v>1133</v>
      </c>
      <c r="M280" s="1"/>
      <c r="N280" s="1"/>
      <c r="O280" s="1"/>
      <c r="P280" s="1"/>
      <c r="Q280" s="1"/>
    </row>
    <row r="281" spans="1:17">
      <c r="A281" s="10">
        <v>275</v>
      </c>
      <c r="B281" s="10" t="s">
        <v>57</v>
      </c>
      <c r="C281" s="10" t="s">
        <v>1140</v>
      </c>
      <c r="D281" s="10" t="s">
        <v>1141</v>
      </c>
      <c r="E281" s="10">
        <v>5</v>
      </c>
      <c r="F281" s="10" t="s">
        <v>109</v>
      </c>
      <c r="G281" s="12" t="s">
        <v>66</v>
      </c>
      <c r="H281" s="12" t="s">
        <v>67</v>
      </c>
      <c r="I281" s="12" t="s">
        <v>1134</v>
      </c>
      <c r="J281" s="10" t="s">
        <v>1</v>
      </c>
      <c r="K281" s="10" t="s">
        <v>63</v>
      </c>
      <c r="L281" s="14" t="s">
        <v>1133</v>
      </c>
      <c r="M281" s="1"/>
      <c r="N281" s="1"/>
      <c r="O281" s="1"/>
      <c r="P281" s="1"/>
      <c r="Q281" s="1"/>
    </row>
    <row r="282" spans="1:17">
      <c r="A282" s="10">
        <v>276</v>
      </c>
      <c r="B282" s="10" t="s">
        <v>57</v>
      </c>
      <c r="C282" s="10" t="s">
        <v>1143</v>
      </c>
      <c r="D282" s="10" t="s">
        <v>1144</v>
      </c>
      <c r="E282" s="10">
        <v>60</v>
      </c>
      <c r="F282" s="10" t="s">
        <v>73</v>
      </c>
      <c r="G282" s="12" t="s">
        <v>66</v>
      </c>
      <c r="H282" s="12" t="s">
        <v>67</v>
      </c>
      <c r="I282" s="12" t="s">
        <v>1134</v>
      </c>
      <c r="J282" s="10" t="s">
        <v>1</v>
      </c>
      <c r="K282" s="10" t="s">
        <v>63</v>
      </c>
      <c r="L282" s="14" t="s">
        <v>1133</v>
      </c>
      <c r="M282" s="1"/>
      <c r="N282" s="1"/>
      <c r="O282" s="1"/>
      <c r="P282" s="1"/>
      <c r="Q282" s="1"/>
    </row>
    <row r="283" spans="1:17">
      <c r="A283" s="10">
        <v>277</v>
      </c>
      <c r="B283" s="10" t="s">
        <v>57</v>
      </c>
      <c r="C283" s="10" t="s">
        <v>1145</v>
      </c>
      <c r="D283" s="10" t="s">
        <v>1146</v>
      </c>
      <c r="E283" s="10">
        <v>1000</v>
      </c>
      <c r="F283" s="10" t="s">
        <v>96</v>
      </c>
      <c r="G283" s="12" t="s">
        <v>66</v>
      </c>
      <c r="H283" s="12" t="s">
        <v>67</v>
      </c>
      <c r="I283" s="12" t="s">
        <v>1134</v>
      </c>
      <c r="J283" s="10" t="s">
        <v>1</v>
      </c>
      <c r="K283" s="10" t="s">
        <v>63</v>
      </c>
      <c r="L283" s="14" t="s">
        <v>1133</v>
      </c>
      <c r="M283" s="1"/>
      <c r="N283" s="1"/>
      <c r="O283" s="1"/>
      <c r="P283" s="1"/>
      <c r="Q283" s="1"/>
    </row>
    <row r="284" spans="1:17" ht="28.5">
      <c r="A284" s="10">
        <v>278</v>
      </c>
      <c r="B284" s="10" t="s">
        <v>1147</v>
      </c>
      <c r="C284" s="10" t="s">
        <v>1148</v>
      </c>
      <c r="D284" s="10" t="s">
        <v>1149</v>
      </c>
      <c r="E284" s="10">
        <v>0.35</v>
      </c>
      <c r="F284" s="10" t="s">
        <v>86</v>
      </c>
      <c r="G284" s="12" t="s">
        <v>104</v>
      </c>
      <c r="H284" s="12" t="s">
        <v>105</v>
      </c>
      <c r="I284" s="12" t="s">
        <v>1134</v>
      </c>
      <c r="J284" s="10" t="s">
        <v>123</v>
      </c>
      <c r="K284" s="10" t="s">
        <v>76</v>
      </c>
      <c r="L284" s="14" t="s">
        <v>1151</v>
      </c>
      <c r="M284" s="1"/>
      <c r="N284" s="1"/>
      <c r="O284" s="1"/>
      <c r="P284" s="1"/>
      <c r="Q284" s="1"/>
    </row>
    <row r="285" spans="1:17" ht="28.5">
      <c r="A285" s="10">
        <v>279</v>
      </c>
      <c r="B285" s="10" t="s">
        <v>1147</v>
      </c>
      <c r="C285" s="10" t="s">
        <v>1152</v>
      </c>
      <c r="D285" s="10" t="s">
        <v>1153</v>
      </c>
      <c r="E285" s="10">
        <v>0.02</v>
      </c>
      <c r="F285" s="10" t="s">
        <v>86</v>
      </c>
      <c r="G285" s="12" t="s">
        <v>104</v>
      </c>
      <c r="H285" s="12" t="s">
        <v>105</v>
      </c>
      <c r="I285" s="12" t="s">
        <v>1134</v>
      </c>
      <c r="J285" s="10" t="s">
        <v>123</v>
      </c>
      <c r="K285" s="10" t="s">
        <v>76</v>
      </c>
      <c r="L285" s="14" t="s">
        <v>1155</v>
      </c>
      <c r="M285" s="1"/>
      <c r="N285" s="1"/>
      <c r="O285" s="1"/>
      <c r="P285" s="1"/>
      <c r="Q285" s="1"/>
    </row>
    <row r="286" spans="1:17" ht="28.5">
      <c r="A286" s="10">
        <v>280</v>
      </c>
      <c r="B286" s="10" t="s">
        <v>1147</v>
      </c>
      <c r="C286" s="10" t="s">
        <v>1156</v>
      </c>
      <c r="D286" s="10" t="s">
        <v>1157</v>
      </c>
      <c r="E286" s="10">
        <v>3.5E-4</v>
      </c>
      <c r="F286" s="10" t="s">
        <v>731</v>
      </c>
      <c r="G286" s="12" t="s">
        <v>104</v>
      </c>
      <c r="H286" s="12" t="s">
        <v>105</v>
      </c>
      <c r="I286" s="12" t="s">
        <v>1134</v>
      </c>
      <c r="J286" s="10" t="s">
        <v>123</v>
      </c>
      <c r="K286" s="10" t="s">
        <v>76</v>
      </c>
      <c r="L286" s="14" t="s">
        <v>1158</v>
      </c>
      <c r="M286" s="1"/>
      <c r="N286" s="1"/>
      <c r="O286" s="1"/>
      <c r="P286" s="1"/>
      <c r="Q286" s="1"/>
    </row>
    <row r="287" spans="1:17" ht="28.5">
      <c r="A287" s="10">
        <v>281</v>
      </c>
      <c r="B287" s="10" t="s">
        <v>1147</v>
      </c>
      <c r="C287" s="10" t="s">
        <v>1159</v>
      </c>
      <c r="D287" s="10" t="s">
        <v>1160</v>
      </c>
      <c r="E287" s="10">
        <v>0.05</v>
      </c>
      <c r="F287" s="10" t="s">
        <v>229</v>
      </c>
      <c r="G287" s="12" t="s">
        <v>104</v>
      </c>
      <c r="H287" s="12" t="s">
        <v>105</v>
      </c>
      <c r="I287" s="12" t="s">
        <v>1134</v>
      </c>
      <c r="J287" s="10" t="s">
        <v>123</v>
      </c>
      <c r="K287" s="10" t="s">
        <v>76</v>
      </c>
      <c r="L287" s="14" t="s">
        <v>1162</v>
      </c>
      <c r="M287" s="1"/>
      <c r="N287" s="1"/>
      <c r="O287" s="1"/>
      <c r="P287" s="1"/>
      <c r="Q287" s="1"/>
    </row>
    <row r="288" spans="1:17" ht="28.5">
      <c r="A288" s="10">
        <v>282</v>
      </c>
      <c r="B288" s="10" t="s">
        <v>1163</v>
      </c>
      <c r="C288" s="10" t="s">
        <v>1164</v>
      </c>
      <c r="D288" s="10" t="s">
        <v>1165</v>
      </c>
      <c r="E288" s="10">
        <v>0.3</v>
      </c>
      <c r="F288" s="10" t="s">
        <v>86</v>
      </c>
      <c r="G288" s="12" t="s">
        <v>104</v>
      </c>
      <c r="H288" s="12" t="s">
        <v>105</v>
      </c>
      <c r="I288" s="12" t="s">
        <v>1134</v>
      </c>
      <c r="J288" s="10" t="s">
        <v>123</v>
      </c>
      <c r="K288" s="10" t="s">
        <v>76</v>
      </c>
      <c r="L288" s="14" t="s">
        <v>1167</v>
      </c>
      <c r="M288" s="1"/>
      <c r="N288" s="1"/>
      <c r="O288" s="1"/>
      <c r="P288" s="1"/>
      <c r="Q288" s="1"/>
    </row>
    <row r="289" spans="1:17" ht="28.5">
      <c r="A289" s="10">
        <v>283</v>
      </c>
      <c r="B289" s="10" t="s">
        <v>1163</v>
      </c>
      <c r="C289" s="10" t="s">
        <v>1168</v>
      </c>
      <c r="D289" s="10" t="s">
        <v>1169</v>
      </c>
      <c r="E289" s="10">
        <v>0.15</v>
      </c>
      <c r="F289" s="10" t="s">
        <v>86</v>
      </c>
      <c r="G289" s="12" t="s">
        <v>104</v>
      </c>
      <c r="H289" s="12" t="s">
        <v>105</v>
      </c>
      <c r="I289" s="12" t="s">
        <v>1134</v>
      </c>
      <c r="J289" s="10" t="s">
        <v>123</v>
      </c>
      <c r="K289" s="10" t="s">
        <v>76</v>
      </c>
      <c r="L289" s="14" t="s">
        <v>1171</v>
      </c>
      <c r="M289" s="1"/>
      <c r="N289" s="1"/>
      <c r="O289" s="1"/>
      <c r="P289" s="1"/>
      <c r="Q289" s="1"/>
    </row>
    <row r="290" spans="1:17" ht="28.5">
      <c r="A290" s="10">
        <v>284</v>
      </c>
      <c r="B290" s="10" t="s">
        <v>1163</v>
      </c>
      <c r="C290" s="10" t="s">
        <v>1172</v>
      </c>
      <c r="D290" s="10" t="s">
        <v>1173</v>
      </c>
      <c r="E290" s="10">
        <v>0.08</v>
      </c>
      <c r="F290" s="10" t="s">
        <v>229</v>
      </c>
      <c r="G290" s="12" t="s">
        <v>104</v>
      </c>
      <c r="H290" s="12" t="s">
        <v>105</v>
      </c>
      <c r="I290" s="12" t="s">
        <v>1134</v>
      </c>
      <c r="J290" s="10" t="s">
        <v>123</v>
      </c>
      <c r="K290" s="10" t="s">
        <v>76</v>
      </c>
      <c r="L290" s="14" t="s">
        <v>1175</v>
      </c>
      <c r="M290" s="1"/>
      <c r="N290" s="1"/>
      <c r="O290" s="1"/>
      <c r="P290" s="1"/>
      <c r="Q290" s="1"/>
    </row>
    <row r="291" spans="1:17" ht="28.5">
      <c r="A291" s="10">
        <v>285</v>
      </c>
      <c r="B291" s="10" t="s">
        <v>1176</v>
      </c>
      <c r="C291" s="10" t="s">
        <v>1177</v>
      </c>
      <c r="D291" s="10" t="s">
        <v>1178</v>
      </c>
      <c r="E291" s="10">
        <v>1.5E-10</v>
      </c>
      <c r="F291" s="10" t="s">
        <v>497</v>
      </c>
      <c r="G291" s="12" t="s">
        <v>104</v>
      </c>
      <c r="H291" s="12" t="s">
        <v>105</v>
      </c>
      <c r="I291" s="12" t="s">
        <v>1134</v>
      </c>
      <c r="J291" s="10" t="s">
        <v>123</v>
      </c>
      <c r="K291" s="10" t="s">
        <v>76</v>
      </c>
      <c r="L291" s="14" t="s">
        <v>1180</v>
      </c>
      <c r="M291" s="1"/>
      <c r="N291" s="1"/>
      <c r="O291" s="1"/>
      <c r="P291" s="1"/>
      <c r="Q291" s="1"/>
    </row>
    <row r="292" spans="1:17" ht="28.5">
      <c r="A292" s="10">
        <v>286</v>
      </c>
      <c r="B292" s="10" t="s">
        <v>1176</v>
      </c>
      <c r="C292" s="10" t="s">
        <v>1181</v>
      </c>
      <c r="D292" s="10" t="s">
        <v>1182</v>
      </c>
      <c r="E292" s="10">
        <v>2</v>
      </c>
      <c r="F292" s="10" t="s">
        <v>262</v>
      </c>
      <c r="G292" s="12" t="s">
        <v>104</v>
      </c>
      <c r="H292" s="12" t="s">
        <v>105</v>
      </c>
      <c r="I292" s="12" t="s">
        <v>1134</v>
      </c>
      <c r="J292" s="10" t="s">
        <v>123</v>
      </c>
      <c r="K292" s="10" t="s">
        <v>76</v>
      </c>
      <c r="L292" s="14" t="s">
        <v>1184</v>
      </c>
      <c r="M292" s="1"/>
      <c r="N292" s="1"/>
      <c r="O292" s="1"/>
      <c r="P292" s="1"/>
      <c r="Q292" s="1"/>
    </row>
    <row r="293" spans="1:17" ht="28.5">
      <c r="A293" s="10">
        <v>287</v>
      </c>
      <c r="B293" s="10" t="s">
        <v>1176</v>
      </c>
      <c r="C293" s="10" t="s">
        <v>1185</v>
      </c>
      <c r="D293" s="10" t="s">
        <v>1186</v>
      </c>
      <c r="E293" s="10">
        <v>0.7</v>
      </c>
      <c r="F293" s="10" t="s">
        <v>86</v>
      </c>
      <c r="G293" s="12" t="s">
        <v>104</v>
      </c>
      <c r="H293" s="12" t="s">
        <v>105</v>
      </c>
      <c r="I293" s="12" t="s">
        <v>1134</v>
      </c>
      <c r="J293" s="10" t="s">
        <v>123</v>
      </c>
      <c r="K293" s="10" t="s">
        <v>76</v>
      </c>
      <c r="L293" s="14" t="s">
        <v>1188</v>
      </c>
      <c r="M293" s="1"/>
      <c r="N293" s="1"/>
      <c r="O293" s="1"/>
      <c r="P293" s="1"/>
      <c r="Q293" s="1"/>
    </row>
    <row r="294" spans="1:17" ht="28.5">
      <c r="A294" s="10">
        <v>288</v>
      </c>
      <c r="B294" s="10" t="s">
        <v>1176</v>
      </c>
      <c r="C294" s="10" t="s">
        <v>1189</v>
      </c>
      <c r="D294" s="10" t="s">
        <v>1190</v>
      </c>
      <c r="E294" s="10">
        <v>0.5</v>
      </c>
      <c r="F294" s="10" t="s">
        <v>86</v>
      </c>
      <c r="G294" s="12" t="s">
        <v>104</v>
      </c>
      <c r="H294" s="12" t="s">
        <v>105</v>
      </c>
      <c r="I294" s="12" t="s">
        <v>1134</v>
      </c>
      <c r="J294" s="10" t="s">
        <v>123</v>
      </c>
      <c r="K294" s="10" t="s">
        <v>76</v>
      </c>
      <c r="L294" s="14" t="s">
        <v>1188</v>
      </c>
      <c r="M294" s="1"/>
      <c r="N294" s="1"/>
      <c r="O294" s="1"/>
      <c r="P294" s="1"/>
      <c r="Q294" s="1"/>
    </row>
    <row r="295" spans="1:17" ht="28.5">
      <c r="A295" s="10">
        <v>289</v>
      </c>
      <c r="B295" s="10" t="s">
        <v>1191</v>
      </c>
      <c r="C295" s="10" t="s">
        <v>1192</v>
      </c>
      <c r="D295" s="10" t="s">
        <v>1193</v>
      </c>
      <c r="E295" s="10">
        <v>0.125</v>
      </c>
      <c r="F295" s="10" t="s">
        <v>86</v>
      </c>
      <c r="G295" s="12" t="s">
        <v>104</v>
      </c>
      <c r="H295" s="12" t="s">
        <v>105</v>
      </c>
      <c r="I295" s="12" t="s">
        <v>1134</v>
      </c>
      <c r="J295" s="10" t="s">
        <v>123</v>
      </c>
      <c r="K295" s="10" t="s">
        <v>76</v>
      </c>
      <c r="L295" s="14" t="s">
        <v>1195</v>
      </c>
      <c r="M295" s="1"/>
      <c r="N295" s="1"/>
      <c r="O295" s="1"/>
      <c r="P295" s="1"/>
      <c r="Q295" s="1"/>
    </row>
    <row r="296" spans="1:17" ht="28.5">
      <c r="A296" s="10">
        <v>290</v>
      </c>
      <c r="B296" s="10" t="s">
        <v>1191</v>
      </c>
      <c r="C296" s="10" t="s">
        <v>1196</v>
      </c>
      <c r="D296" s="10" t="s">
        <v>1197</v>
      </c>
      <c r="E296" s="10">
        <v>10</v>
      </c>
      <c r="F296" s="10" t="s">
        <v>86</v>
      </c>
      <c r="G296" s="12" t="s">
        <v>104</v>
      </c>
      <c r="H296" s="12" t="s">
        <v>105</v>
      </c>
      <c r="I296" s="12" t="s">
        <v>1134</v>
      </c>
      <c r="J296" s="10" t="s">
        <v>123</v>
      </c>
      <c r="K296" s="10" t="s">
        <v>76</v>
      </c>
      <c r="L296" s="14" t="s">
        <v>1199</v>
      </c>
      <c r="M296" s="1"/>
      <c r="N296" s="1"/>
      <c r="O296" s="1"/>
      <c r="P296" s="1"/>
      <c r="Q296" s="1"/>
    </row>
    <row r="297" spans="1:17" ht="28.5">
      <c r="A297" s="10">
        <v>291</v>
      </c>
      <c r="B297" s="10" t="s">
        <v>650</v>
      </c>
      <c r="C297" s="10" t="s">
        <v>1200</v>
      </c>
      <c r="D297" s="10" t="s">
        <v>1201</v>
      </c>
      <c r="E297" s="10">
        <v>0.1</v>
      </c>
      <c r="F297" s="10" t="s">
        <v>86</v>
      </c>
      <c r="G297" s="12" t="s">
        <v>104</v>
      </c>
      <c r="H297" s="12" t="s">
        <v>105</v>
      </c>
      <c r="I297" s="12" t="s">
        <v>1134</v>
      </c>
      <c r="J297" s="10" t="s">
        <v>123</v>
      </c>
      <c r="K297" s="10" t="s">
        <v>76</v>
      </c>
      <c r="L297" s="14" t="s">
        <v>1203</v>
      </c>
      <c r="M297" s="1"/>
      <c r="N297" s="1"/>
      <c r="O297" s="1"/>
      <c r="P297" s="1"/>
      <c r="Q297" s="1"/>
    </row>
    <row r="298" spans="1:17" ht="28.5">
      <c r="A298" s="10">
        <v>292</v>
      </c>
      <c r="B298" s="10" t="s">
        <v>650</v>
      </c>
      <c r="C298" s="10" t="s">
        <v>1204</v>
      </c>
      <c r="D298" s="10" t="s">
        <v>1205</v>
      </c>
      <c r="E298" s="10">
        <v>0.02</v>
      </c>
      <c r="F298" s="10" t="s">
        <v>229</v>
      </c>
      <c r="G298" s="12" t="s">
        <v>104</v>
      </c>
      <c r="H298" s="12" t="s">
        <v>105</v>
      </c>
      <c r="I298" s="12" t="s">
        <v>1134</v>
      </c>
      <c r="J298" s="10" t="s">
        <v>123</v>
      </c>
      <c r="K298" s="10" t="s">
        <v>76</v>
      </c>
      <c r="L298" s="14" t="s">
        <v>1207</v>
      </c>
      <c r="M298" s="1"/>
      <c r="N298" s="1"/>
      <c r="O298" s="1"/>
      <c r="P298" s="1"/>
      <c r="Q298" s="1"/>
    </row>
    <row r="299" spans="1:17">
      <c r="A299" s="10">
        <v>293</v>
      </c>
      <c r="B299" s="10" t="s">
        <v>1208</v>
      </c>
      <c r="C299" s="10" t="s">
        <v>1209</v>
      </c>
      <c r="D299" s="10" t="s">
        <v>1210</v>
      </c>
      <c r="E299" s="10">
        <v>0</v>
      </c>
      <c r="F299" s="10" t="s">
        <v>415</v>
      </c>
      <c r="G299" s="12" t="s">
        <v>419</v>
      </c>
      <c r="H299" s="12" t="s">
        <v>420</v>
      </c>
      <c r="I299" s="12" t="s">
        <v>1134</v>
      </c>
      <c r="J299" s="10" t="s">
        <v>418</v>
      </c>
      <c r="K299" s="10" t="s">
        <v>76</v>
      </c>
      <c r="L299" s="14" t="s">
        <v>418</v>
      </c>
      <c r="M299" s="1"/>
      <c r="N299" s="1"/>
      <c r="O299" s="1"/>
      <c r="P299" s="1"/>
      <c r="Q299" s="1"/>
    </row>
    <row r="300" spans="1:17">
      <c r="A300" s="10">
        <v>294</v>
      </c>
      <c r="B300" s="10" t="s">
        <v>1212</v>
      </c>
      <c r="C300" s="10" t="s">
        <v>1213</v>
      </c>
      <c r="D300" s="10" t="s">
        <v>1214</v>
      </c>
      <c r="E300" s="10">
        <v>0</v>
      </c>
      <c r="F300" s="10" t="s">
        <v>415</v>
      </c>
      <c r="G300" s="12" t="s">
        <v>419</v>
      </c>
      <c r="H300" s="12" t="s">
        <v>420</v>
      </c>
      <c r="I300" s="12" t="s">
        <v>1134</v>
      </c>
      <c r="J300" s="10" t="s">
        <v>418</v>
      </c>
      <c r="K300" s="10" t="s">
        <v>76</v>
      </c>
      <c r="L300" s="14" t="s">
        <v>418</v>
      </c>
      <c r="M300" s="1"/>
      <c r="N300" s="1"/>
      <c r="O300" s="1"/>
      <c r="P300" s="1"/>
      <c r="Q300" s="1"/>
    </row>
    <row r="301" spans="1:17">
      <c r="A301" s="10">
        <v>295</v>
      </c>
      <c r="B301" s="10" t="s">
        <v>650</v>
      </c>
      <c r="C301" s="10" t="s">
        <v>1216</v>
      </c>
      <c r="D301" s="10" t="s">
        <v>1217</v>
      </c>
      <c r="E301" s="10">
        <v>0</v>
      </c>
      <c r="F301" s="10" t="s">
        <v>415</v>
      </c>
      <c r="G301" s="12" t="s">
        <v>419</v>
      </c>
      <c r="H301" s="12" t="s">
        <v>420</v>
      </c>
      <c r="I301" s="12" t="s">
        <v>1134</v>
      </c>
      <c r="J301" s="10" t="s">
        <v>418</v>
      </c>
      <c r="K301" s="10" t="s">
        <v>76</v>
      </c>
      <c r="L301" s="14" t="s">
        <v>418</v>
      </c>
      <c r="M301" s="1"/>
      <c r="N301" s="1"/>
      <c r="O301" s="1"/>
      <c r="P301" s="1"/>
      <c r="Q301" s="1"/>
    </row>
    <row r="302" spans="1:17" ht="28.5">
      <c r="A302" s="10" t="s">
        <v>358</v>
      </c>
      <c r="B302" s="10" t="s">
        <v>1309</v>
      </c>
      <c r="C302" s="10"/>
      <c r="D302" s="10" t="s">
        <v>1310</v>
      </c>
      <c r="E302" s="10">
        <v>0.2</v>
      </c>
      <c r="F302" s="10" t="s">
        <v>86</v>
      </c>
      <c r="G302" s="12" t="s">
        <v>1311</v>
      </c>
      <c r="H302" s="12" t="s">
        <v>123</v>
      </c>
      <c r="I302" s="12" t="s">
        <v>76</v>
      </c>
      <c r="J302" s="10" t="s">
        <v>104</v>
      </c>
      <c r="K302" s="10" t="s">
        <v>105</v>
      </c>
      <c r="L302" s="14" t="s">
        <v>3128</v>
      </c>
      <c r="M302" s="1"/>
      <c r="N302" s="1"/>
      <c r="O302" s="1"/>
      <c r="P302" s="1"/>
      <c r="Q302" s="1"/>
    </row>
    <row r="303" spans="1:17" ht="28.5">
      <c r="A303" s="10" t="s">
        <v>789</v>
      </c>
      <c r="B303" s="10" t="s">
        <v>1313</v>
      </c>
      <c r="C303" s="10"/>
      <c r="D303" s="10" t="s">
        <v>1314</v>
      </c>
      <c r="E303" s="10">
        <v>0.5</v>
      </c>
      <c r="F303" s="10" t="s">
        <v>808</v>
      </c>
      <c r="G303" s="12" t="s">
        <v>1315</v>
      </c>
      <c r="H303" s="12" t="s">
        <v>1317</v>
      </c>
      <c r="I303" s="12" t="s">
        <v>76</v>
      </c>
      <c r="J303" s="10" t="s">
        <v>104</v>
      </c>
      <c r="K303" s="10" t="s">
        <v>105</v>
      </c>
      <c r="L303" s="14" t="s">
        <v>3129</v>
      </c>
      <c r="M303" s="1"/>
      <c r="N303" s="1"/>
      <c r="O303" s="1"/>
      <c r="P303" s="1"/>
      <c r="Q303" s="1"/>
    </row>
    <row r="304" spans="1:17" ht="28.5">
      <c r="A304" s="10" t="s">
        <v>789</v>
      </c>
      <c r="B304" s="10" t="s">
        <v>1318</v>
      </c>
      <c r="C304" s="10"/>
      <c r="D304" s="10" t="s">
        <v>1319</v>
      </c>
      <c r="E304" s="10">
        <v>16000</v>
      </c>
      <c r="F304" s="10" t="s">
        <v>96</v>
      </c>
      <c r="G304" s="12" t="s">
        <v>796</v>
      </c>
      <c r="H304" s="12" t="s">
        <v>1317</v>
      </c>
      <c r="I304" s="12" t="s">
        <v>76</v>
      </c>
      <c r="J304" s="10" t="s">
        <v>104</v>
      </c>
      <c r="K304" s="10" t="s">
        <v>105</v>
      </c>
      <c r="L304" s="14"/>
      <c r="M304" s="1"/>
      <c r="N304" s="1"/>
      <c r="O304" s="1"/>
      <c r="P304" s="1"/>
      <c r="Q304" s="1"/>
    </row>
    <row r="305" spans="1:17" ht="28.5">
      <c r="A305" s="10" t="s">
        <v>789</v>
      </c>
      <c r="B305" s="10" t="s">
        <v>1321</v>
      </c>
      <c r="C305" s="10"/>
      <c r="D305" s="10" t="s">
        <v>1322</v>
      </c>
      <c r="E305" s="10">
        <v>0.5</v>
      </c>
      <c r="F305" s="10" t="s">
        <v>86</v>
      </c>
      <c r="G305" s="12" t="s">
        <v>796</v>
      </c>
      <c r="H305" s="12" t="s">
        <v>123</v>
      </c>
      <c r="I305" s="12" t="s">
        <v>76</v>
      </c>
      <c r="J305" s="10" t="s">
        <v>104</v>
      </c>
      <c r="K305" s="10" t="s">
        <v>105</v>
      </c>
      <c r="L305" s="14" t="s">
        <v>3130</v>
      </c>
      <c r="M305" s="1"/>
      <c r="N305" s="1"/>
      <c r="O305" s="1"/>
      <c r="P305" s="1"/>
      <c r="Q305" s="1"/>
    </row>
    <row r="306" spans="1:17" ht="28.5">
      <c r="A306" s="10" t="s">
        <v>789</v>
      </c>
      <c r="B306" s="10" t="s">
        <v>1324</v>
      </c>
      <c r="C306" s="10"/>
      <c r="D306" s="10" t="s">
        <v>1325</v>
      </c>
      <c r="E306" s="10">
        <v>0.5</v>
      </c>
      <c r="F306" s="10" t="s">
        <v>86</v>
      </c>
      <c r="G306" s="12" t="s">
        <v>792</v>
      </c>
      <c r="H306" s="12" t="s">
        <v>123</v>
      </c>
      <c r="I306" s="12" t="s">
        <v>76</v>
      </c>
      <c r="J306" s="10" t="s">
        <v>104</v>
      </c>
      <c r="K306" s="10" t="s">
        <v>105</v>
      </c>
      <c r="L306" s="14" t="s">
        <v>3130</v>
      </c>
      <c r="M306" s="1"/>
      <c r="N306" s="1"/>
      <c r="O306" s="1"/>
      <c r="P306" s="1"/>
      <c r="Q306" s="1"/>
    </row>
    <row r="307" spans="1:17" ht="28.5">
      <c r="A307" s="10" t="s">
        <v>789</v>
      </c>
      <c r="B307" s="10" t="s">
        <v>1327</v>
      </c>
      <c r="C307" s="10"/>
      <c r="D307" s="10" t="s">
        <v>1328</v>
      </c>
      <c r="E307" s="10">
        <v>0</v>
      </c>
      <c r="F307" s="10" t="s">
        <v>415</v>
      </c>
      <c r="G307" s="12" t="s">
        <v>991</v>
      </c>
      <c r="H307" s="12" t="s">
        <v>418</v>
      </c>
      <c r="I307" s="12" t="s">
        <v>76</v>
      </c>
      <c r="J307" s="10" t="s">
        <v>419</v>
      </c>
      <c r="K307" s="10" t="s">
        <v>420</v>
      </c>
      <c r="L307" s="14" t="s">
        <v>3131</v>
      </c>
      <c r="M307" s="1"/>
      <c r="N307" s="1"/>
      <c r="O307" s="1"/>
      <c r="P307" s="1"/>
      <c r="Q307" s="1"/>
    </row>
    <row r="308" spans="1:17" ht="28.5">
      <c r="A308" s="10" t="s">
        <v>789</v>
      </c>
      <c r="B308" s="10" t="s">
        <v>1331</v>
      </c>
      <c r="C308" s="10"/>
      <c r="D308" s="10" t="s">
        <v>1332</v>
      </c>
      <c r="E308" s="10">
        <v>0.6</v>
      </c>
      <c r="F308" s="10" t="s">
        <v>86</v>
      </c>
      <c r="G308" s="12" t="s">
        <v>1333</v>
      </c>
      <c r="H308" s="12" t="s">
        <v>123</v>
      </c>
      <c r="I308" s="12" t="s">
        <v>76</v>
      </c>
      <c r="J308" s="10" t="s">
        <v>104</v>
      </c>
      <c r="K308" s="10" t="s">
        <v>105</v>
      </c>
      <c r="L308" s="14" t="s">
        <v>3132</v>
      </c>
      <c r="M308" s="1"/>
      <c r="N308" s="1"/>
      <c r="O308" s="1"/>
      <c r="P308" s="1"/>
      <c r="Q308" s="1"/>
    </row>
    <row r="309" spans="1:17">
      <c r="A309" s="10">
        <v>326</v>
      </c>
      <c r="B309" s="10" t="s">
        <v>111</v>
      </c>
      <c r="C309" s="10" t="s">
        <v>1335</v>
      </c>
      <c r="D309" s="10" t="s">
        <v>1336</v>
      </c>
      <c r="E309" s="10">
        <v>0</v>
      </c>
      <c r="F309" s="10" t="s">
        <v>114</v>
      </c>
      <c r="G309" s="12" t="s">
        <v>66</v>
      </c>
      <c r="H309" s="12" t="s">
        <v>67</v>
      </c>
      <c r="I309" s="12" t="s">
        <v>117</v>
      </c>
      <c r="J309" s="10" t="s">
        <v>3</v>
      </c>
      <c r="K309" s="10" t="s">
        <v>76</v>
      </c>
      <c r="L309" s="14" t="s">
        <v>1339</v>
      </c>
      <c r="M309" s="1"/>
      <c r="N309" s="1"/>
      <c r="O309" s="1"/>
      <c r="P309" s="1"/>
      <c r="Q309" s="1"/>
    </row>
    <row r="310" spans="1:17" ht="28.5">
      <c r="A310" s="10">
        <v>327</v>
      </c>
      <c r="B310" s="10" t="s">
        <v>111</v>
      </c>
      <c r="C310" s="10" t="s">
        <v>1340</v>
      </c>
      <c r="D310" s="10" t="s">
        <v>1341</v>
      </c>
      <c r="E310" s="10">
        <v>1.7</v>
      </c>
      <c r="F310" s="10" t="s">
        <v>73</v>
      </c>
      <c r="G310" s="12" t="s">
        <v>104</v>
      </c>
      <c r="H310" s="12" t="s">
        <v>105</v>
      </c>
      <c r="I310" s="12" t="s">
        <v>1134</v>
      </c>
      <c r="J310" s="10" t="s">
        <v>123</v>
      </c>
      <c r="K310" s="10" t="s">
        <v>76</v>
      </c>
      <c r="L310" s="14" t="s">
        <v>1343</v>
      </c>
      <c r="M310" s="1"/>
      <c r="N310" s="1"/>
      <c r="O310" s="1"/>
      <c r="P310" s="1"/>
      <c r="Q310" s="1"/>
    </row>
    <row r="311" spans="1:17">
      <c r="A311" s="10">
        <v>328</v>
      </c>
      <c r="B311" s="10" t="s">
        <v>111</v>
      </c>
      <c r="C311" s="10" t="s">
        <v>1344</v>
      </c>
      <c r="D311" s="10" t="s">
        <v>1345</v>
      </c>
      <c r="E311" s="10">
        <v>0.5</v>
      </c>
      <c r="F311" s="10" t="s">
        <v>86</v>
      </c>
      <c r="G311" s="12" t="s">
        <v>66</v>
      </c>
      <c r="H311" s="12" t="s">
        <v>67</v>
      </c>
      <c r="I311" s="12" t="s">
        <v>117</v>
      </c>
      <c r="J311" s="10" t="s">
        <v>1347</v>
      </c>
      <c r="K311" s="10" t="s">
        <v>76</v>
      </c>
      <c r="L311" s="14" t="s">
        <v>116</v>
      </c>
      <c r="M311" s="1"/>
      <c r="N311" s="1"/>
      <c r="O311" s="1"/>
      <c r="P311" s="1"/>
      <c r="Q311" s="1"/>
    </row>
    <row r="312" spans="1:17">
      <c r="A312" s="10">
        <v>329</v>
      </c>
      <c r="B312" s="10" t="s">
        <v>111</v>
      </c>
      <c r="C312" s="10" t="s">
        <v>1349</v>
      </c>
      <c r="D312" s="10" t="s">
        <v>1350</v>
      </c>
      <c r="E312" s="10">
        <v>0</v>
      </c>
      <c r="F312" s="10" t="s">
        <v>86</v>
      </c>
      <c r="G312" s="12" t="s">
        <v>66</v>
      </c>
      <c r="H312" s="12" t="s">
        <v>67</v>
      </c>
      <c r="I312" s="12" t="s">
        <v>117</v>
      </c>
      <c r="J312" s="10" t="s">
        <v>1347</v>
      </c>
      <c r="K312" s="10" t="s">
        <v>76</v>
      </c>
      <c r="L312" s="14" t="s">
        <v>116</v>
      </c>
      <c r="M312" s="1"/>
      <c r="N312" s="1"/>
      <c r="O312" s="1"/>
      <c r="P312" s="1"/>
      <c r="Q312" s="1"/>
    </row>
    <row r="313" spans="1:17">
      <c r="A313" s="10">
        <v>330</v>
      </c>
      <c r="B313" s="10" t="s">
        <v>111</v>
      </c>
      <c r="C313" s="10" t="s">
        <v>1353</v>
      </c>
      <c r="D313" s="10" t="s">
        <v>1354</v>
      </c>
      <c r="E313" s="10">
        <v>3</v>
      </c>
      <c r="F313" s="10" t="s">
        <v>86</v>
      </c>
      <c r="G313" s="12" t="s">
        <v>66</v>
      </c>
      <c r="H313" s="12" t="s">
        <v>1356</v>
      </c>
      <c r="I313" s="12" t="s">
        <v>117</v>
      </c>
      <c r="J313" s="10" t="s">
        <v>1347</v>
      </c>
      <c r="K313" s="10" t="s">
        <v>76</v>
      </c>
      <c r="L313" s="14" t="s">
        <v>1357</v>
      </c>
      <c r="M313" s="1"/>
      <c r="N313" s="1"/>
      <c r="O313" s="1"/>
      <c r="P313" s="1"/>
      <c r="Q313" s="1"/>
    </row>
    <row r="314" spans="1:17">
      <c r="A314" s="10">
        <v>331</v>
      </c>
      <c r="B314" s="10" t="s">
        <v>111</v>
      </c>
      <c r="C314" s="10" t="s">
        <v>1358</v>
      </c>
      <c r="D314" s="10" t="s">
        <v>1359</v>
      </c>
      <c r="E314" s="10">
        <v>0</v>
      </c>
      <c r="F314" s="10" t="s">
        <v>86</v>
      </c>
      <c r="G314" s="12" t="s">
        <v>66</v>
      </c>
      <c r="H314" s="12" t="s">
        <v>1356</v>
      </c>
      <c r="I314" s="12" t="s">
        <v>117</v>
      </c>
      <c r="J314" s="10" t="s">
        <v>1347</v>
      </c>
      <c r="K314" s="10" t="s">
        <v>76</v>
      </c>
      <c r="L314" s="14" t="s">
        <v>1361</v>
      </c>
      <c r="M314" s="1"/>
      <c r="N314" s="1"/>
      <c r="O314" s="1"/>
      <c r="P314" s="1"/>
      <c r="Q314" s="1"/>
    </row>
    <row r="315" spans="1:17">
      <c r="A315" s="10">
        <v>332</v>
      </c>
      <c r="B315" s="10" t="s">
        <v>111</v>
      </c>
      <c r="C315" s="10" t="s">
        <v>1362</v>
      </c>
      <c r="D315" s="10" t="s">
        <v>1363</v>
      </c>
      <c r="E315" s="10">
        <v>0</v>
      </c>
      <c r="F315" s="10" t="s">
        <v>808</v>
      </c>
      <c r="G315" s="12" t="s">
        <v>66</v>
      </c>
      <c r="H315" s="12" t="s">
        <v>1356</v>
      </c>
      <c r="I315" s="12" t="s">
        <v>117</v>
      </c>
      <c r="J315" s="10" t="s">
        <v>1347</v>
      </c>
      <c r="K315" s="10" t="s">
        <v>76</v>
      </c>
      <c r="L315" s="14" t="s">
        <v>1365</v>
      </c>
      <c r="M315" s="1"/>
      <c r="N315" s="1"/>
      <c r="O315" s="1"/>
      <c r="P315" s="1"/>
      <c r="Q315" s="1"/>
    </row>
    <row r="316" spans="1:17">
      <c r="A316" s="10">
        <v>333</v>
      </c>
      <c r="B316" s="10" t="s">
        <v>1366</v>
      </c>
      <c r="C316" s="10" t="s">
        <v>1367</v>
      </c>
      <c r="D316" s="10" t="s">
        <v>1368</v>
      </c>
      <c r="E316" s="10">
        <v>0</v>
      </c>
      <c r="F316" s="10" t="s">
        <v>415</v>
      </c>
      <c r="G316" s="12" t="s">
        <v>419</v>
      </c>
      <c r="H316" s="12" t="s">
        <v>420</v>
      </c>
      <c r="I316" s="12" t="s">
        <v>421</v>
      </c>
      <c r="J316" s="10" t="s">
        <v>418</v>
      </c>
      <c r="K316" s="10" t="s">
        <v>76</v>
      </c>
      <c r="L316" s="14" t="s">
        <v>3133</v>
      </c>
      <c r="M316" s="1"/>
      <c r="N316" s="1"/>
      <c r="O316" s="1"/>
      <c r="P316" s="1"/>
      <c r="Q316" s="1"/>
    </row>
    <row r="317" spans="1:17">
      <c r="A317" s="10">
        <v>334</v>
      </c>
      <c r="B317" s="10" t="s">
        <v>1366</v>
      </c>
      <c r="C317" s="10" t="s">
        <v>1371</v>
      </c>
      <c r="D317" s="10" t="s">
        <v>1372</v>
      </c>
      <c r="E317" s="10">
        <v>0</v>
      </c>
      <c r="F317" s="10" t="s">
        <v>415</v>
      </c>
      <c r="G317" s="12" t="s">
        <v>1347</v>
      </c>
      <c r="H317" s="12" t="s">
        <v>1356</v>
      </c>
      <c r="I317" s="12" t="s">
        <v>1375</v>
      </c>
      <c r="J317" s="10" t="s">
        <v>1347</v>
      </c>
      <c r="K317" s="10" t="s">
        <v>76</v>
      </c>
      <c r="L317" s="14" t="s">
        <v>1374</v>
      </c>
      <c r="M317" s="1"/>
      <c r="N317" s="1"/>
      <c r="O317" s="1"/>
      <c r="P317" s="1"/>
      <c r="Q317" s="1"/>
    </row>
    <row r="318" spans="1:17" ht="28.5">
      <c r="A318" s="10">
        <v>335</v>
      </c>
      <c r="B318" s="10" t="s">
        <v>1366</v>
      </c>
      <c r="C318" s="10" t="s">
        <v>1377</v>
      </c>
      <c r="D318" s="10" t="s">
        <v>1378</v>
      </c>
      <c r="E318" s="10">
        <v>0</v>
      </c>
      <c r="F318" s="10" t="s">
        <v>415</v>
      </c>
      <c r="G318" s="12" t="s">
        <v>419</v>
      </c>
      <c r="H318" s="12" t="s">
        <v>420</v>
      </c>
      <c r="I318" s="12" t="s">
        <v>421</v>
      </c>
      <c r="J318" s="10" t="s">
        <v>418</v>
      </c>
      <c r="K318" s="10" t="s">
        <v>76</v>
      </c>
      <c r="L318" s="14" t="s">
        <v>3134</v>
      </c>
      <c r="M318" s="1"/>
      <c r="N318" s="1"/>
      <c r="O318" s="1"/>
      <c r="P318" s="1"/>
      <c r="Q318" s="1"/>
    </row>
    <row r="319" spans="1:17" ht="28.5">
      <c r="A319" s="10">
        <v>336</v>
      </c>
      <c r="B319" s="10" t="s">
        <v>1366</v>
      </c>
      <c r="C319" s="10" t="s">
        <v>1382</v>
      </c>
      <c r="D319" s="10" t="s">
        <v>1383</v>
      </c>
      <c r="E319" s="10">
        <v>0.5</v>
      </c>
      <c r="F319" s="10" t="s">
        <v>86</v>
      </c>
      <c r="G319" s="12" t="s">
        <v>104</v>
      </c>
      <c r="H319" s="12" t="s">
        <v>105</v>
      </c>
      <c r="I319" s="12" t="s">
        <v>1134</v>
      </c>
      <c r="J319" s="10" t="s">
        <v>123</v>
      </c>
      <c r="K319" s="10" t="s">
        <v>76</v>
      </c>
      <c r="L319" s="14" t="s">
        <v>3066</v>
      </c>
      <c r="M319" s="1"/>
      <c r="N319" s="1"/>
      <c r="O319" s="1"/>
      <c r="P319" s="1"/>
      <c r="Q319" s="1"/>
    </row>
    <row r="320" spans="1:17" ht="28.5">
      <c r="A320" s="10">
        <v>337</v>
      </c>
      <c r="B320" s="10" t="s">
        <v>1366</v>
      </c>
      <c r="C320" s="10" t="s">
        <v>1387</v>
      </c>
      <c r="D320" s="10" t="s">
        <v>1388</v>
      </c>
      <c r="E320" s="10">
        <v>1</v>
      </c>
      <c r="F320" s="10" t="s">
        <v>86</v>
      </c>
      <c r="G320" s="12" t="s">
        <v>104</v>
      </c>
      <c r="H320" s="12" t="s">
        <v>105</v>
      </c>
      <c r="I320" s="12" t="s">
        <v>1134</v>
      </c>
      <c r="J320" s="10" t="s">
        <v>123</v>
      </c>
      <c r="K320" s="10" t="s">
        <v>76</v>
      </c>
      <c r="L320" s="14" t="s">
        <v>3135</v>
      </c>
      <c r="M320" s="1"/>
      <c r="N320" s="1"/>
      <c r="O320" s="1"/>
      <c r="P320" s="1"/>
      <c r="Q320" s="1"/>
    </row>
    <row r="321" spans="1:17">
      <c r="A321" s="10">
        <v>338</v>
      </c>
      <c r="B321" s="10" t="s">
        <v>1366</v>
      </c>
      <c r="C321" s="10" t="s">
        <v>1390</v>
      </c>
      <c r="D321" s="10" t="s">
        <v>1384</v>
      </c>
      <c r="E321" s="10">
        <v>0</v>
      </c>
      <c r="F321" s="10" t="s">
        <v>653</v>
      </c>
      <c r="G321" s="12" t="s">
        <v>1347</v>
      </c>
      <c r="H321" s="12" t="s">
        <v>1392</v>
      </c>
      <c r="I321" s="12" t="s">
        <v>1375</v>
      </c>
      <c r="J321" s="10" t="s">
        <v>1347</v>
      </c>
      <c r="K321" s="10" t="s">
        <v>76</v>
      </c>
      <c r="L321" s="14" t="s">
        <v>3136</v>
      </c>
      <c r="M321" s="1"/>
      <c r="N321" s="1"/>
      <c r="O321" s="1"/>
      <c r="P321" s="1"/>
      <c r="Q321" s="1"/>
    </row>
    <row r="322" spans="1:17" ht="28.5">
      <c r="A322" s="10">
        <v>339</v>
      </c>
      <c r="B322" s="10" t="s">
        <v>1366</v>
      </c>
      <c r="C322" s="10" t="s">
        <v>2773</v>
      </c>
      <c r="D322" s="10" t="s">
        <v>1395</v>
      </c>
      <c r="E322" s="10">
        <v>0</v>
      </c>
      <c r="F322" s="10" t="s">
        <v>1396</v>
      </c>
      <c r="G322" s="12" t="s">
        <v>104</v>
      </c>
      <c r="H322" s="12" t="s">
        <v>105</v>
      </c>
      <c r="I322" s="12" t="s">
        <v>1134</v>
      </c>
      <c r="J322" s="10" t="s">
        <v>123</v>
      </c>
      <c r="K322" s="10" t="s">
        <v>76</v>
      </c>
      <c r="L322" s="14" t="s">
        <v>2774</v>
      </c>
      <c r="M322" s="1"/>
      <c r="N322" s="1"/>
      <c r="O322" s="1"/>
      <c r="P322" s="1"/>
      <c r="Q322" s="1"/>
    </row>
    <row r="323" spans="1:17" ht="28.5">
      <c r="A323" s="10">
        <v>340</v>
      </c>
      <c r="B323" s="10" t="s">
        <v>1366</v>
      </c>
      <c r="C323" s="10" t="s">
        <v>2776</v>
      </c>
      <c r="D323" s="10" t="s">
        <v>1400</v>
      </c>
      <c r="E323" s="10">
        <v>0</v>
      </c>
      <c r="F323" s="10" t="s">
        <v>1396</v>
      </c>
      <c r="G323" s="12" t="s">
        <v>104</v>
      </c>
      <c r="H323" s="12" t="s">
        <v>105</v>
      </c>
      <c r="I323" s="12" t="s">
        <v>1134</v>
      </c>
      <c r="J323" s="10" t="s">
        <v>123</v>
      </c>
      <c r="K323" s="10" t="s">
        <v>76</v>
      </c>
      <c r="L323" s="14" t="s">
        <v>2774</v>
      </c>
      <c r="M323" s="1"/>
      <c r="N323" s="1"/>
      <c r="O323" s="1"/>
      <c r="P323" s="1"/>
      <c r="Q323" s="1"/>
    </row>
    <row r="324" spans="1:17" ht="28.5">
      <c r="A324" s="10">
        <v>341</v>
      </c>
      <c r="B324" s="10" t="s">
        <v>1366</v>
      </c>
      <c r="C324" s="10" t="s">
        <v>2778</v>
      </c>
      <c r="D324" s="10" t="s">
        <v>1402</v>
      </c>
      <c r="E324" s="10">
        <v>0</v>
      </c>
      <c r="F324" s="10" t="s">
        <v>1396</v>
      </c>
      <c r="G324" s="12" t="s">
        <v>104</v>
      </c>
      <c r="H324" s="12" t="s">
        <v>105</v>
      </c>
      <c r="I324" s="12" t="s">
        <v>1134</v>
      </c>
      <c r="J324" s="10" t="s">
        <v>123</v>
      </c>
      <c r="K324" s="10" t="s">
        <v>76</v>
      </c>
      <c r="L324" s="14" t="s">
        <v>2774</v>
      </c>
      <c r="M324" s="1"/>
      <c r="N324" s="1"/>
      <c r="O324" s="1"/>
      <c r="P324" s="1"/>
      <c r="Q324" s="1"/>
    </row>
    <row r="325" spans="1:17" ht="28.5">
      <c r="A325" s="10">
        <v>342</v>
      </c>
      <c r="B325" s="10" t="s">
        <v>1366</v>
      </c>
      <c r="C325" s="10" t="s">
        <v>1403</v>
      </c>
      <c r="D325" s="10" t="s">
        <v>1404</v>
      </c>
      <c r="E325" s="10">
        <v>0.5</v>
      </c>
      <c r="F325" s="10" t="s">
        <v>86</v>
      </c>
      <c r="G325" s="12" t="s">
        <v>104</v>
      </c>
      <c r="H325" s="12" t="s">
        <v>105</v>
      </c>
      <c r="I325" s="12" t="s">
        <v>1134</v>
      </c>
      <c r="J325" s="10" t="s">
        <v>123</v>
      </c>
      <c r="K325" s="10" t="s">
        <v>76</v>
      </c>
      <c r="L325" s="14" t="s">
        <v>3137</v>
      </c>
      <c r="M325" s="1"/>
      <c r="N325" s="1"/>
      <c r="O325" s="1"/>
      <c r="P325" s="1"/>
      <c r="Q325" s="1"/>
    </row>
    <row r="326" spans="1:17">
      <c r="A326" s="10">
        <v>343</v>
      </c>
      <c r="B326" s="10" t="s">
        <v>1366</v>
      </c>
      <c r="C326" s="10" t="s">
        <v>1408</v>
      </c>
      <c r="D326" s="10" t="s">
        <v>1405</v>
      </c>
      <c r="E326" s="10">
        <v>0</v>
      </c>
      <c r="F326" s="10" t="s">
        <v>1396</v>
      </c>
      <c r="G326" s="12" t="s">
        <v>1347</v>
      </c>
      <c r="H326" s="12" t="s">
        <v>1410</v>
      </c>
      <c r="I326" s="12" t="s">
        <v>1375</v>
      </c>
      <c r="J326" s="10" t="s">
        <v>1347</v>
      </c>
      <c r="K326" s="10" t="s">
        <v>76</v>
      </c>
      <c r="L326" s="14" t="s">
        <v>3138</v>
      </c>
      <c r="M326" s="1"/>
      <c r="N326" s="1"/>
      <c r="O326" s="1"/>
      <c r="P326" s="1"/>
      <c r="Q326" s="1"/>
    </row>
    <row r="327" spans="1:17" ht="28.5">
      <c r="A327" s="10">
        <v>344</v>
      </c>
      <c r="B327" s="10" t="s">
        <v>1366</v>
      </c>
      <c r="C327" s="10" t="s">
        <v>1412</v>
      </c>
      <c r="D327" s="10" t="s">
        <v>1413</v>
      </c>
      <c r="E327" s="10">
        <v>2</v>
      </c>
      <c r="F327" s="10" t="s">
        <v>1414</v>
      </c>
      <c r="G327" s="12" t="s">
        <v>104</v>
      </c>
      <c r="H327" s="12" t="s">
        <v>105</v>
      </c>
      <c r="I327" s="12" t="s">
        <v>1134</v>
      </c>
      <c r="J327" s="10" t="s">
        <v>123</v>
      </c>
      <c r="K327" s="10" t="s">
        <v>76</v>
      </c>
      <c r="L327" s="14" t="s">
        <v>1415</v>
      </c>
      <c r="M327" s="1"/>
      <c r="N327" s="1"/>
      <c r="O327" s="1"/>
      <c r="P327" s="1"/>
      <c r="Q327" s="1"/>
    </row>
    <row r="328" spans="1:17" ht="28.5">
      <c r="A328" s="10">
        <v>345</v>
      </c>
      <c r="B328" s="10" t="s">
        <v>1366</v>
      </c>
      <c r="C328" s="10" t="s">
        <v>1417</v>
      </c>
      <c r="D328" s="10" t="s">
        <v>1418</v>
      </c>
      <c r="E328" s="10">
        <v>0.05</v>
      </c>
      <c r="F328" s="10" t="s">
        <v>229</v>
      </c>
      <c r="G328" s="12" t="s">
        <v>104</v>
      </c>
      <c r="H328" s="12" t="s">
        <v>105</v>
      </c>
      <c r="I328" s="12" t="s">
        <v>1134</v>
      </c>
      <c r="J328" s="10" t="s">
        <v>123</v>
      </c>
      <c r="K328" s="10" t="s">
        <v>76</v>
      </c>
      <c r="L328" s="14" t="s">
        <v>2784</v>
      </c>
      <c r="M328" s="1"/>
      <c r="N328" s="1"/>
      <c r="O328" s="1"/>
      <c r="P328" s="1"/>
      <c r="Q328" s="1"/>
    </row>
    <row r="329" spans="1:17" ht="28.5">
      <c r="A329" s="10">
        <v>346</v>
      </c>
      <c r="B329" s="10" t="s">
        <v>1366</v>
      </c>
      <c r="C329" s="10" t="s">
        <v>1421</v>
      </c>
      <c r="D329" s="10" t="s">
        <v>1422</v>
      </c>
      <c r="E329" s="10">
        <v>2</v>
      </c>
      <c r="F329" s="10" t="s">
        <v>984</v>
      </c>
      <c r="G329" s="12" t="s">
        <v>104</v>
      </c>
      <c r="H329" s="12" t="s">
        <v>105</v>
      </c>
      <c r="I329" s="12" t="s">
        <v>1134</v>
      </c>
      <c r="J329" s="10" t="s">
        <v>123</v>
      </c>
      <c r="K329" s="10" t="s">
        <v>76</v>
      </c>
      <c r="L329" s="14" t="s">
        <v>2787</v>
      </c>
      <c r="M329" s="1"/>
      <c r="N329" s="1"/>
      <c r="O329" s="1"/>
      <c r="P329" s="1"/>
      <c r="Q329" s="1"/>
    </row>
    <row r="330" spans="1:17" ht="28.5">
      <c r="A330" s="10">
        <v>347</v>
      </c>
      <c r="B330" s="10" t="s">
        <v>1366</v>
      </c>
      <c r="C330" s="10" t="s">
        <v>1425</v>
      </c>
      <c r="D330" s="10" t="s">
        <v>1426</v>
      </c>
      <c r="E330" s="10">
        <v>1200</v>
      </c>
      <c r="F330" s="10" t="s">
        <v>73</v>
      </c>
      <c r="G330" s="12" t="s">
        <v>104</v>
      </c>
      <c r="H330" s="12" t="s">
        <v>105</v>
      </c>
      <c r="I330" s="12" t="s">
        <v>1134</v>
      </c>
      <c r="J330" s="10" t="s">
        <v>1317</v>
      </c>
      <c r="K330" s="10" t="s">
        <v>76</v>
      </c>
      <c r="L330" s="14" t="s">
        <v>3139</v>
      </c>
      <c r="M330" s="1"/>
      <c r="N330" s="1"/>
      <c r="O330" s="1"/>
      <c r="P330" s="1"/>
      <c r="Q330" s="1"/>
    </row>
    <row r="331" spans="1:17" ht="28.5">
      <c r="A331" s="10">
        <v>348</v>
      </c>
      <c r="B331" s="10" t="s">
        <v>1366</v>
      </c>
      <c r="C331" s="10" t="s">
        <v>1430</v>
      </c>
      <c r="D331" s="10" t="s">
        <v>1431</v>
      </c>
      <c r="E331" s="10">
        <v>2</v>
      </c>
      <c r="F331" s="10" t="s">
        <v>86</v>
      </c>
      <c r="G331" s="12" t="s">
        <v>104</v>
      </c>
      <c r="H331" s="12" t="s">
        <v>105</v>
      </c>
      <c r="I331" s="12" t="s">
        <v>1134</v>
      </c>
      <c r="J331" s="10" t="s">
        <v>123</v>
      </c>
      <c r="K331" s="10" t="s">
        <v>76</v>
      </c>
      <c r="L331" s="14" t="s">
        <v>3140</v>
      </c>
      <c r="M331" s="1"/>
      <c r="N331" s="1"/>
      <c r="O331" s="1"/>
      <c r="P331" s="1"/>
      <c r="Q331" s="1"/>
    </row>
    <row r="332" spans="1:17">
      <c r="A332" s="10">
        <v>349</v>
      </c>
      <c r="B332" s="10" t="s">
        <v>1366</v>
      </c>
      <c r="C332" s="10" t="s">
        <v>1434</v>
      </c>
      <c r="D332" s="10" t="s">
        <v>1435</v>
      </c>
      <c r="E332" s="10">
        <v>0</v>
      </c>
      <c r="F332" s="10" t="s">
        <v>114</v>
      </c>
      <c r="G332" s="12" t="s">
        <v>1347</v>
      </c>
      <c r="H332" s="12" t="s">
        <v>1356</v>
      </c>
      <c r="I332" s="12" t="s">
        <v>1375</v>
      </c>
      <c r="J332" s="10" t="s">
        <v>1347</v>
      </c>
      <c r="K332" s="10" t="s">
        <v>76</v>
      </c>
      <c r="L332" s="14" t="s">
        <v>1436</v>
      </c>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5:F7">
    <cfRule type="expression" dxfId="4" priority="1">
      <formula>MOD(ROW(),2)=0</formula>
    </cfRule>
  </conditionalFormatting>
  <conditionalFormatting sqref="A11:L332">
    <cfRule type="expression" dxfId="3" priority="2">
      <formula>MOD(ROW(),2)=0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00"/>
  <sheetViews>
    <sheetView workbookViewId="0"/>
  </sheetViews>
  <sheetFormatPr defaultRowHeight="14.25"/>
  <cols>
    <col min="1" max="1" width="10" customWidth="1"/>
    <col min="2" max="2" width="48" customWidth="1"/>
    <col min="3" max="3" width="58" customWidth="1"/>
    <col min="4" max="4" width="12" customWidth="1"/>
    <col min="5" max="5" width="21" customWidth="1"/>
    <col min="6" max="6" width="18" customWidth="1"/>
    <col min="7" max="7" width="20" customWidth="1"/>
    <col min="8" max="8" width="58" customWidth="1"/>
    <col min="9" max="9" width="16" customWidth="1"/>
    <col min="10" max="10" width="14" customWidth="1"/>
    <col min="11" max="11" width="16" customWidth="1"/>
    <col min="12" max="12" width="20" customWidth="1"/>
    <col min="13" max="13" width="30" customWidth="1"/>
    <col min="14" max="14" width="28" customWidth="1"/>
  </cols>
  <sheetData>
    <row r="1" spans="1:17" ht="30">
      <c r="A1" s="16" t="s">
        <v>3141</v>
      </c>
      <c r="B1" s="16" t="s">
        <v>3142</v>
      </c>
      <c r="C1" s="16" t="s">
        <v>3143</v>
      </c>
      <c r="D1" s="16" t="s">
        <v>3144</v>
      </c>
      <c r="E1" s="16" t="s">
        <v>3145</v>
      </c>
      <c r="F1" s="16" t="s">
        <v>3146</v>
      </c>
      <c r="G1" s="16" t="s">
        <v>3147</v>
      </c>
      <c r="H1" s="16" t="s">
        <v>3148</v>
      </c>
      <c r="I1" s="16" t="s">
        <v>3149</v>
      </c>
      <c r="J1" s="16" t="s">
        <v>3150</v>
      </c>
      <c r="K1" s="16" t="s">
        <v>3151</v>
      </c>
      <c r="L1" s="16" t="s">
        <v>3152</v>
      </c>
      <c r="M1" s="16" t="s">
        <v>3153</v>
      </c>
      <c r="N1" s="16" t="s">
        <v>3154</v>
      </c>
      <c r="O1" s="1"/>
      <c r="P1" s="1"/>
      <c r="Q1" s="1"/>
    </row>
    <row r="2" spans="1:17" ht="42.75">
      <c r="A2" s="10" t="s">
        <v>2868</v>
      </c>
      <c r="B2" s="17" t="s">
        <v>3155</v>
      </c>
      <c r="C2" s="17" t="s">
        <v>3156</v>
      </c>
      <c r="D2" s="10">
        <f>COUNTIF('15_研究変数マップ'!$A$2:$A$189,A2)</f>
        <v>5</v>
      </c>
      <c r="E2" s="10">
        <f>SUMIF('15_研究変数マップ'!$A$2:$A$189,A2,'15_研究変数マップ'!$H$2:$H$189)</f>
        <v>4</v>
      </c>
      <c r="F2" s="10">
        <f t="shared" ref="F2:F41" si="0">IF(MAX($D$2:$D$41)=0,0,D2/MAX($D$2:$D$41)*100)</f>
        <v>25</v>
      </c>
      <c r="G2" s="10" t="e">
        <f ca="1">IF(E2="","",_xludf.RANK.EQ(E2,$E$2:$E$41,0))</f>
        <v>#NAME?</v>
      </c>
      <c r="H2" s="11" t="s">
        <v>3157</v>
      </c>
      <c r="I2" s="10">
        <f>COUNTIFS('15_研究変数マップ'!$A$2:$A$189,A2,'15_研究変数マップ'!$I$2:$I$189,"参照済")</f>
        <v>5</v>
      </c>
      <c r="J2" s="10">
        <f t="shared" ref="J2:J41" si="1">IF(D2=0,0,I2/D2)</f>
        <v>1</v>
      </c>
      <c r="K2" s="10" t="str">
        <f t="shared" ref="K2:K41" si="2">IF(I2=0,"未接続",IF(I2&lt;D2,"部分接続","接続済"))</f>
        <v>接続済</v>
      </c>
      <c r="L2" s="12" t="s">
        <v>3158</v>
      </c>
      <c r="M2" s="12" t="s">
        <v>3159</v>
      </c>
      <c r="N2" s="12"/>
      <c r="O2" s="1"/>
      <c r="P2" s="1"/>
      <c r="Q2" s="1"/>
    </row>
    <row r="3" spans="1:17" ht="42.75">
      <c r="A3" s="10" t="s">
        <v>2879</v>
      </c>
      <c r="B3" s="17" t="s">
        <v>3160</v>
      </c>
      <c r="C3" s="17" t="s">
        <v>3161</v>
      </c>
      <c r="D3" s="10">
        <f>COUNTIF('15_研究変数マップ'!$A$2:$A$189,A3)</f>
        <v>5</v>
      </c>
      <c r="E3" s="10">
        <f>SUMIF('15_研究変数マップ'!$A$2:$A$189,A3,'15_研究変数マップ'!$H$2:$H$189)</f>
        <v>0</v>
      </c>
      <c r="F3" s="10">
        <f t="shared" si="0"/>
        <v>25</v>
      </c>
      <c r="G3" s="10" t="e">
        <f ca="1">IF(E3="","",_xludf.RANK.EQ(E3,$E$2:$E$41,0))</f>
        <v>#NAME?</v>
      </c>
      <c r="H3" s="11" t="s">
        <v>3157</v>
      </c>
      <c r="I3" s="10">
        <f>COUNTIFS('15_研究変数マップ'!$A$2:$A$189,A3,'15_研究変数マップ'!$I$2:$I$189,"参照済")</f>
        <v>5</v>
      </c>
      <c r="J3" s="10">
        <f t="shared" si="1"/>
        <v>1</v>
      </c>
      <c r="K3" s="10" t="str">
        <f t="shared" si="2"/>
        <v>接続済</v>
      </c>
      <c r="L3" s="12" t="s">
        <v>3158</v>
      </c>
      <c r="M3" s="12" t="s">
        <v>3159</v>
      </c>
      <c r="N3" s="12"/>
      <c r="O3" s="1"/>
      <c r="P3" s="1"/>
      <c r="Q3" s="1"/>
    </row>
    <row r="4" spans="1:17" ht="42.75">
      <c r="A4" s="10" t="s">
        <v>2887</v>
      </c>
      <c r="B4" s="17" t="s">
        <v>3162</v>
      </c>
      <c r="C4" s="17" t="s">
        <v>3163</v>
      </c>
      <c r="D4" s="10">
        <f>COUNTIF('15_研究変数マップ'!$A$2:$A$189,A4)</f>
        <v>6</v>
      </c>
      <c r="E4" s="10">
        <f>SUMIF('15_研究変数マップ'!$A$2:$A$189,A4,'15_研究変数マップ'!$H$2:$H$189)</f>
        <v>2</v>
      </c>
      <c r="F4" s="10">
        <f t="shared" si="0"/>
        <v>30</v>
      </c>
      <c r="G4" s="10" t="e">
        <f ca="1">IF(E4="","",_xludf.RANK.EQ(E4,$E$2:$E$41,0))</f>
        <v>#NAME?</v>
      </c>
      <c r="H4" s="11" t="s">
        <v>3157</v>
      </c>
      <c r="I4" s="10">
        <f>COUNTIFS('15_研究変数マップ'!$A$2:$A$189,A4,'15_研究変数マップ'!$I$2:$I$189,"参照済")</f>
        <v>6</v>
      </c>
      <c r="J4" s="10">
        <f t="shared" si="1"/>
        <v>1</v>
      </c>
      <c r="K4" s="10" t="str">
        <f t="shared" si="2"/>
        <v>接続済</v>
      </c>
      <c r="L4" s="12" t="s">
        <v>3158</v>
      </c>
      <c r="M4" s="12" t="s">
        <v>3159</v>
      </c>
      <c r="N4" s="12"/>
      <c r="O4" s="1"/>
      <c r="P4" s="1"/>
      <c r="Q4" s="1"/>
    </row>
    <row r="5" spans="1:17" ht="42.75">
      <c r="A5" s="10" t="s">
        <v>2896</v>
      </c>
      <c r="B5" s="17" t="s">
        <v>3164</v>
      </c>
      <c r="C5" s="17" t="s">
        <v>3165</v>
      </c>
      <c r="D5" s="10">
        <f>COUNTIF('15_研究変数マップ'!$A$2:$A$189,A5)</f>
        <v>4</v>
      </c>
      <c r="E5" s="10">
        <f>SUMIF('15_研究変数マップ'!$A$2:$A$189,A5,'15_研究変数マップ'!$H$2:$H$189)</f>
        <v>2</v>
      </c>
      <c r="F5" s="10">
        <f t="shared" si="0"/>
        <v>20</v>
      </c>
      <c r="G5" s="10" t="e">
        <f ca="1">IF(E5="","",_xludf.RANK.EQ(E5,$E$2:$E$41,0))</f>
        <v>#NAME?</v>
      </c>
      <c r="H5" s="11" t="s">
        <v>3157</v>
      </c>
      <c r="I5" s="10">
        <f>COUNTIFS('15_研究変数マップ'!$A$2:$A$189,A5,'15_研究変数マップ'!$I$2:$I$189,"参照済")</f>
        <v>4</v>
      </c>
      <c r="J5" s="10">
        <f t="shared" si="1"/>
        <v>1</v>
      </c>
      <c r="K5" s="10" t="str">
        <f t="shared" si="2"/>
        <v>接続済</v>
      </c>
      <c r="L5" s="12" t="s">
        <v>3158</v>
      </c>
      <c r="M5" s="12" t="s">
        <v>3159</v>
      </c>
      <c r="N5" s="12"/>
      <c r="O5" s="1"/>
      <c r="P5" s="1"/>
      <c r="Q5" s="1"/>
    </row>
    <row r="6" spans="1:17" ht="42.75">
      <c r="A6" s="10" t="s">
        <v>2904</v>
      </c>
      <c r="B6" s="17" t="s">
        <v>3166</v>
      </c>
      <c r="C6" s="17" t="s">
        <v>3167</v>
      </c>
      <c r="D6" s="10">
        <f>COUNTIF('15_研究変数マップ'!$A$2:$A$189,A6)</f>
        <v>3</v>
      </c>
      <c r="E6" s="10">
        <f>SUMIF('15_研究変数マップ'!$A$2:$A$189,A6,'15_研究変数マップ'!$H$2:$H$189)</f>
        <v>1</v>
      </c>
      <c r="F6" s="10">
        <f t="shared" si="0"/>
        <v>15</v>
      </c>
      <c r="G6" s="10" t="e">
        <f ca="1">IF(E6="","",_xludf.RANK.EQ(E6,$E$2:$E$41,0))</f>
        <v>#NAME?</v>
      </c>
      <c r="H6" s="11" t="s">
        <v>3157</v>
      </c>
      <c r="I6" s="10">
        <f>COUNTIFS('15_研究変数マップ'!$A$2:$A$189,A6,'15_研究変数マップ'!$I$2:$I$189,"参照済")</f>
        <v>3</v>
      </c>
      <c r="J6" s="10">
        <f t="shared" si="1"/>
        <v>1</v>
      </c>
      <c r="K6" s="10" t="str">
        <f t="shared" si="2"/>
        <v>接続済</v>
      </c>
      <c r="L6" s="12" t="s">
        <v>3158</v>
      </c>
      <c r="M6" s="12" t="s">
        <v>3159</v>
      </c>
      <c r="N6" s="12"/>
      <c r="O6" s="1"/>
      <c r="P6" s="1"/>
      <c r="Q6" s="1"/>
    </row>
    <row r="7" spans="1:17" ht="42.75">
      <c r="A7" s="10" t="s">
        <v>2913</v>
      </c>
      <c r="B7" s="17" t="s">
        <v>3168</v>
      </c>
      <c r="C7" s="17" t="s">
        <v>3169</v>
      </c>
      <c r="D7" s="10">
        <f>COUNTIF('15_研究変数マップ'!$A$2:$A$189,A7)</f>
        <v>5</v>
      </c>
      <c r="E7" s="10">
        <f>SUMIF('15_研究変数マップ'!$A$2:$A$189,A7,'15_研究変数マップ'!$H$2:$H$189)</f>
        <v>4</v>
      </c>
      <c r="F7" s="10">
        <f t="shared" si="0"/>
        <v>25</v>
      </c>
      <c r="G7" s="10" t="e">
        <f ca="1">IF(E7="","",_xludf.RANK.EQ(E7,$E$2:$E$41,0))</f>
        <v>#NAME?</v>
      </c>
      <c r="H7" s="11" t="s">
        <v>3157</v>
      </c>
      <c r="I7" s="10">
        <f>COUNTIFS('15_研究変数マップ'!$A$2:$A$189,A7,'15_研究変数マップ'!$I$2:$I$189,"参照済")</f>
        <v>5</v>
      </c>
      <c r="J7" s="10">
        <f t="shared" si="1"/>
        <v>1</v>
      </c>
      <c r="K7" s="10" t="str">
        <f t="shared" si="2"/>
        <v>接続済</v>
      </c>
      <c r="L7" s="12" t="s">
        <v>3158</v>
      </c>
      <c r="M7" s="12" t="s">
        <v>3159</v>
      </c>
      <c r="N7" s="12"/>
      <c r="O7" s="1"/>
      <c r="P7" s="1"/>
      <c r="Q7" s="1"/>
    </row>
    <row r="8" spans="1:17" ht="42.75">
      <c r="A8" s="10" t="s">
        <v>2921</v>
      </c>
      <c r="B8" s="17" t="s">
        <v>3170</v>
      </c>
      <c r="C8" s="17" t="s">
        <v>3171</v>
      </c>
      <c r="D8" s="10">
        <f>COUNTIF('15_研究変数マップ'!$A$2:$A$189,A8)</f>
        <v>5</v>
      </c>
      <c r="E8" s="10">
        <f>SUMIF('15_研究変数マップ'!$A$2:$A$189,A8,'15_研究変数マップ'!$H$2:$H$189)</f>
        <v>1</v>
      </c>
      <c r="F8" s="10">
        <f t="shared" si="0"/>
        <v>25</v>
      </c>
      <c r="G8" s="10" t="e">
        <f ca="1">IF(E8="","",_xludf.RANK.EQ(E8,$E$2:$E$41,0))</f>
        <v>#NAME?</v>
      </c>
      <c r="H8" s="11" t="s">
        <v>3157</v>
      </c>
      <c r="I8" s="10">
        <f>COUNTIFS('15_研究変数マップ'!$A$2:$A$189,A8,'15_研究変数マップ'!$I$2:$I$189,"参照済")</f>
        <v>5</v>
      </c>
      <c r="J8" s="10">
        <f t="shared" si="1"/>
        <v>1</v>
      </c>
      <c r="K8" s="10" t="str">
        <f t="shared" si="2"/>
        <v>接続済</v>
      </c>
      <c r="L8" s="12" t="s">
        <v>3158</v>
      </c>
      <c r="M8" s="12" t="s">
        <v>3159</v>
      </c>
      <c r="N8" s="12"/>
      <c r="O8" s="1"/>
      <c r="P8" s="1"/>
      <c r="Q8" s="1"/>
    </row>
    <row r="9" spans="1:17" ht="42.75">
      <c r="A9" s="10" t="s">
        <v>2931</v>
      </c>
      <c r="B9" s="17" t="s">
        <v>3172</v>
      </c>
      <c r="C9" s="17" t="s">
        <v>3173</v>
      </c>
      <c r="D9" s="10">
        <f>COUNTIF('15_研究変数マップ'!$A$2:$A$189,A9)</f>
        <v>3</v>
      </c>
      <c r="E9" s="10">
        <f>SUMIF('15_研究変数マップ'!$A$2:$A$189,A9,'15_研究変数マップ'!$H$2:$H$189)</f>
        <v>2</v>
      </c>
      <c r="F9" s="10">
        <f t="shared" si="0"/>
        <v>15</v>
      </c>
      <c r="G9" s="10" t="e">
        <f ca="1">IF(E9="","",_xludf.RANK.EQ(E9,$E$2:$E$41,0))</f>
        <v>#NAME?</v>
      </c>
      <c r="H9" s="11" t="s">
        <v>3157</v>
      </c>
      <c r="I9" s="10">
        <f>COUNTIFS('15_研究変数マップ'!$A$2:$A$189,A9,'15_研究変数マップ'!$I$2:$I$189,"参照済")</f>
        <v>2</v>
      </c>
      <c r="J9" s="10">
        <f t="shared" si="1"/>
        <v>0.66666666666666663</v>
      </c>
      <c r="K9" s="10" t="str">
        <f t="shared" si="2"/>
        <v>部分接続</v>
      </c>
      <c r="L9" s="12" t="s">
        <v>3158</v>
      </c>
      <c r="M9" s="12" t="s">
        <v>3159</v>
      </c>
      <c r="N9" s="12"/>
      <c r="O9" s="1"/>
      <c r="P9" s="1"/>
      <c r="Q9" s="1"/>
    </row>
    <row r="10" spans="1:17" ht="42.75">
      <c r="A10" s="10" t="s">
        <v>2939</v>
      </c>
      <c r="B10" s="17" t="s">
        <v>3174</v>
      </c>
      <c r="C10" s="17" t="s">
        <v>3175</v>
      </c>
      <c r="D10" s="10">
        <f>COUNTIF('15_研究変数マップ'!$A$2:$A$189,A10)</f>
        <v>5</v>
      </c>
      <c r="E10" s="10">
        <f>SUMIF('15_研究変数マップ'!$A$2:$A$189,A10,'15_研究変数マップ'!$H$2:$H$189)</f>
        <v>2</v>
      </c>
      <c r="F10" s="10">
        <f t="shared" si="0"/>
        <v>25</v>
      </c>
      <c r="G10" s="10" t="e">
        <f ca="1">IF(E10="","",_xludf.RANK.EQ(E10,$E$2:$E$41,0))</f>
        <v>#NAME?</v>
      </c>
      <c r="H10" s="11" t="s">
        <v>3157</v>
      </c>
      <c r="I10" s="10">
        <f>COUNTIFS('15_研究変数マップ'!$A$2:$A$189,A10,'15_研究変数マップ'!$I$2:$I$189,"参照済")</f>
        <v>5</v>
      </c>
      <c r="J10" s="10">
        <f t="shared" si="1"/>
        <v>1</v>
      </c>
      <c r="K10" s="10" t="str">
        <f t="shared" si="2"/>
        <v>接続済</v>
      </c>
      <c r="L10" s="12" t="s">
        <v>3158</v>
      </c>
      <c r="M10" s="12" t="s">
        <v>3159</v>
      </c>
      <c r="N10" s="12"/>
      <c r="O10" s="1"/>
      <c r="P10" s="1"/>
      <c r="Q10" s="1"/>
    </row>
    <row r="11" spans="1:17" ht="42.75">
      <c r="A11" s="10" t="s">
        <v>2949</v>
      </c>
      <c r="B11" s="17" t="s">
        <v>3176</v>
      </c>
      <c r="C11" s="17" t="s">
        <v>3177</v>
      </c>
      <c r="D11" s="10">
        <f>COUNTIF('15_研究変数マップ'!$A$2:$A$189,A11)</f>
        <v>4</v>
      </c>
      <c r="E11" s="10">
        <f>SUMIF('15_研究変数マップ'!$A$2:$A$189,A11,'15_研究変数マップ'!$H$2:$H$189)</f>
        <v>3</v>
      </c>
      <c r="F11" s="10">
        <f t="shared" si="0"/>
        <v>20</v>
      </c>
      <c r="G11" s="10" t="e">
        <f ca="1">IF(E11="","",_xludf.RANK.EQ(E11,$E$2:$E$41,0))</f>
        <v>#NAME?</v>
      </c>
      <c r="H11" s="11" t="s">
        <v>3157</v>
      </c>
      <c r="I11" s="10">
        <f>COUNTIFS('15_研究変数マップ'!$A$2:$A$189,A11,'15_研究変数マップ'!$I$2:$I$189,"参照済")</f>
        <v>4</v>
      </c>
      <c r="J11" s="10">
        <f t="shared" si="1"/>
        <v>1</v>
      </c>
      <c r="K11" s="10" t="str">
        <f t="shared" si="2"/>
        <v>接続済</v>
      </c>
      <c r="L11" s="12" t="s">
        <v>3158</v>
      </c>
      <c r="M11" s="12" t="s">
        <v>3159</v>
      </c>
      <c r="N11" s="12"/>
      <c r="O11" s="1"/>
      <c r="P11" s="1"/>
      <c r="Q11" s="1"/>
    </row>
    <row r="12" spans="1:17" ht="42.75">
      <c r="A12" s="10" t="s">
        <v>2957</v>
      </c>
      <c r="B12" s="17" t="s">
        <v>3178</v>
      </c>
      <c r="C12" s="17" t="s">
        <v>3179</v>
      </c>
      <c r="D12" s="10">
        <f>COUNTIF('15_研究変数マップ'!$A$2:$A$189,A12)</f>
        <v>6</v>
      </c>
      <c r="E12" s="10">
        <f>SUMIF('15_研究変数マップ'!$A$2:$A$189,A12,'15_研究変数マップ'!$H$2:$H$189)</f>
        <v>3</v>
      </c>
      <c r="F12" s="10">
        <f t="shared" si="0"/>
        <v>30</v>
      </c>
      <c r="G12" s="10" t="e">
        <f ca="1">IF(E12="","",_xludf.RANK.EQ(E12,$E$2:$E$41,0))</f>
        <v>#NAME?</v>
      </c>
      <c r="H12" s="11" t="s">
        <v>3157</v>
      </c>
      <c r="I12" s="10">
        <f>COUNTIFS('15_研究変数マップ'!$A$2:$A$189,A12,'15_研究変数マップ'!$I$2:$I$189,"参照済")</f>
        <v>5</v>
      </c>
      <c r="J12" s="10">
        <f t="shared" si="1"/>
        <v>0.83333333333333337</v>
      </c>
      <c r="K12" s="10" t="str">
        <f t="shared" si="2"/>
        <v>部分接続</v>
      </c>
      <c r="L12" s="12" t="s">
        <v>3158</v>
      </c>
      <c r="M12" s="12" t="s">
        <v>3159</v>
      </c>
      <c r="N12" s="12"/>
      <c r="O12" s="1"/>
      <c r="P12" s="1"/>
      <c r="Q12" s="1"/>
    </row>
    <row r="13" spans="1:17" ht="42.75">
      <c r="A13" s="10" t="s">
        <v>2965</v>
      </c>
      <c r="B13" s="17" t="s">
        <v>3180</v>
      </c>
      <c r="C13" s="17" t="s">
        <v>3181</v>
      </c>
      <c r="D13" s="10">
        <f>COUNTIF('15_研究変数マップ'!$A$2:$A$189,A13)</f>
        <v>4</v>
      </c>
      <c r="E13" s="10">
        <f>SUMIF('15_研究変数マップ'!$A$2:$A$189,A13,'15_研究変数マップ'!$H$2:$H$189)</f>
        <v>2</v>
      </c>
      <c r="F13" s="10">
        <f t="shared" si="0"/>
        <v>20</v>
      </c>
      <c r="G13" s="10" t="e">
        <f ca="1">IF(E13="","",_xludf.RANK.EQ(E13,$E$2:$E$41,0))</f>
        <v>#NAME?</v>
      </c>
      <c r="H13" s="11" t="s">
        <v>3157</v>
      </c>
      <c r="I13" s="10">
        <f>COUNTIFS('15_研究変数マップ'!$A$2:$A$189,A13,'15_研究変数マップ'!$I$2:$I$189,"参照済")</f>
        <v>4</v>
      </c>
      <c r="J13" s="10">
        <f t="shared" si="1"/>
        <v>1</v>
      </c>
      <c r="K13" s="10" t="str">
        <f t="shared" si="2"/>
        <v>接続済</v>
      </c>
      <c r="L13" s="12" t="s">
        <v>3158</v>
      </c>
      <c r="M13" s="12" t="s">
        <v>3159</v>
      </c>
      <c r="N13" s="12"/>
      <c r="O13" s="1"/>
      <c r="P13" s="1"/>
      <c r="Q13" s="1"/>
    </row>
    <row r="14" spans="1:17" ht="42.75">
      <c r="A14" s="10" t="s">
        <v>2973</v>
      </c>
      <c r="B14" s="17" t="s">
        <v>3182</v>
      </c>
      <c r="C14" s="17" t="s">
        <v>3183</v>
      </c>
      <c r="D14" s="10">
        <f>COUNTIF('15_研究変数マップ'!$A$2:$A$189,A14)</f>
        <v>3</v>
      </c>
      <c r="E14" s="10">
        <f>SUMIF('15_研究変数マップ'!$A$2:$A$189,A14,'15_研究変数マップ'!$H$2:$H$189)</f>
        <v>3</v>
      </c>
      <c r="F14" s="10">
        <f t="shared" si="0"/>
        <v>15</v>
      </c>
      <c r="G14" s="10" t="e">
        <f ca="1">IF(E14="","",_xludf.RANK.EQ(E14,$E$2:$E$41,0))</f>
        <v>#NAME?</v>
      </c>
      <c r="H14" s="11" t="s">
        <v>3157</v>
      </c>
      <c r="I14" s="10">
        <f>COUNTIFS('15_研究変数マップ'!$A$2:$A$189,A14,'15_研究変数マップ'!$I$2:$I$189,"参照済")</f>
        <v>3</v>
      </c>
      <c r="J14" s="10">
        <f t="shared" si="1"/>
        <v>1</v>
      </c>
      <c r="K14" s="10" t="str">
        <f t="shared" si="2"/>
        <v>接続済</v>
      </c>
      <c r="L14" s="12" t="s">
        <v>3158</v>
      </c>
      <c r="M14" s="12" t="s">
        <v>3159</v>
      </c>
      <c r="N14" s="12"/>
      <c r="O14" s="1"/>
      <c r="P14" s="1"/>
      <c r="Q14" s="1"/>
    </row>
    <row r="15" spans="1:17" ht="42.75">
      <c r="A15" s="10" t="s">
        <v>2982</v>
      </c>
      <c r="B15" s="17" t="s">
        <v>3184</v>
      </c>
      <c r="C15" s="17" t="s">
        <v>3185</v>
      </c>
      <c r="D15" s="10">
        <f>COUNTIF('15_研究変数マップ'!$A$2:$A$189,A15)</f>
        <v>2</v>
      </c>
      <c r="E15" s="10">
        <f>SUMIF('15_研究変数マップ'!$A$2:$A$189,A15,'15_研究変数マップ'!$H$2:$H$189)</f>
        <v>1</v>
      </c>
      <c r="F15" s="10">
        <f t="shared" si="0"/>
        <v>10</v>
      </c>
      <c r="G15" s="10" t="e">
        <f ca="1">IF(E15="","",_xludf.RANK.EQ(E15,$E$2:$E$41,0))</f>
        <v>#NAME?</v>
      </c>
      <c r="H15" s="11" t="s">
        <v>3157</v>
      </c>
      <c r="I15" s="10">
        <f>COUNTIFS('15_研究変数マップ'!$A$2:$A$189,A15,'15_研究変数マップ'!$I$2:$I$189,"参照済")</f>
        <v>2</v>
      </c>
      <c r="J15" s="10">
        <f t="shared" si="1"/>
        <v>1</v>
      </c>
      <c r="K15" s="10" t="str">
        <f t="shared" si="2"/>
        <v>接続済</v>
      </c>
      <c r="L15" s="12" t="s">
        <v>3158</v>
      </c>
      <c r="M15" s="12" t="s">
        <v>3159</v>
      </c>
      <c r="N15" s="12"/>
      <c r="O15" s="1"/>
      <c r="P15" s="1"/>
      <c r="Q15" s="1"/>
    </row>
    <row r="16" spans="1:17" ht="42.75">
      <c r="A16" s="10" t="s">
        <v>2989</v>
      </c>
      <c r="B16" s="17" t="s">
        <v>3186</v>
      </c>
      <c r="C16" s="17" t="s">
        <v>3187</v>
      </c>
      <c r="D16" s="10">
        <f>COUNTIF('15_研究変数マップ'!$A$2:$A$189,A16)</f>
        <v>5</v>
      </c>
      <c r="E16" s="10">
        <f>SUMIF('15_研究変数マップ'!$A$2:$A$189,A16,'15_研究変数マップ'!$H$2:$H$189)</f>
        <v>1</v>
      </c>
      <c r="F16" s="10">
        <f t="shared" si="0"/>
        <v>25</v>
      </c>
      <c r="G16" s="10" t="e">
        <f ca="1">IF(E16="","",_xludf.RANK.EQ(E16,$E$2:$E$41,0))</f>
        <v>#NAME?</v>
      </c>
      <c r="H16" s="11" t="s">
        <v>3157</v>
      </c>
      <c r="I16" s="10">
        <f>COUNTIFS('15_研究変数マップ'!$A$2:$A$189,A16,'15_研究変数マップ'!$I$2:$I$189,"参照済")</f>
        <v>5</v>
      </c>
      <c r="J16" s="10">
        <f t="shared" si="1"/>
        <v>1</v>
      </c>
      <c r="K16" s="10" t="str">
        <f t="shared" si="2"/>
        <v>接続済</v>
      </c>
      <c r="L16" s="12" t="s">
        <v>3158</v>
      </c>
      <c r="M16" s="12" t="s">
        <v>3159</v>
      </c>
      <c r="N16" s="12"/>
      <c r="O16" s="1"/>
      <c r="P16" s="1"/>
      <c r="Q16" s="1"/>
    </row>
    <row r="17" spans="1:17" ht="42.75">
      <c r="A17" s="10" t="s">
        <v>2996</v>
      </c>
      <c r="B17" s="17" t="s">
        <v>3188</v>
      </c>
      <c r="C17" s="17" t="s">
        <v>3189</v>
      </c>
      <c r="D17" s="10">
        <f>COUNTIF('15_研究変数マップ'!$A$2:$A$189,A17)</f>
        <v>4</v>
      </c>
      <c r="E17" s="10">
        <f>SUMIF('15_研究変数マップ'!$A$2:$A$189,A17,'15_研究変数マップ'!$H$2:$H$189)</f>
        <v>-1</v>
      </c>
      <c r="F17" s="10">
        <f t="shared" si="0"/>
        <v>20</v>
      </c>
      <c r="G17" s="10" t="e">
        <f ca="1">IF(E17="","",_xludf.RANK.EQ(E17,$E$2:$E$41,0))</f>
        <v>#NAME?</v>
      </c>
      <c r="H17" s="11" t="s">
        <v>3157</v>
      </c>
      <c r="I17" s="10">
        <f>COUNTIFS('15_研究変数マップ'!$A$2:$A$189,A17,'15_研究変数マップ'!$I$2:$I$189,"参照済")</f>
        <v>4</v>
      </c>
      <c r="J17" s="10">
        <f t="shared" si="1"/>
        <v>1</v>
      </c>
      <c r="K17" s="10" t="str">
        <f t="shared" si="2"/>
        <v>接続済</v>
      </c>
      <c r="L17" s="12" t="s">
        <v>3158</v>
      </c>
      <c r="M17" s="12" t="s">
        <v>3159</v>
      </c>
      <c r="N17" s="12"/>
      <c r="O17" s="1"/>
      <c r="P17" s="1"/>
      <c r="Q17" s="1"/>
    </row>
    <row r="18" spans="1:17" ht="42.75">
      <c r="A18" s="10" t="s">
        <v>3007</v>
      </c>
      <c r="B18" s="17" t="s">
        <v>3190</v>
      </c>
      <c r="C18" s="17" t="s">
        <v>3191</v>
      </c>
      <c r="D18" s="10">
        <f>COUNTIF('15_研究変数マップ'!$A$2:$A$189,A18)</f>
        <v>6</v>
      </c>
      <c r="E18" s="10">
        <f>SUMIF('15_研究変数マップ'!$A$2:$A$189,A18,'15_研究変数マップ'!$H$2:$H$189)</f>
        <v>-2</v>
      </c>
      <c r="F18" s="10">
        <f t="shared" si="0"/>
        <v>30</v>
      </c>
      <c r="G18" s="10" t="e">
        <f ca="1">IF(E18="","",_xludf.RANK.EQ(E18,$E$2:$E$41,0))</f>
        <v>#NAME?</v>
      </c>
      <c r="H18" s="11" t="s">
        <v>3157</v>
      </c>
      <c r="I18" s="10">
        <f>COUNTIFS('15_研究変数マップ'!$A$2:$A$189,A18,'15_研究変数マップ'!$I$2:$I$189,"参照済")</f>
        <v>4</v>
      </c>
      <c r="J18" s="10">
        <f t="shared" si="1"/>
        <v>0.66666666666666663</v>
      </c>
      <c r="K18" s="10" t="str">
        <f t="shared" si="2"/>
        <v>部分接続</v>
      </c>
      <c r="L18" s="12" t="s">
        <v>3192</v>
      </c>
      <c r="M18" s="12" t="s">
        <v>3193</v>
      </c>
      <c r="N18" s="12" t="s">
        <v>3194</v>
      </c>
      <c r="O18" s="1"/>
      <c r="P18" s="1"/>
      <c r="Q18" s="1"/>
    </row>
    <row r="19" spans="1:17" ht="42.75">
      <c r="A19" s="10" t="s">
        <v>3195</v>
      </c>
      <c r="B19" s="17" t="s">
        <v>3196</v>
      </c>
      <c r="C19" s="17" t="s">
        <v>3197</v>
      </c>
      <c r="D19" s="10">
        <f>COUNTIF('15_研究変数マップ'!$A$2:$A$189,A19)</f>
        <v>6</v>
      </c>
      <c r="E19" s="10">
        <f>SUMIF('15_研究変数マップ'!$A$2:$A$189,A19,'15_研究変数マップ'!$H$2:$H$189)</f>
        <v>0</v>
      </c>
      <c r="F19" s="10">
        <f t="shared" si="0"/>
        <v>30</v>
      </c>
      <c r="G19" s="10" t="e">
        <f ca="1">IF(E19="","",_xludf.RANK.EQ(E19,$E$2:$E$41,0))</f>
        <v>#NAME?</v>
      </c>
      <c r="H19" s="11" t="s">
        <v>3157</v>
      </c>
      <c r="I19" s="10">
        <f>COUNTIFS('15_研究変数マップ'!$A$2:$A$189,A19,'15_研究変数マップ'!$I$2:$I$189,"参照済")</f>
        <v>5</v>
      </c>
      <c r="J19" s="10">
        <f t="shared" si="1"/>
        <v>0.83333333333333337</v>
      </c>
      <c r="K19" s="10" t="str">
        <f t="shared" si="2"/>
        <v>部分接続</v>
      </c>
      <c r="L19" s="12" t="s">
        <v>3198</v>
      </c>
      <c r="M19" s="12" t="s">
        <v>3199</v>
      </c>
      <c r="N19" s="12" t="s">
        <v>3200</v>
      </c>
      <c r="O19" s="1"/>
      <c r="P19" s="1"/>
      <c r="Q19" s="1"/>
    </row>
    <row r="20" spans="1:17" ht="42.75">
      <c r="A20" s="10" t="s">
        <v>3201</v>
      </c>
      <c r="B20" s="17" t="s">
        <v>3202</v>
      </c>
      <c r="C20" s="17" t="s">
        <v>3203</v>
      </c>
      <c r="D20" s="10">
        <f>COUNTIF('15_研究変数マップ'!$A$2:$A$189,A20)</f>
        <v>4</v>
      </c>
      <c r="E20" s="10">
        <f>SUMIF('15_研究変数マップ'!$A$2:$A$189,A20,'15_研究変数マップ'!$H$2:$H$189)</f>
        <v>0</v>
      </c>
      <c r="F20" s="10">
        <f t="shared" si="0"/>
        <v>20</v>
      </c>
      <c r="G20" s="10" t="e">
        <f ca="1">IF(E20="","",_xludf.RANK.EQ(E20,$E$2:$E$41,0))</f>
        <v>#NAME?</v>
      </c>
      <c r="H20" s="11" t="s">
        <v>3157</v>
      </c>
      <c r="I20" s="10">
        <f>COUNTIFS('15_研究変数マップ'!$A$2:$A$189,A20,'15_研究変数マップ'!$I$2:$I$189,"参照済")</f>
        <v>4</v>
      </c>
      <c r="J20" s="10">
        <f t="shared" si="1"/>
        <v>1</v>
      </c>
      <c r="K20" s="10" t="str">
        <f t="shared" si="2"/>
        <v>接続済</v>
      </c>
      <c r="L20" s="12" t="s">
        <v>3204</v>
      </c>
      <c r="M20" s="12" t="s">
        <v>3205</v>
      </c>
      <c r="N20" s="12" t="s">
        <v>3206</v>
      </c>
      <c r="O20" s="1"/>
      <c r="P20" s="1"/>
      <c r="Q20" s="1"/>
    </row>
    <row r="21" spans="1:17" ht="42.75">
      <c r="A21" s="10" t="s">
        <v>3207</v>
      </c>
      <c r="B21" s="17" t="s">
        <v>3208</v>
      </c>
      <c r="C21" s="17" t="s">
        <v>3209</v>
      </c>
      <c r="D21" s="10">
        <f>COUNTIF('15_研究変数マップ'!$A$2:$A$189,A21)</f>
        <v>4</v>
      </c>
      <c r="E21" s="10">
        <f>SUMIF('15_研究変数マップ'!$A$2:$A$189,A21,'15_研究変数マップ'!$H$2:$H$189)</f>
        <v>0</v>
      </c>
      <c r="F21" s="10">
        <f t="shared" si="0"/>
        <v>20</v>
      </c>
      <c r="G21" s="10" t="e">
        <f ca="1">IF(E21="","",_xludf.RANK.EQ(E21,$E$2:$E$41,0))</f>
        <v>#NAME?</v>
      </c>
      <c r="H21" s="11" t="s">
        <v>3157</v>
      </c>
      <c r="I21" s="10">
        <f>COUNTIFS('15_研究変数マップ'!$A$2:$A$189,A21,'15_研究変数マップ'!$I$2:$I$189,"参照済")</f>
        <v>4</v>
      </c>
      <c r="J21" s="10">
        <f t="shared" si="1"/>
        <v>1</v>
      </c>
      <c r="K21" s="10" t="str">
        <f t="shared" si="2"/>
        <v>接続済</v>
      </c>
      <c r="L21" s="12" t="s">
        <v>3204</v>
      </c>
      <c r="M21" s="12" t="s">
        <v>3210</v>
      </c>
      <c r="N21" s="12" t="s">
        <v>3211</v>
      </c>
      <c r="O21" s="1"/>
      <c r="P21" s="1"/>
      <c r="Q21" s="1"/>
    </row>
    <row r="22" spans="1:17" ht="42.75">
      <c r="A22" s="10" t="s">
        <v>3212</v>
      </c>
      <c r="B22" s="17" t="s">
        <v>3213</v>
      </c>
      <c r="C22" s="17" t="s">
        <v>3214</v>
      </c>
      <c r="D22" s="10">
        <f>COUNTIF('15_研究変数マップ'!$A$2:$A$189,A22)</f>
        <v>6</v>
      </c>
      <c r="E22" s="10">
        <f>SUMIF('15_研究変数マップ'!$A$2:$A$189,A22,'15_研究変数マップ'!$H$2:$H$189)</f>
        <v>-2</v>
      </c>
      <c r="F22" s="10">
        <f t="shared" si="0"/>
        <v>30</v>
      </c>
      <c r="G22" s="10" t="e">
        <f ca="1">IF(E22="","",_xludf.RANK.EQ(E22,$E$2:$E$41,0))</f>
        <v>#NAME?</v>
      </c>
      <c r="H22" s="11" t="s">
        <v>3157</v>
      </c>
      <c r="I22" s="10">
        <f>COUNTIFS('15_研究変数マップ'!$A$2:$A$189,A22,'15_研究変数マップ'!$I$2:$I$189,"参照済")</f>
        <v>5</v>
      </c>
      <c r="J22" s="10">
        <f t="shared" si="1"/>
        <v>0.83333333333333337</v>
      </c>
      <c r="K22" s="10" t="str">
        <f t="shared" si="2"/>
        <v>部分接続</v>
      </c>
      <c r="L22" s="12" t="s">
        <v>3204</v>
      </c>
      <c r="M22" s="12" t="s">
        <v>3215</v>
      </c>
      <c r="N22" s="12" t="s">
        <v>3216</v>
      </c>
      <c r="O22" s="1"/>
      <c r="P22" s="1"/>
      <c r="Q22" s="1"/>
    </row>
    <row r="23" spans="1:17" ht="42.75">
      <c r="A23" s="10" t="s">
        <v>3217</v>
      </c>
      <c r="B23" s="17" t="s">
        <v>3218</v>
      </c>
      <c r="C23" s="17" t="s">
        <v>3219</v>
      </c>
      <c r="D23" s="10">
        <f>COUNTIF('15_研究変数マップ'!$A$2:$A$189,A23)</f>
        <v>6</v>
      </c>
      <c r="E23" s="10">
        <f>SUMIF('15_研究変数マップ'!$A$2:$A$189,A23,'15_研究変数マップ'!$H$2:$H$189)</f>
        <v>-2</v>
      </c>
      <c r="F23" s="10">
        <f t="shared" si="0"/>
        <v>30</v>
      </c>
      <c r="G23" s="10" t="e">
        <f ca="1">IF(E23="","",_xludf.RANK.EQ(E23,$E$2:$E$41,0))</f>
        <v>#NAME?</v>
      </c>
      <c r="H23" s="11" t="s">
        <v>3157</v>
      </c>
      <c r="I23" s="10">
        <f>COUNTIFS('15_研究変数マップ'!$A$2:$A$189,A23,'15_研究変数マップ'!$I$2:$I$189,"参照済")</f>
        <v>4</v>
      </c>
      <c r="J23" s="10">
        <f t="shared" si="1"/>
        <v>0.66666666666666663</v>
      </c>
      <c r="K23" s="10" t="str">
        <f t="shared" si="2"/>
        <v>部分接続</v>
      </c>
      <c r="L23" s="12" t="s">
        <v>3220</v>
      </c>
      <c r="M23" s="12" t="s">
        <v>3221</v>
      </c>
      <c r="N23" s="12" t="s">
        <v>3222</v>
      </c>
      <c r="O23" s="1"/>
      <c r="P23" s="1"/>
      <c r="Q23" s="1"/>
    </row>
    <row r="24" spans="1:17" ht="42.75">
      <c r="A24" s="10" t="s">
        <v>3223</v>
      </c>
      <c r="B24" s="17" t="s">
        <v>3224</v>
      </c>
      <c r="C24" s="17" t="s">
        <v>3225</v>
      </c>
      <c r="D24" s="10">
        <f>COUNTIF('15_研究変数マップ'!$A$2:$A$189,A24)</f>
        <v>5</v>
      </c>
      <c r="E24" s="10">
        <f>SUMIF('15_研究変数マップ'!$A$2:$A$189,A24,'15_研究変数マップ'!$H$2:$H$189)</f>
        <v>-1</v>
      </c>
      <c r="F24" s="10">
        <f t="shared" si="0"/>
        <v>25</v>
      </c>
      <c r="G24" s="10" t="e">
        <f ca="1">IF(E24="","",_xludf.RANK.EQ(E24,$E$2:$E$41,0))</f>
        <v>#NAME?</v>
      </c>
      <c r="H24" s="11" t="s">
        <v>3157</v>
      </c>
      <c r="I24" s="10">
        <f>COUNTIFS('15_研究変数マップ'!$A$2:$A$189,A24,'15_研究変数マップ'!$I$2:$I$189,"参照済")</f>
        <v>3</v>
      </c>
      <c r="J24" s="10">
        <f t="shared" si="1"/>
        <v>0.6</v>
      </c>
      <c r="K24" s="10" t="str">
        <f t="shared" si="2"/>
        <v>部分接続</v>
      </c>
      <c r="L24" s="12" t="s">
        <v>3220</v>
      </c>
      <c r="M24" s="12" t="s">
        <v>3226</v>
      </c>
      <c r="N24" s="12" t="s">
        <v>3227</v>
      </c>
      <c r="O24" s="1"/>
      <c r="P24" s="1"/>
      <c r="Q24" s="1"/>
    </row>
    <row r="25" spans="1:17" ht="42.75">
      <c r="A25" s="10" t="s">
        <v>3228</v>
      </c>
      <c r="B25" s="17" t="s">
        <v>3229</v>
      </c>
      <c r="C25" s="17" t="s">
        <v>3230</v>
      </c>
      <c r="D25" s="10">
        <f>COUNTIF('15_研究変数マップ'!$A$2:$A$189,A25)</f>
        <v>6</v>
      </c>
      <c r="E25" s="10">
        <f>SUMIF('15_研究変数マップ'!$A$2:$A$189,A25,'15_研究変数マップ'!$H$2:$H$189)</f>
        <v>-2</v>
      </c>
      <c r="F25" s="10">
        <f t="shared" si="0"/>
        <v>30</v>
      </c>
      <c r="G25" s="10" t="e">
        <f ca="1">IF(E25="","",_xludf.RANK.EQ(E25,$E$2:$E$41,0))</f>
        <v>#NAME?</v>
      </c>
      <c r="H25" s="11" t="s">
        <v>3157</v>
      </c>
      <c r="I25" s="10">
        <f>COUNTIFS('15_研究変数マップ'!$A$2:$A$189,A25,'15_研究変数マップ'!$I$2:$I$189,"参照済")</f>
        <v>3</v>
      </c>
      <c r="J25" s="10">
        <f t="shared" si="1"/>
        <v>0.5</v>
      </c>
      <c r="K25" s="10" t="str">
        <f t="shared" si="2"/>
        <v>部分接続</v>
      </c>
      <c r="L25" s="12" t="s">
        <v>3231</v>
      </c>
      <c r="M25" s="12" t="s">
        <v>3232</v>
      </c>
      <c r="N25" s="12" t="s">
        <v>3233</v>
      </c>
      <c r="O25" s="1"/>
      <c r="P25" s="1"/>
      <c r="Q25" s="1"/>
    </row>
    <row r="26" spans="1:17" ht="42.75">
      <c r="A26" s="10" t="s">
        <v>3234</v>
      </c>
      <c r="B26" s="17" t="s">
        <v>3235</v>
      </c>
      <c r="C26" s="17" t="s">
        <v>3236</v>
      </c>
      <c r="D26" s="10">
        <f>COUNTIF('15_研究変数マップ'!$A$2:$A$189,A26)</f>
        <v>4</v>
      </c>
      <c r="E26" s="10">
        <f>SUMIF('15_研究変数マップ'!$A$2:$A$189,A26,'15_研究変数マップ'!$H$2:$H$189)</f>
        <v>0</v>
      </c>
      <c r="F26" s="10">
        <f t="shared" si="0"/>
        <v>20</v>
      </c>
      <c r="G26" s="10" t="e">
        <f ca="1">IF(E26="","",_xludf.RANK.EQ(E26,$E$2:$E$41,0))</f>
        <v>#NAME?</v>
      </c>
      <c r="H26" s="11" t="s">
        <v>3157</v>
      </c>
      <c r="I26" s="10">
        <f>COUNTIFS('15_研究変数マップ'!$A$2:$A$189,A26,'15_研究変数マップ'!$I$2:$I$189,"参照済")</f>
        <v>0</v>
      </c>
      <c r="J26" s="10">
        <f t="shared" si="1"/>
        <v>0</v>
      </c>
      <c r="K26" s="10" t="str">
        <f t="shared" si="2"/>
        <v>未接続</v>
      </c>
      <c r="L26" s="12" t="s">
        <v>3231</v>
      </c>
      <c r="M26" s="12" t="s">
        <v>3237</v>
      </c>
      <c r="N26" s="12" t="s">
        <v>3238</v>
      </c>
      <c r="O26" s="1"/>
      <c r="P26" s="1"/>
      <c r="Q26" s="1"/>
    </row>
    <row r="27" spans="1:17" ht="42.75">
      <c r="A27" s="10" t="s">
        <v>3239</v>
      </c>
      <c r="B27" s="17" t="s">
        <v>3240</v>
      </c>
      <c r="C27" s="17" t="s">
        <v>3241</v>
      </c>
      <c r="D27" s="10">
        <f>COUNTIF('15_研究変数マップ'!$A$2:$A$189,A27)</f>
        <v>5</v>
      </c>
      <c r="E27" s="10">
        <f>SUMIF('15_研究変数マップ'!$A$2:$A$189,A27,'15_研究変数マップ'!$H$2:$H$189)</f>
        <v>-2</v>
      </c>
      <c r="F27" s="10">
        <f t="shared" si="0"/>
        <v>25</v>
      </c>
      <c r="G27" s="10" t="e">
        <f ca="1">IF(E27="","",_xludf.RANK.EQ(E27,$E$2:$E$41,0))</f>
        <v>#NAME?</v>
      </c>
      <c r="H27" s="11" t="s">
        <v>3157</v>
      </c>
      <c r="I27" s="10">
        <f>COUNTIFS('15_研究変数マップ'!$A$2:$A$189,A27,'15_研究変数マップ'!$I$2:$I$189,"参照済")</f>
        <v>4</v>
      </c>
      <c r="J27" s="10">
        <f t="shared" si="1"/>
        <v>0.8</v>
      </c>
      <c r="K27" s="10" t="str">
        <f t="shared" si="2"/>
        <v>部分接続</v>
      </c>
      <c r="L27" s="12" t="s">
        <v>3242</v>
      </c>
      <c r="M27" s="12" t="s">
        <v>3243</v>
      </c>
      <c r="N27" s="12" t="s">
        <v>3244</v>
      </c>
      <c r="O27" s="1"/>
      <c r="P27" s="1"/>
      <c r="Q27" s="1"/>
    </row>
    <row r="28" spans="1:17" ht="42.75">
      <c r="A28" s="10" t="s">
        <v>3245</v>
      </c>
      <c r="B28" s="17" t="s">
        <v>3246</v>
      </c>
      <c r="C28" s="17" t="s">
        <v>3247</v>
      </c>
      <c r="D28" s="10">
        <f>COUNTIF('15_研究変数マップ'!$A$2:$A$189,A28)</f>
        <v>6</v>
      </c>
      <c r="E28" s="10">
        <f>SUMIF('15_研究変数マップ'!$A$2:$A$189,A28,'15_研究変数マップ'!$H$2:$H$189)</f>
        <v>-2</v>
      </c>
      <c r="F28" s="10">
        <f t="shared" si="0"/>
        <v>30</v>
      </c>
      <c r="G28" s="10" t="e">
        <f ca="1">IF(E28="","",_xludf.RANK.EQ(E28,$E$2:$E$41,0))</f>
        <v>#NAME?</v>
      </c>
      <c r="H28" s="11" t="s">
        <v>3157</v>
      </c>
      <c r="I28" s="10">
        <f>COUNTIFS('15_研究変数マップ'!$A$2:$A$189,A28,'15_研究変数マップ'!$I$2:$I$189,"参照済")</f>
        <v>5</v>
      </c>
      <c r="J28" s="10">
        <f t="shared" si="1"/>
        <v>0.83333333333333337</v>
      </c>
      <c r="K28" s="10" t="str">
        <f t="shared" si="2"/>
        <v>部分接続</v>
      </c>
      <c r="L28" s="12" t="s">
        <v>3248</v>
      </c>
      <c r="M28" s="12" t="s">
        <v>3249</v>
      </c>
      <c r="N28" s="12" t="s">
        <v>3250</v>
      </c>
      <c r="O28" s="1"/>
      <c r="P28" s="1"/>
      <c r="Q28" s="1"/>
    </row>
    <row r="29" spans="1:17" ht="42.75">
      <c r="A29" s="10" t="s">
        <v>3251</v>
      </c>
      <c r="B29" s="17" t="s">
        <v>3252</v>
      </c>
      <c r="C29" s="17" t="s">
        <v>3253</v>
      </c>
      <c r="D29" s="10">
        <f>COUNTIF('15_研究変数マップ'!$A$2:$A$189,A29)</f>
        <v>5</v>
      </c>
      <c r="E29" s="10">
        <f>SUMIF('15_研究変数マップ'!$A$2:$A$189,A29,'15_研究変数マップ'!$H$2:$H$189)</f>
        <v>1</v>
      </c>
      <c r="F29" s="10">
        <f t="shared" si="0"/>
        <v>25</v>
      </c>
      <c r="G29" s="10" t="e">
        <f ca="1">IF(E29="","",_xludf.RANK.EQ(E29,$E$2:$E$41,0))</f>
        <v>#NAME?</v>
      </c>
      <c r="H29" s="11" t="s">
        <v>3157</v>
      </c>
      <c r="I29" s="10">
        <f>COUNTIFS('15_研究変数マップ'!$A$2:$A$189,A29,'15_研究変数マップ'!$I$2:$I$189,"参照済")</f>
        <v>4</v>
      </c>
      <c r="J29" s="10">
        <f t="shared" si="1"/>
        <v>0.8</v>
      </c>
      <c r="K29" s="10" t="str">
        <f t="shared" si="2"/>
        <v>部分接続</v>
      </c>
      <c r="L29" s="12" t="s">
        <v>3254</v>
      </c>
      <c r="M29" s="12" t="s">
        <v>3255</v>
      </c>
      <c r="N29" s="12" t="s">
        <v>3256</v>
      </c>
      <c r="O29" s="1"/>
      <c r="P29" s="1"/>
      <c r="Q29" s="1"/>
    </row>
    <row r="30" spans="1:17" ht="42.75">
      <c r="A30" s="10" t="s">
        <v>3257</v>
      </c>
      <c r="B30" s="17" t="s">
        <v>3258</v>
      </c>
      <c r="C30" s="17" t="s">
        <v>3259</v>
      </c>
      <c r="D30" s="10">
        <f>COUNTIF('15_研究変数マップ'!$A$2:$A$189,A30)</f>
        <v>5</v>
      </c>
      <c r="E30" s="10">
        <f>SUMIF('15_研究変数マップ'!$A$2:$A$189,A30,'15_研究変数マップ'!$H$2:$H$189)</f>
        <v>-1</v>
      </c>
      <c r="F30" s="10">
        <f t="shared" si="0"/>
        <v>25</v>
      </c>
      <c r="G30" s="10" t="e">
        <f ca="1">IF(E30="","",_xludf.RANK.EQ(E30,$E$2:$E$41,0))</f>
        <v>#NAME?</v>
      </c>
      <c r="H30" s="11" t="s">
        <v>3157</v>
      </c>
      <c r="I30" s="10">
        <f>COUNTIFS('15_研究変数マップ'!$A$2:$A$189,A30,'15_研究変数マップ'!$I$2:$I$189,"参照済")</f>
        <v>3</v>
      </c>
      <c r="J30" s="10">
        <f t="shared" si="1"/>
        <v>0.6</v>
      </c>
      <c r="K30" s="10" t="str">
        <f t="shared" si="2"/>
        <v>部分接続</v>
      </c>
      <c r="L30" s="12" t="s">
        <v>3260</v>
      </c>
      <c r="M30" s="12" t="s">
        <v>3261</v>
      </c>
      <c r="N30" s="12" t="s">
        <v>3262</v>
      </c>
      <c r="O30" s="1"/>
      <c r="P30" s="1"/>
      <c r="Q30" s="1"/>
    </row>
    <row r="31" spans="1:17" ht="42.75">
      <c r="A31" s="10" t="s">
        <v>3263</v>
      </c>
      <c r="B31" s="17" t="s">
        <v>3264</v>
      </c>
      <c r="C31" s="17" t="s">
        <v>3265</v>
      </c>
      <c r="D31" s="10">
        <f>COUNTIF('15_研究変数マップ'!$A$2:$A$189,A31)</f>
        <v>4</v>
      </c>
      <c r="E31" s="10">
        <f>SUMIF('15_研究変数マップ'!$A$2:$A$189,A31,'15_研究変数マップ'!$H$2:$H$189)</f>
        <v>-2</v>
      </c>
      <c r="F31" s="10">
        <f t="shared" si="0"/>
        <v>20</v>
      </c>
      <c r="G31" s="10" t="e">
        <f ca="1">IF(E31="","",_xludf.RANK.EQ(E31,$E$2:$E$41,0))</f>
        <v>#NAME?</v>
      </c>
      <c r="H31" s="11" t="s">
        <v>3157</v>
      </c>
      <c r="I31" s="10">
        <f>COUNTIFS('15_研究変数マップ'!$A$2:$A$189,A31,'15_研究変数マップ'!$I$2:$I$189,"参照済")</f>
        <v>2</v>
      </c>
      <c r="J31" s="10">
        <f t="shared" si="1"/>
        <v>0.5</v>
      </c>
      <c r="K31" s="10" t="str">
        <f t="shared" si="2"/>
        <v>部分接続</v>
      </c>
      <c r="L31" s="12" t="s">
        <v>3266</v>
      </c>
      <c r="M31" s="12" t="s">
        <v>3267</v>
      </c>
      <c r="N31" s="12" t="s">
        <v>3268</v>
      </c>
      <c r="O31" s="1"/>
      <c r="P31" s="1"/>
      <c r="Q31" s="1"/>
    </row>
    <row r="32" spans="1:17" ht="42.75">
      <c r="A32" s="10" t="s">
        <v>3269</v>
      </c>
      <c r="B32" s="17" t="s">
        <v>3270</v>
      </c>
      <c r="C32" s="17" t="s">
        <v>3271</v>
      </c>
      <c r="D32" s="10">
        <f>COUNTIF('15_研究変数マップ'!$A$2:$A$189,A32)</f>
        <v>5</v>
      </c>
      <c r="E32" s="10">
        <f>SUMIF('15_研究変数マップ'!$A$2:$A$189,A32,'15_研究変数マップ'!$H$2:$H$189)</f>
        <v>1</v>
      </c>
      <c r="F32" s="10">
        <f t="shared" si="0"/>
        <v>25</v>
      </c>
      <c r="G32" s="10" t="e">
        <f ca="1">IF(E32="","",_xludf.RANK.EQ(E32,$E$2:$E$41,0))</f>
        <v>#NAME?</v>
      </c>
      <c r="H32" s="11" t="s">
        <v>3157</v>
      </c>
      <c r="I32" s="10">
        <f>COUNTIFS('15_研究変数マップ'!$A$2:$A$189,A32,'15_研究変数マップ'!$I$2:$I$189,"参照済")</f>
        <v>4</v>
      </c>
      <c r="J32" s="10">
        <f t="shared" si="1"/>
        <v>0.8</v>
      </c>
      <c r="K32" s="10" t="str">
        <f t="shared" si="2"/>
        <v>部分接続</v>
      </c>
      <c r="L32" s="12" t="s">
        <v>3272</v>
      </c>
      <c r="M32" s="12" t="s">
        <v>3273</v>
      </c>
      <c r="N32" s="12" t="s">
        <v>3274</v>
      </c>
      <c r="O32" s="1"/>
      <c r="P32" s="1"/>
      <c r="Q32" s="1"/>
    </row>
    <row r="33" spans="1:17" ht="42.75">
      <c r="A33" s="10" t="s">
        <v>3275</v>
      </c>
      <c r="B33" s="17" t="s">
        <v>3276</v>
      </c>
      <c r="C33" s="17" t="s">
        <v>3277</v>
      </c>
      <c r="D33" s="10">
        <f>COUNTIF('15_研究変数マップ'!$A$2:$A$189,A33)</f>
        <v>6</v>
      </c>
      <c r="E33" s="10">
        <f>SUMIF('15_研究変数マップ'!$A$2:$A$189,A33,'15_研究変数マップ'!$H$2:$H$189)</f>
        <v>-2</v>
      </c>
      <c r="F33" s="10">
        <f t="shared" si="0"/>
        <v>30</v>
      </c>
      <c r="G33" s="10" t="e">
        <f ca="1">IF(E33="","",_xludf.RANK.EQ(E33,$E$2:$E$41,0))</f>
        <v>#NAME?</v>
      </c>
      <c r="H33" s="11" t="s">
        <v>3157</v>
      </c>
      <c r="I33" s="10">
        <f>COUNTIFS('15_研究変数マップ'!$A$2:$A$189,A33,'15_研究変数マップ'!$I$2:$I$189,"参照済")</f>
        <v>3</v>
      </c>
      <c r="J33" s="10">
        <f t="shared" si="1"/>
        <v>0.5</v>
      </c>
      <c r="K33" s="10" t="str">
        <f t="shared" si="2"/>
        <v>部分接続</v>
      </c>
      <c r="L33" s="12" t="s">
        <v>3278</v>
      </c>
      <c r="M33" s="12" t="s">
        <v>3279</v>
      </c>
      <c r="N33" s="12" t="s">
        <v>3280</v>
      </c>
      <c r="O33" s="1"/>
      <c r="P33" s="1"/>
      <c r="Q33" s="1"/>
    </row>
    <row r="34" spans="1:17" ht="42.75">
      <c r="A34" s="10" t="s">
        <v>3281</v>
      </c>
      <c r="B34" s="17" t="s">
        <v>3282</v>
      </c>
      <c r="C34" s="17" t="s">
        <v>3283</v>
      </c>
      <c r="D34" s="10">
        <f>COUNTIF('15_研究変数マップ'!$A$2:$A$189,A34)</f>
        <v>4</v>
      </c>
      <c r="E34" s="10">
        <f>SUMIF('15_研究変数マップ'!$A$2:$A$189,A34,'15_研究変数マップ'!$H$2:$H$189)</f>
        <v>-2</v>
      </c>
      <c r="F34" s="10">
        <f t="shared" si="0"/>
        <v>20</v>
      </c>
      <c r="G34" s="10" t="e">
        <f ca="1">IF(E34="","",_xludf.RANK.EQ(E34,$E$2:$E$41,0))</f>
        <v>#NAME?</v>
      </c>
      <c r="H34" s="11" t="s">
        <v>3157</v>
      </c>
      <c r="I34" s="10">
        <f>COUNTIFS('15_研究変数マップ'!$A$2:$A$189,A34,'15_研究変数マップ'!$I$2:$I$189,"参照済")</f>
        <v>3</v>
      </c>
      <c r="J34" s="10">
        <f t="shared" si="1"/>
        <v>0.75</v>
      </c>
      <c r="K34" s="10" t="str">
        <f t="shared" si="2"/>
        <v>部分接続</v>
      </c>
      <c r="L34" s="12" t="s">
        <v>3284</v>
      </c>
      <c r="M34" s="12" t="s">
        <v>3285</v>
      </c>
      <c r="N34" s="12" t="s">
        <v>3286</v>
      </c>
      <c r="O34" s="1"/>
      <c r="P34" s="1"/>
      <c r="Q34" s="1"/>
    </row>
    <row r="35" spans="1:17" ht="42.75">
      <c r="A35" s="10" t="s">
        <v>3287</v>
      </c>
      <c r="B35" s="17" t="s">
        <v>3288</v>
      </c>
      <c r="C35" s="17" t="s">
        <v>3289</v>
      </c>
      <c r="D35" s="10">
        <f>COUNTIF('15_研究変数マップ'!$A$2:$A$189,A35)</f>
        <v>4</v>
      </c>
      <c r="E35" s="10">
        <f>SUMIF('15_研究変数マップ'!$A$2:$A$189,A35,'15_研究変数マップ'!$H$2:$H$189)</f>
        <v>0</v>
      </c>
      <c r="F35" s="10">
        <f t="shared" si="0"/>
        <v>20</v>
      </c>
      <c r="G35" s="10" t="e">
        <f ca="1">IF(E35="","",_xludf.RANK.EQ(E35,$E$2:$E$41,0))</f>
        <v>#NAME?</v>
      </c>
      <c r="H35" s="11" t="s">
        <v>3157</v>
      </c>
      <c r="I35" s="10">
        <f>COUNTIFS('15_研究変数マップ'!$A$2:$A$189,A35,'15_研究変数マップ'!$I$2:$I$189,"参照済")</f>
        <v>3</v>
      </c>
      <c r="J35" s="10">
        <f t="shared" si="1"/>
        <v>0.75</v>
      </c>
      <c r="K35" s="10" t="str">
        <f t="shared" si="2"/>
        <v>部分接続</v>
      </c>
      <c r="L35" s="12" t="s">
        <v>3290</v>
      </c>
      <c r="M35" s="12" t="s">
        <v>3291</v>
      </c>
      <c r="N35" s="12" t="s">
        <v>3292</v>
      </c>
      <c r="O35" s="1"/>
      <c r="P35" s="1"/>
      <c r="Q35" s="1"/>
    </row>
    <row r="36" spans="1:17" ht="42.75">
      <c r="A36" s="10" t="s">
        <v>3293</v>
      </c>
      <c r="B36" s="17" t="s">
        <v>3294</v>
      </c>
      <c r="C36" s="17" t="s">
        <v>3295</v>
      </c>
      <c r="D36" s="10">
        <f>COUNTIF('15_研究変数マップ'!$A$2:$A$189,A36)</f>
        <v>5</v>
      </c>
      <c r="E36" s="10">
        <f>SUMIF('15_研究変数マップ'!$A$2:$A$189,A36,'15_研究変数マップ'!$H$2:$H$189)</f>
        <v>-1</v>
      </c>
      <c r="F36" s="10">
        <f t="shared" si="0"/>
        <v>25</v>
      </c>
      <c r="G36" s="10" t="e">
        <f ca="1">IF(E36="","",_xludf.RANK.EQ(E36,$E$2:$E$41,0))</f>
        <v>#NAME?</v>
      </c>
      <c r="H36" s="11" t="s">
        <v>3157</v>
      </c>
      <c r="I36" s="10">
        <f>COUNTIFS('15_研究変数マップ'!$A$2:$A$189,A36,'15_研究変数マップ'!$I$2:$I$189,"参照済")</f>
        <v>2</v>
      </c>
      <c r="J36" s="10">
        <f t="shared" si="1"/>
        <v>0.4</v>
      </c>
      <c r="K36" s="10" t="str">
        <f t="shared" si="2"/>
        <v>部分接続</v>
      </c>
      <c r="L36" s="12" t="s">
        <v>3220</v>
      </c>
      <c r="M36" s="12" t="s">
        <v>3296</v>
      </c>
      <c r="N36" s="12" t="s">
        <v>3297</v>
      </c>
      <c r="O36" s="1"/>
      <c r="P36" s="1"/>
      <c r="Q36" s="1"/>
    </row>
    <row r="37" spans="1:17" ht="42.75">
      <c r="A37" s="10" t="s">
        <v>3298</v>
      </c>
      <c r="B37" s="17" t="s">
        <v>3299</v>
      </c>
      <c r="C37" s="17" t="s">
        <v>3300</v>
      </c>
      <c r="D37" s="10">
        <f>COUNTIF('15_研究変数マップ'!$A$2:$A$189,A37)</f>
        <v>5</v>
      </c>
      <c r="E37" s="10">
        <f>SUMIF('15_研究変数マップ'!$A$2:$A$189,A37,'15_研究変数マップ'!$H$2:$H$189)</f>
        <v>0</v>
      </c>
      <c r="F37" s="10">
        <f t="shared" si="0"/>
        <v>25</v>
      </c>
      <c r="G37" s="10" t="e">
        <f ca="1">IF(E37="","",_xludf.RANK.EQ(E37,$E$2:$E$41,0))</f>
        <v>#NAME?</v>
      </c>
      <c r="H37" s="11" t="s">
        <v>3157</v>
      </c>
      <c r="I37" s="10">
        <f>COUNTIFS('15_研究変数マップ'!$A$2:$A$189,A37,'15_研究変数マップ'!$I$2:$I$189,"参照済")</f>
        <v>5</v>
      </c>
      <c r="J37" s="10">
        <f t="shared" si="1"/>
        <v>1</v>
      </c>
      <c r="K37" s="10" t="str">
        <f t="shared" si="2"/>
        <v>接続済</v>
      </c>
      <c r="L37" s="12" t="s">
        <v>3301</v>
      </c>
      <c r="M37" s="12" t="s">
        <v>3302</v>
      </c>
      <c r="N37" s="12" t="s">
        <v>3303</v>
      </c>
      <c r="O37" s="1"/>
      <c r="P37" s="1"/>
      <c r="Q37" s="1"/>
    </row>
    <row r="38" spans="1:17" ht="42.75">
      <c r="A38" s="10" t="s">
        <v>3304</v>
      </c>
      <c r="B38" s="17" t="s">
        <v>3305</v>
      </c>
      <c r="C38" s="17" t="s">
        <v>3306</v>
      </c>
      <c r="D38" s="10">
        <f>COUNTIF('15_研究変数マップ'!$A$2:$A$189,A38)</f>
        <v>4</v>
      </c>
      <c r="E38" s="10">
        <f>SUMIF('15_研究変数マップ'!$A$2:$A$189,A38,'15_研究変数マップ'!$H$2:$H$189)</f>
        <v>0</v>
      </c>
      <c r="F38" s="10">
        <f t="shared" si="0"/>
        <v>20</v>
      </c>
      <c r="G38" s="10" t="e">
        <f ca="1">IF(E38="","",_xludf.RANK.EQ(E38,$E$2:$E$41,0))</f>
        <v>#NAME?</v>
      </c>
      <c r="H38" s="11" t="s">
        <v>3157</v>
      </c>
      <c r="I38" s="10">
        <f>COUNTIFS('15_研究変数マップ'!$A$2:$A$189,A38,'15_研究変数マップ'!$I$2:$I$189,"参照済")</f>
        <v>4</v>
      </c>
      <c r="J38" s="10">
        <f t="shared" si="1"/>
        <v>1</v>
      </c>
      <c r="K38" s="10" t="str">
        <f t="shared" si="2"/>
        <v>接続済</v>
      </c>
      <c r="L38" s="12" t="s">
        <v>1191</v>
      </c>
      <c r="M38" s="12" t="s">
        <v>3307</v>
      </c>
      <c r="N38" s="12" t="s">
        <v>3308</v>
      </c>
      <c r="O38" s="1"/>
      <c r="P38" s="1"/>
      <c r="Q38" s="1"/>
    </row>
    <row r="39" spans="1:17" ht="42.75">
      <c r="A39" s="10" t="s">
        <v>3309</v>
      </c>
      <c r="B39" s="17" t="s">
        <v>3310</v>
      </c>
      <c r="C39" s="17" t="s">
        <v>3311</v>
      </c>
      <c r="D39" s="10">
        <f>COUNTIF('15_研究変数マップ'!$A$2:$A$206,A39)</f>
        <v>20</v>
      </c>
      <c r="E39" s="10">
        <f>SUMIF('15_研究変数マップ'!$A$2:$A$206,A39,'15_研究変数マップ'!$H$2:$H$206)</f>
        <v>0</v>
      </c>
      <c r="F39" s="10">
        <f t="shared" si="0"/>
        <v>100</v>
      </c>
      <c r="G39" s="10" t="e">
        <f ca="1">IF(E39="","",_xludf.RANK.EQ(E39,$E$2:$E$41,0))</f>
        <v>#NAME?</v>
      </c>
      <c r="H39" s="11" t="s">
        <v>3157</v>
      </c>
      <c r="I39" s="10">
        <f>COUNTIFS('15_研究変数マップ'!$A$2:$A$206,A39,'15_研究変数マップ'!$I$2:$I$206,"参照済")</f>
        <v>18</v>
      </c>
      <c r="J39" s="10">
        <f t="shared" si="1"/>
        <v>0.9</v>
      </c>
      <c r="K39" s="10" t="str">
        <f t="shared" si="2"/>
        <v>部分接続</v>
      </c>
      <c r="L39" s="12" t="s">
        <v>3312</v>
      </c>
      <c r="M39" s="12" t="s">
        <v>3313</v>
      </c>
      <c r="N39" s="12" t="s">
        <v>3314</v>
      </c>
      <c r="O39" s="1"/>
      <c r="P39" s="1"/>
      <c r="Q39" s="1"/>
    </row>
    <row r="40" spans="1:17" ht="42.75">
      <c r="A40" s="10" t="s">
        <v>3315</v>
      </c>
      <c r="B40" s="17" t="s">
        <v>3316</v>
      </c>
      <c r="C40" s="17" t="s">
        <v>3317</v>
      </c>
      <c r="D40" s="10">
        <f>COUNTIF('15_研究変数マップ'!$A$2:$A$189,A40)</f>
        <v>5</v>
      </c>
      <c r="E40" s="10">
        <f>SUMIF('15_研究変数マップ'!$A$2:$A$189,A40,'15_研究変数マップ'!$H$2:$H$189)</f>
        <v>-1</v>
      </c>
      <c r="F40" s="10">
        <f t="shared" si="0"/>
        <v>25</v>
      </c>
      <c r="G40" s="10" t="e">
        <f ca="1">IF(E40="","",_xludf.RANK.EQ(E40,$E$2:$E$41,0))</f>
        <v>#NAME?</v>
      </c>
      <c r="H40" s="11" t="s">
        <v>3157</v>
      </c>
      <c r="I40" s="10">
        <f>COUNTIFS('15_研究変数マップ'!$A$2:$A$189,A40,'15_研究変数マップ'!$I$2:$I$189,"参照済")</f>
        <v>3</v>
      </c>
      <c r="J40" s="10">
        <f t="shared" si="1"/>
        <v>0.6</v>
      </c>
      <c r="K40" s="10" t="str">
        <f t="shared" si="2"/>
        <v>部分接続</v>
      </c>
      <c r="L40" s="12" t="s">
        <v>3318</v>
      </c>
      <c r="M40" s="12" t="s">
        <v>3319</v>
      </c>
      <c r="N40" s="12" t="s">
        <v>3320</v>
      </c>
      <c r="O40" s="1"/>
      <c r="P40" s="1"/>
      <c r="Q40" s="1"/>
    </row>
    <row r="41" spans="1:17" ht="42.75">
      <c r="A41" s="10" t="s">
        <v>3321</v>
      </c>
      <c r="B41" s="17" t="s">
        <v>3322</v>
      </c>
      <c r="C41" s="17" t="s">
        <v>3323</v>
      </c>
      <c r="D41" s="10">
        <f>COUNTIF('15_研究変数マップ'!$A$2:$A$189,A41)</f>
        <v>5</v>
      </c>
      <c r="E41" s="10">
        <f>SUMIF('15_研究変数マップ'!$A$2:$A$189,A41,'15_研究変数マップ'!$H$2:$H$189)</f>
        <v>0</v>
      </c>
      <c r="F41" s="10">
        <f t="shared" si="0"/>
        <v>25</v>
      </c>
      <c r="G41" s="10" t="e">
        <f ca="1">IF(E41="","",_xludf.RANK.EQ(E41,$E$2:$E$41,0))</f>
        <v>#NAME?</v>
      </c>
      <c r="H41" s="11" t="s">
        <v>3157</v>
      </c>
      <c r="I41" s="10">
        <f>COUNTIFS('15_研究変数マップ'!$A$2:$A$189,A41,'15_研究変数マップ'!$I$2:$I$189,"参照済")</f>
        <v>4</v>
      </c>
      <c r="J41" s="10">
        <f t="shared" si="1"/>
        <v>0.8</v>
      </c>
      <c r="K41" s="10" t="str">
        <f t="shared" si="2"/>
        <v>部分接続</v>
      </c>
      <c r="L41" s="12" t="s">
        <v>3324</v>
      </c>
      <c r="M41" s="12" t="s">
        <v>3325</v>
      </c>
      <c r="N41" s="12" t="s">
        <v>3200</v>
      </c>
      <c r="O41" s="1"/>
      <c r="P41" s="1"/>
      <c r="Q41" s="1"/>
    </row>
    <row r="42" spans="1:17">
      <c r="A42" s="10"/>
      <c r="B42" s="17"/>
      <c r="C42" s="17"/>
      <c r="D42" s="10"/>
      <c r="E42" s="10"/>
      <c r="F42" s="10"/>
      <c r="G42" s="10"/>
      <c r="H42" s="11"/>
      <c r="I42" s="10"/>
      <c r="J42" s="10"/>
      <c r="K42" s="10"/>
      <c r="L42" s="12"/>
      <c r="M42" s="12"/>
      <c r="N42" s="12"/>
      <c r="O42" s="1"/>
      <c r="P42" s="1"/>
      <c r="Q42" s="1"/>
    </row>
    <row r="43" spans="1:17">
      <c r="A43" s="10"/>
      <c r="B43" s="17"/>
      <c r="C43" s="17"/>
      <c r="D43" s="10"/>
      <c r="E43" s="10"/>
      <c r="F43" s="10"/>
      <c r="G43" s="10"/>
      <c r="H43" s="11"/>
      <c r="I43" s="10"/>
      <c r="J43" s="10"/>
      <c r="K43" s="10"/>
      <c r="L43" s="12"/>
      <c r="M43" s="12"/>
      <c r="N43" s="12"/>
      <c r="O43" s="1"/>
      <c r="P43" s="1"/>
      <c r="Q43" s="1"/>
    </row>
    <row r="44" spans="1:17" ht="409.5">
      <c r="A44" s="10" t="s">
        <v>3326</v>
      </c>
      <c r="B44" s="17"/>
      <c r="C44" s="17"/>
      <c r="D44" s="10"/>
      <c r="E44" s="10"/>
      <c r="F44" s="10"/>
      <c r="G44" s="10"/>
      <c r="H44" s="11"/>
      <c r="I44" s="10"/>
      <c r="J44" s="10"/>
      <c r="K44" s="10"/>
      <c r="L44" s="12"/>
      <c r="M44" s="12"/>
      <c r="N44" s="12"/>
      <c r="O44" s="1"/>
      <c r="P44" s="1"/>
      <c r="Q44" s="1"/>
    </row>
    <row r="45" spans="1:17">
      <c r="A45" s="1"/>
      <c r="B45" s="1"/>
      <c r="C45" s="1"/>
      <c r="D45" s="1"/>
      <c r="E45" s="1"/>
      <c r="F45" s="1"/>
      <c r="G45" s="1"/>
      <c r="H45" s="1"/>
      <c r="I45" s="1"/>
      <c r="J45" s="1"/>
      <c r="K45" s="1"/>
      <c r="L45" s="1"/>
      <c r="M45" s="1"/>
      <c r="N45" s="1"/>
      <c r="O45" s="1"/>
      <c r="P45" s="1"/>
      <c r="Q45" s="1"/>
    </row>
    <row r="46" spans="1:17">
      <c r="A46" s="1"/>
      <c r="B46" s="1"/>
      <c r="C46" s="1"/>
      <c r="D46" s="1"/>
      <c r="E46" s="1"/>
      <c r="F46" s="1"/>
      <c r="G46" s="1"/>
      <c r="H46" s="1"/>
      <c r="I46" s="1"/>
      <c r="J46" s="1"/>
      <c r="K46" s="1"/>
      <c r="L46" s="1"/>
      <c r="M46" s="1"/>
      <c r="N46" s="1"/>
      <c r="O46" s="1"/>
      <c r="P46" s="1"/>
      <c r="Q46" s="1"/>
    </row>
    <row r="47" spans="1:17">
      <c r="A47" s="1"/>
      <c r="B47" s="1"/>
      <c r="C47" s="1"/>
      <c r="D47" s="1"/>
      <c r="E47" s="1"/>
      <c r="F47" s="1"/>
      <c r="G47" s="1"/>
      <c r="H47" s="1"/>
      <c r="I47" s="1"/>
      <c r="J47" s="1"/>
      <c r="K47" s="1"/>
      <c r="L47" s="1"/>
      <c r="M47" s="1"/>
      <c r="N47" s="1"/>
      <c r="O47" s="1"/>
      <c r="P47" s="1"/>
      <c r="Q47" s="1"/>
    </row>
    <row r="48" spans="1:17">
      <c r="A48" s="1"/>
      <c r="B48" s="1"/>
      <c r="C48" s="1"/>
      <c r="D48" s="1"/>
      <c r="E48" s="1"/>
      <c r="F48" s="1"/>
      <c r="G48" s="1"/>
      <c r="H48" s="1"/>
      <c r="I48" s="1"/>
      <c r="J48" s="1"/>
      <c r="K48" s="1"/>
      <c r="L48" s="1"/>
      <c r="M48" s="1"/>
      <c r="N48" s="1"/>
      <c r="O48" s="1"/>
      <c r="P48" s="1"/>
      <c r="Q48" s="1"/>
    </row>
    <row r="49" spans="1:17">
      <c r="A49" s="1"/>
      <c r="B49" s="1"/>
      <c r="C49" s="1"/>
      <c r="D49" s="1"/>
      <c r="E49" s="1"/>
      <c r="F49" s="1"/>
      <c r="G49" s="1"/>
      <c r="H49" s="1"/>
      <c r="I49" s="1"/>
      <c r="J49" s="1"/>
      <c r="K49" s="1"/>
      <c r="L49" s="1"/>
      <c r="M49" s="1"/>
      <c r="N49" s="1"/>
      <c r="O49" s="1"/>
      <c r="P49" s="1"/>
      <c r="Q49" s="1"/>
    </row>
    <row r="50" spans="1:17">
      <c r="A50" s="1"/>
      <c r="B50" s="1"/>
      <c r="C50" s="1"/>
      <c r="D50" s="1"/>
      <c r="E50" s="1"/>
      <c r="F50" s="1"/>
      <c r="G50" s="1"/>
      <c r="H50" s="1"/>
      <c r="I50" s="1"/>
      <c r="J50" s="1"/>
      <c r="K50" s="1"/>
      <c r="L50" s="1"/>
      <c r="M50" s="1"/>
      <c r="N50" s="1"/>
      <c r="O50" s="1"/>
      <c r="P50" s="1"/>
      <c r="Q50" s="1"/>
    </row>
    <row r="51" spans="1:17">
      <c r="A51" s="1"/>
      <c r="B51" s="1"/>
      <c r="C51" s="1"/>
      <c r="D51" s="1"/>
      <c r="E51" s="1"/>
      <c r="F51" s="1"/>
      <c r="G51" s="1"/>
      <c r="H51" s="1"/>
      <c r="I51" s="1"/>
      <c r="J51" s="1"/>
      <c r="K51" s="1"/>
      <c r="L51" s="1"/>
      <c r="M51" s="1"/>
      <c r="N51" s="1"/>
      <c r="O51" s="1"/>
      <c r="P51" s="1"/>
      <c r="Q51" s="1"/>
    </row>
    <row r="52" spans="1:17">
      <c r="A52" s="1"/>
      <c r="B52" s="1"/>
      <c r="C52" s="1"/>
      <c r="D52" s="1"/>
      <c r="E52" s="1"/>
      <c r="F52" s="1"/>
      <c r="G52" s="1"/>
      <c r="H52" s="1"/>
      <c r="I52" s="1"/>
      <c r="J52" s="1"/>
      <c r="K52" s="1"/>
      <c r="L52" s="1"/>
      <c r="M52" s="1"/>
      <c r="N52" s="1"/>
      <c r="O52" s="1"/>
      <c r="P52" s="1"/>
      <c r="Q52" s="1"/>
    </row>
    <row r="53" spans="1:17">
      <c r="A53" s="1"/>
      <c r="B53" s="1"/>
      <c r="C53" s="1"/>
      <c r="D53" s="1"/>
      <c r="E53" s="1"/>
      <c r="F53" s="1"/>
      <c r="G53" s="1"/>
      <c r="H53" s="1"/>
      <c r="I53" s="1"/>
      <c r="J53" s="1"/>
      <c r="K53" s="1"/>
      <c r="L53" s="1"/>
      <c r="M53" s="1"/>
      <c r="N53" s="1"/>
      <c r="O53" s="1"/>
      <c r="P53" s="1"/>
      <c r="Q53" s="1"/>
    </row>
    <row r="54" spans="1:17">
      <c r="A54" s="1"/>
      <c r="B54" s="1"/>
      <c r="C54" s="1"/>
      <c r="D54" s="1"/>
      <c r="E54" s="1"/>
      <c r="F54" s="1"/>
      <c r="G54" s="1"/>
      <c r="H54" s="1"/>
      <c r="I54" s="1"/>
      <c r="J54" s="1"/>
      <c r="K54" s="1"/>
      <c r="L54" s="1"/>
      <c r="M54" s="1"/>
      <c r="N54" s="1"/>
      <c r="O54" s="1"/>
      <c r="P54" s="1"/>
      <c r="Q54" s="1"/>
    </row>
    <row r="55" spans="1:17">
      <c r="A55" s="1"/>
      <c r="B55" s="1"/>
      <c r="C55" s="1"/>
      <c r="D55" s="1"/>
      <c r="E55" s="1"/>
      <c r="F55" s="1"/>
      <c r="G55" s="1"/>
      <c r="H55" s="1"/>
      <c r="I55" s="1"/>
      <c r="J55" s="1"/>
      <c r="K55" s="1"/>
      <c r="L55" s="1"/>
      <c r="M55" s="1"/>
      <c r="N55" s="1"/>
      <c r="O55" s="1"/>
      <c r="P55" s="1"/>
      <c r="Q55" s="1"/>
    </row>
    <row r="56" spans="1:17">
      <c r="A56" s="1"/>
      <c r="B56" s="1"/>
      <c r="C56" s="1"/>
      <c r="D56" s="1"/>
      <c r="E56" s="1"/>
      <c r="F56" s="1"/>
      <c r="G56" s="1"/>
      <c r="H56" s="1"/>
      <c r="I56" s="1"/>
      <c r="J56" s="1"/>
      <c r="K56" s="1"/>
      <c r="L56" s="1"/>
      <c r="M56" s="1"/>
      <c r="N56" s="1"/>
      <c r="O56" s="1"/>
      <c r="P56" s="1"/>
      <c r="Q56" s="1"/>
    </row>
    <row r="57" spans="1:17">
      <c r="A57" s="1"/>
      <c r="B57" s="1"/>
      <c r="C57" s="1"/>
      <c r="D57" s="1"/>
      <c r="E57" s="1"/>
      <c r="F57" s="1"/>
      <c r="G57" s="1"/>
      <c r="H57" s="1"/>
      <c r="I57" s="1"/>
      <c r="J57" s="1"/>
      <c r="K57" s="1"/>
      <c r="L57" s="1"/>
      <c r="M57" s="1"/>
      <c r="N57" s="1"/>
      <c r="O57" s="1"/>
      <c r="P57" s="1"/>
      <c r="Q57" s="1"/>
    </row>
    <row r="58" spans="1:17">
      <c r="A58" s="1"/>
      <c r="B58" s="1"/>
      <c r="C58" s="1"/>
      <c r="D58" s="1"/>
      <c r="E58" s="1"/>
      <c r="F58" s="1"/>
      <c r="G58" s="1"/>
      <c r="H58" s="1"/>
      <c r="I58" s="1"/>
      <c r="J58" s="1"/>
      <c r="K58" s="1"/>
      <c r="L58" s="1"/>
      <c r="M58" s="1"/>
      <c r="N58" s="1"/>
      <c r="O58" s="1"/>
      <c r="P58" s="1"/>
      <c r="Q58" s="1"/>
    </row>
    <row r="59" spans="1:17">
      <c r="A59" s="1"/>
      <c r="B59" s="1"/>
      <c r="C59" s="1"/>
      <c r="D59" s="1"/>
      <c r="E59" s="1"/>
      <c r="F59" s="1"/>
      <c r="G59" s="1"/>
      <c r="H59" s="1"/>
      <c r="I59" s="1"/>
      <c r="J59" s="1"/>
      <c r="K59" s="1"/>
      <c r="L59" s="1"/>
      <c r="M59" s="1"/>
      <c r="N59" s="1"/>
      <c r="O59" s="1"/>
      <c r="P59" s="1"/>
      <c r="Q59" s="1"/>
    </row>
    <row r="60" spans="1:17">
      <c r="A60" s="1"/>
      <c r="B60" s="1"/>
      <c r="C60" s="1"/>
      <c r="D60" s="1"/>
      <c r="E60" s="1"/>
      <c r="F60" s="1"/>
      <c r="G60" s="1"/>
      <c r="H60" s="1"/>
      <c r="I60" s="1"/>
      <c r="J60" s="1"/>
      <c r="K60" s="1"/>
      <c r="L60" s="1"/>
      <c r="M60" s="1"/>
      <c r="N60" s="1"/>
      <c r="O60" s="1"/>
      <c r="P60" s="1"/>
      <c r="Q60" s="1"/>
    </row>
    <row r="61" spans="1:17">
      <c r="A61" s="1"/>
      <c r="B61" s="1"/>
      <c r="C61" s="1"/>
      <c r="D61" s="1"/>
      <c r="E61" s="1"/>
      <c r="F61" s="1"/>
      <c r="G61" s="1"/>
      <c r="H61" s="1"/>
      <c r="I61" s="1"/>
      <c r="J61" s="1"/>
      <c r="K61" s="1"/>
      <c r="L61" s="1"/>
      <c r="M61" s="1"/>
      <c r="N61" s="1"/>
      <c r="O61" s="1"/>
      <c r="P61" s="1"/>
      <c r="Q61" s="1"/>
    </row>
    <row r="62" spans="1:17">
      <c r="A62" s="1"/>
      <c r="B62" s="1"/>
      <c r="C62" s="1"/>
      <c r="D62" s="1"/>
      <c r="E62" s="1"/>
      <c r="F62" s="1"/>
      <c r="G62" s="1"/>
      <c r="H62" s="1"/>
      <c r="I62" s="1"/>
      <c r="J62" s="1"/>
      <c r="K62" s="1"/>
      <c r="L62" s="1"/>
      <c r="M62" s="1"/>
      <c r="N62" s="1"/>
      <c r="O62" s="1"/>
      <c r="P62" s="1"/>
      <c r="Q62" s="1"/>
    </row>
    <row r="63" spans="1:17">
      <c r="A63" s="1"/>
      <c r="B63" s="1"/>
      <c r="C63" s="1"/>
      <c r="D63" s="1"/>
      <c r="E63" s="1"/>
      <c r="F63" s="1"/>
      <c r="G63" s="1"/>
      <c r="H63" s="1"/>
      <c r="I63" s="1"/>
      <c r="J63" s="1"/>
      <c r="K63" s="1"/>
      <c r="L63" s="1"/>
      <c r="M63" s="1"/>
      <c r="N63" s="1"/>
      <c r="O63" s="1"/>
      <c r="P63" s="1"/>
      <c r="Q63" s="1"/>
    </row>
    <row r="64" spans="1:17">
      <c r="A64" s="1"/>
      <c r="B64" s="1"/>
      <c r="C64" s="1"/>
      <c r="D64" s="1"/>
      <c r="E64" s="1"/>
      <c r="F64" s="1"/>
      <c r="G64" s="1"/>
      <c r="H64" s="1"/>
      <c r="I64" s="1"/>
      <c r="J64" s="1"/>
      <c r="K64" s="1"/>
      <c r="L64" s="1"/>
      <c r="M64" s="1"/>
      <c r="N64" s="1"/>
      <c r="O64" s="1"/>
      <c r="P64" s="1"/>
      <c r="Q64" s="1"/>
    </row>
    <row r="65" spans="1:17">
      <c r="A65" s="1"/>
      <c r="B65" s="1"/>
      <c r="C65" s="1"/>
      <c r="D65" s="1"/>
      <c r="E65" s="1"/>
      <c r="F65" s="1"/>
      <c r="G65" s="1"/>
      <c r="H65" s="1"/>
      <c r="I65" s="1"/>
      <c r="J65" s="1"/>
      <c r="K65" s="1"/>
      <c r="L65" s="1"/>
      <c r="M65" s="1"/>
      <c r="N65" s="1"/>
      <c r="O65" s="1"/>
      <c r="P65" s="1"/>
      <c r="Q65" s="1"/>
    </row>
    <row r="66" spans="1:17">
      <c r="A66" s="1"/>
      <c r="B66" s="1"/>
      <c r="C66" s="1"/>
      <c r="D66" s="1"/>
      <c r="E66" s="1"/>
      <c r="F66" s="1"/>
      <c r="G66" s="1"/>
      <c r="H66" s="1"/>
      <c r="I66" s="1"/>
      <c r="J66" s="1"/>
      <c r="K66" s="1"/>
      <c r="L66" s="1"/>
      <c r="M66" s="1"/>
      <c r="N66" s="1"/>
      <c r="O66" s="1"/>
      <c r="P66" s="1"/>
      <c r="Q66" s="1"/>
    </row>
    <row r="67" spans="1:17">
      <c r="A67" s="1"/>
      <c r="B67" s="1"/>
      <c r="C67" s="1"/>
      <c r="D67" s="1"/>
      <c r="E67" s="1"/>
      <c r="F67" s="1"/>
      <c r="G67" s="1"/>
      <c r="H67" s="1"/>
      <c r="I67" s="1"/>
      <c r="J67" s="1"/>
      <c r="K67" s="1"/>
      <c r="L67" s="1"/>
      <c r="M67" s="1"/>
      <c r="N67" s="1"/>
      <c r="O67" s="1"/>
      <c r="P67" s="1"/>
      <c r="Q67" s="1"/>
    </row>
    <row r="68" spans="1:17">
      <c r="A68" s="1"/>
      <c r="B68" s="1"/>
      <c r="C68" s="1"/>
      <c r="D68" s="1"/>
      <c r="E68" s="1"/>
      <c r="F68" s="1"/>
      <c r="G68" s="1"/>
      <c r="H68" s="1"/>
      <c r="I68" s="1"/>
      <c r="J68" s="1"/>
      <c r="K68" s="1"/>
      <c r="L68" s="1"/>
      <c r="M68" s="1"/>
      <c r="N68" s="1"/>
      <c r="O68" s="1"/>
      <c r="P68" s="1"/>
      <c r="Q68" s="1"/>
    </row>
    <row r="69" spans="1:17">
      <c r="A69" s="1"/>
      <c r="B69" s="1"/>
      <c r="C69" s="1"/>
      <c r="D69" s="1"/>
      <c r="E69" s="1"/>
      <c r="F69" s="1"/>
      <c r="G69" s="1"/>
      <c r="H69" s="1"/>
      <c r="I69" s="1"/>
      <c r="J69" s="1"/>
      <c r="K69" s="1"/>
      <c r="L69" s="1"/>
      <c r="M69" s="1"/>
      <c r="N69" s="1"/>
      <c r="O69" s="1"/>
      <c r="P69" s="1"/>
      <c r="Q69" s="1"/>
    </row>
    <row r="70" spans="1:17">
      <c r="A70" s="1"/>
      <c r="B70" s="1"/>
      <c r="C70" s="1"/>
      <c r="D70" s="1"/>
      <c r="E70" s="1"/>
      <c r="F70" s="1"/>
      <c r="G70" s="1"/>
      <c r="H70" s="1"/>
      <c r="I70" s="1"/>
      <c r="J70" s="1"/>
      <c r="K70" s="1"/>
      <c r="L70" s="1"/>
      <c r="M70" s="1"/>
      <c r="N70" s="1"/>
      <c r="O70" s="1"/>
      <c r="P70" s="1"/>
      <c r="Q70" s="1"/>
    </row>
    <row r="71" spans="1:17">
      <c r="A71" s="1"/>
      <c r="B71" s="1"/>
      <c r="C71" s="1"/>
      <c r="D71" s="1"/>
      <c r="E71" s="1"/>
      <c r="F71" s="1"/>
      <c r="G71" s="1"/>
      <c r="H71" s="1"/>
      <c r="I71" s="1"/>
      <c r="J71" s="1"/>
      <c r="K71" s="1"/>
      <c r="L71" s="1"/>
      <c r="M71" s="1"/>
      <c r="N71" s="1"/>
      <c r="O71" s="1"/>
      <c r="P71" s="1"/>
      <c r="Q71" s="1"/>
    </row>
    <row r="72" spans="1:17">
      <c r="A72" s="1"/>
      <c r="B72" s="1"/>
      <c r="C72" s="1"/>
      <c r="D72" s="1"/>
      <c r="E72" s="1"/>
      <c r="F72" s="1"/>
      <c r="G72" s="1"/>
      <c r="H72" s="1"/>
      <c r="I72" s="1"/>
      <c r="J72" s="1"/>
      <c r="K72" s="1"/>
      <c r="L72" s="1"/>
      <c r="M72" s="1"/>
      <c r="N72" s="1"/>
      <c r="O72" s="1"/>
      <c r="P72" s="1"/>
      <c r="Q72" s="1"/>
    </row>
    <row r="73" spans="1:17">
      <c r="A73" s="1"/>
      <c r="B73" s="1"/>
      <c r="C73" s="1"/>
      <c r="D73" s="1"/>
      <c r="E73" s="1"/>
      <c r="F73" s="1"/>
      <c r="G73" s="1"/>
      <c r="H73" s="1"/>
      <c r="I73" s="1"/>
      <c r="J73" s="1"/>
      <c r="K73" s="1"/>
      <c r="L73" s="1"/>
      <c r="M73" s="1"/>
      <c r="N73" s="1"/>
      <c r="O73" s="1"/>
      <c r="P73" s="1"/>
      <c r="Q73" s="1"/>
    </row>
    <row r="74" spans="1:17">
      <c r="A74" s="1"/>
      <c r="B74" s="1"/>
      <c r="C74" s="1"/>
      <c r="D74" s="1"/>
      <c r="E74" s="1"/>
      <c r="F74" s="1"/>
      <c r="G74" s="1"/>
      <c r="H74" s="1"/>
      <c r="I74" s="1"/>
      <c r="J74" s="1"/>
      <c r="K74" s="1"/>
      <c r="L74" s="1"/>
      <c r="M74" s="1"/>
      <c r="N74" s="1"/>
      <c r="O74" s="1"/>
      <c r="P74" s="1"/>
      <c r="Q74" s="1"/>
    </row>
    <row r="75" spans="1:17">
      <c r="A75" s="1"/>
      <c r="B75" s="1"/>
      <c r="C75" s="1"/>
      <c r="D75" s="1"/>
      <c r="E75" s="1"/>
      <c r="F75" s="1"/>
      <c r="G75" s="1"/>
      <c r="H75" s="1"/>
      <c r="I75" s="1"/>
      <c r="J75" s="1"/>
      <c r="K75" s="1"/>
      <c r="L75" s="1"/>
      <c r="M75" s="1"/>
      <c r="N75" s="1"/>
      <c r="O75" s="1"/>
      <c r="P75" s="1"/>
      <c r="Q75" s="1"/>
    </row>
    <row r="76" spans="1:17">
      <c r="A76" s="1"/>
      <c r="B76" s="1"/>
      <c r="C76" s="1"/>
      <c r="D76" s="1"/>
      <c r="E76" s="1"/>
      <c r="F76" s="1"/>
      <c r="G76" s="1"/>
      <c r="H76" s="1"/>
      <c r="I76" s="1"/>
      <c r="J76" s="1"/>
      <c r="K76" s="1"/>
      <c r="L76" s="1"/>
      <c r="M76" s="1"/>
      <c r="N76" s="1"/>
      <c r="O76" s="1"/>
      <c r="P76" s="1"/>
      <c r="Q76" s="1"/>
    </row>
    <row r="77" spans="1:17">
      <c r="A77" s="1"/>
      <c r="B77" s="1"/>
      <c r="C77" s="1"/>
      <c r="D77" s="1"/>
      <c r="E77" s="1"/>
      <c r="F77" s="1"/>
      <c r="G77" s="1"/>
      <c r="H77" s="1"/>
      <c r="I77" s="1"/>
      <c r="J77" s="1"/>
      <c r="K77" s="1"/>
      <c r="L77" s="1"/>
      <c r="M77" s="1"/>
      <c r="N77" s="1"/>
      <c r="O77" s="1"/>
      <c r="P77" s="1"/>
      <c r="Q77" s="1"/>
    </row>
    <row r="78" spans="1:17">
      <c r="A78" s="1"/>
      <c r="B78" s="1"/>
      <c r="C78" s="1"/>
      <c r="D78" s="1"/>
      <c r="E78" s="1"/>
      <c r="F78" s="1"/>
      <c r="G78" s="1"/>
      <c r="H78" s="1"/>
      <c r="I78" s="1"/>
      <c r="J78" s="1"/>
      <c r="K78" s="1"/>
      <c r="L78" s="1"/>
      <c r="M78" s="1"/>
      <c r="N78" s="1"/>
      <c r="O78" s="1"/>
      <c r="P78" s="1"/>
      <c r="Q78" s="1"/>
    </row>
    <row r="79" spans="1:17">
      <c r="A79" s="1"/>
      <c r="B79" s="1"/>
      <c r="C79" s="1"/>
      <c r="D79" s="1"/>
      <c r="E79" s="1"/>
      <c r="F79" s="1"/>
      <c r="G79" s="1"/>
      <c r="H79" s="1"/>
      <c r="I79" s="1"/>
      <c r="J79" s="1"/>
      <c r="K79" s="1"/>
      <c r="L79" s="1"/>
      <c r="M79" s="1"/>
      <c r="N79" s="1"/>
      <c r="O79" s="1"/>
      <c r="P79" s="1"/>
      <c r="Q79" s="1"/>
    </row>
    <row r="80" spans="1:17">
      <c r="A80" s="1"/>
      <c r="B80" s="1"/>
      <c r="C80" s="1"/>
      <c r="D80" s="1"/>
      <c r="E80" s="1"/>
      <c r="F80" s="1"/>
      <c r="G80" s="1"/>
      <c r="H80" s="1"/>
      <c r="I80" s="1"/>
      <c r="J80" s="1"/>
      <c r="K80" s="1"/>
      <c r="L80" s="1"/>
      <c r="M80" s="1"/>
      <c r="N80" s="1"/>
      <c r="O80" s="1"/>
      <c r="P80" s="1"/>
      <c r="Q80" s="1"/>
    </row>
    <row r="81" spans="1:17">
      <c r="A81" s="1"/>
      <c r="B81" s="1"/>
      <c r="C81" s="1"/>
      <c r="D81" s="1"/>
      <c r="E81" s="1"/>
      <c r="F81" s="1"/>
      <c r="G81" s="1"/>
      <c r="H81" s="1"/>
      <c r="I81" s="1"/>
      <c r="J81" s="1"/>
      <c r="K81" s="1"/>
      <c r="L81" s="1"/>
      <c r="M81" s="1"/>
      <c r="N81" s="1"/>
      <c r="O81" s="1"/>
      <c r="P81" s="1"/>
      <c r="Q81" s="1"/>
    </row>
    <row r="82" spans="1:17">
      <c r="A82" s="1"/>
      <c r="B82" s="1"/>
      <c r="C82" s="1"/>
      <c r="D82" s="1"/>
      <c r="E82" s="1"/>
      <c r="F82" s="1"/>
      <c r="G82" s="1"/>
      <c r="H82" s="1"/>
      <c r="I82" s="1"/>
      <c r="J82" s="1"/>
      <c r="K82" s="1"/>
      <c r="L82" s="1"/>
      <c r="M82" s="1"/>
      <c r="N82" s="1"/>
      <c r="O82" s="1"/>
      <c r="P82" s="1"/>
      <c r="Q82" s="1"/>
    </row>
    <row r="83" spans="1:17">
      <c r="A83" s="1"/>
      <c r="B83" s="1"/>
      <c r="C83" s="1"/>
      <c r="D83" s="1"/>
      <c r="E83" s="1"/>
      <c r="F83" s="1"/>
      <c r="G83" s="1"/>
      <c r="H83" s="1"/>
      <c r="I83" s="1"/>
      <c r="J83" s="1"/>
      <c r="K83" s="1"/>
      <c r="L83" s="1"/>
      <c r="M83" s="1"/>
      <c r="N83" s="1"/>
      <c r="O83" s="1"/>
      <c r="P83" s="1"/>
      <c r="Q83" s="1"/>
    </row>
    <row r="84" spans="1:17">
      <c r="A84" s="1"/>
      <c r="B84" s="1"/>
      <c r="C84" s="1"/>
      <c r="D84" s="1"/>
      <c r="E84" s="1"/>
      <c r="F84" s="1"/>
      <c r="G84" s="1"/>
      <c r="H84" s="1"/>
      <c r="I84" s="1"/>
      <c r="J84" s="1"/>
      <c r="K84" s="1"/>
      <c r="L84" s="1"/>
      <c r="M84" s="1"/>
      <c r="N84" s="1"/>
      <c r="O84" s="1"/>
      <c r="P84" s="1"/>
      <c r="Q84" s="1"/>
    </row>
    <row r="85" spans="1:17">
      <c r="A85" s="1"/>
      <c r="B85" s="1"/>
      <c r="C85" s="1"/>
      <c r="D85" s="1"/>
      <c r="E85" s="1"/>
      <c r="F85" s="1"/>
      <c r="G85" s="1"/>
      <c r="H85" s="1"/>
      <c r="I85" s="1"/>
      <c r="J85" s="1"/>
      <c r="K85" s="1"/>
      <c r="L85" s="1"/>
      <c r="M85" s="1"/>
      <c r="N85" s="1"/>
      <c r="O85" s="1"/>
      <c r="P85" s="1"/>
      <c r="Q85" s="1"/>
    </row>
    <row r="86" spans="1:17">
      <c r="A86" s="1"/>
      <c r="B86" s="1"/>
      <c r="C86" s="1"/>
      <c r="D86" s="1"/>
      <c r="E86" s="1"/>
      <c r="F86" s="1"/>
      <c r="G86" s="1"/>
      <c r="H86" s="1"/>
      <c r="I86" s="1"/>
      <c r="J86" s="1"/>
      <c r="K86" s="1"/>
      <c r="L86" s="1"/>
      <c r="M86" s="1"/>
      <c r="N86" s="1"/>
      <c r="O86" s="1"/>
      <c r="P86" s="1"/>
      <c r="Q86" s="1"/>
    </row>
    <row r="87" spans="1:17">
      <c r="A87" s="1"/>
      <c r="B87" s="1"/>
      <c r="C87" s="1"/>
      <c r="D87" s="1"/>
      <c r="E87" s="1"/>
      <c r="F87" s="1"/>
      <c r="G87" s="1"/>
      <c r="H87" s="1"/>
      <c r="I87" s="1"/>
      <c r="J87" s="1"/>
      <c r="K87" s="1"/>
      <c r="L87" s="1"/>
      <c r="M87" s="1"/>
      <c r="N87" s="1"/>
      <c r="O87" s="1"/>
      <c r="P87" s="1"/>
      <c r="Q87" s="1"/>
    </row>
    <row r="88" spans="1:17">
      <c r="A88" s="1"/>
      <c r="B88" s="1"/>
      <c r="C88" s="1"/>
      <c r="D88" s="1"/>
      <c r="E88" s="1"/>
      <c r="F88" s="1"/>
      <c r="G88" s="1"/>
      <c r="H88" s="1"/>
      <c r="I88" s="1"/>
      <c r="J88" s="1"/>
      <c r="K88" s="1"/>
      <c r="L88" s="1"/>
      <c r="M88" s="1"/>
      <c r="N88" s="1"/>
      <c r="O88" s="1"/>
      <c r="P88" s="1"/>
      <c r="Q88" s="1"/>
    </row>
    <row r="89" spans="1:17">
      <c r="A89" s="1"/>
      <c r="B89" s="1"/>
      <c r="C89" s="1"/>
      <c r="D89" s="1"/>
      <c r="E89" s="1"/>
      <c r="F89" s="1"/>
      <c r="G89" s="1"/>
      <c r="H89" s="1"/>
      <c r="I89" s="1"/>
      <c r="J89" s="1"/>
      <c r="K89" s="1"/>
      <c r="L89" s="1"/>
      <c r="M89" s="1"/>
      <c r="N89" s="1"/>
      <c r="O89" s="1"/>
      <c r="P89" s="1"/>
      <c r="Q89" s="1"/>
    </row>
    <row r="90" spans="1:17">
      <c r="A90" s="1"/>
      <c r="B90" s="1"/>
      <c r="C90" s="1"/>
      <c r="D90" s="1"/>
      <c r="E90" s="1"/>
      <c r="F90" s="1"/>
      <c r="G90" s="1"/>
      <c r="H90" s="1"/>
      <c r="I90" s="1"/>
      <c r="J90" s="1"/>
      <c r="K90" s="1"/>
      <c r="L90" s="1"/>
      <c r="M90" s="1"/>
      <c r="N90" s="1"/>
      <c r="O90" s="1"/>
      <c r="P90" s="1"/>
      <c r="Q90" s="1"/>
    </row>
    <row r="91" spans="1:17">
      <c r="A91" s="1"/>
      <c r="B91" s="1"/>
      <c r="C91" s="1"/>
      <c r="D91" s="1"/>
      <c r="E91" s="1"/>
      <c r="F91" s="1"/>
      <c r="G91" s="1"/>
      <c r="H91" s="1"/>
      <c r="I91" s="1"/>
      <c r="J91" s="1"/>
      <c r="K91" s="1"/>
      <c r="L91" s="1"/>
      <c r="M91" s="1"/>
      <c r="N91" s="1"/>
      <c r="O91" s="1"/>
      <c r="P91" s="1"/>
      <c r="Q91" s="1"/>
    </row>
    <row r="92" spans="1:17">
      <c r="A92" s="1"/>
      <c r="B92" s="1"/>
      <c r="C92" s="1"/>
      <c r="D92" s="1"/>
      <c r="E92" s="1"/>
      <c r="F92" s="1"/>
      <c r="G92" s="1"/>
      <c r="H92" s="1"/>
      <c r="I92" s="1"/>
      <c r="J92" s="1"/>
      <c r="K92" s="1"/>
      <c r="L92" s="1"/>
      <c r="M92" s="1"/>
      <c r="N92" s="1"/>
      <c r="O92" s="1"/>
      <c r="P92" s="1"/>
      <c r="Q92" s="1"/>
    </row>
    <row r="93" spans="1:17">
      <c r="A93" s="1"/>
      <c r="B93" s="1"/>
      <c r="C93" s="1"/>
      <c r="D93" s="1"/>
      <c r="E93" s="1"/>
      <c r="F93" s="1"/>
      <c r="G93" s="1"/>
      <c r="H93" s="1"/>
      <c r="I93" s="1"/>
      <c r="J93" s="1"/>
      <c r="K93" s="1"/>
      <c r="L93" s="1"/>
      <c r="M93" s="1"/>
      <c r="N93" s="1"/>
      <c r="O93" s="1"/>
      <c r="P93" s="1"/>
      <c r="Q93" s="1"/>
    </row>
    <row r="94" spans="1:17">
      <c r="A94" s="1"/>
      <c r="B94" s="1"/>
      <c r="C94" s="1"/>
      <c r="D94" s="1"/>
      <c r="E94" s="1"/>
      <c r="F94" s="1"/>
      <c r="G94" s="1"/>
      <c r="H94" s="1"/>
      <c r="I94" s="1"/>
      <c r="J94" s="1"/>
      <c r="K94" s="1"/>
      <c r="L94" s="1"/>
      <c r="M94" s="1"/>
      <c r="N94" s="1"/>
      <c r="O94" s="1"/>
      <c r="P94" s="1"/>
      <c r="Q94" s="1"/>
    </row>
    <row r="95" spans="1:17">
      <c r="A95" s="1"/>
      <c r="B95" s="1"/>
      <c r="C95" s="1"/>
      <c r="D95" s="1"/>
      <c r="E95" s="1"/>
      <c r="F95" s="1"/>
      <c r="G95" s="1"/>
      <c r="H95" s="1"/>
      <c r="I95" s="1"/>
      <c r="J95" s="1"/>
      <c r="K95" s="1"/>
      <c r="L95" s="1"/>
      <c r="M95" s="1"/>
      <c r="N95" s="1"/>
      <c r="O95" s="1"/>
      <c r="P95" s="1"/>
      <c r="Q95" s="1"/>
    </row>
    <row r="96" spans="1:17">
      <c r="A96" s="1"/>
      <c r="B96" s="1"/>
      <c r="C96" s="1"/>
      <c r="D96" s="1"/>
      <c r="E96" s="1"/>
      <c r="F96" s="1"/>
      <c r="G96" s="1"/>
      <c r="H96" s="1"/>
      <c r="I96" s="1"/>
      <c r="J96" s="1"/>
      <c r="K96" s="1"/>
      <c r="L96" s="1"/>
      <c r="M96" s="1"/>
      <c r="N96" s="1"/>
      <c r="O96" s="1"/>
      <c r="P96" s="1"/>
      <c r="Q96" s="1"/>
    </row>
    <row r="97" spans="1:17">
      <c r="A97" s="1"/>
      <c r="B97" s="1"/>
      <c r="C97" s="1"/>
      <c r="D97" s="1"/>
      <c r="E97" s="1"/>
      <c r="F97" s="1"/>
      <c r="G97" s="1"/>
      <c r="H97" s="1"/>
      <c r="I97" s="1"/>
      <c r="J97" s="1"/>
      <c r="K97" s="1"/>
      <c r="L97" s="1"/>
      <c r="M97" s="1"/>
      <c r="N97" s="1"/>
      <c r="O97" s="1"/>
      <c r="P97" s="1"/>
      <c r="Q97" s="1"/>
    </row>
    <row r="98" spans="1:17">
      <c r="A98" s="1"/>
      <c r="B98" s="1"/>
      <c r="C98" s="1"/>
      <c r="D98" s="1"/>
      <c r="E98" s="1"/>
      <c r="F98" s="1"/>
      <c r="G98" s="1"/>
      <c r="H98" s="1"/>
      <c r="I98" s="1"/>
      <c r="J98" s="1"/>
      <c r="K98" s="1"/>
      <c r="L98" s="1"/>
      <c r="M98" s="1"/>
      <c r="N98" s="1"/>
      <c r="O98" s="1"/>
      <c r="P98" s="1"/>
      <c r="Q98" s="1"/>
    </row>
    <row r="99" spans="1:17">
      <c r="A99" s="1"/>
      <c r="B99" s="1"/>
      <c r="C99" s="1"/>
      <c r="D99" s="1"/>
      <c r="E99" s="1"/>
      <c r="F99" s="1"/>
      <c r="G99" s="1"/>
      <c r="H99" s="1"/>
      <c r="I99" s="1"/>
      <c r="J99" s="1"/>
      <c r="K99" s="1"/>
      <c r="L99" s="1"/>
      <c r="M99" s="1"/>
      <c r="N99" s="1"/>
      <c r="O99" s="1"/>
      <c r="P99" s="1"/>
      <c r="Q99" s="1"/>
    </row>
    <row r="100" spans="1:17">
      <c r="A100" s="1"/>
      <c r="B100" s="1"/>
      <c r="C100" s="1"/>
      <c r="D100" s="1"/>
      <c r="E100" s="1"/>
      <c r="F100" s="1"/>
      <c r="G100" s="1"/>
      <c r="H100" s="1"/>
      <c r="I100" s="1"/>
      <c r="J100" s="1"/>
      <c r="K100" s="1"/>
      <c r="L100" s="1"/>
      <c r="M100" s="1"/>
      <c r="N100" s="1"/>
      <c r="O100" s="1"/>
      <c r="P100" s="1"/>
      <c r="Q100" s="1"/>
    </row>
    <row r="101" spans="1:17">
      <c r="A101" s="1"/>
      <c r="B101" s="1"/>
      <c r="C101" s="1"/>
      <c r="D101" s="1"/>
      <c r="E101" s="1"/>
      <c r="F101" s="1"/>
      <c r="G101" s="1"/>
      <c r="H101" s="1"/>
      <c r="I101" s="1"/>
      <c r="J101" s="1"/>
      <c r="K101" s="1"/>
      <c r="L101" s="1"/>
      <c r="M101" s="1"/>
      <c r="N101" s="1"/>
      <c r="O101" s="1"/>
      <c r="P101" s="1"/>
      <c r="Q101" s="1"/>
    </row>
    <row r="102" spans="1:17">
      <c r="A102" s="1"/>
      <c r="B102" s="1"/>
      <c r="C102" s="1"/>
      <c r="D102" s="1"/>
      <c r="E102" s="1"/>
      <c r="F102" s="1"/>
      <c r="G102" s="1"/>
      <c r="H102" s="1"/>
      <c r="I102" s="1"/>
      <c r="J102" s="1"/>
      <c r="K102" s="1"/>
      <c r="L102" s="1"/>
      <c r="M102" s="1"/>
      <c r="N102" s="1"/>
      <c r="O102" s="1"/>
      <c r="P102" s="1"/>
      <c r="Q102" s="1"/>
    </row>
    <row r="103" spans="1:17">
      <c r="A103" s="1"/>
      <c r="B103" s="1"/>
      <c r="C103" s="1"/>
      <c r="D103" s="1"/>
      <c r="E103" s="1"/>
      <c r="F103" s="1"/>
      <c r="G103" s="1"/>
      <c r="H103" s="1"/>
      <c r="I103" s="1"/>
      <c r="J103" s="1"/>
      <c r="K103" s="1"/>
      <c r="L103" s="1"/>
      <c r="M103" s="1"/>
      <c r="N103" s="1"/>
      <c r="O103" s="1"/>
      <c r="P103" s="1"/>
      <c r="Q103" s="1"/>
    </row>
    <row r="104" spans="1:17">
      <c r="A104" s="1"/>
      <c r="B104" s="1"/>
      <c r="C104" s="1"/>
      <c r="D104" s="1"/>
      <c r="E104" s="1"/>
      <c r="F104" s="1"/>
      <c r="G104" s="1"/>
      <c r="H104" s="1"/>
      <c r="I104" s="1"/>
      <c r="J104" s="1"/>
      <c r="K104" s="1"/>
      <c r="L104" s="1"/>
      <c r="M104" s="1"/>
      <c r="N104" s="1"/>
      <c r="O104" s="1"/>
      <c r="P104" s="1"/>
      <c r="Q104" s="1"/>
    </row>
    <row r="105" spans="1:17">
      <c r="A105" s="1"/>
      <c r="B105" s="1"/>
      <c r="C105" s="1"/>
      <c r="D105" s="1"/>
      <c r="E105" s="1"/>
      <c r="F105" s="1"/>
      <c r="G105" s="1"/>
      <c r="H105" s="1"/>
      <c r="I105" s="1"/>
      <c r="J105" s="1"/>
      <c r="K105" s="1"/>
      <c r="L105" s="1"/>
      <c r="M105" s="1"/>
      <c r="N105" s="1"/>
      <c r="O105" s="1"/>
      <c r="P105" s="1"/>
      <c r="Q105" s="1"/>
    </row>
    <row r="106" spans="1:17">
      <c r="A106" s="1"/>
      <c r="B106" s="1"/>
      <c r="C106" s="1"/>
      <c r="D106" s="1"/>
      <c r="E106" s="1"/>
      <c r="F106" s="1"/>
      <c r="G106" s="1"/>
      <c r="H106" s="1"/>
      <c r="I106" s="1"/>
      <c r="J106" s="1"/>
      <c r="K106" s="1"/>
      <c r="L106" s="1"/>
      <c r="M106" s="1"/>
      <c r="N106" s="1"/>
      <c r="O106" s="1"/>
      <c r="P106" s="1"/>
      <c r="Q106" s="1"/>
    </row>
    <row r="107" spans="1:17">
      <c r="A107" s="1"/>
      <c r="B107" s="1"/>
      <c r="C107" s="1"/>
      <c r="D107" s="1"/>
      <c r="E107" s="1"/>
      <c r="F107" s="1"/>
      <c r="G107" s="1"/>
      <c r="H107" s="1"/>
      <c r="I107" s="1"/>
      <c r="J107" s="1"/>
      <c r="K107" s="1"/>
      <c r="L107" s="1"/>
      <c r="M107" s="1"/>
      <c r="N107" s="1"/>
      <c r="O107" s="1"/>
      <c r="P107" s="1"/>
      <c r="Q107" s="1"/>
    </row>
    <row r="108" spans="1:17">
      <c r="A108" s="1"/>
      <c r="B108" s="1"/>
      <c r="C108" s="1"/>
      <c r="D108" s="1"/>
      <c r="E108" s="1"/>
      <c r="F108" s="1"/>
      <c r="G108" s="1"/>
      <c r="H108" s="1"/>
      <c r="I108" s="1"/>
      <c r="J108" s="1"/>
      <c r="K108" s="1"/>
      <c r="L108" s="1"/>
      <c r="M108" s="1"/>
      <c r="N108" s="1"/>
      <c r="O108" s="1"/>
      <c r="P108" s="1"/>
      <c r="Q108" s="1"/>
    </row>
    <row r="109" spans="1:17">
      <c r="A109" s="1"/>
      <c r="B109" s="1"/>
      <c r="C109" s="1"/>
      <c r="D109" s="1"/>
      <c r="E109" s="1"/>
      <c r="F109" s="1"/>
      <c r="G109" s="1"/>
      <c r="H109" s="1"/>
      <c r="I109" s="1"/>
      <c r="J109" s="1"/>
      <c r="K109" s="1"/>
      <c r="L109" s="1"/>
      <c r="M109" s="1"/>
      <c r="N109" s="1"/>
      <c r="O109" s="1"/>
      <c r="P109" s="1"/>
      <c r="Q109" s="1"/>
    </row>
    <row r="110" spans="1:17">
      <c r="A110" s="1"/>
      <c r="B110" s="1"/>
      <c r="C110" s="1"/>
      <c r="D110" s="1"/>
      <c r="E110" s="1"/>
      <c r="F110" s="1"/>
      <c r="G110" s="1"/>
      <c r="H110" s="1"/>
      <c r="I110" s="1"/>
      <c r="J110" s="1"/>
      <c r="K110" s="1"/>
      <c r="L110" s="1"/>
      <c r="M110" s="1"/>
      <c r="N110" s="1"/>
      <c r="O110" s="1"/>
      <c r="P110" s="1"/>
      <c r="Q110" s="1"/>
    </row>
    <row r="111" spans="1:17">
      <c r="A111" s="1"/>
      <c r="B111" s="1"/>
      <c r="C111" s="1"/>
      <c r="D111" s="1"/>
      <c r="E111" s="1"/>
      <c r="F111" s="1"/>
      <c r="G111" s="1"/>
      <c r="H111" s="1"/>
      <c r="I111" s="1"/>
      <c r="J111" s="1"/>
      <c r="K111" s="1"/>
      <c r="L111" s="1"/>
      <c r="M111" s="1"/>
      <c r="N111" s="1"/>
      <c r="O111" s="1"/>
      <c r="P111" s="1"/>
      <c r="Q111" s="1"/>
    </row>
    <row r="112" spans="1:17">
      <c r="A112" s="1"/>
      <c r="B112" s="1"/>
      <c r="C112" s="1"/>
      <c r="D112" s="1"/>
      <c r="E112" s="1"/>
      <c r="F112" s="1"/>
      <c r="G112" s="1"/>
      <c r="H112" s="1"/>
      <c r="I112" s="1"/>
      <c r="J112" s="1"/>
      <c r="K112" s="1"/>
      <c r="L112" s="1"/>
      <c r="M112" s="1"/>
      <c r="N112" s="1"/>
      <c r="O112" s="1"/>
      <c r="P112" s="1"/>
      <c r="Q112" s="1"/>
    </row>
    <row r="113" spans="1:17">
      <c r="A113" s="1"/>
      <c r="B113" s="1"/>
      <c r="C113" s="1"/>
      <c r="D113" s="1"/>
      <c r="E113" s="1"/>
      <c r="F113" s="1"/>
      <c r="G113" s="1"/>
      <c r="H113" s="1"/>
      <c r="I113" s="1"/>
      <c r="J113" s="1"/>
      <c r="K113" s="1"/>
      <c r="L113" s="1"/>
      <c r="M113" s="1"/>
      <c r="N113" s="1"/>
      <c r="O113" s="1"/>
      <c r="P113" s="1"/>
      <c r="Q113" s="1"/>
    </row>
    <row r="114" spans="1:17">
      <c r="A114" s="1"/>
      <c r="B114" s="1"/>
      <c r="C114" s="1"/>
      <c r="D114" s="1"/>
      <c r="E114" s="1"/>
      <c r="F114" s="1"/>
      <c r="G114" s="1"/>
      <c r="H114" s="1"/>
      <c r="I114" s="1"/>
      <c r="J114" s="1"/>
      <c r="K114" s="1"/>
      <c r="L114" s="1"/>
      <c r="M114" s="1"/>
      <c r="N114" s="1"/>
      <c r="O114" s="1"/>
      <c r="P114" s="1"/>
      <c r="Q114" s="1"/>
    </row>
    <row r="115" spans="1:17">
      <c r="A115" s="1"/>
      <c r="B115" s="1"/>
      <c r="C115" s="1"/>
      <c r="D115" s="1"/>
      <c r="E115" s="1"/>
      <c r="F115" s="1"/>
      <c r="G115" s="1"/>
      <c r="H115" s="1"/>
      <c r="I115" s="1"/>
      <c r="J115" s="1"/>
      <c r="K115" s="1"/>
      <c r="L115" s="1"/>
      <c r="M115" s="1"/>
      <c r="N115" s="1"/>
      <c r="O115" s="1"/>
      <c r="P115" s="1"/>
      <c r="Q115" s="1"/>
    </row>
    <row r="116" spans="1:17">
      <c r="A116" s="1"/>
      <c r="B116" s="1"/>
      <c r="C116" s="1"/>
      <c r="D116" s="1"/>
      <c r="E116" s="1"/>
      <c r="F116" s="1"/>
      <c r="G116" s="1"/>
      <c r="H116" s="1"/>
      <c r="I116" s="1"/>
      <c r="J116" s="1"/>
      <c r="K116" s="1"/>
      <c r="L116" s="1"/>
      <c r="M116" s="1"/>
      <c r="N116" s="1"/>
      <c r="O116" s="1"/>
      <c r="P116" s="1"/>
      <c r="Q116" s="1"/>
    </row>
    <row r="117" spans="1:17">
      <c r="A117" s="1"/>
      <c r="B117" s="1"/>
      <c r="C117" s="1"/>
      <c r="D117" s="1"/>
      <c r="E117" s="1"/>
      <c r="F117" s="1"/>
      <c r="G117" s="1"/>
      <c r="H117" s="1"/>
      <c r="I117" s="1"/>
      <c r="J117" s="1"/>
      <c r="K117" s="1"/>
      <c r="L117" s="1"/>
      <c r="M117" s="1"/>
      <c r="N117" s="1"/>
      <c r="O117" s="1"/>
      <c r="P117" s="1"/>
      <c r="Q117" s="1"/>
    </row>
    <row r="118" spans="1:17">
      <c r="A118" s="1"/>
      <c r="B118" s="1"/>
      <c r="C118" s="1"/>
      <c r="D118" s="1"/>
      <c r="E118" s="1"/>
      <c r="F118" s="1"/>
      <c r="G118" s="1"/>
      <c r="H118" s="1"/>
      <c r="I118" s="1"/>
      <c r="J118" s="1"/>
      <c r="K118" s="1"/>
      <c r="L118" s="1"/>
      <c r="M118" s="1"/>
      <c r="N118" s="1"/>
      <c r="O118" s="1"/>
      <c r="P118" s="1"/>
      <c r="Q118" s="1"/>
    </row>
    <row r="119" spans="1:17">
      <c r="A119" s="1"/>
      <c r="B119" s="1"/>
      <c r="C119" s="1"/>
      <c r="D119" s="1"/>
      <c r="E119" s="1"/>
      <c r="F119" s="1"/>
      <c r="G119" s="1"/>
      <c r="H119" s="1"/>
      <c r="I119" s="1"/>
      <c r="J119" s="1"/>
      <c r="K119" s="1"/>
      <c r="L119" s="1"/>
      <c r="M119" s="1"/>
      <c r="N119" s="1"/>
      <c r="O119" s="1"/>
      <c r="P119" s="1"/>
      <c r="Q119" s="1"/>
    </row>
    <row r="120" spans="1:17">
      <c r="A120" s="1"/>
      <c r="B120" s="1"/>
      <c r="C120" s="1"/>
      <c r="D120" s="1"/>
      <c r="E120" s="1"/>
      <c r="F120" s="1"/>
      <c r="G120" s="1"/>
      <c r="H120" s="1"/>
      <c r="I120" s="1"/>
      <c r="J120" s="1"/>
      <c r="K120" s="1"/>
      <c r="L120" s="1"/>
      <c r="M120" s="1"/>
      <c r="N120" s="1"/>
      <c r="O120" s="1"/>
      <c r="P120" s="1"/>
      <c r="Q120" s="1"/>
    </row>
    <row r="121" spans="1:17">
      <c r="A121" s="1"/>
      <c r="B121" s="1"/>
      <c r="C121" s="1"/>
      <c r="D121" s="1"/>
      <c r="E121" s="1"/>
      <c r="F121" s="1"/>
      <c r="G121" s="1"/>
      <c r="H121" s="1"/>
      <c r="I121" s="1"/>
      <c r="J121" s="1"/>
      <c r="K121" s="1"/>
      <c r="L121" s="1"/>
      <c r="M121" s="1"/>
      <c r="N121" s="1"/>
      <c r="O121" s="1"/>
      <c r="P121" s="1"/>
      <c r="Q121" s="1"/>
    </row>
    <row r="122" spans="1:17">
      <c r="A122" s="1"/>
      <c r="B122" s="1"/>
      <c r="C122" s="1"/>
      <c r="D122" s="1"/>
      <c r="E122" s="1"/>
      <c r="F122" s="1"/>
      <c r="G122" s="1"/>
      <c r="H122" s="1"/>
      <c r="I122" s="1"/>
      <c r="J122" s="1"/>
      <c r="K122" s="1"/>
      <c r="L122" s="1"/>
      <c r="M122" s="1"/>
      <c r="N122" s="1"/>
      <c r="O122" s="1"/>
      <c r="P122" s="1"/>
      <c r="Q122" s="1"/>
    </row>
    <row r="123" spans="1:17">
      <c r="A123" s="1"/>
      <c r="B123" s="1"/>
      <c r="C123" s="1"/>
      <c r="D123" s="1"/>
      <c r="E123" s="1"/>
      <c r="F123" s="1"/>
      <c r="G123" s="1"/>
      <c r="H123" s="1"/>
      <c r="I123" s="1"/>
      <c r="J123" s="1"/>
      <c r="K123" s="1"/>
      <c r="L123" s="1"/>
      <c r="M123" s="1"/>
      <c r="N123" s="1"/>
      <c r="O123" s="1"/>
      <c r="P123" s="1"/>
      <c r="Q123" s="1"/>
    </row>
    <row r="124" spans="1:17">
      <c r="A124" s="1"/>
      <c r="B124" s="1"/>
      <c r="C124" s="1"/>
      <c r="D124" s="1"/>
      <c r="E124" s="1"/>
      <c r="F124" s="1"/>
      <c r="G124" s="1"/>
      <c r="H124" s="1"/>
      <c r="I124" s="1"/>
      <c r="J124" s="1"/>
      <c r="K124" s="1"/>
      <c r="L124" s="1"/>
      <c r="M124" s="1"/>
      <c r="N124" s="1"/>
      <c r="O124" s="1"/>
      <c r="P124" s="1"/>
      <c r="Q124" s="1"/>
    </row>
    <row r="125" spans="1:17">
      <c r="A125" s="1"/>
      <c r="B125" s="1"/>
      <c r="C125" s="1"/>
      <c r="D125" s="1"/>
      <c r="E125" s="1"/>
      <c r="F125" s="1"/>
      <c r="G125" s="1"/>
      <c r="H125" s="1"/>
      <c r="I125" s="1"/>
      <c r="J125" s="1"/>
      <c r="K125" s="1"/>
      <c r="L125" s="1"/>
      <c r="M125" s="1"/>
      <c r="N125" s="1"/>
      <c r="O125" s="1"/>
      <c r="P125" s="1"/>
      <c r="Q125" s="1"/>
    </row>
    <row r="126" spans="1:17">
      <c r="A126" s="1"/>
      <c r="B126" s="1"/>
      <c r="C126" s="1"/>
      <c r="D126" s="1"/>
      <c r="E126" s="1"/>
      <c r="F126" s="1"/>
      <c r="G126" s="1"/>
      <c r="H126" s="1"/>
      <c r="I126" s="1"/>
      <c r="J126" s="1"/>
      <c r="K126" s="1"/>
      <c r="L126" s="1"/>
      <c r="M126" s="1"/>
      <c r="N126" s="1"/>
      <c r="O126" s="1"/>
      <c r="P126" s="1"/>
      <c r="Q126" s="1"/>
    </row>
    <row r="127" spans="1:17">
      <c r="A127" s="1"/>
      <c r="B127" s="1"/>
      <c r="C127" s="1"/>
      <c r="D127" s="1"/>
      <c r="E127" s="1"/>
      <c r="F127" s="1"/>
      <c r="G127" s="1"/>
      <c r="H127" s="1"/>
      <c r="I127" s="1"/>
      <c r="J127" s="1"/>
      <c r="K127" s="1"/>
      <c r="L127" s="1"/>
      <c r="M127" s="1"/>
      <c r="N127" s="1"/>
      <c r="O127" s="1"/>
      <c r="P127" s="1"/>
      <c r="Q127" s="1"/>
    </row>
    <row r="128" spans="1:17">
      <c r="A128" s="1"/>
      <c r="B128" s="1"/>
      <c r="C128" s="1"/>
      <c r="D128" s="1"/>
      <c r="E128" s="1"/>
      <c r="F128" s="1"/>
      <c r="G128" s="1"/>
      <c r="H128" s="1"/>
      <c r="I128" s="1"/>
      <c r="J128" s="1"/>
      <c r="K128" s="1"/>
      <c r="L128" s="1"/>
      <c r="M128" s="1"/>
      <c r="N128" s="1"/>
      <c r="O128" s="1"/>
      <c r="P128" s="1"/>
      <c r="Q128" s="1"/>
    </row>
    <row r="129" spans="1:17">
      <c r="A129" s="1"/>
      <c r="B129" s="1"/>
      <c r="C129" s="1"/>
      <c r="D129" s="1"/>
      <c r="E129" s="1"/>
      <c r="F129" s="1"/>
      <c r="G129" s="1"/>
      <c r="H129" s="1"/>
      <c r="I129" s="1"/>
      <c r="J129" s="1"/>
      <c r="K129" s="1"/>
      <c r="L129" s="1"/>
      <c r="M129" s="1"/>
      <c r="N129" s="1"/>
      <c r="O129" s="1"/>
      <c r="P129" s="1"/>
      <c r="Q129" s="1"/>
    </row>
    <row r="130" spans="1:17">
      <c r="A130" s="1"/>
      <c r="B130" s="1"/>
      <c r="C130" s="1"/>
      <c r="D130" s="1"/>
      <c r="E130" s="1"/>
      <c r="F130" s="1"/>
      <c r="G130" s="1"/>
      <c r="H130" s="1"/>
      <c r="I130" s="1"/>
      <c r="J130" s="1"/>
      <c r="K130" s="1"/>
      <c r="L130" s="1"/>
      <c r="M130" s="1"/>
      <c r="N130" s="1"/>
      <c r="O130" s="1"/>
      <c r="P130" s="1"/>
      <c r="Q130" s="1"/>
    </row>
    <row r="131" spans="1:17">
      <c r="A131" s="1"/>
      <c r="B131" s="1"/>
      <c r="C131" s="1"/>
      <c r="D131" s="1"/>
      <c r="E131" s="1"/>
      <c r="F131" s="1"/>
      <c r="G131" s="1"/>
      <c r="H131" s="1"/>
      <c r="I131" s="1"/>
      <c r="J131" s="1"/>
      <c r="K131" s="1"/>
      <c r="L131" s="1"/>
      <c r="M131" s="1"/>
      <c r="N131" s="1"/>
      <c r="O131" s="1"/>
      <c r="P131" s="1"/>
      <c r="Q131" s="1"/>
    </row>
    <row r="132" spans="1:17">
      <c r="A132" s="1"/>
      <c r="B132" s="1"/>
      <c r="C132" s="1"/>
      <c r="D132" s="1"/>
      <c r="E132" s="1"/>
      <c r="F132" s="1"/>
      <c r="G132" s="1"/>
      <c r="H132" s="1"/>
      <c r="I132" s="1"/>
      <c r="J132" s="1"/>
      <c r="K132" s="1"/>
      <c r="L132" s="1"/>
      <c r="M132" s="1"/>
      <c r="N132" s="1"/>
      <c r="O132" s="1"/>
      <c r="P132" s="1"/>
      <c r="Q132" s="1"/>
    </row>
    <row r="133" spans="1:17">
      <c r="A133" s="1"/>
      <c r="B133" s="1"/>
      <c r="C133" s="1"/>
      <c r="D133" s="1"/>
      <c r="E133" s="1"/>
      <c r="F133" s="1"/>
      <c r="G133" s="1"/>
      <c r="H133" s="1"/>
      <c r="I133" s="1"/>
      <c r="J133" s="1"/>
      <c r="K133" s="1"/>
      <c r="L133" s="1"/>
      <c r="M133" s="1"/>
      <c r="N133" s="1"/>
      <c r="O133" s="1"/>
      <c r="P133" s="1"/>
      <c r="Q133" s="1"/>
    </row>
    <row r="134" spans="1:17">
      <c r="A134" s="1"/>
      <c r="B134" s="1"/>
      <c r="C134" s="1"/>
      <c r="D134" s="1"/>
      <c r="E134" s="1"/>
      <c r="F134" s="1"/>
      <c r="G134" s="1"/>
      <c r="H134" s="1"/>
      <c r="I134" s="1"/>
      <c r="J134" s="1"/>
      <c r="K134" s="1"/>
      <c r="L134" s="1"/>
      <c r="M134" s="1"/>
      <c r="N134" s="1"/>
      <c r="O134" s="1"/>
      <c r="P134" s="1"/>
      <c r="Q134" s="1"/>
    </row>
    <row r="135" spans="1:17">
      <c r="A135" s="1"/>
      <c r="B135" s="1"/>
      <c r="C135" s="1"/>
      <c r="D135" s="1"/>
      <c r="E135" s="1"/>
      <c r="F135" s="1"/>
      <c r="G135" s="1"/>
      <c r="H135" s="1"/>
      <c r="I135" s="1"/>
      <c r="J135" s="1"/>
      <c r="K135" s="1"/>
      <c r="L135" s="1"/>
      <c r="M135" s="1"/>
      <c r="N135" s="1"/>
      <c r="O135" s="1"/>
      <c r="P135" s="1"/>
      <c r="Q135" s="1"/>
    </row>
    <row r="136" spans="1:17">
      <c r="A136" s="1"/>
      <c r="B136" s="1"/>
      <c r="C136" s="1"/>
      <c r="D136" s="1"/>
      <c r="E136" s="1"/>
      <c r="F136" s="1"/>
      <c r="G136" s="1"/>
      <c r="H136" s="1"/>
      <c r="I136" s="1"/>
      <c r="J136" s="1"/>
      <c r="K136" s="1"/>
      <c r="L136" s="1"/>
      <c r="M136" s="1"/>
      <c r="N136" s="1"/>
      <c r="O136" s="1"/>
      <c r="P136" s="1"/>
      <c r="Q136" s="1"/>
    </row>
    <row r="137" spans="1:17">
      <c r="A137" s="1"/>
      <c r="B137" s="1"/>
      <c r="C137" s="1"/>
      <c r="D137" s="1"/>
      <c r="E137" s="1"/>
      <c r="F137" s="1"/>
      <c r="G137" s="1"/>
      <c r="H137" s="1"/>
      <c r="I137" s="1"/>
      <c r="J137" s="1"/>
      <c r="K137" s="1"/>
      <c r="L137" s="1"/>
      <c r="M137" s="1"/>
      <c r="N137" s="1"/>
      <c r="O137" s="1"/>
      <c r="P137" s="1"/>
      <c r="Q137" s="1"/>
    </row>
    <row r="138" spans="1:17">
      <c r="A138" s="1"/>
      <c r="B138" s="1"/>
      <c r="C138" s="1"/>
      <c r="D138" s="1"/>
      <c r="E138" s="1"/>
      <c r="F138" s="1"/>
      <c r="G138" s="1"/>
      <c r="H138" s="1"/>
      <c r="I138" s="1"/>
      <c r="J138" s="1"/>
      <c r="K138" s="1"/>
      <c r="L138" s="1"/>
      <c r="M138" s="1"/>
      <c r="N138" s="1"/>
      <c r="O138" s="1"/>
      <c r="P138" s="1"/>
      <c r="Q138" s="1"/>
    </row>
    <row r="139" spans="1:17">
      <c r="A139" s="1"/>
      <c r="B139" s="1"/>
      <c r="C139" s="1"/>
      <c r="D139" s="1"/>
      <c r="E139" s="1"/>
      <c r="F139" s="1"/>
      <c r="G139" s="1"/>
      <c r="H139" s="1"/>
      <c r="I139" s="1"/>
      <c r="J139" s="1"/>
      <c r="K139" s="1"/>
      <c r="L139" s="1"/>
      <c r="M139" s="1"/>
      <c r="N139" s="1"/>
      <c r="O139" s="1"/>
      <c r="P139" s="1"/>
      <c r="Q139" s="1"/>
    </row>
    <row r="140" spans="1:17">
      <c r="A140" s="1"/>
      <c r="B140" s="1"/>
      <c r="C140" s="1"/>
      <c r="D140" s="1"/>
      <c r="E140" s="1"/>
      <c r="F140" s="1"/>
      <c r="G140" s="1"/>
      <c r="H140" s="1"/>
      <c r="I140" s="1"/>
      <c r="J140" s="1"/>
      <c r="K140" s="1"/>
      <c r="L140" s="1"/>
      <c r="M140" s="1"/>
      <c r="N140" s="1"/>
      <c r="O140" s="1"/>
      <c r="P140" s="1"/>
      <c r="Q140" s="1"/>
    </row>
    <row r="141" spans="1:17">
      <c r="A141" s="1"/>
      <c r="B141" s="1"/>
      <c r="C141" s="1"/>
      <c r="D141" s="1"/>
      <c r="E141" s="1"/>
      <c r="F141" s="1"/>
      <c r="G141" s="1"/>
      <c r="H141" s="1"/>
      <c r="I141" s="1"/>
      <c r="J141" s="1"/>
      <c r="K141" s="1"/>
      <c r="L141" s="1"/>
      <c r="M141" s="1"/>
      <c r="N141" s="1"/>
      <c r="O141" s="1"/>
      <c r="P141" s="1"/>
      <c r="Q141" s="1"/>
    </row>
    <row r="142" spans="1:17">
      <c r="A142" s="1"/>
      <c r="B142" s="1"/>
      <c r="C142" s="1"/>
      <c r="D142" s="1"/>
      <c r="E142" s="1"/>
      <c r="F142" s="1"/>
      <c r="G142" s="1"/>
      <c r="H142" s="1"/>
      <c r="I142" s="1"/>
      <c r="J142" s="1"/>
      <c r="K142" s="1"/>
      <c r="L142" s="1"/>
      <c r="M142" s="1"/>
      <c r="N142" s="1"/>
      <c r="O142" s="1"/>
      <c r="P142" s="1"/>
      <c r="Q142" s="1"/>
    </row>
    <row r="143" spans="1:17">
      <c r="A143" s="1"/>
      <c r="B143" s="1"/>
      <c r="C143" s="1"/>
      <c r="D143" s="1"/>
      <c r="E143" s="1"/>
      <c r="F143" s="1"/>
      <c r="G143" s="1"/>
      <c r="H143" s="1"/>
      <c r="I143" s="1"/>
      <c r="J143" s="1"/>
      <c r="K143" s="1"/>
      <c r="L143" s="1"/>
      <c r="M143" s="1"/>
      <c r="N143" s="1"/>
      <c r="O143" s="1"/>
      <c r="P143" s="1"/>
      <c r="Q143" s="1"/>
    </row>
    <row r="144" spans="1:17">
      <c r="A144" s="1"/>
      <c r="B144" s="1"/>
      <c r="C144" s="1"/>
      <c r="D144" s="1"/>
      <c r="E144" s="1"/>
      <c r="F144" s="1"/>
      <c r="G144" s="1"/>
      <c r="H144" s="1"/>
      <c r="I144" s="1"/>
      <c r="J144" s="1"/>
      <c r="K144" s="1"/>
      <c r="L144" s="1"/>
      <c r="M144" s="1"/>
      <c r="N144" s="1"/>
      <c r="O144" s="1"/>
      <c r="P144" s="1"/>
      <c r="Q144" s="1"/>
    </row>
    <row r="145" spans="1:17">
      <c r="A145" s="1"/>
      <c r="B145" s="1"/>
      <c r="C145" s="1"/>
      <c r="D145" s="1"/>
      <c r="E145" s="1"/>
      <c r="F145" s="1"/>
      <c r="G145" s="1"/>
      <c r="H145" s="1"/>
      <c r="I145" s="1"/>
      <c r="J145" s="1"/>
      <c r="K145" s="1"/>
      <c r="L145" s="1"/>
      <c r="M145" s="1"/>
      <c r="N145" s="1"/>
      <c r="O145" s="1"/>
      <c r="P145" s="1"/>
      <c r="Q145" s="1"/>
    </row>
    <row r="146" spans="1:17">
      <c r="A146" s="1"/>
      <c r="B146" s="1"/>
      <c r="C146" s="1"/>
      <c r="D146" s="1"/>
      <c r="E146" s="1"/>
      <c r="F146" s="1"/>
      <c r="G146" s="1"/>
      <c r="H146" s="1"/>
      <c r="I146" s="1"/>
      <c r="J146" s="1"/>
      <c r="K146" s="1"/>
      <c r="L146" s="1"/>
      <c r="M146" s="1"/>
      <c r="N146" s="1"/>
      <c r="O146" s="1"/>
      <c r="P146" s="1"/>
      <c r="Q146" s="1"/>
    </row>
    <row r="147" spans="1:17">
      <c r="A147" s="1"/>
      <c r="B147" s="1"/>
      <c r="C147" s="1"/>
      <c r="D147" s="1"/>
      <c r="E147" s="1"/>
      <c r="F147" s="1"/>
      <c r="G147" s="1"/>
      <c r="H147" s="1"/>
      <c r="I147" s="1"/>
      <c r="J147" s="1"/>
      <c r="K147" s="1"/>
      <c r="L147" s="1"/>
      <c r="M147" s="1"/>
      <c r="N147" s="1"/>
      <c r="O147" s="1"/>
      <c r="P147" s="1"/>
      <c r="Q147" s="1"/>
    </row>
    <row r="148" spans="1:17">
      <c r="A148" s="1"/>
      <c r="B148" s="1"/>
      <c r="C148" s="1"/>
      <c r="D148" s="1"/>
      <c r="E148" s="1"/>
      <c r="F148" s="1"/>
      <c r="G148" s="1"/>
      <c r="H148" s="1"/>
      <c r="I148" s="1"/>
      <c r="J148" s="1"/>
      <c r="K148" s="1"/>
      <c r="L148" s="1"/>
      <c r="M148" s="1"/>
      <c r="N148" s="1"/>
      <c r="O148" s="1"/>
      <c r="P148" s="1"/>
      <c r="Q148" s="1"/>
    </row>
    <row r="149" spans="1:17">
      <c r="A149" s="1"/>
      <c r="B149" s="1"/>
      <c r="C149" s="1"/>
      <c r="D149" s="1"/>
      <c r="E149" s="1"/>
      <c r="F149" s="1"/>
      <c r="G149" s="1"/>
      <c r="H149" s="1"/>
      <c r="I149" s="1"/>
      <c r="J149" s="1"/>
      <c r="K149" s="1"/>
      <c r="L149" s="1"/>
      <c r="M149" s="1"/>
      <c r="N149" s="1"/>
      <c r="O149" s="1"/>
      <c r="P149" s="1"/>
      <c r="Q149" s="1"/>
    </row>
    <row r="150" spans="1:17">
      <c r="A150" s="1"/>
      <c r="B150" s="1"/>
      <c r="C150" s="1"/>
      <c r="D150" s="1"/>
      <c r="E150" s="1"/>
      <c r="F150" s="1"/>
      <c r="G150" s="1"/>
      <c r="H150" s="1"/>
      <c r="I150" s="1"/>
      <c r="J150" s="1"/>
      <c r="K150" s="1"/>
      <c r="L150" s="1"/>
      <c r="M150" s="1"/>
      <c r="N150" s="1"/>
      <c r="O150" s="1"/>
      <c r="P150" s="1"/>
      <c r="Q150" s="1"/>
    </row>
    <row r="151" spans="1:17">
      <c r="A151" s="1"/>
      <c r="B151" s="1"/>
      <c r="C151" s="1"/>
      <c r="D151" s="1"/>
      <c r="E151" s="1"/>
      <c r="F151" s="1"/>
      <c r="G151" s="1"/>
      <c r="H151" s="1"/>
      <c r="I151" s="1"/>
      <c r="J151" s="1"/>
      <c r="K151" s="1"/>
      <c r="L151" s="1"/>
      <c r="M151" s="1"/>
      <c r="N151" s="1"/>
      <c r="O151" s="1"/>
      <c r="P151" s="1"/>
      <c r="Q151" s="1"/>
    </row>
    <row r="152" spans="1:17">
      <c r="A152" s="1"/>
      <c r="B152" s="1"/>
      <c r="C152" s="1"/>
      <c r="D152" s="1"/>
      <c r="E152" s="1"/>
      <c r="F152" s="1"/>
      <c r="G152" s="1"/>
      <c r="H152" s="1"/>
      <c r="I152" s="1"/>
      <c r="J152" s="1"/>
      <c r="K152" s="1"/>
      <c r="L152" s="1"/>
      <c r="M152" s="1"/>
      <c r="N152" s="1"/>
      <c r="O152" s="1"/>
      <c r="P152" s="1"/>
      <c r="Q152" s="1"/>
    </row>
    <row r="153" spans="1:17">
      <c r="A153" s="1"/>
      <c r="B153" s="1"/>
      <c r="C153" s="1"/>
      <c r="D153" s="1"/>
      <c r="E153" s="1"/>
      <c r="F153" s="1"/>
      <c r="G153" s="1"/>
      <c r="H153" s="1"/>
      <c r="I153" s="1"/>
      <c r="J153" s="1"/>
      <c r="K153" s="1"/>
      <c r="L153" s="1"/>
      <c r="M153" s="1"/>
      <c r="N153" s="1"/>
      <c r="O153" s="1"/>
      <c r="P153" s="1"/>
      <c r="Q153" s="1"/>
    </row>
    <row r="154" spans="1:17">
      <c r="A154" s="1"/>
      <c r="B154" s="1"/>
      <c r="C154" s="1"/>
      <c r="D154" s="1"/>
      <c r="E154" s="1"/>
      <c r="F154" s="1"/>
      <c r="G154" s="1"/>
      <c r="H154" s="1"/>
      <c r="I154" s="1"/>
      <c r="J154" s="1"/>
      <c r="K154" s="1"/>
      <c r="L154" s="1"/>
      <c r="M154" s="1"/>
      <c r="N154" s="1"/>
      <c r="O154" s="1"/>
      <c r="P154" s="1"/>
      <c r="Q154" s="1"/>
    </row>
    <row r="155" spans="1:17">
      <c r="A155" s="1"/>
      <c r="B155" s="1"/>
      <c r="C155" s="1"/>
      <c r="D155" s="1"/>
      <c r="E155" s="1"/>
      <c r="F155" s="1"/>
      <c r="G155" s="1"/>
      <c r="H155" s="1"/>
      <c r="I155" s="1"/>
      <c r="J155" s="1"/>
      <c r="K155" s="1"/>
      <c r="L155" s="1"/>
      <c r="M155" s="1"/>
      <c r="N155" s="1"/>
      <c r="O155" s="1"/>
      <c r="P155" s="1"/>
      <c r="Q155" s="1"/>
    </row>
    <row r="156" spans="1:17">
      <c r="A156" s="1"/>
      <c r="B156" s="1"/>
      <c r="C156" s="1"/>
      <c r="D156" s="1"/>
      <c r="E156" s="1"/>
      <c r="F156" s="1"/>
      <c r="G156" s="1"/>
      <c r="H156" s="1"/>
      <c r="I156" s="1"/>
      <c r="J156" s="1"/>
      <c r="K156" s="1"/>
      <c r="L156" s="1"/>
      <c r="M156" s="1"/>
      <c r="N156" s="1"/>
      <c r="O156" s="1"/>
      <c r="P156" s="1"/>
      <c r="Q156" s="1"/>
    </row>
    <row r="157" spans="1:17">
      <c r="A157" s="1"/>
      <c r="B157" s="1"/>
      <c r="C157" s="1"/>
      <c r="D157" s="1"/>
      <c r="E157" s="1"/>
      <c r="F157" s="1"/>
      <c r="G157" s="1"/>
      <c r="H157" s="1"/>
      <c r="I157" s="1"/>
      <c r="J157" s="1"/>
      <c r="K157" s="1"/>
      <c r="L157" s="1"/>
      <c r="M157" s="1"/>
      <c r="N157" s="1"/>
      <c r="O157" s="1"/>
      <c r="P157" s="1"/>
      <c r="Q157" s="1"/>
    </row>
    <row r="158" spans="1:17">
      <c r="A158" s="1"/>
      <c r="B158" s="1"/>
      <c r="C158" s="1"/>
      <c r="D158" s="1"/>
      <c r="E158" s="1"/>
      <c r="F158" s="1"/>
      <c r="G158" s="1"/>
      <c r="H158" s="1"/>
      <c r="I158" s="1"/>
      <c r="J158" s="1"/>
      <c r="K158" s="1"/>
      <c r="L158" s="1"/>
      <c r="M158" s="1"/>
      <c r="N158" s="1"/>
      <c r="O158" s="1"/>
      <c r="P158" s="1"/>
      <c r="Q158" s="1"/>
    </row>
    <row r="159" spans="1:17">
      <c r="A159" s="1"/>
      <c r="B159" s="1"/>
      <c r="C159" s="1"/>
      <c r="D159" s="1"/>
      <c r="E159" s="1"/>
      <c r="F159" s="1"/>
      <c r="G159" s="1"/>
      <c r="H159" s="1"/>
      <c r="I159" s="1"/>
      <c r="J159" s="1"/>
      <c r="K159" s="1"/>
      <c r="L159" s="1"/>
      <c r="M159" s="1"/>
      <c r="N159" s="1"/>
      <c r="O159" s="1"/>
      <c r="P159" s="1"/>
      <c r="Q159" s="1"/>
    </row>
    <row r="160" spans="1:17">
      <c r="A160" s="1"/>
      <c r="B160" s="1"/>
      <c r="C160" s="1"/>
      <c r="D160" s="1"/>
      <c r="E160" s="1"/>
      <c r="F160" s="1"/>
      <c r="G160" s="1"/>
      <c r="H160" s="1"/>
      <c r="I160" s="1"/>
      <c r="J160" s="1"/>
      <c r="K160" s="1"/>
      <c r="L160" s="1"/>
      <c r="M160" s="1"/>
      <c r="N160" s="1"/>
      <c r="O160" s="1"/>
      <c r="P160" s="1"/>
      <c r="Q160" s="1"/>
    </row>
    <row r="161" spans="1:17">
      <c r="A161" s="1"/>
      <c r="B161" s="1"/>
      <c r="C161" s="1"/>
      <c r="D161" s="1"/>
      <c r="E161" s="1"/>
      <c r="F161" s="1"/>
      <c r="G161" s="1"/>
      <c r="H161" s="1"/>
      <c r="I161" s="1"/>
      <c r="J161" s="1"/>
      <c r="K161" s="1"/>
      <c r="L161" s="1"/>
      <c r="M161" s="1"/>
      <c r="N161" s="1"/>
      <c r="O161" s="1"/>
      <c r="P161" s="1"/>
      <c r="Q161" s="1"/>
    </row>
    <row r="162" spans="1:17">
      <c r="A162" s="1"/>
      <c r="B162" s="1"/>
      <c r="C162" s="1"/>
      <c r="D162" s="1"/>
      <c r="E162" s="1"/>
      <c r="F162" s="1"/>
      <c r="G162" s="1"/>
      <c r="H162" s="1"/>
      <c r="I162" s="1"/>
      <c r="J162" s="1"/>
      <c r="K162" s="1"/>
      <c r="L162" s="1"/>
      <c r="M162" s="1"/>
      <c r="N162" s="1"/>
      <c r="O162" s="1"/>
      <c r="P162" s="1"/>
      <c r="Q162" s="1"/>
    </row>
    <row r="163" spans="1:17">
      <c r="A163" s="1"/>
      <c r="B163" s="1"/>
      <c r="C163" s="1"/>
      <c r="D163" s="1"/>
      <c r="E163" s="1"/>
      <c r="F163" s="1"/>
      <c r="G163" s="1"/>
      <c r="H163" s="1"/>
      <c r="I163" s="1"/>
      <c r="J163" s="1"/>
      <c r="K163" s="1"/>
      <c r="L163" s="1"/>
      <c r="M163" s="1"/>
      <c r="N163" s="1"/>
      <c r="O163" s="1"/>
      <c r="P163" s="1"/>
      <c r="Q163" s="1"/>
    </row>
    <row r="164" spans="1:17">
      <c r="A164" s="1"/>
      <c r="B164" s="1"/>
      <c r="C164" s="1"/>
      <c r="D164" s="1"/>
      <c r="E164" s="1"/>
      <c r="F164" s="1"/>
      <c r="G164" s="1"/>
      <c r="H164" s="1"/>
      <c r="I164" s="1"/>
      <c r="J164" s="1"/>
      <c r="K164" s="1"/>
      <c r="L164" s="1"/>
      <c r="M164" s="1"/>
      <c r="N164" s="1"/>
      <c r="O164" s="1"/>
      <c r="P164" s="1"/>
      <c r="Q164" s="1"/>
    </row>
    <row r="165" spans="1:17">
      <c r="A165" s="1"/>
      <c r="B165" s="1"/>
      <c r="C165" s="1"/>
      <c r="D165" s="1"/>
      <c r="E165" s="1"/>
      <c r="F165" s="1"/>
      <c r="G165" s="1"/>
      <c r="H165" s="1"/>
      <c r="I165" s="1"/>
      <c r="J165" s="1"/>
      <c r="K165" s="1"/>
      <c r="L165" s="1"/>
      <c r="M165" s="1"/>
      <c r="N165" s="1"/>
      <c r="O165" s="1"/>
      <c r="P165" s="1"/>
      <c r="Q165" s="1"/>
    </row>
    <row r="166" spans="1:17">
      <c r="A166" s="1"/>
      <c r="B166" s="1"/>
      <c r="C166" s="1"/>
      <c r="D166" s="1"/>
      <c r="E166" s="1"/>
      <c r="F166" s="1"/>
      <c r="G166" s="1"/>
      <c r="H166" s="1"/>
      <c r="I166" s="1"/>
      <c r="J166" s="1"/>
      <c r="K166" s="1"/>
      <c r="L166" s="1"/>
      <c r="M166" s="1"/>
      <c r="N166" s="1"/>
      <c r="O166" s="1"/>
      <c r="P166" s="1"/>
      <c r="Q166" s="1"/>
    </row>
    <row r="167" spans="1:17">
      <c r="A167" s="1"/>
      <c r="B167" s="1"/>
      <c r="C167" s="1"/>
      <c r="D167" s="1"/>
      <c r="E167" s="1"/>
      <c r="F167" s="1"/>
      <c r="G167" s="1"/>
      <c r="H167" s="1"/>
      <c r="I167" s="1"/>
      <c r="J167" s="1"/>
      <c r="K167" s="1"/>
      <c r="L167" s="1"/>
      <c r="M167" s="1"/>
      <c r="N167" s="1"/>
      <c r="O167" s="1"/>
      <c r="P167" s="1"/>
      <c r="Q167" s="1"/>
    </row>
    <row r="168" spans="1:17">
      <c r="A168" s="1"/>
      <c r="B168" s="1"/>
      <c r="C168" s="1"/>
      <c r="D168" s="1"/>
      <c r="E168" s="1"/>
      <c r="F168" s="1"/>
      <c r="G168" s="1"/>
      <c r="H168" s="1"/>
      <c r="I168" s="1"/>
      <c r="J168" s="1"/>
      <c r="K168" s="1"/>
      <c r="L168" s="1"/>
      <c r="M168" s="1"/>
      <c r="N168" s="1"/>
      <c r="O168" s="1"/>
      <c r="P168" s="1"/>
      <c r="Q168" s="1"/>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c r="A171" s="1"/>
      <c r="B171" s="1"/>
      <c r="C171" s="1"/>
      <c r="D171" s="1"/>
      <c r="E171" s="1"/>
      <c r="F171" s="1"/>
      <c r="G171" s="1"/>
      <c r="H171" s="1"/>
      <c r="I171" s="1"/>
      <c r="J171" s="1"/>
      <c r="K171" s="1"/>
      <c r="L171" s="1"/>
      <c r="M171" s="1"/>
      <c r="N171" s="1"/>
      <c r="O171" s="1"/>
      <c r="P171" s="1"/>
      <c r="Q171" s="1"/>
    </row>
    <row r="172" spans="1:17">
      <c r="A172" s="1"/>
      <c r="B172" s="1"/>
      <c r="C172" s="1"/>
      <c r="D172" s="1"/>
      <c r="E172" s="1"/>
      <c r="F172" s="1"/>
      <c r="G172" s="1"/>
      <c r="H172" s="1"/>
      <c r="I172" s="1"/>
      <c r="J172" s="1"/>
      <c r="K172" s="1"/>
      <c r="L172" s="1"/>
      <c r="M172" s="1"/>
      <c r="N172" s="1"/>
      <c r="O172" s="1"/>
      <c r="P172" s="1"/>
      <c r="Q172" s="1"/>
    </row>
    <row r="173" spans="1:17">
      <c r="A173" s="1"/>
      <c r="B173" s="1"/>
      <c r="C173" s="1"/>
      <c r="D173" s="1"/>
      <c r="E173" s="1"/>
      <c r="F173" s="1"/>
      <c r="G173" s="1"/>
      <c r="H173" s="1"/>
      <c r="I173" s="1"/>
      <c r="J173" s="1"/>
      <c r="K173" s="1"/>
      <c r="L173" s="1"/>
      <c r="M173" s="1"/>
      <c r="N173" s="1"/>
      <c r="O173" s="1"/>
      <c r="P173" s="1"/>
      <c r="Q173" s="1"/>
    </row>
    <row r="174" spans="1:17">
      <c r="A174" s="1"/>
      <c r="B174" s="1"/>
      <c r="C174" s="1"/>
      <c r="D174" s="1"/>
      <c r="E174" s="1"/>
      <c r="F174" s="1"/>
      <c r="G174" s="1"/>
      <c r="H174" s="1"/>
      <c r="I174" s="1"/>
      <c r="J174" s="1"/>
      <c r="K174" s="1"/>
      <c r="L174" s="1"/>
      <c r="M174" s="1"/>
      <c r="N174" s="1"/>
      <c r="O174" s="1"/>
      <c r="P174" s="1"/>
      <c r="Q174" s="1"/>
    </row>
    <row r="175" spans="1:17">
      <c r="A175" s="1"/>
      <c r="B175" s="1"/>
      <c r="C175" s="1"/>
      <c r="D175" s="1"/>
      <c r="E175" s="1"/>
      <c r="F175" s="1"/>
      <c r="G175" s="1"/>
      <c r="H175" s="1"/>
      <c r="I175" s="1"/>
      <c r="J175" s="1"/>
      <c r="K175" s="1"/>
      <c r="L175" s="1"/>
      <c r="M175" s="1"/>
      <c r="N175" s="1"/>
      <c r="O175" s="1"/>
      <c r="P175" s="1"/>
      <c r="Q175" s="1"/>
    </row>
    <row r="176" spans="1:17">
      <c r="A176" s="1"/>
      <c r="B176" s="1"/>
      <c r="C176" s="1"/>
      <c r="D176" s="1"/>
      <c r="E176" s="1"/>
      <c r="F176" s="1"/>
      <c r="G176" s="1"/>
      <c r="H176" s="1"/>
      <c r="I176" s="1"/>
      <c r="J176" s="1"/>
      <c r="K176" s="1"/>
      <c r="L176" s="1"/>
      <c r="M176" s="1"/>
      <c r="N176" s="1"/>
      <c r="O176" s="1"/>
      <c r="P176" s="1"/>
      <c r="Q176" s="1"/>
    </row>
    <row r="177" spans="1:17">
      <c r="A177" s="1"/>
      <c r="B177" s="1"/>
      <c r="C177" s="1"/>
      <c r="D177" s="1"/>
      <c r="E177" s="1"/>
      <c r="F177" s="1"/>
      <c r="G177" s="1"/>
      <c r="H177" s="1"/>
      <c r="I177" s="1"/>
      <c r="J177" s="1"/>
      <c r="K177" s="1"/>
      <c r="L177" s="1"/>
      <c r="M177" s="1"/>
      <c r="N177" s="1"/>
      <c r="O177" s="1"/>
      <c r="P177" s="1"/>
      <c r="Q177" s="1"/>
    </row>
    <row r="178" spans="1:17">
      <c r="A178" s="1"/>
      <c r="B178" s="1"/>
      <c r="C178" s="1"/>
      <c r="D178" s="1"/>
      <c r="E178" s="1"/>
      <c r="F178" s="1"/>
      <c r="G178" s="1"/>
      <c r="H178" s="1"/>
      <c r="I178" s="1"/>
      <c r="J178" s="1"/>
      <c r="K178" s="1"/>
      <c r="L178" s="1"/>
      <c r="M178" s="1"/>
      <c r="N178" s="1"/>
      <c r="O178" s="1"/>
      <c r="P178" s="1"/>
      <c r="Q178" s="1"/>
    </row>
    <row r="179" spans="1:17">
      <c r="A179" s="1"/>
      <c r="B179" s="1"/>
      <c r="C179" s="1"/>
      <c r="D179" s="1"/>
      <c r="E179" s="1"/>
      <c r="F179" s="1"/>
      <c r="G179" s="1"/>
      <c r="H179" s="1"/>
      <c r="I179" s="1"/>
      <c r="J179" s="1"/>
      <c r="K179" s="1"/>
      <c r="L179" s="1"/>
      <c r="M179" s="1"/>
      <c r="N179" s="1"/>
      <c r="O179" s="1"/>
      <c r="P179" s="1"/>
      <c r="Q179" s="1"/>
    </row>
    <row r="180" spans="1:17">
      <c r="A180" s="1"/>
      <c r="B180" s="1"/>
      <c r="C180" s="1"/>
      <c r="D180" s="1"/>
      <c r="E180" s="1"/>
      <c r="F180" s="1"/>
      <c r="G180" s="1"/>
      <c r="H180" s="1"/>
      <c r="I180" s="1"/>
      <c r="J180" s="1"/>
      <c r="K180" s="1"/>
      <c r="L180" s="1"/>
      <c r="M180" s="1"/>
      <c r="N180" s="1"/>
      <c r="O180" s="1"/>
      <c r="P180" s="1"/>
      <c r="Q180" s="1"/>
    </row>
    <row r="181" spans="1:17">
      <c r="A181" s="1"/>
      <c r="B181" s="1"/>
      <c r="C181" s="1"/>
      <c r="D181" s="1"/>
      <c r="E181" s="1"/>
      <c r="F181" s="1"/>
      <c r="G181" s="1"/>
      <c r="H181" s="1"/>
      <c r="I181" s="1"/>
      <c r="J181" s="1"/>
      <c r="K181" s="1"/>
      <c r="L181" s="1"/>
      <c r="M181" s="1"/>
      <c r="N181" s="1"/>
      <c r="O181" s="1"/>
      <c r="P181" s="1"/>
      <c r="Q181" s="1"/>
    </row>
    <row r="182" spans="1:17">
      <c r="A182" s="1"/>
      <c r="B182" s="1"/>
      <c r="C182" s="1"/>
      <c r="D182" s="1"/>
      <c r="E182" s="1"/>
      <c r="F182" s="1"/>
      <c r="G182" s="1"/>
      <c r="H182" s="1"/>
      <c r="I182" s="1"/>
      <c r="J182" s="1"/>
      <c r="K182" s="1"/>
      <c r="L182" s="1"/>
      <c r="M182" s="1"/>
      <c r="N182" s="1"/>
      <c r="O182" s="1"/>
      <c r="P182" s="1"/>
      <c r="Q182" s="1"/>
    </row>
    <row r="183" spans="1:17">
      <c r="A183" s="1"/>
      <c r="B183" s="1"/>
      <c r="C183" s="1"/>
      <c r="D183" s="1"/>
      <c r="E183" s="1"/>
      <c r="F183" s="1"/>
      <c r="G183" s="1"/>
      <c r="H183" s="1"/>
      <c r="I183" s="1"/>
      <c r="J183" s="1"/>
      <c r="K183" s="1"/>
      <c r="L183" s="1"/>
      <c r="M183" s="1"/>
      <c r="N183" s="1"/>
      <c r="O183" s="1"/>
      <c r="P183" s="1"/>
      <c r="Q183" s="1"/>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1"/>
      <c r="J188" s="1"/>
      <c r="K188" s="1"/>
      <c r="L188" s="1"/>
      <c r="M188" s="1"/>
      <c r="N188" s="1"/>
      <c r="O188" s="1"/>
      <c r="P188" s="1"/>
      <c r="Q188" s="1"/>
    </row>
    <row r="189" spans="1:17">
      <c r="A189" s="1"/>
      <c r="B189" s="1"/>
      <c r="C189" s="1"/>
      <c r="D189" s="1"/>
      <c r="E189" s="1"/>
      <c r="F189" s="1"/>
      <c r="G189" s="1"/>
      <c r="H189" s="1"/>
      <c r="I189" s="1"/>
      <c r="J189" s="1"/>
      <c r="K189" s="1"/>
      <c r="L189" s="1"/>
      <c r="M189" s="1"/>
      <c r="N189" s="1"/>
      <c r="O189" s="1"/>
      <c r="P189" s="1"/>
      <c r="Q189" s="1"/>
    </row>
    <row r="190" spans="1:17">
      <c r="A190" s="1"/>
      <c r="B190" s="1"/>
      <c r="C190" s="1"/>
      <c r="D190" s="1"/>
      <c r="E190" s="1"/>
      <c r="F190" s="1"/>
      <c r="G190" s="1"/>
      <c r="H190" s="1"/>
      <c r="I190" s="1"/>
      <c r="J190" s="1"/>
      <c r="K190" s="1"/>
      <c r="L190" s="1"/>
      <c r="M190" s="1"/>
      <c r="N190" s="1"/>
      <c r="O190" s="1"/>
      <c r="P190" s="1"/>
      <c r="Q190" s="1"/>
    </row>
    <row r="191" spans="1:17">
      <c r="A191" s="1"/>
      <c r="B191" s="1"/>
      <c r="C191" s="1"/>
      <c r="D191" s="1"/>
      <c r="E191" s="1"/>
      <c r="F191" s="1"/>
      <c r="G191" s="1"/>
      <c r="H191" s="1"/>
      <c r="I191" s="1"/>
      <c r="J191" s="1"/>
      <c r="K191" s="1"/>
      <c r="L191" s="1"/>
      <c r="M191" s="1"/>
      <c r="N191" s="1"/>
      <c r="O191" s="1"/>
      <c r="P191" s="1"/>
      <c r="Q191" s="1"/>
    </row>
    <row r="192" spans="1:17">
      <c r="A192" s="1"/>
      <c r="B192" s="1"/>
      <c r="C192" s="1"/>
      <c r="D192" s="1"/>
      <c r="E192" s="1"/>
      <c r="F192" s="1"/>
      <c r="G192" s="1"/>
      <c r="H192" s="1"/>
      <c r="I192" s="1"/>
      <c r="J192" s="1"/>
      <c r="K192" s="1"/>
      <c r="L192" s="1"/>
      <c r="M192" s="1"/>
      <c r="N192" s="1"/>
      <c r="O192" s="1"/>
      <c r="P192" s="1"/>
      <c r="Q192" s="1"/>
    </row>
    <row r="193" spans="1:17">
      <c r="A193" s="1"/>
      <c r="B193" s="1"/>
      <c r="C193" s="1"/>
      <c r="D193" s="1"/>
      <c r="E193" s="1"/>
      <c r="F193" s="1"/>
      <c r="G193" s="1"/>
      <c r="H193" s="1"/>
      <c r="I193" s="1"/>
      <c r="J193" s="1"/>
      <c r="K193" s="1"/>
      <c r="L193" s="1"/>
      <c r="M193" s="1"/>
      <c r="N193" s="1"/>
      <c r="O193" s="1"/>
      <c r="P193" s="1"/>
      <c r="Q193" s="1"/>
    </row>
    <row r="194" spans="1:17">
      <c r="A194" s="1"/>
      <c r="B194" s="1"/>
      <c r="C194" s="1"/>
      <c r="D194" s="1"/>
      <c r="E194" s="1"/>
      <c r="F194" s="1"/>
      <c r="G194" s="1"/>
      <c r="H194" s="1"/>
      <c r="I194" s="1"/>
      <c r="J194" s="1"/>
      <c r="K194" s="1"/>
      <c r="L194" s="1"/>
      <c r="M194" s="1"/>
      <c r="N194" s="1"/>
      <c r="O194" s="1"/>
      <c r="P194" s="1"/>
      <c r="Q194" s="1"/>
    </row>
    <row r="195" spans="1:17">
      <c r="A195" s="1"/>
      <c r="B195" s="1"/>
      <c r="C195" s="1"/>
      <c r="D195" s="1"/>
      <c r="E195" s="1"/>
      <c r="F195" s="1"/>
      <c r="G195" s="1"/>
      <c r="H195" s="1"/>
      <c r="I195" s="1"/>
      <c r="J195" s="1"/>
      <c r="K195" s="1"/>
      <c r="L195" s="1"/>
      <c r="M195" s="1"/>
      <c r="N195" s="1"/>
      <c r="O195" s="1"/>
      <c r="P195" s="1"/>
      <c r="Q195" s="1"/>
    </row>
    <row r="196" spans="1:17">
      <c r="A196" s="1"/>
      <c r="B196" s="1"/>
      <c r="C196" s="1"/>
      <c r="D196" s="1"/>
      <c r="E196" s="1"/>
      <c r="F196" s="1"/>
      <c r="G196" s="1"/>
      <c r="H196" s="1"/>
      <c r="I196" s="1"/>
      <c r="J196" s="1"/>
      <c r="K196" s="1"/>
      <c r="L196" s="1"/>
      <c r="M196" s="1"/>
      <c r="N196" s="1"/>
      <c r="O196" s="1"/>
      <c r="P196" s="1"/>
      <c r="Q196" s="1"/>
    </row>
    <row r="197" spans="1:17">
      <c r="A197" s="1"/>
      <c r="B197" s="1"/>
      <c r="C197" s="1"/>
      <c r="D197" s="1"/>
      <c r="E197" s="1"/>
      <c r="F197" s="1"/>
      <c r="G197" s="1"/>
      <c r="H197" s="1"/>
      <c r="I197" s="1"/>
      <c r="J197" s="1"/>
      <c r="K197" s="1"/>
      <c r="L197" s="1"/>
      <c r="M197" s="1"/>
      <c r="N197" s="1"/>
      <c r="O197" s="1"/>
      <c r="P197" s="1"/>
      <c r="Q197" s="1"/>
    </row>
    <row r="198" spans="1:17">
      <c r="A198" s="1"/>
      <c r="B198" s="1"/>
      <c r="C198" s="1"/>
      <c r="D198" s="1"/>
      <c r="E198" s="1"/>
      <c r="F198" s="1"/>
      <c r="G198" s="1"/>
      <c r="H198" s="1"/>
      <c r="I198" s="1"/>
      <c r="J198" s="1"/>
      <c r="K198" s="1"/>
      <c r="L198" s="1"/>
      <c r="M198" s="1"/>
      <c r="N198" s="1"/>
      <c r="O198" s="1"/>
      <c r="P198" s="1"/>
      <c r="Q198" s="1"/>
    </row>
    <row r="199" spans="1:17">
      <c r="A199" s="1"/>
      <c r="B199" s="1"/>
      <c r="C199" s="1"/>
      <c r="D199" s="1"/>
      <c r="E199" s="1"/>
      <c r="F199" s="1"/>
      <c r="G199" s="1"/>
      <c r="H199" s="1"/>
      <c r="I199" s="1"/>
      <c r="J199" s="1"/>
      <c r="K199" s="1"/>
      <c r="L199" s="1"/>
      <c r="M199" s="1"/>
      <c r="N199" s="1"/>
      <c r="O199" s="1"/>
      <c r="P199" s="1"/>
      <c r="Q199" s="1"/>
    </row>
    <row r="200" spans="1:17">
      <c r="A200" s="1"/>
      <c r="B200" s="1"/>
      <c r="C200" s="1"/>
      <c r="D200" s="1"/>
      <c r="E200" s="1"/>
      <c r="F200" s="1"/>
      <c r="G200" s="1"/>
      <c r="H200" s="1"/>
      <c r="I200" s="1"/>
      <c r="J200" s="1"/>
      <c r="K200" s="1"/>
      <c r="L200" s="1"/>
      <c r="M200" s="1"/>
      <c r="N200" s="1"/>
      <c r="O200" s="1"/>
      <c r="P200" s="1"/>
      <c r="Q200" s="1"/>
    </row>
    <row r="201" spans="1:17">
      <c r="A201" s="1"/>
      <c r="B201" s="1"/>
      <c r="C201" s="1"/>
      <c r="D201" s="1"/>
      <c r="E201" s="1"/>
      <c r="F201" s="1"/>
      <c r="G201" s="1"/>
      <c r="H201" s="1"/>
      <c r="I201" s="1"/>
      <c r="J201" s="1"/>
      <c r="K201" s="1"/>
      <c r="L201" s="1"/>
      <c r="M201" s="1"/>
      <c r="N201" s="1"/>
      <c r="O201" s="1"/>
      <c r="P201" s="1"/>
      <c r="Q201" s="1"/>
    </row>
    <row r="202" spans="1:17">
      <c r="A202" s="1"/>
      <c r="B202" s="1"/>
      <c r="C202" s="1"/>
      <c r="D202" s="1"/>
      <c r="E202" s="1"/>
      <c r="F202" s="1"/>
      <c r="G202" s="1"/>
      <c r="H202" s="1"/>
      <c r="I202" s="1"/>
      <c r="J202" s="1"/>
      <c r="K202" s="1"/>
      <c r="L202" s="1"/>
      <c r="M202" s="1"/>
      <c r="N202" s="1"/>
      <c r="O202" s="1"/>
      <c r="P202" s="1"/>
      <c r="Q202" s="1"/>
    </row>
    <row r="203" spans="1:17">
      <c r="A203" s="1"/>
      <c r="B203" s="1"/>
      <c r="C203" s="1"/>
      <c r="D203" s="1"/>
      <c r="E203" s="1"/>
      <c r="F203" s="1"/>
      <c r="G203" s="1"/>
      <c r="H203" s="1"/>
      <c r="I203" s="1"/>
      <c r="J203" s="1"/>
      <c r="K203" s="1"/>
      <c r="L203" s="1"/>
      <c r="M203" s="1"/>
      <c r="N203" s="1"/>
      <c r="O203" s="1"/>
      <c r="P203" s="1"/>
      <c r="Q203" s="1"/>
    </row>
    <row r="204" spans="1:17">
      <c r="A204" s="1"/>
      <c r="B204" s="1"/>
      <c r="C204" s="1"/>
      <c r="D204" s="1"/>
      <c r="E204" s="1"/>
      <c r="F204" s="1"/>
      <c r="G204" s="1"/>
      <c r="H204" s="1"/>
      <c r="I204" s="1"/>
      <c r="J204" s="1"/>
      <c r="K204" s="1"/>
      <c r="L204" s="1"/>
      <c r="M204" s="1"/>
      <c r="N204" s="1"/>
      <c r="O204" s="1"/>
      <c r="P204" s="1"/>
      <c r="Q204" s="1"/>
    </row>
    <row r="205" spans="1:17">
      <c r="A205" s="1"/>
      <c r="B205" s="1"/>
      <c r="C205" s="1"/>
      <c r="D205" s="1"/>
      <c r="E205" s="1"/>
      <c r="F205" s="1"/>
      <c r="G205" s="1"/>
      <c r="H205" s="1"/>
      <c r="I205" s="1"/>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2:N44">
    <cfRule type="expression" dxfId="2" priority="1">
      <formula>MOD(ROW(),2)=0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00"/>
  <sheetViews>
    <sheetView workbookViewId="0"/>
  </sheetViews>
  <sheetFormatPr defaultRowHeight="14.25"/>
  <cols>
    <col min="1" max="1" width="10" customWidth="1"/>
    <col min="2" max="2" width="30" customWidth="1"/>
    <col min="3" max="3" width="12" customWidth="1"/>
    <col min="4" max="4" width="62" customWidth="1"/>
    <col min="5" max="5" width="12" customWidth="1"/>
    <col min="6" max="7" width="18" customWidth="1"/>
    <col min="8" max="8" width="24" customWidth="1"/>
    <col min="9" max="9" width="14" customWidth="1"/>
    <col min="10" max="10" width="18" customWidth="1"/>
    <col min="11" max="11" width="28" customWidth="1"/>
    <col min="12" max="12" width="60" customWidth="1"/>
  </cols>
  <sheetData>
    <row r="1" spans="1:17" ht="30">
      <c r="A1" s="16" t="s">
        <v>3141</v>
      </c>
      <c r="B1" s="16" t="s">
        <v>3327</v>
      </c>
      <c r="C1" s="16" t="s">
        <v>3328</v>
      </c>
      <c r="D1" s="16" t="s">
        <v>3329</v>
      </c>
      <c r="E1" s="16" t="s">
        <v>3330</v>
      </c>
      <c r="F1" s="16" t="s">
        <v>3331</v>
      </c>
      <c r="G1" s="16" t="s">
        <v>3332</v>
      </c>
      <c r="H1" s="16" t="s">
        <v>3333</v>
      </c>
      <c r="I1" s="16" t="s">
        <v>3334</v>
      </c>
      <c r="J1" s="1" t="s">
        <v>3335</v>
      </c>
      <c r="K1" s="1" t="s">
        <v>3336</v>
      </c>
      <c r="L1" s="1" t="s">
        <v>3337</v>
      </c>
      <c r="M1" s="1"/>
      <c r="N1" s="1"/>
      <c r="O1" s="1"/>
      <c r="P1" s="1"/>
      <c r="Q1" s="1"/>
    </row>
    <row r="2" spans="1:17">
      <c r="A2" s="10" t="s">
        <v>2868</v>
      </c>
      <c r="B2" s="10" t="s">
        <v>72</v>
      </c>
      <c r="C2" s="10" t="s">
        <v>3338</v>
      </c>
      <c r="D2" s="17" t="s">
        <v>3339</v>
      </c>
      <c r="E2" s="10">
        <f>IFERROR(MATCH(B2,'02_ツリー'!$E$5:$E$679,0)+4,"")</f>
        <v>57</v>
      </c>
      <c r="F2" s="10">
        <f>IFERROR(INDEX('03_ダッシュボード'!$F$11:$F$412,MATCH(B2,'03_ダッシュボード'!$A$11:$A$412,0)),0)</f>
        <v>1</v>
      </c>
      <c r="G2" s="10">
        <f>IFERROR(INDEX('03_ダッシュボード'!$G$11:$G$412,MATCH(B2,'03_ダッシュボード'!$A$11:$A$412,0)),0)</f>
        <v>0</v>
      </c>
      <c r="H2" s="10">
        <f t="shared" ref="H2:H33" si="0">IF(C2="増加",F2,IF(C2="減少",-G2,MIN(F2,-G2)))</f>
        <v>1</v>
      </c>
      <c r="I2" s="14" t="str">
        <f t="shared" ref="I2:I33" si="1">IF(E2="","未参照","参照済")</f>
        <v>参照済</v>
      </c>
      <c r="J2" s="1"/>
      <c r="K2" s="1"/>
      <c r="L2" s="1"/>
      <c r="M2" s="1"/>
      <c r="N2" s="1"/>
      <c r="O2" s="1"/>
      <c r="P2" s="1"/>
      <c r="Q2" s="1"/>
    </row>
    <row r="3" spans="1:17">
      <c r="A3" s="10" t="s">
        <v>2868</v>
      </c>
      <c r="B3" s="10" t="s">
        <v>121</v>
      </c>
      <c r="C3" s="10" t="s">
        <v>3338</v>
      </c>
      <c r="D3" s="17" t="s">
        <v>3340</v>
      </c>
      <c r="E3" s="10">
        <f>IFERROR(MATCH(B3,'02_ツリー'!$E$5:$E$679,0)+4,"")</f>
        <v>55</v>
      </c>
      <c r="F3" s="10">
        <f>IFERROR(INDEX('03_ダッシュボード'!$F$11:$F$412,MATCH(B3,'03_ダッシュボード'!$A$11:$A$412,0)),0)</f>
        <v>1</v>
      </c>
      <c r="G3" s="10">
        <f>IFERROR(INDEX('03_ダッシュボード'!$G$11:$G$412,MATCH(B3,'03_ダッシュボード'!$A$11:$A$412,0)),0)</f>
        <v>0</v>
      </c>
      <c r="H3" s="10">
        <f t="shared" si="0"/>
        <v>1</v>
      </c>
      <c r="I3" s="14" t="str">
        <f t="shared" si="1"/>
        <v>参照済</v>
      </c>
      <c r="J3" s="1"/>
      <c r="K3" s="1"/>
      <c r="L3" s="1"/>
      <c r="M3" s="1"/>
      <c r="N3" s="1"/>
      <c r="O3" s="1"/>
      <c r="P3" s="1"/>
      <c r="Q3" s="1"/>
    </row>
    <row r="4" spans="1:17">
      <c r="A4" s="10" t="s">
        <v>2868</v>
      </c>
      <c r="B4" s="10" t="s">
        <v>120</v>
      </c>
      <c r="C4" s="10" t="s">
        <v>3338</v>
      </c>
      <c r="D4" s="17" t="s">
        <v>3341</v>
      </c>
      <c r="E4" s="10">
        <f>IFERROR(MATCH(B4,'02_ツリー'!$E$5:$E$679,0)+4,"")</f>
        <v>56</v>
      </c>
      <c r="F4" s="10">
        <f>IFERROR(INDEX('03_ダッシュボード'!$F$11:$F$412,MATCH(B4,'03_ダッシュボード'!$A$11:$A$412,0)),0)</f>
        <v>1</v>
      </c>
      <c r="G4" s="10">
        <f>IFERROR(INDEX('03_ダッシュボード'!$G$11:$G$412,MATCH(B4,'03_ダッシュボード'!$A$11:$A$412,0)),0)</f>
        <v>0</v>
      </c>
      <c r="H4" s="10">
        <f t="shared" si="0"/>
        <v>1</v>
      </c>
      <c r="I4" s="14" t="str">
        <f t="shared" si="1"/>
        <v>参照済</v>
      </c>
      <c r="J4" s="1"/>
      <c r="K4" s="1"/>
      <c r="L4" s="1"/>
      <c r="M4" s="1"/>
      <c r="N4" s="1"/>
      <c r="O4" s="1"/>
      <c r="P4" s="1"/>
      <c r="Q4" s="1"/>
    </row>
    <row r="5" spans="1:17">
      <c r="A5" s="10" t="s">
        <v>2868</v>
      </c>
      <c r="B5" s="10" t="s">
        <v>167</v>
      </c>
      <c r="C5" s="10" t="s">
        <v>3342</v>
      </c>
      <c r="D5" s="17" t="s">
        <v>3343</v>
      </c>
      <c r="E5" s="10">
        <f>IFERROR(MATCH(B5,'02_ツリー'!$E$5:$E$679,0)+4,"")</f>
        <v>20</v>
      </c>
      <c r="F5" s="10">
        <f>IFERROR(INDEX('03_ダッシュボード'!$F$11:$F$412,MATCH(B5,'03_ダッシュボード'!$A$11:$A$412,0)),0)</f>
        <v>1</v>
      </c>
      <c r="G5" s="10">
        <f>IFERROR(INDEX('03_ダッシュボード'!$G$11:$G$412,MATCH(B5,'03_ダッシュボード'!$A$11:$A$412,0)),0)</f>
        <v>0</v>
      </c>
      <c r="H5" s="10">
        <f t="shared" si="0"/>
        <v>0</v>
      </c>
      <c r="I5" s="14" t="str">
        <f t="shared" si="1"/>
        <v>参照済</v>
      </c>
      <c r="J5" s="1"/>
      <c r="K5" s="1"/>
      <c r="L5" s="1"/>
      <c r="M5" s="1"/>
      <c r="N5" s="1"/>
      <c r="O5" s="1"/>
      <c r="P5" s="1"/>
      <c r="Q5" s="1"/>
    </row>
    <row r="6" spans="1:17">
      <c r="A6" s="10" t="s">
        <v>2868</v>
      </c>
      <c r="B6" s="10" t="s">
        <v>917</v>
      </c>
      <c r="C6" s="10" t="s">
        <v>3338</v>
      </c>
      <c r="D6" s="17" t="s">
        <v>3344</v>
      </c>
      <c r="E6" s="10">
        <f>IFERROR(MATCH(B6,'02_ツリー'!$E$5:$E$679,0)+4,"")</f>
        <v>460</v>
      </c>
      <c r="F6" s="10">
        <f>IFERROR(INDEX('03_ダッシュボード'!$F$11:$F$412,MATCH(B6,'03_ダッシュボード'!$A$11:$A$412,0)),0)</f>
        <v>1</v>
      </c>
      <c r="G6" s="10">
        <f>IFERROR(INDEX('03_ダッシュボード'!$G$11:$G$412,MATCH(B6,'03_ダッシュボード'!$A$11:$A$412,0)),0)</f>
        <v>0</v>
      </c>
      <c r="H6" s="10">
        <f t="shared" si="0"/>
        <v>1</v>
      </c>
      <c r="I6" s="14" t="str">
        <f t="shared" si="1"/>
        <v>参照済</v>
      </c>
      <c r="J6" s="1"/>
      <c r="K6" s="1"/>
      <c r="L6" s="1"/>
      <c r="M6" s="1"/>
      <c r="N6" s="1"/>
      <c r="O6" s="1"/>
      <c r="P6" s="1"/>
      <c r="Q6" s="1"/>
    </row>
    <row r="7" spans="1:17">
      <c r="A7" s="10" t="s">
        <v>2879</v>
      </c>
      <c r="B7" s="10" t="s">
        <v>740</v>
      </c>
      <c r="C7" s="10" t="s">
        <v>3342</v>
      </c>
      <c r="D7" s="17" t="s">
        <v>3345</v>
      </c>
      <c r="E7" s="10">
        <f>IFERROR(MATCH(B7,'02_ツリー'!$E$5:$E$679,0)+4,"")</f>
        <v>344</v>
      </c>
      <c r="F7" s="10">
        <f>IFERROR(INDEX('03_ダッシュボード'!$F$11:$F$412,MATCH(B7,'03_ダッシュボード'!$A$11:$A$412,0)),0)</f>
        <v>1</v>
      </c>
      <c r="G7" s="10">
        <f>IFERROR(INDEX('03_ダッシュボード'!$G$11:$G$412,MATCH(B7,'03_ダッシュボード'!$A$11:$A$412,0)),0)</f>
        <v>0</v>
      </c>
      <c r="H7" s="10">
        <f t="shared" si="0"/>
        <v>0</v>
      </c>
      <c r="I7" s="14" t="str">
        <f t="shared" si="1"/>
        <v>参照済</v>
      </c>
      <c r="J7" s="1"/>
      <c r="K7" s="1"/>
      <c r="L7" s="1"/>
      <c r="M7" s="1"/>
      <c r="N7" s="1"/>
      <c r="O7" s="1"/>
      <c r="P7" s="1"/>
      <c r="Q7" s="1"/>
    </row>
    <row r="8" spans="1:17">
      <c r="A8" s="10" t="s">
        <v>2879</v>
      </c>
      <c r="B8" s="10" t="s">
        <v>931</v>
      </c>
      <c r="C8" s="10" t="s">
        <v>3342</v>
      </c>
      <c r="D8" s="17" t="s">
        <v>3346</v>
      </c>
      <c r="E8" s="10">
        <f>IFERROR(MATCH(B8,'02_ツリー'!$E$5:$E$679,0)+4,"")</f>
        <v>424</v>
      </c>
      <c r="F8" s="10">
        <f>IFERROR(INDEX('03_ダッシュボード'!$F$11:$F$412,MATCH(B8,'03_ダッシュボード'!$A$11:$A$412,0)),0)</f>
        <v>1</v>
      </c>
      <c r="G8" s="10">
        <f>IFERROR(INDEX('03_ダッシュボード'!$G$11:$G$412,MATCH(B8,'03_ダッシュボード'!$A$11:$A$412,0)),0)</f>
        <v>0</v>
      </c>
      <c r="H8" s="10">
        <f t="shared" si="0"/>
        <v>0</v>
      </c>
      <c r="I8" s="14" t="str">
        <f t="shared" si="1"/>
        <v>参照済</v>
      </c>
      <c r="J8" s="1"/>
      <c r="K8" s="1"/>
      <c r="L8" s="1"/>
      <c r="M8" s="1"/>
      <c r="N8" s="1"/>
      <c r="O8" s="1"/>
      <c r="P8" s="1"/>
      <c r="Q8" s="1"/>
    </row>
    <row r="9" spans="1:17">
      <c r="A9" s="10" t="s">
        <v>2879</v>
      </c>
      <c r="B9" s="10" t="s">
        <v>938</v>
      </c>
      <c r="C9" s="10" t="s">
        <v>3338</v>
      </c>
      <c r="D9" s="17" t="s">
        <v>3347</v>
      </c>
      <c r="E9" s="10">
        <f>IFERROR(MATCH(B9,'02_ツリー'!$E$5:$E$679,0)+4,"")</f>
        <v>425</v>
      </c>
      <c r="F9" s="10">
        <f>IFERROR(INDEX('03_ダッシュボード'!$F$11:$F$412,MATCH(B9,'03_ダッシュボード'!$A$11:$A$412,0)),0)</f>
        <v>1</v>
      </c>
      <c r="G9" s="10">
        <f>IFERROR(INDEX('03_ダッシュボード'!$G$11:$G$412,MATCH(B9,'03_ダッシュボード'!$A$11:$A$412,0)),0)</f>
        <v>0</v>
      </c>
      <c r="H9" s="10">
        <f t="shared" si="0"/>
        <v>1</v>
      </c>
      <c r="I9" s="14" t="str">
        <f t="shared" si="1"/>
        <v>参照済</v>
      </c>
      <c r="J9" s="1"/>
      <c r="K9" s="1"/>
      <c r="L9" s="1"/>
      <c r="M9" s="1"/>
      <c r="N9" s="1"/>
      <c r="O9" s="1"/>
      <c r="P9" s="1"/>
      <c r="Q9" s="1"/>
    </row>
    <row r="10" spans="1:17">
      <c r="A10" s="10" t="s">
        <v>2879</v>
      </c>
      <c r="B10" s="10" t="s">
        <v>121</v>
      </c>
      <c r="C10" s="10" t="s">
        <v>3342</v>
      </c>
      <c r="D10" s="17" t="s">
        <v>3348</v>
      </c>
      <c r="E10" s="10">
        <f>IFERROR(MATCH(B10,'02_ツリー'!$E$5:$E$679,0)+4,"")</f>
        <v>55</v>
      </c>
      <c r="F10" s="10">
        <f>IFERROR(INDEX('03_ダッシュボード'!$F$11:$F$412,MATCH(B10,'03_ダッシュボード'!$A$11:$A$412,0)),0)</f>
        <v>1</v>
      </c>
      <c r="G10" s="10">
        <f>IFERROR(INDEX('03_ダッシュボード'!$G$11:$G$412,MATCH(B10,'03_ダッシュボード'!$A$11:$A$412,0)),0)</f>
        <v>0</v>
      </c>
      <c r="H10" s="10">
        <f t="shared" si="0"/>
        <v>0</v>
      </c>
      <c r="I10" s="14" t="str">
        <f t="shared" si="1"/>
        <v>参照済</v>
      </c>
      <c r="J10" s="1"/>
      <c r="K10" s="1"/>
      <c r="L10" s="1"/>
      <c r="M10" s="1"/>
      <c r="N10" s="1"/>
      <c r="O10" s="1"/>
      <c r="P10" s="1"/>
      <c r="Q10" s="1"/>
    </row>
    <row r="11" spans="1:17">
      <c r="A11" s="10" t="s">
        <v>2879</v>
      </c>
      <c r="B11" s="10" t="s">
        <v>753</v>
      </c>
      <c r="C11" s="10" t="s">
        <v>3342</v>
      </c>
      <c r="D11" s="17" t="s">
        <v>3349</v>
      </c>
      <c r="E11" s="10">
        <f>IFERROR(MATCH(B11,'02_ツリー'!$E$5:$E$679,0)+4,"")</f>
        <v>351</v>
      </c>
      <c r="F11" s="10">
        <f>IFERROR(INDEX('03_ダッシュボード'!$F$11:$F$412,MATCH(B11,'03_ダッシュボード'!$A$11:$A$412,0)),0)</f>
        <v>1</v>
      </c>
      <c r="G11" s="10">
        <f>IFERROR(INDEX('03_ダッシュボード'!$G$11:$G$412,MATCH(B11,'03_ダッシュボード'!$A$11:$A$412,0)),0)</f>
        <v>1</v>
      </c>
      <c r="H11" s="10">
        <f t="shared" si="0"/>
        <v>-1</v>
      </c>
      <c r="I11" s="14" t="str">
        <f t="shared" si="1"/>
        <v>参照済</v>
      </c>
      <c r="J11" s="1"/>
      <c r="K11" s="1"/>
      <c r="L11" s="1"/>
      <c r="M11" s="1"/>
      <c r="N11" s="1"/>
      <c r="O11" s="1"/>
      <c r="P11" s="1"/>
      <c r="Q11" s="1"/>
    </row>
    <row r="12" spans="1:17">
      <c r="A12" s="10" t="s">
        <v>2887</v>
      </c>
      <c r="B12" s="10" t="s">
        <v>652</v>
      </c>
      <c r="C12" s="10" t="s">
        <v>3342</v>
      </c>
      <c r="D12" s="17" t="s">
        <v>3350</v>
      </c>
      <c r="E12" s="10">
        <f>IFERROR(MATCH(B12,'02_ツリー'!$E$5:$E$679,0)+4,"")</f>
        <v>303</v>
      </c>
      <c r="F12" s="10">
        <f>IFERROR(INDEX('03_ダッシュボード'!$F$11:$F$412,MATCH(B12,'03_ダッシュボード'!$A$11:$A$412,0)),0)</f>
        <v>0</v>
      </c>
      <c r="G12" s="10">
        <f>IFERROR(INDEX('03_ダッシュボード'!$G$11:$G$412,MATCH(B12,'03_ダッシュボード'!$A$11:$A$412,0)),0)</f>
        <v>0</v>
      </c>
      <c r="H12" s="10">
        <f t="shared" si="0"/>
        <v>0</v>
      </c>
      <c r="I12" s="14" t="str">
        <f t="shared" si="1"/>
        <v>参照済</v>
      </c>
      <c r="J12" s="1"/>
      <c r="K12" s="1"/>
      <c r="L12" s="1"/>
      <c r="M12" s="1"/>
      <c r="N12" s="1"/>
      <c r="O12" s="1"/>
      <c r="P12" s="1"/>
      <c r="Q12" s="1"/>
    </row>
    <row r="13" spans="1:17">
      <c r="A13" s="10" t="s">
        <v>2887</v>
      </c>
      <c r="B13" s="10" t="s">
        <v>665</v>
      </c>
      <c r="C13" s="10" t="s">
        <v>3342</v>
      </c>
      <c r="D13" s="17" t="s">
        <v>3351</v>
      </c>
      <c r="E13" s="10">
        <f>IFERROR(MATCH(B13,'02_ツリー'!$E$5:$E$679,0)+4,"")</f>
        <v>302</v>
      </c>
      <c r="F13" s="10">
        <f>IFERROR(INDEX('03_ダッシュボード'!$F$11:$F$412,MATCH(B13,'03_ダッシュボード'!$A$11:$A$412,0)),0)</f>
        <v>0</v>
      </c>
      <c r="G13" s="10">
        <f>IFERROR(INDEX('03_ダッシュボード'!$G$11:$G$412,MATCH(B13,'03_ダッシュボード'!$A$11:$A$412,0)),0)</f>
        <v>0</v>
      </c>
      <c r="H13" s="10">
        <f t="shared" si="0"/>
        <v>0</v>
      </c>
      <c r="I13" s="14" t="str">
        <f t="shared" si="1"/>
        <v>参照済</v>
      </c>
      <c r="J13" s="1"/>
      <c r="K13" s="1"/>
      <c r="L13" s="1"/>
      <c r="M13" s="1"/>
      <c r="N13" s="1"/>
      <c r="O13" s="1"/>
      <c r="P13" s="1"/>
      <c r="Q13" s="1"/>
    </row>
    <row r="14" spans="1:17">
      <c r="A14" s="10" t="s">
        <v>2887</v>
      </c>
      <c r="B14" s="10" t="s">
        <v>669</v>
      </c>
      <c r="C14" s="10" t="s">
        <v>3342</v>
      </c>
      <c r="D14" s="17" t="s">
        <v>3352</v>
      </c>
      <c r="E14" s="10">
        <f>IFERROR(MATCH(B14,'02_ツリー'!$E$5:$E$679,0)+4,"")</f>
        <v>305</v>
      </c>
      <c r="F14" s="10">
        <f>IFERROR(INDEX('03_ダッシュボード'!$F$11:$F$412,MATCH(B14,'03_ダッシュボード'!$A$11:$A$412,0)),0)</f>
        <v>1</v>
      </c>
      <c r="G14" s="10">
        <f>IFERROR(INDEX('03_ダッシュボード'!$G$11:$G$412,MATCH(B14,'03_ダッシュボード'!$A$11:$A$412,0)),0)</f>
        <v>0</v>
      </c>
      <c r="H14" s="10">
        <f t="shared" si="0"/>
        <v>0</v>
      </c>
      <c r="I14" s="14" t="str">
        <f t="shared" si="1"/>
        <v>参照済</v>
      </c>
      <c r="J14" s="1"/>
      <c r="K14" s="1"/>
      <c r="L14" s="1"/>
      <c r="M14" s="1"/>
      <c r="N14" s="1"/>
      <c r="O14" s="1"/>
      <c r="P14" s="1"/>
      <c r="Q14" s="1"/>
    </row>
    <row r="15" spans="1:17">
      <c r="A15" s="10" t="s">
        <v>2887</v>
      </c>
      <c r="B15" s="10" t="s">
        <v>699</v>
      </c>
      <c r="C15" s="10" t="s">
        <v>3338</v>
      </c>
      <c r="D15" s="17" t="s">
        <v>3353</v>
      </c>
      <c r="E15" s="10">
        <f>IFERROR(MATCH(B15,'02_ツリー'!$E$5:$E$679,0)+4,"")</f>
        <v>323</v>
      </c>
      <c r="F15" s="10">
        <f>IFERROR(INDEX('03_ダッシュボード'!$F$11:$F$412,MATCH(B15,'03_ダッシュボード'!$A$11:$A$412,0)),0)</f>
        <v>1</v>
      </c>
      <c r="G15" s="10">
        <f>IFERROR(INDEX('03_ダッシュボード'!$G$11:$G$412,MATCH(B15,'03_ダッシュボード'!$A$11:$A$412,0)),0)</f>
        <v>1</v>
      </c>
      <c r="H15" s="10">
        <f t="shared" si="0"/>
        <v>1</v>
      </c>
      <c r="I15" s="14" t="str">
        <f t="shared" si="1"/>
        <v>参照済</v>
      </c>
      <c r="J15" s="1"/>
      <c r="K15" s="1"/>
      <c r="L15" s="1"/>
      <c r="M15" s="1"/>
      <c r="N15" s="1"/>
      <c r="O15" s="1"/>
      <c r="P15" s="1"/>
      <c r="Q15" s="1"/>
    </row>
    <row r="16" spans="1:17">
      <c r="A16" s="10" t="s">
        <v>2887</v>
      </c>
      <c r="B16" s="10" t="s">
        <v>1217</v>
      </c>
      <c r="C16" s="10" t="s">
        <v>3338</v>
      </c>
      <c r="D16" s="17" t="s">
        <v>3354</v>
      </c>
      <c r="E16" s="10">
        <f>IFERROR(MATCH(B16,'02_ツリー'!$E$5:$E$679,0)+4,"")</f>
        <v>558</v>
      </c>
      <c r="F16" s="10">
        <f>IFERROR(INDEX('03_ダッシュボード'!$F$11:$F$412,MATCH(B16,'03_ダッシュボード'!$A$11:$A$412,0)),0)</f>
        <v>1</v>
      </c>
      <c r="G16" s="10">
        <f>IFERROR(INDEX('03_ダッシュボード'!$G$11:$G$412,MATCH(B16,'03_ダッシュボード'!$A$11:$A$412,0)),0)</f>
        <v>1</v>
      </c>
      <c r="H16" s="10">
        <f t="shared" si="0"/>
        <v>1</v>
      </c>
      <c r="I16" s="14" t="str">
        <f t="shared" si="1"/>
        <v>参照済</v>
      </c>
      <c r="J16" s="1"/>
      <c r="K16" s="1"/>
      <c r="L16" s="1"/>
      <c r="M16" s="1"/>
      <c r="N16" s="1"/>
      <c r="O16" s="1"/>
      <c r="P16" s="1"/>
      <c r="Q16" s="1"/>
    </row>
    <row r="17" spans="1:17">
      <c r="A17" s="10" t="s">
        <v>2887</v>
      </c>
      <c r="B17" s="10" t="s">
        <v>715</v>
      </c>
      <c r="C17" s="10" t="s">
        <v>3342</v>
      </c>
      <c r="D17" s="17" t="s">
        <v>3355</v>
      </c>
      <c r="E17" s="10">
        <f>IFERROR(MATCH(B17,'02_ツリー'!$E$5:$E$679,0)+4,"")</f>
        <v>335</v>
      </c>
      <c r="F17" s="10">
        <f>IFERROR(INDEX('03_ダッシュボード'!$F$11:$F$412,MATCH(B17,'03_ダッシュボード'!$A$11:$A$412,0)),0)</f>
        <v>0</v>
      </c>
      <c r="G17" s="10">
        <f>IFERROR(INDEX('03_ダッシュボード'!$G$11:$G$412,MATCH(B17,'03_ダッシュボード'!$A$11:$A$412,0)),0)</f>
        <v>0</v>
      </c>
      <c r="H17" s="10">
        <f t="shared" si="0"/>
        <v>0</v>
      </c>
      <c r="I17" s="14" t="str">
        <f t="shared" si="1"/>
        <v>参照済</v>
      </c>
      <c r="J17" s="1"/>
      <c r="K17" s="1"/>
      <c r="L17" s="1"/>
      <c r="M17" s="1"/>
      <c r="N17" s="1"/>
      <c r="O17" s="1"/>
      <c r="P17" s="1"/>
      <c r="Q17" s="1"/>
    </row>
    <row r="18" spans="1:17">
      <c r="A18" s="10" t="s">
        <v>2896</v>
      </c>
      <c r="B18" s="10" t="s">
        <v>95</v>
      </c>
      <c r="C18" s="10" t="s">
        <v>3338</v>
      </c>
      <c r="D18" s="17" t="s">
        <v>3356</v>
      </c>
      <c r="E18" s="10">
        <f>IFERROR(MATCH(B18,'02_ツリー'!$E$5:$E$679,0)+4,"")</f>
        <v>81</v>
      </c>
      <c r="F18" s="10">
        <f>IFERROR(INDEX('03_ダッシュボード'!$F$11:$F$412,MATCH(B18,'03_ダッシュボード'!$A$11:$A$412,0)),0)</f>
        <v>1</v>
      </c>
      <c r="G18" s="10">
        <f>IFERROR(INDEX('03_ダッシュボード'!$G$11:$G$412,MATCH(B18,'03_ダッシュボード'!$A$11:$A$412,0)),0)</f>
        <v>0</v>
      </c>
      <c r="H18" s="10">
        <f t="shared" si="0"/>
        <v>1</v>
      </c>
      <c r="I18" s="14" t="str">
        <f t="shared" si="1"/>
        <v>参照済</v>
      </c>
      <c r="J18" s="1"/>
      <c r="K18" s="1"/>
      <c r="L18" s="1"/>
      <c r="M18" s="1"/>
      <c r="N18" s="1"/>
      <c r="O18" s="1"/>
      <c r="P18" s="1"/>
      <c r="Q18" s="1"/>
    </row>
    <row r="19" spans="1:17">
      <c r="A19" s="10" t="s">
        <v>2896</v>
      </c>
      <c r="B19" s="10" t="s">
        <v>72</v>
      </c>
      <c r="C19" s="10" t="s">
        <v>3338</v>
      </c>
      <c r="D19" s="17" t="s">
        <v>3357</v>
      </c>
      <c r="E19" s="10">
        <f>IFERROR(MATCH(B19,'02_ツリー'!$E$5:$E$679,0)+4,"")</f>
        <v>57</v>
      </c>
      <c r="F19" s="10">
        <f>IFERROR(INDEX('03_ダッシュボード'!$F$11:$F$412,MATCH(B19,'03_ダッシュボード'!$A$11:$A$412,0)),0)</f>
        <v>1</v>
      </c>
      <c r="G19" s="10">
        <f>IFERROR(INDEX('03_ダッシュボード'!$G$11:$G$412,MATCH(B19,'03_ダッシュボード'!$A$11:$A$412,0)),0)</f>
        <v>0</v>
      </c>
      <c r="H19" s="10">
        <f t="shared" si="0"/>
        <v>1</v>
      </c>
      <c r="I19" s="14" t="str">
        <f t="shared" si="1"/>
        <v>参照済</v>
      </c>
      <c r="J19" s="1"/>
      <c r="K19" s="1"/>
      <c r="L19" s="1"/>
      <c r="M19" s="1"/>
      <c r="N19" s="1"/>
      <c r="O19" s="1"/>
      <c r="P19" s="1"/>
      <c r="Q19" s="1"/>
    </row>
    <row r="20" spans="1:17">
      <c r="A20" s="10" t="s">
        <v>2896</v>
      </c>
      <c r="B20" s="10" t="s">
        <v>414</v>
      </c>
      <c r="C20" s="10" t="s">
        <v>3338</v>
      </c>
      <c r="D20" s="17" t="s">
        <v>3358</v>
      </c>
      <c r="E20" s="10">
        <f>IFERROR(MATCH(B20,'02_ツリー'!$E$5:$E$679,0)+4,"")</f>
        <v>184</v>
      </c>
      <c r="F20" s="10">
        <f>IFERROR(INDEX('03_ダッシュボード'!$F$11:$F$412,MATCH(B20,'03_ダッシュボード'!$A$11:$A$412,0)),0)</f>
        <v>0</v>
      </c>
      <c r="G20" s="10">
        <f>IFERROR(INDEX('03_ダッシュボード'!$G$11:$G$412,MATCH(B20,'03_ダッシュボード'!$A$11:$A$412,0)),0)</f>
        <v>1</v>
      </c>
      <c r="H20" s="10">
        <f t="shared" si="0"/>
        <v>0</v>
      </c>
      <c r="I20" s="14" t="str">
        <f t="shared" si="1"/>
        <v>参照済</v>
      </c>
      <c r="J20" s="1"/>
      <c r="K20" s="1"/>
      <c r="L20" s="1"/>
      <c r="M20" s="1"/>
      <c r="N20" s="1"/>
      <c r="O20" s="1"/>
      <c r="P20" s="1"/>
      <c r="Q20" s="1"/>
    </row>
    <row r="21" spans="1:17">
      <c r="A21" s="10" t="s">
        <v>2896</v>
      </c>
      <c r="B21" s="10" t="s">
        <v>652</v>
      </c>
      <c r="C21" s="10" t="s">
        <v>3342</v>
      </c>
      <c r="D21" s="17" t="s">
        <v>3359</v>
      </c>
      <c r="E21" s="10">
        <f>IFERROR(MATCH(B21,'02_ツリー'!$E$5:$E$679,0)+4,"")</f>
        <v>303</v>
      </c>
      <c r="F21" s="10">
        <f>IFERROR(INDEX('03_ダッシュボード'!$F$11:$F$412,MATCH(B21,'03_ダッシュボード'!$A$11:$A$412,0)),0)</f>
        <v>0</v>
      </c>
      <c r="G21" s="10">
        <f>IFERROR(INDEX('03_ダッシュボード'!$G$11:$G$412,MATCH(B21,'03_ダッシュボード'!$A$11:$A$412,0)),0)</f>
        <v>0</v>
      </c>
      <c r="H21" s="10">
        <f t="shared" si="0"/>
        <v>0</v>
      </c>
      <c r="I21" s="14" t="str">
        <f t="shared" si="1"/>
        <v>参照済</v>
      </c>
      <c r="J21" s="1"/>
      <c r="K21" s="1"/>
      <c r="L21" s="1"/>
      <c r="M21" s="1"/>
      <c r="N21" s="1"/>
      <c r="O21" s="1"/>
      <c r="P21" s="1"/>
      <c r="Q21" s="1"/>
    </row>
    <row r="22" spans="1:17">
      <c r="A22" s="10" t="s">
        <v>2904</v>
      </c>
      <c r="B22" s="10" t="s">
        <v>807</v>
      </c>
      <c r="C22" s="10" t="s">
        <v>3338</v>
      </c>
      <c r="D22" s="17" t="s">
        <v>3360</v>
      </c>
      <c r="E22" s="10">
        <f>IFERROR(MATCH(B22,'02_ツリー'!$E$5:$E$679,0)+4,"")</f>
        <v>381</v>
      </c>
      <c r="F22" s="10">
        <f>IFERROR(INDEX('03_ダッシュボード'!$F$11:$F$412,MATCH(B22,'03_ダッシュボード'!$A$11:$A$412,0)),0)</f>
        <v>0</v>
      </c>
      <c r="G22" s="10">
        <f>IFERROR(INDEX('03_ダッシュボード'!$G$11:$G$412,MATCH(B22,'03_ダッシュボード'!$A$11:$A$412,0)),0)</f>
        <v>0</v>
      </c>
      <c r="H22" s="10">
        <f t="shared" si="0"/>
        <v>0</v>
      </c>
      <c r="I22" s="14" t="str">
        <f t="shared" si="1"/>
        <v>参照済</v>
      </c>
      <c r="J22" s="1"/>
      <c r="K22" s="1"/>
      <c r="L22" s="1"/>
      <c r="M22" s="1"/>
      <c r="N22" s="1"/>
      <c r="O22" s="1"/>
      <c r="P22" s="1"/>
      <c r="Q22" s="1"/>
    </row>
    <row r="23" spans="1:17">
      <c r="A23" s="10" t="s">
        <v>2904</v>
      </c>
      <c r="B23" s="10" t="s">
        <v>1685</v>
      </c>
      <c r="C23" s="10" t="s">
        <v>3342</v>
      </c>
      <c r="D23" s="17" t="s">
        <v>3361</v>
      </c>
      <c r="E23" s="10">
        <f>IFERROR(MATCH(B23,'02_ツリー'!$E$5:$E$679,0)+4,"")</f>
        <v>97</v>
      </c>
      <c r="F23" s="10">
        <f>IFERROR(INDEX('03_ダッシュボード'!$F$11:$F$412,MATCH(B23,'03_ダッシュボード'!$A$11:$A$412,0)),0)</f>
        <v>0</v>
      </c>
      <c r="G23" s="10">
        <f>IFERROR(INDEX('03_ダッシュボード'!$G$11:$G$412,MATCH(B23,'03_ダッシュボード'!$A$11:$A$412,0)),0)</f>
        <v>0</v>
      </c>
      <c r="H23" s="10">
        <f t="shared" si="0"/>
        <v>0</v>
      </c>
      <c r="I23" s="14" t="str">
        <f t="shared" si="1"/>
        <v>参照済</v>
      </c>
      <c r="J23" s="1"/>
      <c r="K23" s="1"/>
      <c r="L23" s="1"/>
      <c r="M23" s="1"/>
      <c r="N23" s="1"/>
      <c r="O23" s="1"/>
      <c r="P23" s="1"/>
      <c r="Q23" s="1"/>
    </row>
    <row r="24" spans="1:17">
      <c r="A24" s="10" t="s">
        <v>2904</v>
      </c>
      <c r="B24" s="10" t="s">
        <v>72</v>
      </c>
      <c r="C24" s="10" t="s">
        <v>3338</v>
      </c>
      <c r="D24" s="17" t="s">
        <v>3362</v>
      </c>
      <c r="E24" s="10">
        <f>IFERROR(MATCH(B24,'02_ツリー'!$E$5:$E$679,0)+4,"")</f>
        <v>57</v>
      </c>
      <c r="F24" s="10">
        <f>IFERROR(INDEX('03_ダッシュボード'!$F$11:$F$412,MATCH(B24,'03_ダッシュボード'!$A$11:$A$412,0)),0)</f>
        <v>1</v>
      </c>
      <c r="G24" s="10">
        <f>IFERROR(INDEX('03_ダッシュボード'!$G$11:$G$412,MATCH(B24,'03_ダッシュボード'!$A$11:$A$412,0)),0)</f>
        <v>0</v>
      </c>
      <c r="H24" s="10">
        <f t="shared" si="0"/>
        <v>1</v>
      </c>
      <c r="I24" s="14" t="str">
        <f t="shared" si="1"/>
        <v>参照済</v>
      </c>
      <c r="J24" s="1"/>
      <c r="K24" s="1"/>
      <c r="L24" s="1"/>
      <c r="M24" s="1"/>
      <c r="N24" s="1"/>
      <c r="O24" s="1"/>
      <c r="P24" s="1"/>
      <c r="Q24" s="1"/>
    </row>
    <row r="25" spans="1:17">
      <c r="A25" s="10" t="s">
        <v>2913</v>
      </c>
      <c r="B25" s="10" t="s">
        <v>917</v>
      </c>
      <c r="C25" s="10" t="s">
        <v>3338</v>
      </c>
      <c r="D25" s="17" t="s">
        <v>3363</v>
      </c>
      <c r="E25" s="10">
        <f>IFERROR(MATCH(B25,'02_ツリー'!$E$5:$E$679,0)+4,"")</f>
        <v>460</v>
      </c>
      <c r="F25" s="10">
        <f>IFERROR(INDEX('03_ダッシュボード'!$F$11:$F$412,MATCH(B25,'03_ダッシュボード'!$A$11:$A$412,0)),0)</f>
        <v>1</v>
      </c>
      <c r="G25" s="10">
        <f>IFERROR(INDEX('03_ダッシュボード'!$G$11:$G$412,MATCH(B25,'03_ダッシュボード'!$A$11:$A$412,0)),0)</f>
        <v>0</v>
      </c>
      <c r="H25" s="10">
        <f t="shared" si="0"/>
        <v>1</v>
      </c>
      <c r="I25" s="14" t="str">
        <f t="shared" si="1"/>
        <v>参照済</v>
      </c>
      <c r="J25" s="1"/>
      <c r="K25" s="1"/>
      <c r="L25" s="1"/>
      <c r="M25" s="1"/>
      <c r="N25" s="1"/>
      <c r="O25" s="1"/>
      <c r="P25" s="1"/>
      <c r="Q25" s="1"/>
    </row>
    <row r="26" spans="1:17">
      <c r="A26" s="10" t="s">
        <v>2913</v>
      </c>
      <c r="B26" s="10" t="s">
        <v>877</v>
      </c>
      <c r="C26" s="10" t="s">
        <v>3338</v>
      </c>
      <c r="D26" s="17" t="s">
        <v>3364</v>
      </c>
      <c r="E26" s="10">
        <f>IFERROR(MATCH(B26,'02_ツリー'!$E$5:$E$679,0)+4,"")</f>
        <v>447</v>
      </c>
      <c r="F26" s="10">
        <f>IFERROR(INDEX('03_ダッシュボード'!$F$11:$F$412,MATCH(B26,'03_ダッシュボード'!$A$11:$A$412,0)),0)</f>
        <v>1</v>
      </c>
      <c r="G26" s="10">
        <f>IFERROR(INDEX('03_ダッシュボード'!$G$11:$G$412,MATCH(B26,'03_ダッシュボード'!$A$11:$A$412,0)),0)</f>
        <v>0</v>
      </c>
      <c r="H26" s="10">
        <f t="shared" si="0"/>
        <v>1</v>
      </c>
      <c r="I26" s="14" t="str">
        <f t="shared" si="1"/>
        <v>参照済</v>
      </c>
      <c r="J26" s="1"/>
      <c r="K26" s="1"/>
      <c r="L26" s="1"/>
      <c r="M26" s="1"/>
      <c r="N26" s="1"/>
      <c r="O26" s="1"/>
      <c r="P26" s="1"/>
      <c r="Q26" s="1"/>
    </row>
    <row r="27" spans="1:17">
      <c r="A27" s="10" t="s">
        <v>2913</v>
      </c>
      <c r="B27" s="10" t="s">
        <v>905</v>
      </c>
      <c r="C27" s="10" t="s">
        <v>3338</v>
      </c>
      <c r="D27" s="17" t="s">
        <v>3365</v>
      </c>
      <c r="E27" s="10">
        <f>IFERROR(MATCH(B27,'02_ツリー'!$E$5:$E$679,0)+4,"")</f>
        <v>456</v>
      </c>
      <c r="F27" s="10">
        <f>IFERROR(INDEX('03_ダッシュボード'!$F$11:$F$412,MATCH(B27,'03_ダッシュボード'!$A$11:$A$412,0)),0)</f>
        <v>1</v>
      </c>
      <c r="G27" s="10">
        <f>IFERROR(INDEX('03_ダッシュボード'!$G$11:$G$412,MATCH(B27,'03_ダッシュボード'!$A$11:$A$412,0)),0)</f>
        <v>0</v>
      </c>
      <c r="H27" s="10">
        <f t="shared" si="0"/>
        <v>1</v>
      </c>
      <c r="I27" s="14" t="str">
        <f t="shared" si="1"/>
        <v>参照済</v>
      </c>
      <c r="J27" s="1"/>
      <c r="K27" s="1"/>
      <c r="L27" s="1"/>
      <c r="M27" s="1"/>
      <c r="N27" s="1"/>
      <c r="O27" s="1"/>
      <c r="P27" s="1"/>
      <c r="Q27" s="1"/>
    </row>
    <row r="28" spans="1:17">
      <c r="A28" s="10" t="s">
        <v>2913</v>
      </c>
      <c r="B28" s="10" t="s">
        <v>1214</v>
      </c>
      <c r="C28" s="10" t="s">
        <v>3338</v>
      </c>
      <c r="D28" s="17" t="s">
        <v>3366</v>
      </c>
      <c r="E28" s="10">
        <f>IFERROR(MATCH(B28,'02_ツリー'!$E$5:$E$679,0)+4,"")</f>
        <v>537</v>
      </c>
      <c r="F28" s="10">
        <f>IFERROR(INDEX('03_ダッシュボード'!$F$11:$F$412,MATCH(B28,'03_ダッシュボード'!$A$11:$A$412,0)),0)</f>
        <v>1</v>
      </c>
      <c r="G28" s="10">
        <f>IFERROR(INDEX('03_ダッシュボード'!$G$11:$G$412,MATCH(B28,'03_ダッシュボード'!$A$11:$A$412,0)),0)</f>
        <v>0</v>
      </c>
      <c r="H28" s="10">
        <f t="shared" si="0"/>
        <v>1</v>
      </c>
      <c r="I28" s="14" t="str">
        <f t="shared" si="1"/>
        <v>参照済</v>
      </c>
      <c r="J28" s="1"/>
      <c r="K28" s="1"/>
      <c r="L28" s="1"/>
      <c r="M28" s="1"/>
      <c r="N28" s="1"/>
      <c r="O28" s="1"/>
      <c r="P28" s="1"/>
      <c r="Q28" s="1"/>
    </row>
    <row r="29" spans="1:17">
      <c r="A29" s="10" t="s">
        <v>2913</v>
      </c>
      <c r="B29" s="10" t="s">
        <v>212</v>
      </c>
      <c r="C29" s="10" t="s">
        <v>3342</v>
      </c>
      <c r="D29" s="17" t="s">
        <v>3367</v>
      </c>
      <c r="E29" s="10">
        <f>IFERROR(MATCH(B29,'02_ツリー'!$E$5:$E$679,0)+4,"")</f>
        <v>27</v>
      </c>
      <c r="F29" s="10">
        <f>IFERROR(INDEX('03_ダッシュボード'!$F$11:$F$412,MATCH(B29,'03_ダッシュボード'!$A$11:$A$412,0)),0)</f>
        <v>1</v>
      </c>
      <c r="G29" s="10">
        <f>IFERROR(INDEX('03_ダッシュボード'!$G$11:$G$412,MATCH(B29,'03_ダッシュボード'!$A$11:$A$412,0)),0)</f>
        <v>0</v>
      </c>
      <c r="H29" s="10">
        <f t="shared" si="0"/>
        <v>0</v>
      </c>
      <c r="I29" s="14" t="str">
        <f t="shared" si="1"/>
        <v>参照済</v>
      </c>
      <c r="J29" s="1"/>
      <c r="K29" s="1"/>
      <c r="L29" s="1"/>
      <c r="M29" s="1"/>
      <c r="N29" s="1"/>
      <c r="O29" s="1"/>
      <c r="P29" s="1"/>
      <c r="Q29" s="1"/>
    </row>
    <row r="30" spans="1:17">
      <c r="A30" s="10" t="s">
        <v>2921</v>
      </c>
      <c r="B30" s="10" t="s">
        <v>212</v>
      </c>
      <c r="C30" s="10" t="s">
        <v>3342</v>
      </c>
      <c r="D30" s="17" t="s">
        <v>3368</v>
      </c>
      <c r="E30" s="10">
        <f>IFERROR(MATCH(B30,'02_ツリー'!$E$5:$E$679,0)+4,"")</f>
        <v>27</v>
      </c>
      <c r="F30" s="10">
        <f>IFERROR(INDEX('03_ダッシュボード'!$F$11:$F$412,MATCH(B30,'03_ダッシュボード'!$A$11:$A$412,0)),0)</f>
        <v>1</v>
      </c>
      <c r="G30" s="10">
        <f>IFERROR(INDEX('03_ダッシュボード'!$G$11:$G$412,MATCH(B30,'03_ダッシュボード'!$A$11:$A$412,0)),0)</f>
        <v>0</v>
      </c>
      <c r="H30" s="10">
        <f t="shared" si="0"/>
        <v>0</v>
      </c>
      <c r="I30" s="14" t="str">
        <f t="shared" si="1"/>
        <v>参照済</v>
      </c>
      <c r="J30" s="1"/>
      <c r="K30" s="1"/>
      <c r="L30" s="1"/>
      <c r="M30" s="1"/>
      <c r="N30" s="1"/>
      <c r="O30" s="1"/>
      <c r="P30" s="1"/>
      <c r="Q30" s="1"/>
    </row>
    <row r="31" spans="1:17">
      <c r="A31" s="10" t="s">
        <v>2921</v>
      </c>
      <c r="B31" s="10" t="s">
        <v>465</v>
      </c>
      <c r="C31" s="10" t="s">
        <v>3342</v>
      </c>
      <c r="D31" s="17" t="s">
        <v>3369</v>
      </c>
      <c r="E31" s="10">
        <f>IFERROR(MATCH(B31,'02_ツリー'!$E$5:$E$679,0)+4,"")</f>
        <v>221</v>
      </c>
      <c r="F31" s="10">
        <f>IFERROR(INDEX('03_ダッシュボード'!$F$11:$F$412,MATCH(B31,'03_ダッシュボード'!$A$11:$A$412,0)),0)</f>
        <v>1</v>
      </c>
      <c r="G31" s="10">
        <f>IFERROR(INDEX('03_ダッシュボード'!$G$11:$G$412,MATCH(B31,'03_ダッシュボード'!$A$11:$A$412,0)),0)</f>
        <v>0</v>
      </c>
      <c r="H31" s="10">
        <f t="shared" si="0"/>
        <v>0</v>
      </c>
      <c r="I31" s="14" t="str">
        <f t="shared" si="1"/>
        <v>参照済</v>
      </c>
      <c r="J31" s="1"/>
      <c r="K31" s="1"/>
      <c r="L31" s="1"/>
      <c r="M31" s="1"/>
      <c r="N31" s="1"/>
      <c r="O31" s="1"/>
      <c r="P31" s="1"/>
      <c r="Q31" s="1"/>
    </row>
    <row r="32" spans="1:17">
      <c r="A32" s="10" t="s">
        <v>2921</v>
      </c>
      <c r="B32" s="10" t="s">
        <v>461</v>
      </c>
      <c r="C32" s="10" t="s">
        <v>3342</v>
      </c>
      <c r="D32" s="17" t="s">
        <v>3370</v>
      </c>
      <c r="E32" s="10">
        <f>IFERROR(MATCH(B32,'02_ツリー'!$E$5:$E$679,0)+4,"")</f>
        <v>220</v>
      </c>
      <c r="F32" s="10">
        <f>IFERROR(INDEX('03_ダッシュボード'!$F$11:$F$412,MATCH(B32,'03_ダッシュボード'!$A$11:$A$412,0)),0)</f>
        <v>1</v>
      </c>
      <c r="G32" s="10">
        <f>IFERROR(INDEX('03_ダッシュボード'!$G$11:$G$412,MATCH(B32,'03_ダッシュボード'!$A$11:$A$412,0)),0)</f>
        <v>0</v>
      </c>
      <c r="H32" s="10">
        <f t="shared" si="0"/>
        <v>0</v>
      </c>
      <c r="I32" s="14" t="str">
        <f t="shared" si="1"/>
        <v>参照済</v>
      </c>
      <c r="J32" s="1"/>
      <c r="K32" s="1"/>
      <c r="L32" s="1"/>
      <c r="M32" s="1"/>
      <c r="N32" s="1"/>
      <c r="O32" s="1"/>
      <c r="P32" s="1"/>
      <c r="Q32" s="1"/>
    </row>
    <row r="33" spans="1:17">
      <c r="A33" s="10" t="s">
        <v>2921</v>
      </c>
      <c r="B33" s="10" t="s">
        <v>468</v>
      </c>
      <c r="C33" s="10" t="s">
        <v>3342</v>
      </c>
      <c r="D33" s="17" t="s">
        <v>3371</v>
      </c>
      <c r="E33" s="10">
        <f>IFERROR(MATCH(B33,'02_ツリー'!$E$5:$E$679,0)+4,"")</f>
        <v>222</v>
      </c>
      <c r="F33" s="10">
        <f>IFERROR(INDEX('03_ダッシュボード'!$F$11:$F$412,MATCH(B33,'03_ダッシュボード'!$A$11:$A$412,0)),0)</f>
        <v>1</v>
      </c>
      <c r="G33" s="10">
        <f>IFERROR(INDEX('03_ダッシュボード'!$G$11:$G$412,MATCH(B33,'03_ダッシュボード'!$A$11:$A$412,0)),0)</f>
        <v>0</v>
      </c>
      <c r="H33" s="10">
        <f t="shared" si="0"/>
        <v>0</v>
      </c>
      <c r="I33" s="14" t="str">
        <f t="shared" si="1"/>
        <v>参照済</v>
      </c>
      <c r="J33" s="1"/>
      <c r="K33" s="1"/>
      <c r="L33" s="1"/>
      <c r="M33" s="1"/>
      <c r="N33" s="1"/>
      <c r="O33" s="1"/>
      <c r="P33" s="1"/>
      <c r="Q33" s="1"/>
    </row>
    <row r="34" spans="1:17">
      <c r="A34" s="10" t="s">
        <v>2921</v>
      </c>
      <c r="B34" s="10" t="s">
        <v>917</v>
      </c>
      <c r="C34" s="10" t="s">
        <v>3338</v>
      </c>
      <c r="D34" s="17" t="s">
        <v>3372</v>
      </c>
      <c r="E34" s="10">
        <f>IFERROR(MATCH(B34,'02_ツリー'!$E$5:$E$679,0)+4,"")</f>
        <v>460</v>
      </c>
      <c r="F34" s="10">
        <f>IFERROR(INDEX('03_ダッシュボード'!$F$11:$F$412,MATCH(B34,'03_ダッシュボード'!$A$11:$A$412,0)),0)</f>
        <v>1</v>
      </c>
      <c r="G34" s="10">
        <f>IFERROR(INDEX('03_ダッシュボード'!$G$11:$G$412,MATCH(B34,'03_ダッシュボード'!$A$11:$A$412,0)),0)</f>
        <v>0</v>
      </c>
      <c r="H34" s="10">
        <f t="shared" ref="H34:H65" si="2">IF(C34="増加",F34,IF(C34="減少",-G34,MIN(F34,-G34)))</f>
        <v>1</v>
      </c>
      <c r="I34" s="14" t="str">
        <f t="shared" ref="I34:I65" si="3">IF(E34="","未参照","参照済")</f>
        <v>参照済</v>
      </c>
      <c r="J34" s="1"/>
      <c r="K34" s="1"/>
      <c r="L34" s="1"/>
      <c r="M34" s="1"/>
      <c r="N34" s="1"/>
      <c r="O34" s="1"/>
      <c r="P34" s="1"/>
      <c r="Q34" s="1"/>
    </row>
    <row r="35" spans="1:17">
      <c r="A35" s="10" t="s">
        <v>2931</v>
      </c>
      <c r="B35" s="10" t="s">
        <v>95</v>
      </c>
      <c r="C35" s="10" t="s">
        <v>3338</v>
      </c>
      <c r="D35" s="17" t="s">
        <v>3373</v>
      </c>
      <c r="E35" s="10">
        <f>IFERROR(MATCH(B35,'02_ツリー'!$E$5:$E$679,0)+4,"")</f>
        <v>81</v>
      </c>
      <c r="F35" s="10">
        <f>IFERROR(INDEX('03_ダッシュボード'!$F$11:$F$412,MATCH(B35,'03_ダッシュボード'!$A$11:$A$412,0)),0)</f>
        <v>1</v>
      </c>
      <c r="G35" s="10">
        <f>IFERROR(INDEX('03_ダッシュボード'!$G$11:$G$412,MATCH(B35,'03_ダッシュボード'!$A$11:$A$412,0)),0)</f>
        <v>0</v>
      </c>
      <c r="H35" s="10">
        <f t="shared" si="2"/>
        <v>1</v>
      </c>
      <c r="I35" s="14" t="str">
        <f t="shared" si="3"/>
        <v>参照済</v>
      </c>
      <c r="J35" s="1"/>
      <c r="K35" s="1"/>
      <c r="L35" s="1"/>
      <c r="M35" s="1"/>
      <c r="N35" s="1"/>
      <c r="O35" s="1"/>
      <c r="P35" s="1"/>
      <c r="Q35" s="1"/>
    </row>
    <row r="36" spans="1:17">
      <c r="A36" s="10" t="s">
        <v>2931</v>
      </c>
      <c r="B36" s="10" t="s">
        <v>72</v>
      </c>
      <c r="C36" s="10" t="s">
        <v>3338</v>
      </c>
      <c r="D36" s="17" t="s">
        <v>3374</v>
      </c>
      <c r="E36" s="10">
        <f>IFERROR(MATCH(B36,'02_ツリー'!$E$5:$E$679,0)+4,"")</f>
        <v>57</v>
      </c>
      <c r="F36" s="10">
        <f>IFERROR(INDEX('03_ダッシュボード'!$F$11:$F$412,MATCH(B36,'03_ダッシュボード'!$A$11:$A$412,0)),0)</f>
        <v>1</v>
      </c>
      <c r="G36" s="10">
        <f>IFERROR(INDEX('03_ダッシュボード'!$G$11:$G$412,MATCH(B36,'03_ダッシュボード'!$A$11:$A$412,0)),0)</f>
        <v>0</v>
      </c>
      <c r="H36" s="10">
        <f t="shared" si="2"/>
        <v>1</v>
      </c>
      <c r="I36" s="14" t="str">
        <f t="shared" si="3"/>
        <v>参照済</v>
      </c>
      <c r="J36" s="1"/>
      <c r="K36" s="1"/>
      <c r="L36" s="1"/>
      <c r="M36" s="1"/>
      <c r="N36" s="1"/>
      <c r="O36" s="1"/>
      <c r="P36" s="1"/>
      <c r="Q36" s="1"/>
    </row>
    <row r="37" spans="1:17">
      <c r="A37" s="10" t="s">
        <v>2931</v>
      </c>
      <c r="B37" s="10" t="s">
        <v>987</v>
      </c>
      <c r="C37" s="10" t="s">
        <v>3342</v>
      </c>
      <c r="D37" s="17" t="s">
        <v>3375</v>
      </c>
      <c r="E37" s="10" t="str">
        <f>IFERROR(MATCH(B37,'02_ツリー'!$E$5:$E$679,0)+4,"")</f>
        <v/>
      </c>
      <c r="F37" s="10">
        <f>IFERROR(INDEX('03_ダッシュボード'!$F$11:$F$412,MATCH(B37,'03_ダッシュボード'!$A$11:$A$412,0)),0)</f>
        <v>0</v>
      </c>
      <c r="G37" s="10">
        <f>IFERROR(INDEX('03_ダッシュボード'!$G$11:$G$412,MATCH(B37,'03_ダッシュボード'!$A$11:$A$412,0)),0)</f>
        <v>0</v>
      </c>
      <c r="H37" s="10">
        <f t="shared" si="2"/>
        <v>0</v>
      </c>
      <c r="I37" s="14" t="str">
        <f t="shared" si="3"/>
        <v>未参照</v>
      </c>
      <c r="J37" s="1"/>
      <c r="K37" s="1"/>
      <c r="L37" s="1"/>
      <c r="M37" s="1"/>
      <c r="N37" s="1"/>
      <c r="O37" s="1"/>
      <c r="P37" s="1"/>
      <c r="Q37" s="1"/>
    </row>
    <row r="38" spans="1:17">
      <c r="A38" s="10" t="s">
        <v>2939</v>
      </c>
      <c r="B38" s="10" t="s">
        <v>1497</v>
      </c>
      <c r="C38" s="10" t="s">
        <v>3338</v>
      </c>
      <c r="D38" s="17" t="s">
        <v>3376</v>
      </c>
      <c r="E38" s="10">
        <f>IFERROR(MATCH(B38,'02_ツリー'!$E$5:$E$679,0)+4,"")</f>
        <v>12</v>
      </c>
      <c r="F38" s="10">
        <f>IFERROR(INDEX('03_ダッシュボード'!$F$11:$F$412,MATCH(B38,'03_ダッシュボード'!$A$11:$A$412,0)),0)</f>
        <v>1</v>
      </c>
      <c r="G38" s="10">
        <f>IFERROR(INDEX('03_ダッシュボード'!$G$11:$G$412,MATCH(B38,'03_ダッシュボード'!$A$11:$A$412,0)),0)</f>
        <v>0</v>
      </c>
      <c r="H38" s="10">
        <f t="shared" si="2"/>
        <v>1</v>
      </c>
      <c r="I38" s="14" t="str">
        <f t="shared" si="3"/>
        <v>参照済</v>
      </c>
      <c r="J38" s="1"/>
      <c r="K38" s="1"/>
      <c r="L38" s="1"/>
      <c r="M38" s="1"/>
      <c r="N38" s="1"/>
      <c r="O38" s="1"/>
      <c r="P38" s="1"/>
      <c r="Q38" s="1"/>
    </row>
    <row r="39" spans="1:17">
      <c r="A39" s="10" t="s">
        <v>2939</v>
      </c>
      <c r="B39" s="10" t="s">
        <v>402</v>
      </c>
      <c r="C39" s="10" t="s">
        <v>3342</v>
      </c>
      <c r="D39" s="17" t="s">
        <v>3377</v>
      </c>
      <c r="E39" s="10">
        <f>IFERROR(MATCH(B39,'02_ツリー'!$E$5:$E$679,0)+4,"")</f>
        <v>180</v>
      </c>
      <c r="F39" s="10">
        <f>IFERROR(INDEX('03_ダッシュボード'!$F$11:$F$412,MATCH(B39,'03_ダッシュボード'!$A$11:$A$412,0)),0)</f>
        <v>1</v>
      </c>
      <c r="G39" s="10">
        <f>IFERROR(INDEX('03_ダッシュボード'!$G$11:$G$412,MATCH(B39,'03_ダッシュボード'!$A$11:$A$412,0)),0)</f>
        <v>0</v>
      </c>
      <c r="H39" s="10">
        <f t="shared" si="2"/>
        <v>0</v>
      </c>
      <c r="I39" s="14" t="str">
        <f t="shared" si="3"/>
        <v>参照済</v>
      </c>
      <c r="J39" s="1"/>
      <c r="K39" s="1"/>
      <c r="L39" s="1"/>
      <c r="M39" s="1"/>
      <c r="N39" s="1"/>
      <c r="O39" s="1"/>
      <c r="P39" s="1"/>
      <c r="Q39" s="1"/>
    </row>
    <row r="40" spans="1:17">
      <c r="A40" s="10" t="s">
        <v>2939</v>
      </c>
      <c r="B40" s="10" t="s">
        <v>931</v>
      </c>
      <c r="C40" s="10" t="s">
        <v>3342</v>
      </c>
      <c r="D40" s="17" t="s">
        <v>3378</v>
      </c>
      <c r="E40" s="10">
        <f>IFERROR(MATCH(B40,'02_ツリー'!$E$5:$E$679,0)+4,"")</f>
        <v>424</v>
      </c>
      <c r="F40" s="10">
        <f>IFERROR(INDEX('03_ダッシュボード'!$F$11:$F$412,MATCH(B40,'03_ダッシュボード'!$A$11:$A$412,0)),0)</f>
        <v>1</v>
      </c>
      <c r="G40" s="10">
        <f>IFERROR(INDEX('03_ダッシュボード'!$G$11:$G$412,MATCH(B40,'03_ダッシュボード'!$A$11:$A$412,0)),0)</f>
        <v>0</v>
      </c>
      <c r="H40" s="10">
        <f t="shared" si="2"/>
        <v>0</v>
      </c>
      <c r="I40" s="14" t="str">
        <f t="shared" si="3"/>
        <v>参照済</v>
      </c>
      <c r="J40" s="1"/>
      <c r="K40" s="1"/>
      <c r="L40" s="1"/>
      <c r="M40" s="1"/>
      <c r="N40" s="1"/>
      <c r="O40" s="1"/>
      <c r="P40" s="1"/>
      <c r="Q40" s="1"/>
    </row>
    <row r="41" spans="1:17">
      <c r="A41" s="10" t="s">
        <v>2939</v>
      </c>
      <c r="B41" s="10" t="s">
        <v>938</v>
      </c>
      <c r="C41" s="10" t="s">
        <v>3338</v>
      </c>
      <c r="D41" s="17" t="s">
        <v>3379</v>
      </c>
      <c r="E41" s="10">
        <f>IFERROR(MATCH(B41,'02_ツリー'!$E$5:$E$679,0)+4,"")</f>
        <v>425</v>
      </c>
      <c r="F41" s="10">
        <f>IFERROR(INDEX('03_ダッシュボード'!$F$11:$F$412,MATCH(B41,'03_ダッシュボード'!$A$11:$A$412,0)),0)</f>
        <v>1</v>
      </c>
      <c r="G41" s="10">
        <f>IFERROR(INDEX('03_ダッシュボード'!$G$11:$G$412,MATCH(B41,'03_ダッシュボード'!$A$11:$A$412,0)),0)</f>
        <v>0</v>
      </c>
      <c r="H41" s="10">
        <f t="shared" si="2"/>
        <v>1</v>
      </c>
      <c r="I41" s="14" t="str">
        <f t="shared" si="3"/>
        <v>参照済</v>
      </c>
      <c r="J41" s="1"/>
      <c r="K41" s="1"/>
      <c r="L41" s="1"/>
      <c r="M41" s="1"/>
      <c r="N41" s="1"/>
      <c r="O41" s="1"/>
      <c r="P41" s="1"/>
      <c r="Q41" s="1"/>
    </row>
    <row r="42" spans="1:17">
      <c r="A42" s="10" t="s">
        <v>2939</v>
      </c>
      <c r="B42" s="10" t="s">
        <v>740</v>
      </c>
      <c r="C42" s="10" t="s">
        <v>3342</v>
      </c>
      <c r="D42" s="17" t="s">
        <v>3380</v>
      </c>
      <c r="E42" s="10">
        <f>IFERROR(MATCH(B42,'02_ツリー'!$E$5:$E$679,0)+4,"")</f>
        <v>344</v>
      </c>
      <c r="F42" s="10">
        <f>IFERROR(INDEX('03_ダッシュボード'!$F$11:$F$412,MATCH(B42,'03_ダッシュボード'!$A$11:$A$412,0)),0)</f>
        <v>1</v>
      </c>
      <c r="G42" s="10">
        <f>IFERROR(INDEX('03_ダッシュボード'!$G$11:$G$412,MATCH(B42,'03_ダッシュボード'!$A$11:$A$412,0)),0)</f>
        <v>0</v>
      </c>
      <c r="H42" s="10">
        <f t="shared" si="2"/>
        <v>0</v>
      </c>
      <c r="I42" s="14" t="str">
        <f t="shared" si="3"/>
        <v>参照済</v>
      </c>
      <c r="J42" s="1"/>
      <c r="K42" s="1"/>
      <c r="L42" s="1"/>
      <c r="M42" s="1"/>
      <c r="N42" s="1"/>
      <c r="O42" s="1"/>
      <c r="P42" s="1"/>
      <c r="Q42" s="1"/>
    </row>
    <row r="43" spans="1:17">
      <c r="A43" s="10" t="s">
        <v>2949</v>
      </c>
      <c r="B43" s="10" t="s">
        <v>72</v>
      </c>
      <c r="C43" s="10" t="s">
        <v>3338</v>
      </c>
      <c r="D43" s="17" t="s">
        <v>3381</v>
      </c>
      <c r="E43" s="10">
        <f>IFERROR(MATCH(B43,'02_ツリー'!$E$5:$E$679,0)+4,"")</f>
        <v>57</v>
      </c>
      <c r="F43" s="10">
        <f>IFERROR(INDEX('03_ダッシュボード'!$F$11:$F$412,MATCH(B43,'03_ダッシュボード'!$A$11:$A$412,0)),0)</f>
        <v>1</v>
      </c>
      <c r="G43" s="10">
        <f>IFERROR(INDEX('03_ダッシュボード'!$G$11:$G$412,MATCH(B43,'03_ダッシュボード'!$A$11:$A$412,0)),0)</f>
        <v>0</v>
      </c>
      <c r="H43" s="10">
        <f t="shared" si="2"/>
        <v>1</v>
      </c>
      <c r="I43" s="14" t="str">
        <f t="shared" si="3"/>
        <v>参照済</v>
      </c>
      <c r="J43" s="1"/>
      <c r="K43" s="1"/>
      <c r="L43" s="1"/>
      <c r="M43" s="1"/>
      <c r="N43" s="1"/>
      <c r="O43" s="1"/>
      <c r="P43" s="1"/>
      <c r="Q43" s="1"/>
    </row>
    <row r="44" spans="1:17">
      <c r="A44" s="10" t="s">
        <v>2949</v>
      </c>
      <c r="B44" s="10" t="s">
        <v>1077</v>
      </c>
      <c r="C44" s="10" t="s">
        <v>3338</v>
      </c>
      <c r="D44" s="17" t="s">
        <v>3382</v>
      </c>
      <c r="E44" s="10">
        <f>IFERROR(MATCH(B44,'02_ツリー'!$E$5:$E$679,0)+4,"")</f>
        <v>508</v>
      </c>
      <c r="F44" s="10">
        <f>IFERROR(INDEX('03_ダッシュボード'!$F$11:$F$412,MATCH(B44,'03_ダッシュボード'!$A$11:$A$412,0)),0)</f>
        <v>1</v>
      </c>
      <c r="G44" s="10">
        <f>IFERROR(INDEX('03_ダッシュボード'!$G$11:$G$412,MATCH(B44,'03_ダッシュボード'!$A$11:$A$412,0)),0)</f>
        <v>1</v>
      </c>
      <c r="H44" s="10">
        <f t="shared" si="2"/>
        <v>1</v>
      </c>
      <c r="I44" s="14" t="str">
        <f t="shared" si="3"/>
        <v>参照済</v>
      </c>
      <c r="J44" s="1"/>
      <c r="K44" s="1"/>
      <c r="L44" s="1"/>
      <c r="M44" s="1"/>
      <c r="N44" s="1"/>
      <c r="O44" s="1"/>
      <c r="P44" s="1"/>
      <c r="Q44" s="1"/>
    </row>
    <row r="45" spans="1:17">
      <c r="A45" s="10" t="s">
        <v>2949</v>
      </c>
      <c r="B45" s="10" t="s">
        <v>1092</v>
      </c>
      <c r="C45" s="10" t="s">
        <v>3338</v>
      </c>
      <c r="D45" s="17" t="s">
        <v>3383</v>
      </c>
      <c r="E45" s="10">
        <f>IFERROR(MATCH(B45,'02_ツリー'!$E$5:$E$679,0)+4,"")</f>
        <v>512</v>
      </c>
      <c r="F45" s="10">
        <f>IFERROR(INDEX('03_ダッシュボード'!$F$11:$F$412,MATCH(B45,'03_ダッシュボード'!$A$11:$A$412,0)),0)</f>
        <v>1</v>
      </c>
      <c r="G45" s="10">
        <f>IFERROR(INDEX('03_ダッシュボード'!$G$11:$G$412,MATCH(B45,'03_ダッシュボード'!$A$11:$A$412,0)),0)</f>
        <v>1</v>
      </c>
      <c r="H45" s="10">
        <f t="shared" si="2"/>
        <v>1</v>
      </c>
      <c r="I45" s="14" t="str">
        <f t="shared" si="3"/>
        <v>参照済</v>
      </c>
      <c r="J45" s="1"/>
      <c r="K45" s="1"/>
      <c r="L45" s="1"/>
      <c r="M45" s="1"/>
      <c r="N45" s="1"/>
      <c r="O45" s="1"/>
      <c r="P45" s="1"/>
      <c r="Q45" s="1"/>
    </row>
    <row r="46" spans="1:17">
      <c r="A46" s="10" t="s">
        <v>2949</v>
      </c>
      <c r="B46" s="10" t="s">
        <v>931</v>
      </c>
      <c r="C46" s="10" t="s">
        <v>3342</v>
      </c>
      <c r="D46" s="17" t="s">
        <v>3384</v>
      </c>
      <c r="E46" s="10">
        <f>IFERROR(MATCH(B46,'02_ツリー'!$E$5:$E$679,0)+4,"")</f>
        <v>424</v>
      </c>
      <c r="F46" s="10">
        <f>IFERROR(INDEX('03_ダッシュボード'!$F$11:$F$412,MATCH(B46,'03_ダッシュボード'!$A$11:$A$412,0)),0)</f>
        <v>1</v>
      </c>
      <c r="G46" s="10">
        <f>IFERROR(INDEX('03_ダッシュボード'!$G$11:$G$412,MATCH(B46,'03_ダッシュボード'!$A$11:$A$412,0)),0)</f>
        <v>0</v>
      </c>
      <c r="H46" s="10">
        <f t="shared" si="2"/>
        <v>0</v>
      </c>
      <c r="I46" s="14" t="str">
        <f t="shared" si="3"/>
        <v>参照済</v>
      </c>
      <c r="J46" s="1"/>
      <c r="K46" s="1"/>
      <c r="L46" s="1"/>
      <c r="M46" s="1"/>
      <c r="N46" s="1"/>
      <c r="O46" s="1"/>
      <c r="P46" s="1"/>
      <c r="Q46" s="1"/>
    </row>
    <row r="47" spans="1:17">
      <c r="A47" s="10" t="s">
        <v>2957</v>
      </c>
      <c r="B47" s="10" t="s">
        <v>72</v>
      </c>
      <c r="C47" s="10" t="s">
        <v>3338</v>
      </c>
      <c r="D47" s="17" t="s">
        <v>3385</v>
      </c>
      <c r="E47" s="10">
        <f>IFERROR(MATCH(B47,'02_ツリー'!$E$5:$E$679,0)+4,"")</f>
        <v>57</v>
      </c>
      <c r="F47" s="10">
        <f>IFERROR(INDEX('03_ダッシュボード'!$F$11:$F$412,MATCH(B47,'03_ダッシュボード'!$A$11:$A$412,0)),0)</f>
        <v>1</v>
      </c>
      <c r="G47" s="10">
        <f>IFERROR(INDEX('03_ダッシュボード'!$G$11:$G$412,MATCH(B47,'03_ダッシュボード'!$A$11:$A$412,0)),0)</f>
        <v>0</v>
      </c>
      <c r="H47" s="10">
        <f t="shared" si="2"/>
        <v>1</v>
      </c>
      <c r="I47" s="14" t="str">
        <f t="shared" si="3"/>
        <v>参照済</v>
      </c>
      <c r="J47" s="1"/>
      <c r="K47" s="1"/>
      <c r="L47" s="1"/>
      <c r="M47" s="1"/>
      <c r="N47" s="1"/>
      <c r="O47" s="1"/>
      <c r="P47" s="1"/>
      <c r="Q47" s="1"/>
    </row>
    <row r="48" spans="1:17">
      <c r="A48" s="10" t="s">
        <v>2957</v>
      </c>
      <c r="B48" s="10" t="s">
        <v>95</v>
      </c>
      <c r="C48" s="10" t="s">
        <v>3338</v>
      </c>
      <c r="D48" s="17" t="s">
        <v>3386</v>
      </c>
      <c r="E48" s="10">
        <f>IFERROR(MATCH(B48,'02_ツリー'!$E$5:$E$679,0)+4,"")</f>
        <v>81</v>
      </c>
      <c r="F48" s="10">
        <f>IFERROR(INDEX('03_ダッシュボード'!$F$11:$F$412,MATCH(B48,'03_ダッシュボード'!$A$11:$A$412,0)),0)</f>
        <v>1</v>
      </c>
      <c r="G48" s="10">
        <f>IFERROR(INDEX('03_ダッシュボード'!$G$11:$G$412,MATCH(B48,'03_ダッシュボード'!$A$11:$A$412,0)),0)</f>
        <v>0</v>
      </c>
      <c r="H48" s="10">
        <f t="shared" si="2"/>
        <v>1</v>
      </c>
      <c r="I48" s="14" t="str">
        <f t="shared" si="3"/>
        <v>参照済</v>
      </c>
      <c r="J48" s="1"/>
      <c r="K48" s="1"/>
      <c r="L48" s="1"/>
      <c r="M48" s="1"/>
      <c r="N48" s="1"/>
      <c r="O48" s="1"/>
      <c r="P48" s="1"/>
      <c r="Q48" s="1"/>
    </row>
    <row r="49" spans="1:17">
      <c r="A49" s="10" t="s">
        <v>2957</v>
      </c>
      <c r="B49" s="10" t="s">
        <v>987</v>
      </c>
      <c r="C49" s="10" t="s">
        <v>3338</v>
      </c>
      <c r="D49" s="17" t="s">
        <v>3387</v>
      </c>
      <c r="E49" s="10" t="str">
        <f>IFERROR(MATCH(B49,'02_ツリー'!$E$5:$E$679,0)+4,"")</f>
        <v/>
      </c>
      <c r="F49" s="10">
        <f>IFERROR(INDEX('03_ダッシュボード'!$F$11:$F$412,MATCH(B49,'03_ダッシュボード'!$A$11:$A$412,0)),0)</f>
        <v>0</v>
      </c>
      <c r="G49" s="10">
        <f>IFERROR(INDEX('03_ダッシュボード'!$G$11:$G$412,MATCH(B49,'03_ダッシュボード'!$A$11:$A$412,0)),0)</f>
        <v>0</v>
      </c>
      <c r="H49" s="10">
        <f t="shared" si="2"/>
        <v>0</v>
      </c>
      <c r="I49" s="14" t="str">
        <f t="shared" si="3"/>
        <v>未参照</v>
      </c>
      <c r="J49" s="1"/>
      <c r="K49" s="1"/>
      <c r="L49" s="1"/>
      <c r="M49" s="1"/>
      <c r="N49" s="1"/>
      <c r="O49" s="1"/>
      <c r="P49" s="1"/>
      <c r="Q49" s="1"/>
    </row>
    <row r="50" spans="1:17">
      <c r="A50" s="10" t="s">
        <v>2957</v>
      </c>
      <c r="B50" s="10" t="s">
        <v>1001</v>
      </c>
      <c r="C50" s="10" t="s">
        <v>3338</v>
      </c>
      <c r="D50" s="17" t="s">
        <v>3388</v>
      </c>
      <c r="E50" s="10">
        <f>IFERROR(MATCH(B50,'02_ツリー'!$E$5:$E$679,0)+4,"")</f>
        <v>486</v>
      </c>
      <c r="F50" s="10">
        <f>IFERROR(INDEX('03_ダッシュボード'!$F$11:$F$412,MATCH(B50,'03_ダッシュボード'!$A$11:$A$412,0)),0)</f>
        <v>0</v>
      </c>
      <c r="G50" s="10">
        <f>IFERROR(INDEX('03_ダッシュボード'!$G$11:$G$412,MATCH(B50,'03_ダッシュボード'!$A$11:$A$412,0)),0)</f>
        <v>1</v>
      </c>
      <c r="H50" s="10">
        <f t="shared" si="2"/>
        <v>0</v>
      </c>
      <c r="I50" s="14" t="str">
        <f t="shared" si="3"/>
        <v>参照済</v>
      </c>
      <c r="J50" s="1"/>
      <c r="K50" s="1"/>
      <c r="L50" s="1"/>
      <c r="M50" s="1"/>
      <c r="N50" s="1"/>
      <c r="O50" s="1"/>
      <c r="P50" s="1"/>
      <c r="Q50" s="1"/>
    </row>
    <row r="51" spans="1:17">
      <c r="A51" s="10" t="s">
        <v>2957</v>
      </c>
      <c r="B51" s="10" t="s">
        <v>973</v>
      </c>
      <c r="C51" s="10" t="s">
        <v>3338</v>
      </c>
      <c r="D51" s="17" t="s">
        <v>3389</v>
      </c>
      <c r="E51" s="10">
        <f>IFERROR(MATCH(B51,'02_ツリー'!$E$5:$E$679,0)+4,"")</f>
        <v>480</v>
      </c>
      <c r="F51" s="10">
        <f>IFERROR(INDEX('03_ダッシュボード'!$F$11:$F$412,MATCH(B51,'03_ダッシュボード'!$A$11:$A$412,0)),0)</f>
        <v>0</v>
      </c>
      <c r="G51" s="10">
        <f>IFERROR(INDEX('03_ダッシュボード'!$G$11:$G$412,MATCH(B51,'03_ダッシュボード'!$A$11:$A$412,0)),0)</f>
        <v>1</v>
      </c>
      <c r="H51" s="10">
        <f t="shared" si="2"/>
        <v>0</v>
      </c>
      <c r="I51" s="14" t="str">
        <f t="shared" si="3"/>
        <v>参照済</v>
      </c>
      <c r="J51" s="1"/>
      <c r="K51" s="1"/>
      <c r="L51" s="1"/>
      <c r="M51" s="1"/>
      <c r="N51" s="1"/>
      <c r="O51" s="1"/>
      <c r="P51" s="1"/>
      <c r="Q51" s="1"/>
    </row>
    <row r="52" spans="1:17">
      <c r="A52" s="10" t="s">
        <v>2957</v>
      </c>
      <c r="B52" s="10" t="s">
        <v>844</v>
      </c>
      <c r="C52" s="10" t="s">
        <v>3338</v>
      </c>
      <c r="D52" s="17" t="s">
        <v>3390</v>
      </c>
      <c r="E52" s="10">
        <f>IFERROR(MATCH(B52,'02_ツリー'!$E$5:$E$679,0)+4,"")</f>
        <v>426</v>
      </c>
      <c r="F52" s="10">
        <f>IFERROR(INDEX('03_ダッシュボード'!$F$11:$F$412,MATCH(B52,'03_ダッシュボード'!$A$11:$A$412,0)),0)</f>
        <v>1</v>
      </c>
      <c r="G52" s="10">
        <f>IFERROR(INDEX('03_ダッシュボード'!$G$11:$G$412,MATCH(B52,'03_ダッシュボード'!$A$11:$A$412,0)),0)</f>
        <v>1</v>
      </c>
      <c r="H52" s="10">
        <f t="shared" si="2"/>
        <v>1</v>
      </c>
      <c r="I52" s="14" t="str">
        <f t="shared" si="3"/>
        <v>参照済</v>
      </c>
      <c r="J52" s="1"/>
      <c r="K52" s="1"/>
      <c r="L52" s="1"/>
      <c r="M52" s="1"/>
      <c r="N52" s="1"/>
      <c r="O52" s="1"/>
      <c r="P52" s="1"/>
      <c r="Q52" s="1"/>
    </row>
    <row r="53" spans="1:17">
      <c r="A53" s="10" t="s">
        <v>2965</v>
      </c>
      <c r="B53" s="10" t="s">
        <v>783</v>
      </c>
      <c r="C53" s="10" t="s">
        <v>3338</v>
      </c>
      <c r="D53" s="17" t="s">
        <v>3391</v>
      </c>
      <c r="E53" s="10">
        <f>IFERROR(MATCH(B53,'02_ツリー'!$E$5:$E$679,0)+4,"")</f>
        <v>363</v>
      </c>
      <c r="F53" s="10">
        <f>IFERROR(INDEX('03_ダッシュボード'!$F$11:$F$412,MATCH(B53,'03_ダッシュボード'!$A$11:$A$412,0)),0)</f>
        <v>0</v>
      </c>
      <c r="G53" s="10">
        <f>IFERROR(INDEX('03_ダッシュボード'!$G$11:$G$412,MATCH(B53,'03_ダッシュボード'!$A$11:$A$412,0)),0)</f>
        <v>1</v>
      </c>
      <c r="H53" s="10">
        <f t="shared" si="2"/>
        <v>0</v>
      </c>
      <c r="I53" s="14" t="str">
        <f t="shared" si="3"/>
        <v>参照済</v>
      </c>
      <c r="J53" s="1"/>
      <c r="K53" s="1"/>
      <c r="L53" s="1"/>
      <c r="M53" s="1"/>
      <c r="N53" s="1"/>
      <c r="O53" s="1"/>
      <c r="P53" s="1"/>
      <c r="Q53" s="1"/>
    </row>
    <row r="54" spans="1:17">
      <c r="A54" s="10" t="s">
        <v>2965</v>
      </c>
      <c r="B54" s="10" t="s">
        <v>771</v>
      </c>
      <c r="C54" s="10" t="s">
        <v>3338</v>
      </c>
      <c r="D54" s="17" t="s">
        <v>3392</v>
      </c>
      <c r="E54" s="10">
        <f>IFERROR(MATCH(B54,'02_ツリー'!$E$5:$E$679,0)+4,"")</f>
        <v>360</v>
      </c>
      <c r="F54" s="10">
        <f>IFERROR(INDEX('03_ダッシュボード'!$F$11:$F$412,MATCH(B54,'03_ダッシュボード'!$A$11:$A$412,0)),0)</f>
        <v>1</v>
      </c>
      <c r="G54" s="10">
        <f>IFERROR(INDEX('03_ダッシュボード'!$G$11:$G$412,MATCH(B54,'03_ダッシュボード'!$A$11:$A$412,0)),0)</f>
        <v>1</v>
      </c>
      <c r="H54" s="10">
        <f t="shared" si="2"/>
        <v>1</v>
      </c>
      <c r="I54" s="14" t="str">
        <f t="shared" si="3"/>
        <v>参照済</v>
      </c>
      <c r="J54" s="1"/>
      <c r="K54" s="1"/>
      <c r="L54" s="1"/>
      <c r="M54" s="1"/>
      <c r="N54" s="1"/>
      <c r="O54" s="1"/>
      <c r="P54" s="1"/>
      <c r="Q54" s="1"/>
    </row>
    <row r="55" spans="1:17">
      <c r="A55" s="10" t="s">
        <v>2965</v>
      </c>
      <c r="B55" s="10" t="s">
        <v>95</v>
      </c>
      <c r="C55" s="10" t="s">
        <v>3342</v>
      </c>
      <c r="D55" s="17" t="s">
        <v>3393</v>
      </c>
      <c r="E55" s="10">
        <f>IFERROR(MATCH(B55,'02_ツリー'!$E$5:$E$679,0)+4,"")</f>
        <v>81</v>
      </c>
      <c r="F55" s="10">
        <f>IFERROR(INDEX('03_ダッシュボード'!$F$11:$F$412,MATCH(B55,'03_ダッシュボード'!$A$11:$A$412,0)),0)</f>
        <v>1</v>
      </c>
      <c r="G55" s="10">
        <f>IFERROR(INDEX('03_ダッシュボード'!$G$11:$G$412,MATCH(B55,'03_ダッシュボード'!$A$11:$A$412,0)),0)</f>
        <v>0</v>
      </c>
      <c r="H55" s="10">
        <f t="shared" si="2"/>
        <v>0</v>
      </c>
      <c r="I55" s="14" t="str">
        <f t="shared" si="3"/>
        <v>参照済</v>
      </c>
      <c r="J55" s="1"/>
      <c r="K55" s="1"/>
      <c r="L55" s="1"/>
      <c r="M55" s="1"/>
      <c r="N55" s="1"/>
      <c r="O55" s="1"/>
      <c r="P55" s="1"/>
      <c r="Q55" s="1"/>
    </row>
    <row r="56" spans="1:17">
      <c r="A56" s="10" t="s">
        <v>2965</v>
      </c>
      <c r="B56" s="10" t="s">
        <v>72</v>
      </c>
      <c r="C56" s="10" t="s">
        <v>3338</v>
      </c>
      <c r="D56" s="17" t="s">
        <v>3394</v>
      </c>
      <c r="E56" s="10">
        <f>IFERROR(MATCH(B56,'02_ツリー'!$E$5:$E$679,0)+4,"")</f>
        <v>57</v>
      </c>
      <c r="F56" s="10">
        <f>IFERROR(INDEX('03_ダッシュボード'!$F$11:$F$412,MATCH(B56,'03_ダッシュボード'!$A$11:$A$412,0)),0)</f>
        <v>1</v>
      </c>
      <c r="G56" s="10">
        <f>IFERROR(INDEX('03_ダッシュボード'!$G$11:$G$412,MATCH(B56,'03_ダッシュボード'!$A$11:$A$412,0)),0)</f>
        <v>0</v>
      </c>
      <c r="H56" s="10">
        <f t="shared" si="2"/>
        <v>1</v>
      </c>
      <c r="I56" s="14" t="str">
        <f t="shared" si="3"/>
        <v>参照済</v>
      </c>
      <c r="J56" s="1"/>
      <c r="K56" s="1"/>
      <c r="L56" s="1"/>
      <c r="M56" s="1"/>
      <c r="N56" s="1"/>
      <c r="O56" s="1"/>
      <c r="P56" s="1"/>
      <c r="Q56" s="1"/>
    </row>
    <row r="57" spans="1:17">
      <c r="A57" s="10" t="s">
        <v>2973</v>
      </c>
      <c r="B57" s="10" t="s">
        <v>1210</v>
      </c>
      <c r="C57" s="10" t="s">
        <v>3338</v>
      </c>
      <c r="D57" s="17" t="s">
        <v>3395</v>
      </c>
      <c r="E57" s="10">
        <f>IFERROR(MATCH(B57,'02_ツリー'!$E$5:$E$679,0)+4,"")</f>
        <v>531</v>
      </c>
      <c r="F57" s="10">
        <f>IFERROR(INDEX('03_ダッシュボード'!$F$11:$F$412,MATCH(B57,'03_ダッシュボード'!$A$11:$A$412,0)),0)</f>
        <v>1</v>
      </c>
      <c r="G57" s="10">
        <f>IFERROR(INDEX('03_ダッシュボード'!$G$11:$G$412,MATCH(B57,'03_ダッシュボード'!$A$11:$A$412,0)),0)</f>
        <v>1</v>
      </c>
      <c r="H57" s="10">
        <f t="shared" si="2"/>
        <v>1</v>
      </c>
      <c r="I57" s="14" t="str">
        <f t="shared" si="3"/>
        <v>参照済</v>
      </c>
      <c r="J57" s="1"/>
      <c r="K57" s="1"/>
      <c r="L57" s="1"/>
      <c r="M57" s="1"/>
      <c r="N57" s="1"/>
      <c r="O57" s="1"/>
      <c r="P57" s="1"/>
      <c r="Q57" s="1"/>
    </row>
    <row r="58" spans="1:17">
      <c r="A58" s="10" t="s">
        <v>2973</v>
      </c>
      <c r="B58" s="10" t="s">
        <v>1116</v>
      </c>
      <c r="C58" s="10" t="s">
        <v>3338</v>
      </c>
      <c r="D58" s="17" t="s">
        <v>3396</v>
      </c>
      <c r="E58" s="10">
        <f>IFERROR(MATCH(B58,'02_ツリー'!$E$5:$E$679,0)+4,"")</f>
        <v>521</v>
      </c>
      <c r="F58" s="10">
        <f>IFERROR(INDEX('03_ダッシュボード'!$F$11:$F$412,MATCH(B58,'03_ダッシュボード'!$A$11:$A$412,0)),0)</f>
        <v>1</v>
      </c>
      <c r="G58" s="10">
        <f>IFERROR(INDEX('03_ダッシュボード'!$G$11:$G$412,MATCH(B58,'03_ダッシュボード'!$A$11:$A$412,0)),0)</f>
        <v>1</v>
      </c>
      <c r="H58" s="10">
        <f t="shared" si="2"/>
        <v>1</v>
      </c>
      <c r="I58" s="14" t="str">
        <f t="shared" si="3"/>
        <v>参照済</v>
      </c>
      <c r="J58" s="1"/>
      <c r="K58" s="1"/>
      <c r="L58" s="1"/>
      <c r="M58" s="1"/>
      <c r="N58" s="1"/>
      <c r="O58" s="1"/>
      <c r="P58" s="1"/>
      <c r="Q58" s="1"/>
    </row>
    <row r="59" spans="1:17">
      <c r="A59" s="10" t="s">
        <v>2973</v>
      </c>
      <c r="B59" s="10" t="s">
        <v>72</v>
      </c>
      <c r="C59" s="10" t="s">
        <v>3338</v>
      </c>
      <c r="D59" s="17" t="s">
        <v>3397</v>
      </c>
      <c r="E59" s="10">
        <f>IFERROR(MATCH(B59,'02_ツリー'!$E$5:$E$679,0)+4,"")</f>
        <v>57</v>
      </c>
      <c r="F59" s="10">
        <f>IFERROR(INDEX('03_ダッシュボード'!$F$11:$F$412,MATCH(B59,'03_ダッシュボード'!$A$11:$A$412,0)),0)</f>
        <v>1</v>
      </c>
      <c r="G59" s="10">
        <f>IFERROR(INDEX('03_ダッシュボード'!$G$11:$G$412,MATCH(B59,'03_ダッシュボード'!$A$11:$A$412,0)),0)</f>
        <v>0</v>
      </c>
      <c r="H59" s="10">
        <f t="shared" si="2"/>
        <v>1</v>
      </c>
      <c r="I59" s="14" t="str">
        <f t="shared" si="3"/>
        <v>参照済</v>
      </c>
      <c r="J59" s="1"/>
      <c r="K59" s="1"/>
      <c r="L59" s="1"/>
      <c r="M59" s="1"/>
      <c r="N59" s="1"/>
      <c r="O59" s="1"/>
      <c r="P59" s="1"/>
      <c r="Q59" s="1"/>
    </row>
    <row r="60" spans="1:17">
      <c r="A60" s="10" t="s">
        <v>2982</v>
      </c>
      <c r="B60" s="10" t="s">
        <v>1014</v>
      </c>
      <c r="C60" s="10" t="s">
        <v>3342</v>
      </c>
      <c r="D60" s="17" t="s">
        <v>3398</v>
      </c>
      <c r="E60" s="10">
        <f>IFERROR(MATCH(B60,'02_ツリー'!$E$5:$E$679,0)+4,"")</f>
        <v>489</v>
      </c>
      <c r="F60" s="10">
        <f>IFERROR(INDEX('03_ダッシュボード'!$F$11:$F$412,MATCH(B60,'03_ダッシュボード'!$A$11:$A$412,0)),0)</f>
        <v>1</v>
      </c>
      <c r="G60" s="10">
        <f>IFERROR(INDEX('03_ダッシュボード'!$G$11:$G$412,MATCH(B60,'03_ダッシュボード'!$A$11:$A$412,0)),0)</f>
        <v>0</v>
      </c>
      <c r="H60" s="10">
        <f t="shared" si="2"/>
        <v>0</v>
      </c>
      <c r="I60" s="14" t="str">
        <f t="shared" si="3"/>
        <v>参照済</v>
      </c>
      <c r="J60" s="1"/>
      <c r="K60" s="1"/>
      <c r="L60" s="1"/>
      <c r="M60" s="1"/>
      <c r="N60" s="1"/>
      <c r="O60" s="1"/>
      <c r="P60" s="1"/>
      <c r="Q60" s="1"/>
    </row>
    <row r="61" spans="1:17">
      <c r="A61" s="10" t="s">
        <v>2982</v>
      </c>
      <c r="B61" s="10" t="s">
        <v>1497</v>
      </c>
      <c r="C61" s="10" t="s">
        <v>3338</v>
      </c>
      <c r="D61" s="17" t="s">
        <v>3399</v>
      </c>
      <c r="E61" s="10">
        <f>IFERROR(MATCH(B61,'02_ツリー'!$E$5:$E$679,0)+4,"")</f>
        <v>12</v>
      </c>
      <c r="F61" s="10">
        <f>IFERROR(INDEX('03_ダッシュボード'!$F$11:$F$412,MATCH(B61,'03_ダッシュボード'!$A$11:$A$412,0)),0)</f>
        <v>1</v>
      </c>
      <c r="G61" s="10">
        <f>IFERROR(INDEX('03_ダッシュボード'!$G$11:$G$412,MATCH(B61,'03_ダッシュボード'!$A$11:$A$412,0)),0)</f>
        <v>0</v>
      </c>
      <c r="H61" s="10">
        <f t="shared" si="2"/>
        <v>1</v>
      </c>
      <c r="I61" s="14" t="str">
        <f t="shared" si="3"/>
        <v>参照済</v>
      </c>
      <c r="J61" s="1"/>
      <c r="K61" s="1"/>
      <c r="L61" s="1"/>
      <c r="M61" s="1"/>
      <c r="N61" s="1"/>
      <c r="O61" s="1"/>
      <c r="P61" s="1"/>
      <c r="Q61" s="1"/>
    </row>
    <row r="62" spans="1:17">
      <c r="A62" s="10" t="s">
        <v>2989</v>
      </c>
      <c r="B62" s="10" t="s">
        <v>1051</v>
      </c>
      <c r="C62" s="10" t="s">
        <v>3338</v>
      </c>
      <c r="D62" s="17" t="s">
        <v>3400</v>
      </c>
      <c r="E62" s="10">
        <f>IFERROR(MATCH(B62,'02_ツリー'!$E$5:$E$679,0)+4,"")</f>
        <v>497</v>
      </c>
      <c r="F62" s="10">
        <f>IFERROR(INDEX('03_ダッシュボード'!$F$11:$F$412,MATCH(B62,'03_ダッシュボード'!$A$11:$A$412,0)),0)</f>
        <v>0</v>
      </c>
      <c r="G62" s="10">
        <f>IFERROR(INDEX('03_ダッシュボード'!$G$11:$G$412,MATCH(B62,'03_ダッシュボード'!$A$11:$A$412,0)),0)</f>
        <v>1</v>
      </c>
      <c r="H62" s="10">
        <f t="shared" si="2"/>
        <v>0</v>
      </c>
      <c r="I62" s="14" t="str">
        <f t="shared" si="3"/>
        <v>参照済</v>
      </c>
      <c r="J62" s="1"/>
      <c r="K62" s="1"/>
      <c r="L62" s="1"/>
      <c r="M62" s="1"/>
      <c r="N62" s="1"/>
      <c r="O62" s="1"/>
      <c r="P62" s="1"/>
      <c r="Q62" s="1"/>
    </row>
    <row r="63" spans="1:17">
      <c r="A63" s="10" t="s">
        <v>2989</v>
      </c>
      <c r="B63" s="10" t="s">
        <v>1062</v>
      </c>
      <c r="C63" s="10" t="s">
        <v>3338</v>
      </c>
      <c r="D63" s="17" t="s">
        <v>3401</v>
      </c>
      <c r="E63" s="10">
        <f>IFERROR(MATCH(B63,'02_ツリー'!$E$5:$E$679,0)+4,"")</f>
        <v>503</v>
      </c>
      <c r="F63" s="10">
        <f>IFERROR(INDEX('03_ダッシュボード'!$F$11:$F$412,MATCH(B63,'03_ダッシュボード'!$A$11:$A$412,0)),0)</f>
        <v>0</v>
      </c>
      <c r="G63" s="10">
        <f>IFERROR(INDEX('03_ダッシュボード'!$G$11:$G$412,MATCH(B63,'03_ダッシュボード'!$A$11:$A$412,0)),0)</f>
        <v>1</v>
      </c>
      <c r="H63" s="10">
        <f t="shared" si="2"/>
        <v>0</v>
      </c>
      <c r="I63" s="14" t="str">
        <f t="shared" si="3"/>
        <v>参照済</v>
      </c>
      <c r="J63" s="1"/>
      <c r="K63" s="1"/>
      <c r="L63" s="1"/>
      <c r="M63" s="1"/>
      <c r="N63" s="1"/>
      <c r="O63" s="1"/>
      <c r="P63" s="1"/>
      <c r="Q63" s="1"/>
    </row>
    <row r="64" spans="1:17">
      <c r="A64" s="10" t="s">
        <v>2989</v>
      </c>
      <c r="B64" s="10" t="s">
        <v>1217</v>
      </c>
      <c r="C64" s="10" t="s">
        <v>3338</v>
      </c>
      <c r="D64" s="17" t="s">
        <v>3402</v>
      </c>
      <c r="E64" s="10">
        <f>IFERROR(MATCH(B64,'02_ツリー'!$E$5:$E$679,0)+4,"")</f>
        <v>558</v>
      </c>
      <c r="F64" s="10">
        <f>IFERROR(INDEX('03_ダッシュボード'!$F$11:$F$412,MATCH(B64,'03_ダッシュボード'!$A$11:$A$412,0)),0)</f>
        <v>1</v>
      </c>
      <c r="G64" s="10">
        <f>IFERROR(INDEX('03_ダッシュボード'!$G$11:$G$412,MATCH(B64,'03_ダッシュボード'!$A$11:$A$412,0)),0)</f>
        <v>1</v>
      </c>
      <c r="H64" s="10">
        <f t="shared" si="2"/>
        <v>1</v>
      </c>
      <c r="I64" s="14" t="str">
        <f t="shared" si="3"/>
        <v>参照済</v>
      </c>
      <c r="J64" s="1"/>
      <c r="K64" s="1"/>
      <c r="L64" s="1"/>
      <c r="M64" s="1"/>
      <c r="N64" s="1"/>
      <c r="O64" s="1"/>
      <c r="P64" s="1"/>
      <c r="Q64" s="1"/>
    </row>
    <row r="65" spans="1:17">
      <c r="A65" s="10" t="s">
        <v>2989</v>
      </c>
      <c r="B65" s="10" t="s">
        <v>120</v>
      </c>
      <c r="C65" s="10" t="s">
        <v>3342</v>
      </c>
      <c r="D65" s="17" t="s">
        <v>3403</v>
      </c>
      <c r="E65" s="10">
        <f>IFERROR(MATCH(B65,'02_ツリー'!$E$5:$E$679,0)+4,"")</f>
        <v>56</v>
      </c>
      <c r="F65" s="10">
        <f>IFERROR(INDEX('03_ダッシュボード'!$F$11:$F$412,MATCH(B65,'03_ダッシュボード'!$A$11:$A$412,0)),0)</f>
        <v>1</v>
      </c>
      <c r="G65" s="10">
        <f>IFERROR(INDEX('03_ダッシュボード'!$G$11:$G$412,MATCH(B65,'03_ダッシュボード'!$A$11:$A$412,0)),0)</f>
        <v>0</v>
      </c>
      <c r="H65" s="10">
        <f t="shared" si="2"/>
        <v>0</v>
      </c>
      <c r="I65" s="14" t="str">
        <f t="shared" si="3"/>
        <v>参照済</v>
      </c>
      <c r="J65" s="1"/>
      <c r="K65" s="1"/>
      <c r="L65" s="1"/>
      <c r="M65" s="1"/>
      <c r="N65" s="1"/>
      <c r="O65" s="1"/>
      <c r="P65" s="1"/>
      <c r="Q65" s="1"/>
    </row>
    <row r="66" spans="1:17">
      <c r="A66" s="10" t="s">
        <v>2989</v>
      </c>
      <c r="B66" s="10" t="s">
        <v>652</v>
      </c>
      <c r="C66" s="10" t="s">
        <v>3342</v>
      </c>
      <c r="D66" s="17" t="s">
        <v>3404</v>
      </c>
      <c r="E66" s="10">
        <f>IFERROR(MATCH(B66,'02_ツリー'!$E$5:$E$679,0)+4,"")</f>
        <v>303</v>
      </c>
      <c r="F66" s="10">
        <f>IFERROR(INDEX('03_ダッシュボード'!$F$11:$F$412,MATCH(B66,'03_ダッシュボード'!$A$11:$A$412,0)),0)</f>
        <v>0</v>
      </c>
      <c r="G66" s="10">
        <f>IFERROR(INDEX('03_ダッシュボード'!$G$11:$G$412,MATCH(B66,'03_ダッシュボード'!$A$11:$A$412,0)),0)</f>
        <v>0</v>
      </c>
      <c r="H66" s="10">
        <f t="shared" ref="H66:H97" si="4">IF(C66="増加",F66,IF(C66="減少",-G66,MIN(F66,-G66)))</f>
        <v>0</v>
      </c>
      <c r="I66" s="14" t="str">
        <f t="shared" ref="I66:I97" si="5">IF(E66="","未参照","参照済")</f>
        <v>参照済</v>
      </c>
      <c r="J66" s="1"/>
      <c r="K66" s="1"/>
      <c r="L66" s="1"/>
      <c r="M66" s="1"/>
      <c r="N66" s="1"/>
      <c r="O66" s="1"/>
      <c r="P66" s="1"/>
      <c r="Q66" s="1"/>
    </row>
    <row r="67" spans="1:17">
      <c r="A67" s="10" t="s">
        <v>2996</v>
      </c>
      <c r="B67" s="10" t="s">
        <v>72</v>
      </c>
      <c r="C67" s="10" t="s">
        <v>3338</v>
      </c>
      <c r="D67" s="17" t="s">
        <v>3405</v>
      </c>
      <c r="E67" s="10">
        <f>IFERROR(MATCH(B67,'02_ツリー'!$E$5:$E$679,0)+4,"")</f>
        <v>57</v>
      </c>
      <c r="F67" s="10">
        <f>IFERROR(INDEX('03_ダッシュボード'!$F$11:$F$412,MATCH(B67,'03_ダッシュボード'!$A$11:$A$412,0)),0)</f>
        <v>1</v>
      </c>
      <c r="G67" s="10">
        <f>IFERROR(INDEX('03_ダッシュボード'!$G$11:$G$412,MATCH(B67,'03_ダッシュボード'!$A$11:$A$412,0)),0)</f>
        <v>0</v>
      </c>
      <c r="H67" s="10">
        <f t="shared" si="4"/>
        <v>1</v>
      </c>
      <c r="I67" s="14" t="str">
        <f t="shared" si="5"/>
        <v>参照済</v>
      </c>
      <c r="J67" s="1"/>
      <c r="K67" s="1"/>
      <c r="L67" s="1"/>
      <c r="M67" s="1"/>
      <c r="N67" s="1"/>
      <c r="O67" s="1"/>
      <c r="P67" s="1"/>
      <c r="Q67" s="1"/>
    </row>
    <row r="68" spans="1:17">
      <c r="A68" s="10" t="s">
        <v>2996</v>
      </c>
      <c r="B68" s="10" t="s">
        <v>973</v>
      </c>
      <c r="C68" s="10" t="s">
        <v>3342</v>
      </c>
      <c r="D68" s="17" t="s">
        <v>3406</v>
      </c>
      <c r="E68" s="10">
        <f>IFERROR(MATCH(B68,'02_ツリー'!$E$5:$E$679,0)+4,"")</f>
        <v>480</v>
      </c>
      <c r="F68" s="10">
        <f>IFERROR(INDEX('03_ダッシュボード'!$F$11:$F$412,MATCH(B68,'03_ダッシュボード'!$A$11:$A$412,0)),0)</f>
        <v>0</v>
      </c>
      <c r="G68" s="10">
        <f>IFERROR(INDEX('03_ダッシュボード'!$G$11:$G$412,MATCH(B68,'03_ダッシュボード'!$A$11:$A$412,0)),0)</f>
        <v>1</v>
      </c>
      <c r="H68" s="10">
        <f t="shared" si="4"/>
        <v>-1</v>
      </c>
      <c r="I68" s="14" t="str">
        <f t="shared" si="5"/>
        <v>参照済</v>
      </c>
      <c r="J68" s="1"/>
      <c r="K68" s="1"/>
      <c r="L68" s="1"/>
      <c r="M68" s="1"/>
      <c r="N68" s="1"/>
      <c r="O68" s="1"/>
      <c r="P68" s="1"/>
      <c r="Q68" s="1"/>
    </row>
    <row r="69" spans="1:17">
      <c r="A69" s="10" t="s">
        <v>2996</v>
      </c>
      <c r="B69" s="10" t="s">
        <v>1001</v>
      </c>
      <c r="C69" s="10" t="s">
        <v>3342</v>
      </c>
      <c r="D69" s="17" t="s">
        <v>3407</v>
      </c>
      <c r="E69" s="10">
        <f>IFERROR(MATCH(B69,'02_ツリー'!$E$5:$E$679,0)+4,"")</f>
        <v>486</v>
      </c>
      <c r="F69" s="10">
        <f>IFERROR(INDEX('03_ダッシュボード'!$F$11:$F$412,MATCH(B69,'03_ダッシュボード'!$A$11:$A$412,0)),0)</f>
        <v>0</v>
      </c>
      <c r="G69" s="10">
        <f>IFERROR(INDEX('03_ダッシュボード'!$G$11:$G$412,MATCH(B69,'03_ダッシュボード'!$A$11:$A$412,0)),0)</f>
        <v>1</v>
      </c>
      <c r="H69" s="10">
        <f t="shared" si="4"/>
        <v>-1</v>
      </c>
      <c r="I69" s="14" t="str">
        <f t="shared" si="5"/>
        <v>参照済</v>
      </c>
      <c r="J69" s="1"/>
      <c r="K69" s="1"/>
      <c r="L69" s="1"/>
      <c r="M69" s="1"/>
      <c r="N69" s="1"/>
      <c r="O69" s="1"/>
      <c r="P69" s="1"/>
      <c r="Q69" s="1"/>
    </row>
    <row r="70" spans="1:17">
      <c r="A70" s="10" t="s">
        <v>2996</v>
      </c>
      <c r="B70" s="10" t="s">
        <v>652</v>
      </c>
      <c r="C70" s="10" t="s">
        <v>3342</v>
      </c>
      <c r="D70" s="17" t="s">
        <v>3408</v>
      </c>
      <c r="E70" s="10">
        <f>IFERROR(MATCH(B70,'02_ツリー'!$E$5:$E$679,0)+4,"")</f>
        <v>303</v>
      </c>
      <c r="F70" s="10">
        <f>IFERROR(INDEX('03_ダッシュボード'!$F$11:$F$412,MATCH(B70,'03_ダッシュボード'!$A$11:$A$412,0)),0)</f>
        <v>0</v>
      </c>
      <c r="G70" s="10">
        <f>IFERROR(INDEX('03_ダッシュボード'!$G$11:$G$412,MATCH(B70,'03_ダッシュボード'!$A$11:$A$412,0)),0)</f>
        <v>0</v>
      </c>
      <c r="H70" s="10">
        <f t="shared" si="4"/>
        <v>0</v>
      </c>
      <c r="I70" s="14" t="str">
        <f t="shared" si="5"/>
        <v>参照済</v>
      </c>
      <c r="J70" s="1"/>
      <c r="K70" s="1"/>
      <c r="L70" s="1"/>
      <c r="M70" s="1"/>
      <c r="N70" s="1"/>
      <c r="O70" s="1"/>
      <c r="P70" s="1"/>
      <c r="Q70" s="1"/>
    </row>
    <row r="71" spans="1:17">
      <c r="A71" s="10" t="s">
        <v>3007</v>
      </c>
      <c r="B71" s="10" t="s">
        <v>987</v>
      </c>
      <c r="C71" s="10" t="s">
        <v>3342</v>
      </c>
      <c r="D71" s="17" t="s">
        <v>3409</v>
      </c>
      <c r="E71" s="10" t="str">
        <f>IFERROR(MATCH(B71,'02_ツリー'!$E$5:$E$679,0)+4,"")</f>
        <v/>
      </c>
      <c r="F71" s="10">
        <f>IFERROR(INDEX('03_ダッシュボード'!$F$11:$F$412,MATCH(B71,'03_ダッシュボード'!$A$11:$A$412,0)),0)</f>
        <v>0</v>
      </c>
      <c r="G71" s="10">
        <f>IFERROR(INDEX('03_ダッシュボード'!$G$11:$G$412,MATCH(B71,'03_ダッシュボード'!$A$11:$A$412,0)),0)</f>
        <v>0</v>
      </c>
      <c r="H71" s="10">
        <f t="shared" si="4"/>
        <v>0</v>
      </c>
      <c r="I71" s="14" t="str">
        <f t="shared" si="5"/>
        <v>未参照</v>
      </c>
      <c r="J71" s="1"/>
      <c r="K71" s="1"/>
      <c r="L71" s="1"/>
      <c r="M71" s="1"/>
      <c r="N71" s="1"/>
      <c r="O71" s="1"/>
      <c r="P71" s="1"/>
      <c r="Q71" s="1"/>
    </row>
    <row r="72" spans="1:17">
      <c r="A72" s="10" t="s">
        <v>3007</v>
      </c>
      <c r="B72" s="10" t="s">
        <v>973</v>
      </c>
      <c r="C72" s="10" t="s">
        <v>3342</v>
      </c>
      <c r="D72" s="17" t="s">
        <v>3410</v>
      </c>
      <c r="E72" s="10">
        <f>IFERROR(MATCH(B72,'02_ツリー'!$E$5:$E$679,0)+4,"")</f>
        <v>480</v>
      </c>
      <c r="F72" s="10">
        <f>IFERROR(INDEX('03_ダッシュボード'!$F$11:$F$412,MATCH(B72,'03_ダッシュボード'!$A$11:$A$412,0)),0)</f>
        <v>0</v>
      </c>
      <c r="G72" s="10">
        <f>IFERROR(INDEX('03_ダッシュボード'!$G$11:$G$412,MATCH(B72,'03_ダッシュボード'!$A$11:$A$412,0)),0)</f>
        <v>1</v>
      </c>
      <c r="H72" s="10">
        <f t="shared" si="4"/>
        <v>-1</v>
      </c>
      <c r="I72" s="14" t="str">
        <f t="shared" si="5"/>
        <v>参照済</v>
      </c>
      <c r="J72" s="1"/>
      <c r="K72" s="1"/>
      <c r="L72" s="1"/>
      <c r="M72" s="1"/>
      <c r="N72" s="1"/>
      <c r="O72" s="1"/>
      <c r="P72" s="1"/>
      <c r="Q72" s="1"/>
    </row>
    <row r="73" spans="1:17">
      <c r="A73" s="10" t="s">
        <v>3007</v>
      </c>
      <c r="B73" s="10" t="s">
        <v>1001</v>
      </c>
      <c r="C73" s="10" t="s">
        <v>3342</v>
      </c>
      <c r="D73" s="17" t="s">
        <v>3411</v>
      </c>
      <c r="E73" s="10">
        <f>IFERROR(MATCH(B73,'02_ツリー'!$E$5:$E$679,0)+4,"")</f>
        <v>486</v>
      </c>
      <c r="F73" s="10">
        <f>IFERROR(INDEX('03_ダッシュボード'!$F$11:$F$412,MATCH(B73,'03_ダッシュボード'!$A$11:$A$412,0)),0)</f>
        <v>0</v>
      </c>
      <c r="G73" s="10">
        <f>IFERROR(INDEX('03_ダッシュボード'!$G$11:$G$412,MATCH(B73,'03_ダッシュボード'!$A$11:$A$412,0)),0)</f>
        <v>1</v>
      </c>
      <c r="H73" s="10">
        <f t="shared" si="4"/>
        <v>-1</v>
      </c>
      <c r="I73" s="14" t="str">
        <f t="shared" si="5"/>
        <v>参照済</v>
      </c>
      <c r="J73" s="1"/>
      <c r="K73" s="1"/>
      <c r="L73" s="1"/>
      <c r="M73" s="1"/>
      <c r="N73" s="1"/>
      <c r="O73" s="1"/>
      <c r="P73" s="1"/>
      <c r="Q73" s="1"/>
    </row>
    <row r="74" spans="1:17">
      <c r="A74" s="10" t="s">
        <v>3007</v>
      </c>
      <c r="B74" s="10" t="s">
        <v>365</v>
      </c>
      <c r="C74" s="10" t="s">
        <v>3342</v>
      </c>
      <c r="D74" s="17" t="s">
        <v>3412</v>
      </c>
      <c r="E74" s="10">
        <f>IFERROR(MATCH(B74,'02_ツリー'!$E$5:$E$679,0)+4,"")</f>
        <v>148</v>
      </c>
      <c r="F74" s="10">
        <f>IFERROR(INDEX('03_ダッシュボード'!$F$11:$F$412,MATCH(B74,'03_ダッシュボード'!$A$11:$A$412,0)),0)</f>
        <v>0</v>
      </c>
      <c r="G74" s="10">
        <f>IFERROR(INDEX('03_ダッシュボード'!$G$11:$G$412,MATCH(B74,'03_ダッシュボード'!$A$11:$A$412,0)),0)</f>
        <v>0</v>
      </c>
      <c r="H74" s="10">
        <f t="shared" si="4"/>
        <v>0</v>
      </c>
      <c r="I74" s="14" t="str">
        <f t="shared" si="5"/>
        <v>参照済</v>
      </c>
      <c r="J74" s="1"/>
      <c r="K74" s="1"/>
      <c r="L74" s="1"/>
      <c r="M74" s="1"/>
      <c r="N74" s="1"/>
      <c r="O74" s="1"/>
      <c r="P74" s="1"/>
      <c r="Q74" s="1"/>
    </row>
    <row r="75" spans="1:17" ht="28.5">
      <c r="A75" s="10" t="s">
        <v>3007</v>
      </c>
      <c r="B75" s="10" t="s">
        <v>1255</v>
      </c>
      <c r="C75" s="10" t="s">
        <v>3342</v>
      </c>
      <c r="D75" s="17" t="s">
        <v>3413</v>
      </c>
      <c r="E75" s="10">
        <f>IFERROR(MATCH(B75,'02_ツリー'!$E$5:$E$679,0)+4,"")</f>
        <v>576</v>
      </c>
      <c r="F75" s="10">
        <f>IFERROR(INDEX('03_ダッシュボード'!$F$11:$F$412,MATCH(B75,'03_ダッシュボード'!$A$11:$A$412,0)),0)</f>
        <v>0</v>
      </c>
      <c r="G75" s="10">
        <f>IFERROR(INDEX('03_ダッシュボード'!$G$11:$G$412,MATCH(B75,'03_ダッシュボード'!$A$11:$A$412,0)),0)</f>
        <v>0</v>
      </c>
      <c r="H75" s="10">
        <f t="shared" si="4"/>
        <v>0</v>
      </c>
      <c r="I75" s="14" t="str">
        <f t="shared" si="5"/>
        <v>参照済</v>
      </c>
      <c r="J75" s="1"/>
      <c r="K75" s="1"/>
      <c r="L75" s="1"/>
      <c r="M75" s="1"/>
      <c r="N75" s="1"/>
      <c r="O75" s="1"/>
      <c r="P75" s="1"/>
      <c r="Q75" s="1"/>
    </row>
    <row r="76" spans="1:17" ht="28.5">
      <c r="A76" s="10" t="s">
        <v>3007</v>
      </c>
      <c r="B76" s="10" t="s">
        <v>1305</v>
      </c>
      <c r="C76" s="10" t="s">
        <v>3342</v>
      </c>
      <c r="D76" s="17" t="s">
        <v>3414</v>
      </c>
      <c r="E76" s="10" t="str">
        <f>IFERROR(MATCH(B76,'02_ツリー'!$E$5:$E$679,0)+4,"")</f>
        <v/>
      </c>
      <c r="F76" s="10">
        <f>IFERROR(INDEX('03_ダッシュボード'!$F$11:$F$412,MATCH(B76,'03_ダッシュボード'!$A$11:$A$412,0)),0)</f>
        <v>0</v>
      </c>
      <c r="G76" s="10">
        <f>IFERROR(INDEX('03_ダッシュボード'!$G$11:$G$412,MATCH(B76,'03_ダッシュボード'!$A$11:$A$412,0)),0)</f>
        <v>0</v>
      </c>
      <c r="H76" s="10">
        <f t="shared" si="4"/>
        <v>0</v>
      </c>
      <c r="I76" s="14" t="str">
        <f t="shared" si="5"/>
        <v>未参照</v>
      </c>
      <c r="J76" s="1" t="s">
        <v>3415</v>
      </c>
      <c r="K76" s="1" t="s">
        <v>3416</v>
      </c>
      <c r="L76" s="1" t="s">
        <v>3417</v>
      </c>
      <c r="M76" s="1"/>
      <c r="N76" s="1"/>
      <c r="O76" s="1"/>
      <c r="P76" s="1"/>
      <c r="Q76" s="1"/>
    </row>
    <row r="77" spans="1:17">
      <c r="A77" s="10" t="s">
        <v>3195</v>
      </c>
      <c r="B77" s="10" t="s">
        <v>1255</v>
      </c>
      <c r="C77" s="10" t="s">
        <v>3342</v>
      </c>
      <c r="D77" s="17" t="s">
        <v>3418</v>
      </c>
      <c r="E77" s="10">
        <f>IFERROR(MATCH(B77,'02_ツリー'!$E$5:$E$679,0)+4,"")</f>
        <v>576</v>
      </c>
      <c r="F77" s="10">
        <f>IFERROR(INDEX('03_ダッシュボード'!$F$11:$F$412,MATCH(B77,'03_ダッシュボード'!$A$11:$A$412,0)),0)</f>
        <v>0</v>
      </c>
      <c r="G77" s="10">
        <f>IFERROR(INDEX('03_ダッシュボード'!$G$11:$G$412,MATCH(B77,'03_ダッシュボード'!$A$11:$A$412,0)),0)</f>
        <v>0</v>
      </c>
      <c r="H77" s="10">
        <f t="shared" si="4"/>
        <v>0</v>
      </c>
      <c r="I77" s="14" t="str">
        <f t="shared" si="5"/>
        <v>参照済</v>
      </c>
      <c r="J77" s="1"/>
      <c r="K77" s="1"/>
      <c r="L77" s="1"/>
      <c r="M77" s="1"/>
      <c r="N77" s="1"/>
      <c r="O77" s="1"/>
      <c r="P77" s="1"/>
      <c r="Q77" s="1"/>
    </row>
    <row r="78" spans="1:17">
      <c r="A78" s="10" t="s">
        <v>3195</v>
      </c>
      <c r="B78" s="10" t="s">
        <v>2624</v>
      </c>
      <c r="C78" s="10" t="s">
        <v>3342</v>
      </c>
      <c r="D78" s="17" t="s">
        <v>3419</v>
      </c>
      <c r="E78" s="10">
        <f>IFERROR(MATCH(B78,'02_ツリー'!$E$5:$E$679,0)+4,"")</f>
        <v>571</v>
      </c>
      <c r="F78" s="10">
        <f>IFERROR(INDEX('03_ダッシュボード'!$F$11:$F$412,MATCH(B78,'03_ダッシュボード'!$A$11:$A$412,0)),0)</f>
        <v>0</v>
      </c>
      <c r="G78" s="10">
        <f>IFERROR(INDEX('03_ダッシュボード'!$G$11:$G$412,MATCH(B78,'03_ダッシュボード'!$A$11:$A$412,0)),0)</f>
        <v>0</v>
      </c>
      <c r="H78" s="10">
        <f t="shared" si="4"/>
        <v>0</v>
      </c>
      <c r="I78" s="14" t="str">
        <f t="shared" si="5"/>
        <v>参照済</v>
      </c>
      <c r="J78" s="1"/>
      <c r="K78" s="1"/>
      <c r="L78" s="1"/>
      <c r="M78" s="1"/>
      <c r="N78" s="1"/>
      <c r="O78" s="1"/>
      <c r="P78" s="1"/>
      <c r="Q78" s="1"/>
    </row>
    <row r="79" spans="1:17">
      <c r="A79" s="10" t="s">
        <v>3195</v>
      </c>
      <c r="B79" s="10" t="s">
        <v>1289</v>
      </c>
      <c r="C79" s="10" t="s">
        <v>3342</v>
      </c>
      <c r="D79" s="17" t="s">
        <v>3420</v>
      </c>
      <c r="E79" s="10">
        <f>IFERROR(MATCH(B79,'02_ツリー'!$E$5:$E$679,0)+4,"")</f>
        <v>595</v>
      </c>
      <c r="F79" s="10">
        <f>IFERROR(INDEX('03_ダッシュボード'!$F$11:$F$412,MATCH(B79,'03_ダッシュボード'!$A$11:$A$412,0)),0)</f>
        <v>0</v>
      </c>
      <c r="G79" s="10">
        <f>IFERROR(INDEX('03_ダッシュボード'!$G$11:$G$412,MATCH(B79,'03_ダッシュボード'!$A$11:$A$412,0)),0)</f>
        <v>0</v>
      </c>
      <c r="H79" s="10">
        <f t="shared" si="4"/>
        <v>0</v>
      </c>
      <c r="I79" s="14" t="str">
        <f t="shared" si="5"/>
        <v>参照済</v>
      </c>
      <c r="J79" s="1"/>
      <c r="K79" s="1"/>
      <c r="L79" s="1"/>
      <c r="M79" s="1"/>
      <c r="N79" s="1"/>
      <c r="O79" s="1"/>
      <c r="P79" s="1"/>
      <c r="Q79" s="1"/>
    </row>
    <row r="80" spans="1:17">
      <c r="A80" s="10" t="s">
        <v>3195</v>
      </c>
      <c r="B80" s="10" t="s">
        <v>1272</v>
      </c>
      <c r="C80" s="10" t="s">
        <v>3342</v>
      </c>
      <c r="D80" s="17" t="s">
        <v>3421</v>
      </c>
      <c r="E80" s="10">
        <f>IFERROR(MATCH(B80,'02_ツリー'!$E$5:$E$679,0)+4,"")</f>
        <v>585</v>
      </c>
      <c r="F80" s="10">
        <f>IFERROR(INDEX('03_ダッシュボード'!$F$11:$F$412,MATCH(B80,'03_ダッシュボード'!$A$11:$A$412,0)),0)</f>
        <v>0</v>
      </c>
      <c r="G80" s="10">
        <f>IFERROR(INDEX('03_ダッシュボード'!$G$11:$G$412,MATCH(B80,'03_ダッシュボード'!$A$11:$A$412,0)),0)</f>
        <v>0</v>
      </c>
      <c r="H80" s="10">
        <f t="shared" si="4"/>
        <v>0</v>
      </c>
      <c r="I80" s="14" t="str">
        <f t="shared" si="5"/>
        <v>参照済</v>
      </c>
      <c r="J80" s="1"/>
      <c r="K80" s="1"/>
      <c r="L80" s="1"/>
      <c r="M80" s="1"/>
      <c r="N80" s="1"/>
      <c r="O80" s="1"/>
      <c r="P80" s="1"/>
      <c r="Q80" s="1"/>
    </row>
    <row r="81" spans="1:17">
      <c r="A81" s="10" t="s">
        <v>3195</v>
      </c>
      <c r="B81" s="10" t="s">
        <v>1276</v>
      </c>
      <c r="C81" s="10" t="s">
        <v>3342</v>
      </c>
      <c r="D81" s="17" t="s">
        <v>3422</v>
      </c>
      <c r="E81" s="10" t="str">
        <f>IFERROR(MATCH(B81,'02_ツリー'!$E$5:$E$679,0)+4,"")</f>
        <v/>
      </c>
      <c r="F81" s="10">
        <f>IFERROR(INDEX('03_ダッシュボード'!$F$11:$F$412,MATCH(B81,'03_ダッシュボード'!$A$11:$A$412,0)),0)</f>
        <v>0</v>
      </c>
      <c r="G81" s="10">
        <f>IFERROR(INDEX('03_ダッシュボード'!$G$11:$G$412,MATCH(B81,'03_ダッシュボード'!$A$11:$A$412,0)),0)</f>
        <v>0</v>
      </c>
      <c r="H81" s="10">
        <f t="shared" si="4"/>
        <v>0</v>
      </c>
      <c r="I81" s="14" t="str">
        <f t="shared" si="5"/>
        <v>未参照</v>
      </c>
      <c r="J81" s="1"/>
      <c r="K81" s="1"/>
      <c r="L81" s="1"/>
      <c r="M81" s="1"/>
      <c r="N81" s="1"/>
      <c r="O81" s="1"/>
      <c r="P81" s="1"/>
      <c r="Q81" s="1"/>
    </row>
    <row r="82" spans="1:17">
      <c r="A82" s="10" t="s">
        <v>3195</v>
      </c>
      <c r="B82" s="10" t="s">
        <v>1285</v>
      </c>
      <c r="C82" s="10" t="s">
        <v>3342</v>
      </c>
      <c r="D82" s="17" t="s">
        <v>3423</v>
      </c>
      <c r="E82" s="10">
        <f>IFERROR(MATCH(B82,'02_ツリー'!$E$5:$E$679,0)+4,"")</f>
        <v>593</v>
      </c>
      <c r="F82" s="10">
        <f>IFERROR(INDEX('03_ダッシュボード'!$F$11:$F$412,MATCH(B82,'03_ダッシュボード'!$A$11:$A$412,0)),0)</f>
        <v>0</v>
      </c>
      <c r="G82" s="10">
        <f>IFERROR(INDEX('03_ダッシュボード'!$G$11:$G$412,MATCH(B82,'03_ダッシュボード'!$A$11:$A$412,0)),0)</f>
        <v>0</v>
      </c>
      <c r="H82" s="10">
        <f t="shared" si="4"/>
        <v>0</v>
      </c>
      <c r="I82" s="14" t="str">
        <f t="shared" si="5"/>
        <v>参照済</v>
      </c>
      <c r="J82" s="1"/>
      <c r="K82" s="1"/>
      <c r="L82" s="1"/>
      <c r="M82" s="1"/>
      <c r="N82" s="1"/>
      <c r="O82" s="1"/>
      <c r="P82" s="1"/>
      <c r="Q82" s="1"/>
    </row>
    <row r="83" spans="1:17">
      <c r="A83" s="10" t="s">
        <v>3201</v>
      </c>
      <c r="B83" s="10" t="s">
        <v>2593</v>
      </c>
      <c r="C83" s="10" t="s">
        <v>3342</v>
      </c>
      <c r="D83" s="17" t="s">
        <v>3424</v>
      </c>
      <c r="E83" s="10">
        <f>IFERROR(MATCH(B83,'02_ツリー'!$E$5:$E$679,0)+4,"")</f>
        <v>561</v>
      </c>
      <c r="F83" s="10">
        <f>IFERROR(INDEX('03_ダッシュボード'!$F$11:$F$412,MATCH(B83,'03_ダッシュボード'!$A$11:$A$412,0)),0)</f>
        <v>0</v>
      </c>
      <c r="G83" s="10">
        <f>IFERROR(INDEX('03_ダッシュボード'!$G$11:$G$412,MATCH(B83,'03_ダッシュボード'!$A$11:$A$412,0)),0)</f>
        <v>0</v>
      </c>
      <c r="H83" s="10">
        <f t="shared" si="4"/>
        <v>0</v>
      </c>
      <c r="I83" s="14" t="str">
        <f t="shared" si="5"/>
        <v>参照済</v>
      </c>
      <c r="J83" s="1"/>
      <c r="K83" s="1"/>
      <c r="L83" s="1"/>
      <c r="M83" s="1"/>
      <c r="N83" s="1"/>
      <c r="O83" s="1"/>
      <c r="P83" s="1"/>
      <c r="Q83" s="1"/>
    </row>
    <row r="84" spans="1:17">
      <c r="A84" s="10" t="s">
        <v>3201</v>
      </c>
      <c r="B84" s="10" t="s">
        <v>1248</v>
      </c>
      <c r="C84" s="10" t="s">
        <v>3342</v>
      </c>
      <c r="D84" s="17" t="s">
        <v>3425</v>
      </c>
      <c r="E84" s="10">
        <f>IFERROR(MATCH(B84,'02_ツリー'!$E$5:$E$679,0)+4,"")</f>
        <v>569</v>
      </c>
      <c r="F84" s="10">
        <f>IFERROR(INDEX('03_ダッシュボード'!$F$11:$F$412,MATCH(B84,'03_ダッシュボード'!$A$11:$A$412,0)),0)</f>
        <v>0</v>
      </c>
      <c r="G84" s="10">
        <f>IFERROR(INDEX('03_ダッシュボード'!$G$11:$G$412,MATCH(B84,'03_ダッシュボード'!$A$11:$A$412,0)),0)</f>
        <v>0</v>
      </c>
      <c r="H84" s="10">
        <f t="shared" si="4"/>
        <v>0</v>
      </c>
      <c r="I84" s="14" t="str">
        <f t="shared" si="5"/>
        <v>参照済</v>
      </c>
      <c r="J84" s="1"/>
      <c r="K84" s="1"/>
      <c r="L84" s="1"/>
      <c r="M84" s="1"/>
      <c r="N84" s="1"/>
      <c r="O84" s="1"/>
      <c r="P84" s="1"/>
      <c r="Q84" s="1"/>
    </row>
    <row r="85" spans="1:17">
      <c r="A85" s="10" t="s">
        <v>3201</v>
      </c>
      <c r="B85" s="10" t="s">
        <v>2606</v>
      </c>
      <c r="C85" s="10" t="s">
        <v>3342</v>
      </c>
      <c r="D85" s="17" t="s">
        <v>3426</v>
      </c>
      <c r="E85" s="10">
        <f>IFERROR(MATCH(B85,'02_ツリー'!$E$5:$E$679,0)+4,"")</f>
        <v>564</v>
      </c>
      <c r="F85" s="10">
        <f>IFERROR(INDEX('03_ダッシュボード'!$F$11:$F$412,MATCH(B85,'03_ダッシュボード'!$A$11:$A$412,0)),0)</f>
        <v>0</v>
      </c>
      <c r="G85" s="10">
        <f>IFERROR(INDEX('03_ダッシュボード'!$G$11:$G$412,MATCH(B85,'03_ダッシュボード'!$A$11:$A$412,0)),0)</f>
        <v>0</v>
      </c>
      <c r="H85" s="10">
        <f t="shared" si="4"/>
        <v>0</v>
      </c>
      <c r="I85" s="14" t="str">
        <f t="shared" si="5"/>
        <v>参照済</v>
      </c>
      <c r="J85" s="1"/>
      <c r="K85" s="1"/>
      <c r="L85" s="1"/>
      <c r="M85" s="1"/>
      <c r="N85" s="1"/>
      <c r="O85" s="1"/>
      <c r="P85" s="1"/>
      <c r="Q85" s="1"/>
    </row>
    <row r="86" spans="1:17">
      <c r="A86" s="10" t="s">
        <v>3201</v>
      </c>
      <c r="B86" s="10" t="s">
        <v>1255</v>
      </c>
      <c r="C86" s="10" t="s">
        <v>3342</v>
      </c>
      <c r="D86" s="17" t="s">
        <v>3427</v>
      </c>
      <c r="E86" s="10">
        <f>IFERROR(MATCH(B86,'02_ツリー'!$E$5:$E$679,0)+4,"")</f>
        <v>576</v>
      </c>
      <c r="F86" s="10">
        <f>IFERROR(INDEX('03_ダッシュボード'!$F$11:$F$412,MATCH(B86,'03_ダッシュボード'!$A$11:$A$412,0)),0)</f>
        <v>0</v>
      </c>
      <c r="G86" s="10">
        <f>IFERROR(INDEX('03_ダッシュボード'!$G$11:$G$412,MATCH(B86,'03_ダッシュボード'!$A$11:$A$412,0)),0)</f>
        <v>0</v>
      </c>
      <c r="H86" s="10">
        <f t="shared" si="4"/>
        <v>0</v>
      </c>
      <c r="I86" s="14" t="str">
        <f t="shared" si="5"/>
        <v>参照済</v>
      </c>
      <c r="J86" s="1"/>
      <c r="K86" s="1"/>
      <c r="L86" s="1"/>
      <c r="M86" s="1"/>
      <c r="N86" s="1"/>
      <c r="O86" s="1"/>
      <c r="P86" s="1"/>
      <c r="Q86" s="1"/>
    </row>
    <row r="87" spans="1:17">
      <c r="A87" s="10" t="s">
        <v>3207</v>
      </c>
      <c r="B87" s="10" t="s">
        <v>1255</v>
      </c>
      <c r="C87" s="10" t="s">
        <v>3342</v>
      </c>
      <c r="D87" s="17" t="s">
        <v>3428</v>
      </c>
      <c r="E87" s="10">
        <f>IFERROR(MATCH(B87,'02_ツリー'!$E$5:$E$679,0)+4,"")</f>
        <v>576</v>
      </c>
      <c r="F87" s="10">
        <f>IFERROR(INDEX('03_ダッシュボード'!$F$11:$F$412,MATCH(B87,'03_ダッシュボード'!$A$11:$A$412,0)),0)</f>
        <v>0</v>
      </c>
      <c r="G87" s="10">
        <f>IFERROR(INDEX('03_ダッシュボード'!$G$11:$G$412,MATCH(B87,'03_ダッシュボード'!$A$11:$A$412,0)),0)</f>
        <v>0</v>
      </c>
      <c r="H87" s="10">
        <f t="shared" si="4"/>
        <v>0</v>
      </c>
      <c r="I87" s="14" t="str">
        <f t="shared" si="5"/>
        <v>参照済</v>
      </c>
      <c r="J87" s="1"/>
      <c r="K87" s="1"/>
      <c r="L87" s="1"/>
      <c r="M87" s="1"/>
      <c r="N87" s="1"/>
      <c r="O87" s="1"/>
      <c r="P87" s="1"/>
      <c r="Q87" s="1"/>
    </row>
    <row r="88" spans="1:17">
      <c r="A88" s="10" t="s">
        <v>3207</v>
      </c>
      <c r="B88" s="10" t="s">
        <v>2624</v>
      </c>
      <c r="C88" s="10" t="s">
        <v>3342</v>
      </c>
      <c r="D88" s="17" t="s">
        <v>3429</v>
      </c>
      <c r="E88" s="10">
        <f>IFERROR(MATCH(B88,'02_ツリー'!$E$5:$E$679,0)+4,"")</f>
        <v>571</v>
      </c>
      <c r="F88" s="10">
        <f>IFERROR(INDEX('03_ダッシュボード'!$F$11:$F$412,MATCH(B88,'03_ダッシュボード'!$A$11:$A$412,0)),0)</f>
        <v>0</v>
      </c>
      <c r="G88" s="10">
        <f>IFERROR(INDEX('03_ダッシュボード'!$G$11:$G$412,MATCH(B88,'03_ダッシュボード'!$A$11:$A$412,0)),0)</f>
        <v>0</v>
      </c>
      <c r="H88" s="10">
        <f t="shared" si="4"/>
        <v>0</v>
      </c>
      <c r="I88" s="14" t="str">
        <f t="shared" si="5"/>
        <v>参照済</v>
      </c>
      <c r="J88" s="1"/>
      <c r="K88" s="1"/>
      <c r="L88" s="1"/>
      <c r="M88" s="1"/>
      <c r="N88" s="1"/>
      <c r="O88" s="1"/>
      <c r="P88" s="1"/>
      <c r="Q88" s="1"/>
    </row>
    <row r="89" spans="1:17">
      <c r="A89" s="10" t="s">
        <v>3207</v>
      </c>
      <c r="B89" s="10" t="s">
        <v>1293</v>
      </c>
      <c r="C89" s="10" t="s">
        <v>3342</v>
      </c>
      <c r="D89" s="17" t="s">
        <v>3430</v>
      </c>
      <c r="E89" s="10">
        <f>IFERROR(MATCH(B89,'02_ツリー'!$E$5:$E$679,0)+4,"")</f>
        <v>597</v>
      </c>
      <c r="F89" s="10">
        <f>IFERROR(INDEX('03_ダッシュボード'!$F$11:$F$412,MATCH(B89,'03_ダッシュボード'!$A$11:$A$412,0)),0)</f>
        <v>0</v>
      </c>
      <c r="G89" s="10">
        <f>IFERROR(INDEX('03_ダッシュボード'!$G$11:$G$412,MATCH(B89,'03_ダッシュボード'!$A$11:$A$412,0)),0)</f>
        <v>0</v>
      </c>
      <c r="H89" s="10">
        <f t="shared" si="4"/>
        <v>0</v>
      </c>
      <c r="I89" s="14" t="str">
        <f t="shared" si="5"/>
        <v>参照済</v>
      </c>
      <c r="J89" s="1"/>
      <c r="K89" s="1"/>
      <c r="L89" s="1"/>
      <c r="M89" s="1"/>
      <c r="N89" s="1"/>
      <c r="O89" s="1"/>
      <c r="P89" s="1"/>
      <c r="Q89" s="1"/>
    </row>
    <row r="90" spans="1:17">
      <c r="A90" s="10" t="s">
        <v>3207</v>
      </c>
      <c r="B90" s="10" t="s">
        <v>1300</v>
      </c>
      <c r="C90" s="10" t="s">
        <v>3342</v>
      </c>
      <c r="D90" s="17" t="s">
        <v>3431</v>
      </c>
      <c r="E90" s="10">
        <f>IFERROR(MATCH(B90,'02_ツリー'!$E$5:$E$679,0)+4,"")</f>
        <v>600</v>
      </c>
      <c r="F90" s="10">
        <f>IFERROR(INDEX('03_ダッシュボード'!$F$11:$F$412,MATCH(B90,'03_ダッシュボード'!$A$11:$A$412,0)),0)</f>
        <v>0</v>
      </c>
      <c r="G90" s="10">
        <f>IFERROR(INDEX('03_ダッシュボード'!$G$11:$G$412,MATCH(B90,'03_ダッシュボード'!$A$11:$A$412,0)),0)</f>
        <v>0</v>
      </c>
      <c r="H90" s="10">
        <f t="shared" si="4"/>
        <v>0</v>
      </c>
      <c r="I90" s="14" t="str">
        <f t="shared" si="5"/>
        <v>参照済</v>
      </c>
      <c r="J90" s="1"/>
      <c r="K90" s="1"/>
      <c r="L90" s="1"/>
      <c r="M90" s="1"/>
      <c r="N90" s="1"/>
      <c r="O90" s="1"/>
      <c r="P90" s="1"/>
      <c r="Q90" s="1"/>
    </row>
    <row r="91" spans="1:17">
      <c r="A91" s="10" t="s">
        <v>3212</v>
      </c>
      <c r="B91" s="10" t="s">
        <v>987</v>
      </c>
      <c r="C91" s="10" t="s">
        <v>3342</v>
      </c>
      <c r="D91" s="17" t="s">
        <v>3432</v>
      </c>
      <c r="E91" s="10" t="str">
        <f>IFERROR(MATCH(B91,'02_ツリー'!$E$5:$E$679,0)+4,"")</f>
        <v/>
      </c>
      <c r="F91" s="10">
        <f>IFERROR(INDEX('03_ダッシュボード'!$F$11:$F$412,MATCH(B91,'03_ダッシュボード'!$A$11:$A$412,0)),0)</f>
        <v>0</v>
      </c>
      <c r="G91" s="10">
        <f>IFERROR(INDEX('03_ダッシュボード'!$G$11:$G$412,MATCH(B91,'03_ダッシュボード'!$A$11:$A$412,0)),0)</f>
        <v>0</v>
      </c>
      <c r="H91" s="10">
        <f t="shared" si="4"/>
        <v>0</v>
      </c>
      <c r="I91" s="14" t="str">
        <f t="shared" si="5"/>
        <v>未参照</v>
      </c>
      <c r="J91" s="1"/>
      <c r="K91" s="1"/>
      <c r="L91" s="1"/>
      <c r="M91" s="1"/>
      <c r="N91" s="1"/>
      <c r="O91" s="1"/>
      <c r="P91" s="1"/>
      <c r="Q91" s="1"/>
    </row>
    <row r="92" spans="1:17">
      <c r="A92" s="10" t="s">
        <v>3212</v>
      </c>
      <c r="B92" s="10" t="s">
        <v>973</v>
      </c>
      <c r="C92" s="10" t="s">
        <v>3342</v>
      </c>
      <c r="D92" s="17" t="s">
        <v>3433</v>
      </c>
      <c r="E92" s="10">
        <f>IFERROR(MATCH(B92,'02_ツリー'!$E$5:$E$679,0)+4,"")</f>
        <v>480</v>
      </c>
      <c r="F92" s="10">
        <f>IFERROR(INDEX('03_ダッシュボード'!$F$11:$F$412,MATCH(B92,'03_ダッシュボード'!$A$11:$A$412,0)),0)</f>
        <v>0</v>
      </c>
      <c r="G92" s="10">
        <f>IFERROR(INDEX('03_ダッシュボード'!$G$11:$G$412,MATCH(B92,'03_ダッシュボード'!$A$11:$A$412,0)),0)</f>
        <v>1</v>
      </c>
      <c r="H92" s="10">
        <f t="shared" si="4"/>
        <v>-1</v>
      </c>
      <c r="I92" s="14" t="str">
        <f t="shared" si="5"/>
        <v>参照済</v>
      </c>
      <c r="J92" s="1"/>
      <c r="K92" s="1"/>
      <c r="L92" s="1"/>
      <c r="M92" s="1"/>
      <c r="N92" s="1"/>
      <c r="O92" s="1"/>
      <c r="P92" s="1"/>
      <c r="Q92" s="1"/>
    </row>
    <row r="93" spans="1:17">
      <c r="A93" s="10" t="s">
        <v>3212</v>
      </c>
      <c r="B93" s="10" t="s">
        <v>1001</v>
      </c>
      <c r="C93" s="10" t="s">
        <v>3342</v>
      </c>
      <c r="D93" s="17" t="s">
        <v>3434</v>
      </c>
      <c r="E93" s="10">
        <f>IFERROR(MATCH(B93,'02_ツリー'!$E$5:$E$679,0)+4,"")</f>
        <v>486</v>
      </c>
      <c r="F93" s="10">
        <f>IFERROR(INDEX('03_ダッシュボード'!$F$11:$F$412,MATCH(B93,'03_ダッシュボード'!$A$11:$A$412,0)),0)</f>
        <v>0</v>
      </c>
      <c r="G93" s="10">
        <f>IFERROR(INDEX('03_ダッシュボード'!$G$11:$G$412,MATCH(B93,'03_ダッシュボード'!$A$11:$A$412,0)),0)</f>
        <v>1</v>
      </c>
      <c r="H93" s="10">
        <f t="shared" si="4"/>
        <v>-1</v>
      </c>
      <c r="I93" s="14" t="str">
        <f t="shared" si="5"/>
        <v>参照済</v>
      </c>
      <c r="J93" s="1"/>
      <c r="K93" s="1"/>
      <c r="L93" s="1"/>
      <c r="M93" s="1"/>
      <c r="N93" s="1"/>
      <c r="O93" s="1"/>
      <c r="P93" s="1"/>
      <c r="Q93" s="1"/>
    </row>
    <row r="94" spans="1:17">
      <c r="A94" s="10" t="s">
        <v>3212</v>
      </c>
      <c r="B94" s="10" t="s">
        <v>95</v>
      </c>
      <c r="C94" s="10" t="s">
        <v>3342</v>
      </c>
      <c r="D94" s="17" t="s">
        <v>3435</v>
      </c>
      <c r="E94" s="10">
        <f>IFERROR(MATCH(B94,'02_ツリー'!$E$5:$E$679,0)+4,"")</f>
        <v>81</v>
      </c>
      <c r="F94" s="10">
        <f>IFERROR(INDEX('03_ダッシュボード'!$F$11:$F$412,MATCH(B94,'03_ダッシュボード'!$A$11:$A$412,0)),0)</f>
        <v>1</v>
      </c>
      <c r="G94" s="10">
        <f>IFERROR(INDEX('03_ダッシュボード'!$G$11:$G$412,MATCH(B94,'03_ダッシュボード'!$A$11:$A$412,0)),0)</f>
        <v>0</v>
      </c>
      <c r="H94" s="10">
        <f t="shared" si="4"/>
        <v>0</v>
      </c>
      <c r="I94" s="14" t="str">
        <f t="shared" si="5"/>
        <v>参照済</v>
      </c>
      <c r="J94" s="1"/>
      <c r="K94" s="1"/>
      <c r="L94" s="1"/>
      <c r="M94" s="1"/>
      <c r="N94" s="1"/>
      <c r="O94" s="1"/>
      <c r="P94" s="1"/>
      <c r="Q94" s="1"/>
    </row>
    <row r="95" spans="1:17">
      <c r="A95" s="10" t="s">
        <v>3212</v>
      </c>
      <c r="B95" s="10" t="s">
        <v>121</v>
      </c>
      <c r="C95" s="10" t="s">
        <v>3342</v>
      </c>
      <c r="D95" s="17" t="s">
        <v>3436</v>
      </c>
      <c r="E95" s="10">
        <f>IFERROR(MATCH(B95,'02_ツリー'!$E$5:$E$679,0)+4,"")</f>
        <v>55</v>
      </c>
      <c r="F95" s="10">
        <f>IFERROR(INDEX('03_ダッシュボード'!$F$11:$F$412,MATCH(B95,'03_ダッシュボード'!$A$11:$A$412,0)),0)</f>
        <v>1</v>
      </c>
      <c r="G95" s="10">
        <f>IFERROR(INDEX('03_ダッシュボード'!$G$11:$G$412,MATCH(B95,'03_ダッシュボード'!$A$11:$A$412,0)),0)</f>
        <v>0</v>
      </c>
      <c r="H95" s="10">
        <f t="shared" si="4"/>
        <v>0</v>
      </c>
      <c r="I95" s="14" t="str">
        <f t="shared" si="5"/>
        <v>参照済</v>
      </c>
      <c r="J95" s="1"/>
      <c r="K95" s="1"/>
      <c r="L95" s="1"/>
      <c r="M95" s="1"/>
      <c r="N95" s="1"/>
      <c r="O95" s="1"/>
      <c r="P95" s="1"/>
      <c r="Q95" s="1"/>
    </row>
    <row r="96" spans="1:17">
      <c r="A96" s="10" t="s">
        <v>3212</v>
      </c>
      <c r="B96" s="10" t="s">
        <v>1255</v>
      </c>
      <c r="C96" s="10" t="s">
        <v>3342</v>
      </c>
      <c r="D96" s="17" t="s">
        <v>3437</v>
      </c>
      <c r="E96" s="10">
        <f>IFERROR(MATCH(B96,'02_ツリー'!$E$5:$E$679,0)+4,"")</f>
        <v>576</v>
      </c>
      <c r="F96" s="10">
        <f>IFERROR(INDEX('03_ダッシュボード'!$F$11:$F$412,MATCH(B96,'03_ダッシュボード'!$A$11:$A$412,0)),0)</f>
        <v>0</v>
      </c>
      <c r="G96" s="10">
        <f>IFERROR(INDEX('03_ダッシュボード'!$G$11:$G$412,MATCH(B96,'03_ダッシュボード'!$A$11:$A$412,0)),0)</f>
        <v>0</v>
      </c>
      <c r="H96" s="10">
        <f t="shared" si="4"/>
        <v>0</v>
      </c>
      <c r="I96" s="14" t="str">
        <f t="shared" si="5"/>
        <v>参照済</v>
      </c>
      <c r="J96" s="1"/>
      <c r="K96" s="1"/>
      <c r="L96" s="1"/>
      <c r="M96" s="1"/>
      <c r="N96" s="1"/>
      <c r="O96" s="1"/>
      <c r="P96" s="1"/>
      <c r="Q96" s="1"/>
    </row>
    <row r="97" spans="1:17">
      <c r="A97" s="10" t="s">
        <v>3217</v>
      </c>
      <c r="B97" s="10" t="s">
        <v>973</v>
      </c>
      <c r="C97" s="10" t="s">
        <v>3342</v>
      </c>
      <c r="D97" s="17" t="s">
        <v>3438</v>
      </c>
      <c r="E97" s="10">
        <f>IFERROR(MATCH(B97,'02_ツリー'!$E$5:$E$679,0)+4,"")</f>
        <v>480</v>
      </c>
      <c r="F97" s="10">
        <f>IFERROR(INDEX('03_ダッシュボード'!$F$11:$F$412,MATCH(B97,'03_ダッシュボード'!$A$11:$A$412,0)),0)</f>
        <v>0</v>
      </c>
      <c r="G97" s="10">
        <f>IFERROR(INDEX('03_ダッシュボード'!$G$11:$G$412,MATCH(B97,'03_ダッシュボード'!$A$11:$A$412,0)),0)</f>
        <v>1</v>
      </c>
      <c r="H97" s="10">
        <f t="shared" si="4"/>
        <v>-1</v>
      </c>
      <c r="I97" s="14" t="str">
        <f t="shared" si="5"/>
        <v>参照済</v>
      </c>
      <c r="J97" s="1"/>
      <c r="K97" s="1"/>
      <c r="L97" s="1"/>
      <c r="M97" s="1"/>
      <c r="N97" s="1"/>
      <c r="O97" s="1"/>
      <c r="P97" s="1"/>
      <c r="Q97" s="1"/>
    </row>
    <row r="98" spans="1:17">
      <c r="A98" s="10" t="s">
        <v>3217</v>
      </c>
      <c r="B98" s="10" t="s">
        <v>987</v>
      </c>
      <c r="C98" s="10" t="s">
        <v>3342</v>
      </c>
      <c r="D98" s="17" t="s">
        <v>3439</v>
      </c>
      <c r="E98" s="10" t="str">
        <f>IFERROR(MATCH(B98,'02_ツリー'!$E$5:$E$679,0)+4,"")</f>
        <v/>
      </c>
      <c r="F98" s="10">
        <f>IFERROR(INDEX('03_ダッシュボード'!$F$11:$F$412,MATCH(B98,'03_ダッシュボード'!$A$11:$A$412,0)),0)</f>
        <v>0</v>
      </c>
      <c r="G98" s="10">
        <f>IFERROR(INDEX('03_ダッシュボード'!$G$11:$G$412,MATCH(B98,'03_ダッシュボード'!$A$11:$A$412,0)),0)</f>
        <v>0</v>
      </c>
      <c r="H98" s="10">
        <f t="shared" ref="H98:H129" si="6">IF(C98="増加",F98,IF(C98="減少",-G98,MIN(F98,-G98)))</f>
        <v>0</v>
      </c>
      <c r="I98" s="14" t="str">
        <f t="shared" ref="I98:I129" si="7">IF(E98="","未参照","参照済")</f>
        <v>未参照</v>
      </c>
      <c r="J98" s="1"/>
      <c r="K98" s="1"/>
      <c r="L98" s="1"/>
      <c r="M98" s="1"/>
      <c r="N98" s="1"/>
      <c r="O98" s="1"/>
      <c r="P98" s="1"/>
      <c r="Q98" s="1"/>
    </row>
    <row r="99" spans="1:17">
      <c r="A99" s="10" t="s">
        <v>3217</v>
      </c>
      <c r="B99" s="10" t="s">
        <v>1001</v>
      </c>
      <c r="C99" s="10" t="s">
        <v>3342</v>
      </c>
      <c r="D99" s="17" t="s">
        <v>3440</v>
      </c>
      <c r="E99" s="10">
        <f>IFERROR(MATCH(B99,'02_ツリー'!$E$5:$E$679,0)+4,"")</f>
        <v>486</v>
      </c>
      <c r="F99" s="10">
        <f>IFERROR(INDEX('03_ダッシュボード'!$F$11:$F$412,MATCH(B99,'03_ダッシュボード'!$A$11:$A$412,0)),0)</f>
        <v>0</v>
      </c>
      <c r="G99" s="10">
        <f>IFERROR(INDEX('03_ダッシュボード'!$G$11:$G$412,MATCH(B99,'03_ダッシュボード'!$A$11:$A$412,0)),0)</f>
        <v>1</v>
      </c>
      <c r="H99" s="10">
        <f t="shared" si="6"/>
        <v>-1</v>
      </c>
      <c r="I99" s="14" t="str">
        <f t="shared" si="7"/>
        <v>参照済</v>
      </c>
      <c r="J99" s="1"/>
      <c r="K99" s="1"/>
      <c r="L99" s="1"/>
      <c r="M99" s="1"/>
      <c r="N99" s="1"/>
      <c r="O99" s="1"/>
      <c r="P99" s="1"/>
      <c r="Q99" s="1"/>
    </row>
    <row r="100" spans="1:17">
      <c r="A100" s="10" t="s">
        <v>3217</v>
      </c>
      <c r="B100" s="10" t="s">
        <v>121</v>
      </c>
      <c r="C100" s="10" t="s">
        <v>3342</v>
      </c>
      <c r="D100" s="17" t="s">
        <v>3441</v>
      </c>
      <c r="E100" s="10">
        <f>IFERROR(MATCH(B100,'02_ツリー'!$E$5:$E$679,0)+4,"")</f>
        <v>55</v>
      </c>
      <c r="F100" s="10">
        <f>IFERROR(INDEX('03_ダッシュボード'!$F$11:$F$412,MATCH(B100,'03_ダッシュボード'!$A$11:$A$412,0)),0)</f>
        <v>1</v>
      </c>
      <c r="G100" s="10">
        <f>IFERROR(INDEX('03_ダッシュボード'!$G$11:$G$412,MATCH(B100,'03_ダッシュボード'!$A$11:$A$412,0)),0)</f>
        <v>0</v>
      </c>
      <c r="H100" s="10">
        <f t="shared" si="6"/>
        <v>0</v>
      </c>
      <c r="I100" s="14" t="str">
        <f t="shared" si="7"/>
        <v>参照済</v>
      </c>
      <c r="J100" s="1"/>
      <c r="K100" s="1"/>
      <c r="L100" s="1"/>
      <c r="M100" s="1"/>
      <c r="N100" s="1"/>
      <c r="O100" s="1"/>
      <c r="P100" s="1"/>
      <c r="Q100" s="1"/>
    </row>
    <row r="101" spans="1:17">
      <c r="A101" s="10" t="s">
        <v>3217</v>
      </c>
      <c r="B101" s="10" t="s">
        <v>95</v>
      </c>
      <c r="C101" s="10" t="s">
        <v>3342</v>
      </c>
      <c r="D101" s="17" t="s">
        <v>3442</v>
      </c>
      <c r="E101" s="10">
        <f>IFERROR(MATCH(B101,'02_ツリー'!$E$5:$E$679,0)+4,"")</f>
        <v>81</v>
      </c>
      <c r="F101" s="10">
        <f>IFERROR(INDEX('03_ダッシュボード'!$F$11:$F$412,MATCH(B101,'03_ダッシュボード'!$A$11:$A$412,0)),0)</f>
        <v>1</v>
      </c>
      <c r="G101" s="10">
        <f>IFERROR(INDEX('03_ダッシュボード'!$G$11:$G$412,MATCH(B101,'03_ダッシュボード'!$A$11:$A$412,0)),0)</f>
        <v>0</v>
      </c>
      <c r="H101" s="10">
        <f t="shared" si="6"/>
        <v>0</v>
      </c>
      <c r="I101" s="14" t="str">
        <f t="shared" si="7"/>
        <v>参照済</v>
      </c>
      <c r="J101" s="1"/>
      <c r="K101" s="1"/>
      <c r="L101" s="1"/>
      <c r="M101" s="1"/>
      <c r="N101" s="1"/>
      <c r="O101" s="1"/>
      <c r="P101" s="1"/>
      <c r="Q101" s="1"/>
    </row>
    <row r="102" spans="1:17" ht="42.75">
      <c r="A102" s="10" t="s">
        <v>3217</v>
      </c>
      <c r="B102" s="10" t="s">
        <v>3443</v>
      </c>
      <c r="C102" s="10" t="s">
        <v>3342</v>
      </c>
      <c r="D102" s="17" t="s">
        <v>3444</v>
      </c>
      <c r="E102" s="10" t="str">
        <f>IFERROR(MATCH(B102,'02_ツリー'!$E$5:$E$679,0)+4,"")</f>
        <v/>
      </c>
      <c r="F102" s="10">
        <f>IFERROR(INDEX('03_ダッシュボード'!$F$11:$F$412,MATCH(B102,'03_ダッシュボード'!$A$11:$A$412,0)),0)</f>
        <v>0</v>
      </c>
      <c r="G102" s="10">
        <f>IFERROR(INDEX('03_ダッシュボード'!$G$11:$G$412,MATCH(B102,'03_ダッシュボード'!$A$11:$A$412,0)),0)</f>
        <v>0</v>
      </c>
      <c r="H102" s="10">
        <f t="shared" si="6"/>
        <v>0</v>
      </c>
      <c r="I102" s="14" t="str">
        <f t="shared" si="7"/>
        <v>未参照</v>
      </c>
      <c r="J102" s="1" t="s">
        <v>3445</v>
      </c>
      <c r="K102" s="1" t="s">
        <v>3446</v>
      </c>
      <c r="L102" s="1" t="s">
        <v>3447</v>
      </c>
      <c r="M102" s="1"/>
      <c r="N102" s="1"/>
      <c r="O102" s="1"/>
      <c r="P102" s="1"/>
      <c r="Q102" s="1"/>
    </row>
    <row r="103" spans="1:17">
      <c r="A103" s="10" t="s">
        <v>3223</v>
      </c>
      <c r="B103" s="10" t="s">
        <v>973</v>
      </c>
      <c r="C103" s="10" t="s">
        <v>3342</v>
      </c>
      <c r="D103" s="17" t="s">
        <v>3448</v>
      </c>
      <c r="E103" s="10">
        <f>IFERROR(MATCH(B103,'02_ツリー'!$E$5:$E$679,0)+4,"")</f>
        <v>480</v>
      </c>
      <c r="F103" s="10">
        <f>IFERROR(INDEX('03_ダッシュボード'!$F$11:$F$412,MATCH(B103,'03_ダッシュボード'!$A$11:$A$412,0)),0)</f>
        <v>0</v>
      </c>
      <c r="G103" s="10">
        <f>IFERROR(INDEX('03_ダッシュボード'!$G$11:$G$412,MATCH(B103,'03_ダッシュボード'!$A$11:$A$412,0)),0)</f>
        <v>1</v>
      </c>
      <c r="H103" s="10">
        <f t="shared" si="6"/>
        <v>-1</v>
      </c>
      <c r="I103" s="14" t="str">
        <f t="shared" si="7"/>
        <v>参照済</v>
      </c>
      <c r="J103" s="1"/>
      <c r="K103" s="1"/>
      <c r="L103" s="1"/>
      <c r="M103" s="1"/>
      <c r="N103" s="1"/>
      <c r="O103" s="1"/>
      <c r="P103" s="1"/>
      <c r="Q103" s="1"/>
    </row>
    <row r="104" spans="1:17">
      <c r="A104" s="10" t="s">
        <v>3223</v>
      </c>
      <c r="B104" s="10" t="s">
        <v>987</v>
      </c>
      <c r="C104" s="10" t="s">
        <v>3342</v>
      </c>
      <c r="D104" s="17" t="s">
        <v>3449</v>
      </c>
      <c r="E104" s="10" t="str">
        <f>IFERROR(MATCH(B104,'02_ツリー'!$E$5:$E$679,0)+4,"")</f>
        <v/>
      </c>
      <c r="F104" s="10">
        <f>IFERROR(INDEX('03_ダッシュボード'!$F$11:$F$412,MATCH(B104,'03_ダッシュボード'!$A$11:$A$412,0)),0)</f>
        <v>0</v>
      </c>
      <c r="G104" s="10">
        <f>IFERROR(INDEX('03_ダッシュボード'!$G$11:$G$412,MATCH(B104,'03_ダッシュボード'!$A$11:$A$412,0)),0)</f>
        <v>0</v>
      </c>
      <c r="H104" s="10">
        <f t="shared" si="6"/>
        <v>0</v>
      </c>
      <c r="I104" s="14" t="str">
        <f t="shared" si="7"/>
        <v>未参照</v>
      </c>
      <c r="J104" s="1"/>
      <c r="K104" s="1"/>
      <c r="L104" s="1"/>
      <c r="M104" s="1"/>
      <c r="N104" s="1"/>
      <c r="O104" s="1"/>
      <c r="P104" s="1"/>
      <c r="Q104" s="1"/>
    </row>
    <row r="105" spans="1:17">
      <c r="A105" s="10" t="s">
        <v>3223</v>
      </c>
      <c r="B105" s="10" t="s">
        <v>121</v>
      </c>
      <c r="C105" s="10" t="s">
        <v>3342</v>
      </c>
      <c r="D105" s="17" t="s">
        <v>3450</v>
      </c>
      <c r="E105" s="10">
        <f>IFERROR(MATCH(B105,'02_ツリー'!$E$5:$E$679,0)+4,"")</f>
        <v>55</v>
      </c>
      <c r="F105" s="10">
        <f>IFERROR(INDEX('03_ダッシュボード'!$F$11:$F$412,MATCH(B105,'03_ダッシュボード'!$A$11:$A$412,0)),0)</f>
        <v>1</v>
      </c>
      <c r="G105" s="10">
        <f>IFERROR(INDEX('03_ダッシュボード'!$G$11:$G$412,MATCH(B105,'03_ダッシュボード'!$A$11:$A$412,0)),0)</f>
        <v>0</v>
      </c>
      <c r="H105" s="10">
        <f t="shared" si="6"/>
        <v>0</v>
      </c>
      <c r="I105" s="14" t="str">
        <f t="shared" si="7"/>
        <v>参照済</v>
      </c>
      <c r="J105" s="1"/>
      <c r="K105" s="1"/>
      <c r="L105" s="1"/>
      <c r="M105" s="1"/>
      <c r="N105" s="1"/>
      <c r="O105" s="1"/>
      <c r="P105" s="1"/>
      <c r="Q105" s="1"/>
    </row>
    <row r="106" spans="1:17" ht="28.5">
      <c r="A106" s="10" t="s">
        <v>3223</v>
      </c>
      <c r="B106" s="10" t="s">
        <v>3451</v>
      </c>
      <c r="C106" s="10" t="s">
        <v>3342</v>
      </c>
      <c r="D106" s="17" t="s">
        <v>3452</v>
      </c>
      <c r="E106" s="10" t="str">
        <f>IFERROR(MATCH(B106,'02_ツリー'!$E$5:$E$679,0)+4,"")</f>
        <v/>
      </c>
      <c r="F106" s="10">
        <f>IFERROR(INDEX('03_ダッシュボード'!$F$11:$F$412,MATCH(B106,'03_ダッシュボード'!$A$11:$A$412,0)),0)</f>
        <v>0</v>
      </c>
      <c r="G106" s="10">
        <f>IFERROR(INDEX('03_ダッシュボード'!$G$11:$G$412,MATCH(B106,'03_ダッシュボード'!$A$11:$A$412,0)),0)</f>
        <v>0</v>
      </c>
      <c r="H106" s="10">
        <f t="shared" si="6"/>
        <v>0</v>
      </c>
      <c r="I106" s="14" t="str">
        <f t="shared" si="7"/>
        <v>未参照</v>
      </c>
      <c r="J106" s="1" t="s">
        <v>3453</v>
      </c>
      <c r="K106" s="1" t="s">
        <v>3454</v>
      </c>
      <c r="L106" s="1" t="s">
        <v>3455</v>
      </c>
      <c r="M106" s="1"/>
      <c r="N106" s="1"/>
      <c r="O106" s="1"/>
      <c r="P106" s="1"/>
      <c r="Q106" s="1"/>
    </row>
    <row r="107" spans="1:17">
      <c r="A107" s="10" t="s">
        <v>3223</v>
      </c>
      <c r="B107" s="10" t="s">
        <v>402</v>
      </c>
      <c r="C107" s="10" t="s">
        <v>3342</v>
      </c>
      <c r="D107" s="17" t="s">
        <v>3456</v>
      </c>
      <c r="E107" s="10">
        <f>IFERROR(MATCH(B107,'02_ツリー'!$E$5:$E$679,0)+4,"")</f>
        <v>180</v>
      </c>
      <c r="F107" s="10">
        <f>IFERROR(INDEX('03_ダッシュボード'!$F$11:$F$412,MATCH(B107,'03_ダッシュボード'!$A$11:$A$412,0)),0)</f>
        <v>1</v>
      </c>
      <c r="G107" s="10">
        <f>IFERROR(INDEX('03_ダッシュボード'!$G$11:$G$412,MATCH(B107,'03_ダッシュボード'!$A$11:$A$412,0)),0)</f>
        <v>0</v>
      </c>
      <c r="H107" s="10">
        <f t="shared" si="6"/>
        <v>0</v>
      </c>
      <c r="I107" s="14" t="str">
        <f t="shared" si="7"/>
        <v>参照済</v>
      </c>
      <c r="J107" s="1"/>
      <c r="K107" s="1"/>
      <c r="L107" s="1"/>
      <c r="M107" s="1"/>
      <c r="N107" s="1"/>
      <c r="O107" s="1"/>
      <c r="P107" s="1"/>
      <c r="Q107" s="1"/>
    </row>
    <row r="108" spans="1:17">
      <c r="A108" s="10" t="s">
        <v>3228</v>
      </c>
      <c r="B108" s="10" t="s">
        <v>973</v>
      </c>
      <c r="C108" s="10" t="s">
        <v>3342</v>
      </c>
      <c r="D108" s="17" t="s">
        <v>3457</v>
      </c>
      <c r="E108" s="10">
        <f>IFERROR(MATCH(B108,'02_ツリー'!$E$5:$E$679,0)+4,"")</f>
        <v>480</v>
      </c>
      <c r="F108" s="10">
        <f>IFERROR(INDEX('03_ダッシュボード'!$F$11:$F$412,MATCH(B108,'03_ダッシュボード'!$A$11:$A$412,0)),0)</f>
        <v>0</v>
      </c>
      <c r="G108" s="10">
        <f>IFERROR(INDEX('03_ダッシュボード'!$G$11:$G$412,MATCH(B108,'03_ダッシュボード'!$A$11:$A$412,0)),0)</f>
        <v>1</v>
      </c>
      <c r="H108" s="10">
        <f t="shared" si="6"/>
        <v>-1</v>
      </c>
      <c r="I108" s="14" t="str">
        <f t="shared" si="7"/>
        <v>参照済</v>
      </c>
      <c r="J108" s="1"/>
      <c r="K108" s="1"/>
      <c r="L108" s="1"/>
      <c r="M108" s="1"/>
      <c r="N108" s="1"/>
      <c r="O108" s="1"/>
      <c r="P108" s="1"/>
      <c r="Q108" s="1"/>
    </row>
    <row r="109" spans="1:17">
      <c r="A109" s="10" t="s">
        <v>3228</v>
      </c>
      <c r="B109" s="10" t="s">
        <v>987</v>
      </c>
      <c r="C109" s="10" t="s">
        <v>3342</v>
      </c>
      <c r="D109" s="17" t="s">
        <v>3458</v>
      </c>
      <c r="E109" s="10" t="str">
        <f>IFERROR(MATCH(B109,'02_ツリー'!$E$5:$E$679,0)+4,"")</f>
        <v/>
      </c>
      <c r="F109" s="10">
        <f>IFERROR(INDEX('03_ダッシュボード'!$F$11:$F$412,MATCH(B109,'03_ダッシュボード'!$A$11:$A$412,0)),0)</f>
        <v>0</v>
      </c>
      <c r="G109" s="10">
        <f>IFERROR(INDEX('03_ダッシュボード'!$G$11:$G$412,MATCH(B109,'03_ダッシュボード'!$A$11:$A$412,0)),0)</f>
        <v>0</v>
      </c>
      <c r="H109" s="10">
        <f t="shared" si="6"/>
        <v>0</v>
      </c>
      <c r="I109" s="14" t="str">
        <f t="shared" si="7"/>
        <v>未参照</v>
      </c>
      <c r="J109" s="1"/>
      <c r="K109" s="1"/>
      <c r="L109" s="1"/>
      <c r="M109" s="1"/>
      <c r="N109" s="1"/>
      <c r="O109" s="1"/>
      <c r="P109" s="1"/>
      <c r="Q109" s="1"/>
    </row>
    <row r="110" spans="1:17">
      <c r="A110" s="10" t="s">
        <v>3228</v>
      </c>
      <c r="B110" s="10" t="s">
        <v>1001</v>
      </c>
      <c r="C110" s="10" t="s">
        <v>3342</v>
      </c>
      <c r="D110" s="17" t="s">
        <v>3459</v>
      </c>
      <c r="E110" s="10">
        <f>IFERROR(MATCH(B110,'02_ツリー'!$E$5:$E$679,0)+4,"")</f>
        <v>486</v>
      </c>
      <c r="F110" s="10">
        <f>IFERROR(INDEX('03_ダッシュボード'!$F$11:$F$412,MATCH(B110,'03_ダッシュボード'!$A$11:$A$412,0)),0)</f>
        <v>0</v>
      </c>
      <c r="G110" s="10">
        <f>IFERROR(INDEX('03_ダッシュボード'!$G$11:$G$412,MATCH(B110,'03_ダッシュボード'!$A$11:$A$412,0)),0)</f>
        <v>1</v>
      </c>
      <c r="H110" s="10">
        <f t="shared" si="6"/>
        <v>-1</v>
      </c>
      <c r="I110" s="14" t="str">
        <f t="shared" si="7"/>
        <v>参照済</v>
      </c>
      <c r="J110" s="1"/>
      <c r="K110" s="1"/>
      <c r="L110" s="1"/>
      <c r="M110" s="1"/>
      <c r="N110" s="1"/>
      <c r="O110" s="1"/>
      <c r="P110" s="1"/>
      <c r="Q110" s="1"/>
    </row>
    <row r="111" spans="1:17">
      <c r="A111" s="10" t="s">
        <v>3228</v>
      </c>
      <c r="B111" s="10" t="s">
        <v>121</v>
      </c>
      <c r="C111" s="10" t="s">
        <v>3342</v>
      </c>
      <c r="D111" s="17" t="s">
        <v>3460</v>
      </c>
      <c r="E111" s="10">
        <f>IFERROR(MATCH(B111,'02_ツリー'!$E$5:$E$679,0)+4,"")</f>
        <v>55</v>
      </c>
      <c r="F111" s="10">
        <f>IFERROR(INDEX('03_ダッシュボード'!$F$11:$F$412,MATCH(B111,'03_ダッシュボード'!$A$11:$A$412,0)),0)</f>
        <v>1</v>
      </c>
      <c r="G111" s="10">
        <f>IFERROR(INDEX('03_ダッシュボード'!$G$11:$G$412,MATCH(B111,'03_ダッシュボード'!$A$11:$A$412,0)),0)</f>
        <v>0</v>
      </c>
      <c r="H111" s="10">
        <f t="shared" si="6"/>
        <v>0</v>
      </c>
      <c r="I111" s="14" t="str">
        <f t="shared" si="7"/>
        <v>参照済</v>
      </c>
      <c r="J111" s="1"/>
      <c r="K111" s="1"/>
      <c r="L111" s="1"/>
      <c r="M111" s="1"/>
      <c r="N111" s="1"/>
      <c r="O111" s="1"/>
      <c r="P111" s="1"/>
      <c r="Q111" s="1"/>
    </row>
    <row r="112" spans="1:17" ht="28.5">
      <c r="A112" s="10" t="s">
        <v>3228</v>
      </c>
      <c r="B112" s="10" t="s">
        <v>3461</v>
      </c>
      <c r="C112" s="10" t="s">
        <v>3342</v>
      </c>
      <c r="D112" s="17" t="s">
        <v>3462</v>
      </c>
      <c r="E112" s="10" t="str">
        <f>IFERROR(MATCH(B112,'02_ツリー'!$E$5:$E$679,0)+4,"")</f>
        <v/>
      </c>
      <c r="F112" s="10">
        <f>IFERROR(INDEX('03_ダッシュボード'!$F$11:$F$412,MATCH(B112,'03_ダッシュボード'!$A$11:$A$412,0)),0)</f>
        <v>0</v>
      </c>
      <c r="G112" s="10">
        <f>IFERROR(INDEX('03_ダッシュボード'!$G$11:$G$412,MATCH(B112,'03_ダッシュボード'!$A$11:$A$412,0)),0)</f>
        <v>0</v>
      </c>
      <c r="H112" s="10">
        <f t="shared" si="6"/>
        <v>0</v>
      </c>
      <c r="I112" s="14" t="str">
        <f t="shared" si="7"/>
        <v>未参照</v>
      </c>
      <c r="J112" s="1" t="s">
        <v>3463</v>
      </c>
      <c r="K112" s="1" t="s">
        <v>3464</v>
      </c>
      <c r="L112" s="1" t="s">
        <v>3465</v>
      </c>
      <c r="M112" s="1"/>
      <c r="N112" s="1"/>
      <c r="O112" s="1"/>
      <c r="P112" s="1"/>
      <c r="Q112" s="1"/>
    </row>
    <row r="113" spans="1:17" ht="28.5">
      <c r="A113" s="10" t="s">
        <v>3228</v>
      </c>
      <c r="B113" s="10" t="s">
        <v>3466</v>
      </c>
      <c r="C113" s="10" t="s">
        <v>3342</v>
      </c>
      <c r="D113" s="17" t="s">
        <v>3467</v>
      </c>
      <c r="E113" s="10" t="str">
        <f>IFERROR(MATCH(B113,'02_ツリー'!$E$5:$E$679,0)+4,"")</f>
        <v/>
      </c>
      <c r="F113" s="10">
        <f>IFERROR(INDEX('03_ダッシュボード'!$F$11:$F$412,MATCH(B113,'03_ダッシュボード'!$A$11:$A$412,0)),0)</f>
        <v>0</v>
      </c>
      <c r="G113" s="10">
        <f>IFERROR(INDEX('03_ダッシュボード'!$G$11:$G$412,MATCH(B113,'03_ダッシュボード'!$A$11:$A$412,0)),0)</f>
        <v>0</v>
      </c>
      <c r="H113" s="10">
        <f t="shared" si="6"/>
        <v>0</v>
      </c>
      <c r="I113" s="14" t="str">
        <f t="shared" si="7"/>
        <v>未参照</v>
      </c>
      <c r="J113" s="1" t="s">
        <v>3463</v>
      </c>
      <c r="K113" s="1" t="s">
        <v>3464</v>
      </c>
      <c r="L113" s="1" t="s">
        <v>3468</v>
      </c>
      <c r="M113" s="1"/>
      <c r="N113" s="1"/>
      <c r="O113" s="1"/>
      <c r="P113" s="1"/>
      <c r="Q113" s="1"/>
    </row>
    <row r="114" spans="1:17" ht="28.5">
      <c r="A114" s="10" t="s">
        <v>3234</v>
      </c>
      <c r="B114" s="10" t="s">
        <v>3461</v>
      </c>
      <c r="C114" s="10" t="s">
        <v>3342</v>
      </c>
      <c r="D114" s="17" t="s">
        <v>3469</v>
      </c>
      <c r="E114" s="10" t="str">
        <f>IFERROR(MATCH(B114,'02_ツリー'!$E$5:$E$679,0)+4,"")</f>
        <v/>
      </c>
      <c r="F114" s="10">
        <f>IFERROR(INDEX('03_ダッシュボード'!$F$11:$F$412,MATCH(B114,'03_ダッシュボード'!$A$11:$A$412,0)),0)</f>
        <v>0</v>
      </c>
      <c r="G114" s="10">
        <f>IFERROR(INDEX('03_ダッシュボード'!$G$11:$G$412,MATCH(B114,'03_ダッシュボード'!$A$11:$A$412,0)),0)</f>
        <v>0</v>
      </c>
      <c r="H114" s="10">
        <f t="shared" si="6"/>
        <v>0</v>
      </c>
      <c r="I114" s="14" t="str">
        <f t="shared" si="7"/>
        <v>未参照</v>
      </c>
      <c r="J114" s="1" t="s">
        <v>3463</v>
      </c>
      <c r="K114" s="1" t="s">
        <v>3464</v>
      </c>
      <c r="L114" s="1" t="s">
        <v>3470</v>
      </c>
      <c r="M114" s="1"/>
      <c r="N114" s="1"/>
      <c r="O114" s="1"/>
      <c r="P114" s="1"/>
      <c r="Q114" s="1"/>
    </row>
    <row r="115" spans="1:17" ht="28.5">
      <c r="A115" s="10" t="s">
        <v>3234</v>
      </c>
      <c r="B115" s="10" t="s">
        <v>3471</v>
      </c>
      <c r="C115" s="10" t="s">
        <v>3342</v>
      </c>
      <c r="D115" s="17" t="s">
        <v>3472</v>
      </c>
      <c r="E115" s="10" t="str">
        <f>IFERROR(MATCH(B115,'02_ツリー'!$E$5:$E$679,0)+4,"")</f>
        <v/>
      </c>
      <c r="F115" s="10">
        <f>IFERROR(INDEX('03_ダッシュボード'!$F$11:$F$412,MATCH(B115,'03_ダッシュボード'!$A$11:$A$412,0)),0)</f>
        <v>0</v>
      </c>
      <c r="G115" s="10">
        <f>IFERROR(INDEX('03_ダッシュボード'!$G$11:$G$412,MATCH(B115,'03_ダッシュボード'!$A$11:$A$412,0)),0)</f>
        <v>0</v>
      </c>
      <c r="H115" s="10">
        <f t="shared" si="6"/>
        <v>0</v>
      </c>
      <c r="I115" s="14" t="str">
        <f t="shared" si="7"/>
        <v>未参照</v>
      </c>
      <c r="J115" s="1" t="s">
        <v>3463</v>
      </c>
      <c r="K115" s="1" t="s">
        <v>3464</v>
      </c>
      <c r="L115" s="1" t="s">
        <v>3473</v>
      </c>
      <c r="M115" s="1"/>
      <c r="N115" s="1"/>
      <c r="O115" s="1"/>
      <c r="P115" s="1"/>
      <c r="Q115" s="1"/>
    </row>
    <row r="116" spans="1:17">
      <c r="A116" s="10" t="s">
        <v>3234</v>
      </c>
      <c r="B116" s="10" t="s">
        <v>3474</v>
      </c>
      <c r="C116" s="10" t="s">
        <v>3342</v>
      </c>
      <c r="D116" s="17" t="s">
        <v>3475</v>
      </c>
      <c r="E116" s="10" t="str">
        <f>IFERROR(MATCH(B116,'02_ツリー'!$E$5:$E$679,0)+4,"")</f>
        <v/>
      </c>
      <c r="F116" s="10">
        <f>IFERROR(INDEX('03_ダッシュボード'!$F$11:$F$412,MATCH(B116,'03_ダッシュボード'!$A$11:$A$412,0)),0)</f>
        <v>0</v>
      </c>
      <c r="G116" s="10">
        <f>IFERROR(INDEX('03_ダッシュボード'!$G$11:$G$412,MATCH(B116,'03_ダッシュボード'!$A$11:$A$412,0)),0)</f>
        <v>0</v>
      </c>
      <c r="H116" s="10">
        <f t="shared" si="6"/>
        <v>0</v>
      </c>
      <c r="I116" s="14" t="str">
        <f t="shared" si="7"/>
        <v>未参照</v>
      </c>
      <c r="J116" s="1" t="s">
        <v>3453</v>
      </c>
      <c r="K116" s="1" t="s">
        <v>3476</v>
      </c>
      <c r="L116" s="1" t="s">
        <v>3477</v>
      </c>
      <c r="M116" s="1"/>
      <c r="N116" s="1"/>
      <c r="O116" s="1"/>
      <c r="P116" s="1"/>
      <c r="Q116" s="1"/>
    </row>
    <row r="117" spans="1:17" ht="28.5">
      <c r="A117" s="10" t="s">
        <v>3234</v>
      </c>
      <c r="B117" s="10" t="s">
        <v>3478</v>
      </c>
      <c r="C117" s="10" t="s">
        <v>3342</v>
      </c>
      <c r="D117" s="17" t="s">
        <v>3479</v>
      </c>
      <c r="E117" s="10" t="str">
        <f>IFERROR(MATCH(B117,'02_ツリー'!$E$5:$E$679,0)+4,"")</f>
        <v/>
      </c>
      <c r="F117" s="10">
        <f>IFERROR(INDEX('03_ダッシュボード'!$F$11:$F$412,MATCH(B117,'03_ダッシュボード'!$A$11:$A$412,0)),0)</f>
        <v>0</v>
      </c>
      <c r="G117" s="10">
        <f>IFERROR(INDEX('03_ダッシュボード'!$G$11:$G$412,MATCH(B117,'03_ダッシュボード'!$A$11:$A$412,0)),0)</f>
        <v>0</v>
      </c>
      <c r="H117" s="10">
        <f t="shared" si="6"/>
        <v>0</v>
      </c>
      <c r="I117" s="14" t="str">
        <f t="shared" si="7"/>
        <v>未参照</v>
      </c>
      <c r="J117" s="1" t="s">
        <v>3453</v>
      </c>
      <c r="K117" s="1" t="s">
        <v>3480</v>
      </c>
      <c r="L117" s="1" t="s">
        <v>3481</v>
      </c>
      <c r="M117" s="1"/>
      <c r="N117" s="1"/>
      <c r="O117" s="1"/>
      <c r="P117" s="1"/>
      <c r="Q117" s="1"/>
    </row>
    <row r="118" spans="1:17">
      <c r="A118" s="10" t="s">
        <v>3239</v>
      </c>
      <c r="B118" s="10" t="s">
        <v>987</v>
      </c>
      <c r="C118" s="10" t="s">
        <v>3342</v>
      </c>
      <c r="D118" s="17" t="s">
        <v>3482</v>
      </c>
      <c r="E118" s="10" t="str">
        <f>IFERROR(MATCH(B118,'02_ツリー'!$E$5:$E$679,0)+4,"")</f>
        <v/>
      </c>
      <c r="F118" s="10">
        <f>IFERROR(INDEX('03_ダッシュボード'!$F$11:$F$412,MATCH(B118,'03_ダッシュボード'!$A$11:$A$412,0)),0)</f>
        <v>0</v>
      </c>
      <c r="G118" s="10">
        <f>IFERROR(INDEX('03_ダッシュボード'!$G$11:$G$412,MATCH(B118,'03_ダッシュボード'!$A$11:$A$412,0)),0)</f>
        <v>0</v>
      </c>
      <c r="H118" s="10">
        <f t="shared" si="6"/>
        <v>0</v>
      </c>
      <c r="I118" s="14" t="str">
        <f t="shared" si="7"/>
        <v>未参照</v>
      </c>
      <c r="J118" s="1"/>
      <c r="K118" s="1"/>
      <c r="L118" s="1"/>
      <c r="M118" s="1"/>
      <c r="N118" s="1"/>
      <c r="O118" s="1"/>
      <c r="P118" s="1"/>
      <c r="Q118" s="1"/>
    </row>
    <row r="119" spans="1:17">
      <c r="A119" s="10" t="s">
        <v>3239</v>
      </c>
      <c r="B119" s="10" t="s">
        <v>973</v>
      </c>
      <c r="C119" s="10" t="s">
        <v>3342</v>
      </c>
      <c r="D119" s="17" t="s">
        <v>3483</v>
      </c>
      <c r="E119" s="10">
        <f>IFERROR(MATCH(B119,'02_ツリー'!$E$5:$E$679,0)+4,"")</f>
        <v>480</v>
      </c>
      <c r="F119" s="10">
        <f>IFERROR(INDEX('03_ダッシュボード'!$F$11:$F$412,MATCH(B119,'03_ダッシュボード'!$A$11:$A$412,0)),0)</f>
        <v>0</v>
      </c>
      <c r="G119" s="10">
        <f>IFERROR(INDEX('03_ダッシュボード'!$G$11:$G$412,MATCH(B119,'03_ダッシュボード'!$A$11:$A$412,0)),0)</f>
        <v>1</v>
      </c>
      <c r="H119" s="10">
        <f t="shared" si="6"/>
        <v>-1</v>
      </c>
      <c r="I119" s="14" t="str">
        <f t="shared" si="7"/>
        <v>参照済</v>
      </c>
      <c r="J119" s="1"/>
      <c r="K119" s="1"/>
      <c r="L119" s="1"/>
      <c r="M119" s="1"/>
      <c r="N119" s="1"/>
      <c r="O119" s="1"/>
      <c r="P119" s="1"/>
      <c r="Q119" s="1"/>
    </row>
    <row r="120" spans="1:17">
      <c r="A120" s="10" t="s">
        <v>3239</v>
      </c>
      <c r="B120" s="10" t="s">
        <v>1001</v>
      </c>
      <c r="C120" s="10" t="s">
        <v>3342</v>
      </c>
      <c r="D120" s="17" t="s">
        <v>3484</v>
      </c>
      <c r="E120" s="10">
        <f>IFERROR(MATCH(B120,'02_ツリー'!$E$5:$E$679,0)+4,"")</f>
        <v>486</v>
      </c>
      <c r="F120" s="10">
        <f>IFERROR(INDEX('03_ダッシュボード'!$F$11:$F$412,MATCH(B120,'03_ダッシュボード'!$A$11:$A$412,0)),0)</f>
        <v>0</v>
      </c>
      <c r="G120" s="10">
        <f>IFERROR(INDEX('03_ダッシュボード'!$G$11:$G$412,MATCH(B120,'03_ダッシュボード'!$A$11:$A$412,0)),0)</f>
        <v>1</v>
      </c>
      <c r="H120" s="10">
        <f t="shared" si="6"/>
        <v>-1</v>
      </c>
      <c r="I120" s="14" t="str">
        <f t="shared" si="7"/>
        <v>参照済</v>
      </c>
      <c r="J120" s="1"/>
      <c r="K120" s="1"/>
      <c r="L120" s="1"/>
      <c r="M120" s="1"/>
      <c r="N120" s="1"/>
      <c r="O120" s="1"/>
      <c r="P120" s="1"/>
      <c r="Q120" s="1"/>
    </row>
    <row r="121" spans="1:17">
      <c r="A121" s="10" t="s">
        <v>3239</v>
      </c>
      <c r="B121" s="10" t="s">
        <v>72</v>
      </c>
      <c r="C121" s="10" t="s">
        <v>3342</v>
      </c>
      <c r="D121" s="17" t="s">
        <v>3485</v>
      </c>
      <c r="E121" s="10">
        <f>IFERROR(MATCH(B121,'02_ツリー'!$E$5:$E$679,0)+4,"")</f>
        <v>57</v>
      </c>
      <c r="F121" s="10">
        <f>IFERROR(INDEX('03_ダッシュボード'!$F$11:$F$412,MATCH(B121,'03_ダッシュボード'!$A$11:$A$412,0)),0)</f>
        <v>1</v>
      </c>
      <c r="G121" s="10">
        <f>IFERROR(INDEX('03_ダッシュボード'!$G$11:$G$412,MATCH(B121,'03_ダッシュボード'!$A$11:$A$412,0)),0)</f>
        <v>0</v>
      </c>
      <c r="H121" s="10">
        <f t="shared" si="6"/>
        <v>0</v>
      </c>
      <c r="I121" s="14" t="str">
        <f t="shared" si="7"/>
        <v>参照済</v>
      </c>
      <c r="J121" s="1"/>
      <c r="K121" s="1"/>
      <c r="L121" s="1"/>
      <c r="M121" s="1"/>
      <c r="N121" s="1"/>
      <c r="O121" s="1"/>
      <c r="P121" s="1"/>
      <c r="Q121" s="1"/>
    </row>
    <row r="122" spans="1:17">
      <c r="A122" s="10" t="s">
        <v>3239</v>
      </c>
      <c r="B122" s="10" t="s">
        <v>121</v>
      </c>
      <c r="C122" s="10" t="s">
        <v>3342</v>
      </c>
      <c r="D122" s="17" t="s">
        <v>3486</v>
      </c>
      <c r="E122" s="10">
        <f>IFERROR(MATCH(B122,'02_ツリー'!$E$5:$E$679,0)+4,"")</f>
        <v>55</v>
      </c>
      <c r="F122" s="10">
        <f>IFERROR(INDEX('03_ダッシュボード'!$F$11:$F$412,MATCH(B122,'03_ダッシュボード'!$A$11:$A$412,0)),0)</f>
        <v>1</v>
      </c>
      <c r="G122" s="10">
        <f>IFERROR(INDEX('03_ダッシュボード'!$G$11:$G$412,MATCH(B122,'03_ダッシュボード'!$A$11:$A$412,0)),0)</f>
        <v>0</v>
      </c>
      <c r="H122" s="10">
        <f t="shared" si="6"/>
        <v>0</v>
      </c>
      <c r="I122" s="14" t="str">
        <f t="shared" si="7"/>
        <v>参照済</v>
      </c>
      <c r="J122" s="1"/>
      <c r="K122" s="1"/>
      <c r="L122" s="1"/>
      <c r="M122" s="1"/>
      <c r="N122" s="1"/>
      <c r="O122" s="1"/>
      <c r="P122" s="1"/>
      <c r="Q122" s="1"/>
    </row>
    <row r="123" spans="1:17">
      <c r="A123" s="10" t="s">
        <v>3245</v>
      </c>
      <c r="B123" s="10" t="s">
        <v>1685</v>
      </c>
      <c r="C123" s="10" t="s">
        <v>3342</v>
      </c>
      <c r="D123" s="17" t="s">
        <v>3487</v>
      </c>
      <c r="E123" s="10">
        <f>IFERROR(MATCH(B123,'02_ツリー'!$E$5:$E$679,0)+4,"")</f>
        <v>97</v>
      </c>
      <c r="F123" s="10">
        <f>IFERROR(INDEX('03_ダッシュボード'!$F$11:$F$412,MATCH(B123,'03_ダッシュボード'!$A$11:$A$412,0)),0)</f>
        <v>0</v>
      </c>
      <c r="G123" s="10">
        <f>IFERROR(INDEX('03_ダッシュボード'!$G$11:$G$412,MATCH(B123,'03_ダッシュボード'!$A$11:$A$412,0)),0)</f>
        <v>0</v>
      </c>
      <c r="H123" s="10">
        <f t="shared" si="6"/>
        <v>0</v>
      </c>
      <c r="I123" s="14" t="str">
        <f t="shared" si="7"/>
        <v>参照済</v>
      </c>
      <c r="J123" s="1"/>
      <c r="K123" s="1"/>
      <c r="L123" s="1"/>
      <c r="M123" s="1"/>
      <c r="N123" s="1"/>
      <c r="O123" s="1"/>
      <c r="P123" s="1"/>
      <c r="Q123" s="1"/>
    </row>
    <row r="124" spans="1:17">
      <c r="A124" s="10" t="s">
        <v>3245</v>
      </c>
      <c r="B124" s="10" t="s">
        <v>813</v>
      </c>
      <c r="C124" s="10" t="s">
        <v>3342</v>
      </c>
      <c r="D124" s="17" t="s">
        <v>3488</v>
      </c>
      <c r="E124" s="10">
        <f>IFERROR(MATCH(B124,'02_ツリー'!$E$5:$E$679,0)+4,"")</f>
        <v>375</v>
      </c>
      <c r="F124" s="10">
        <f>IFERROR(INDEX('03_ダッシュボード'!$F$11:$F$412,MATCH(B124,'03_ダッシュボード'!$A$11:$A$412,0)),0)</f>
        <v>0</v>
      </c>
      <c r="G124" s="10">
        <f>IFERROR(INDEX('03_ダッシュボード'!$G$11:$G$412,MATCH(B124,'03_ダッシュボード'!$A$11:$A$412,0)),0)</f>
        <v>0</v>
      </c>
      <c r="H124" s="10">
        <f t="shared" si="6"/>
        <v>0</v>
      </c>
      <c r="I124" s="14" t="str">
        <f t="shared" si="7"/>
        <v>参照済</v>
      </c>
      <c r="J124" s="1"/>
      <c r="K124" s="1"/>
      <c r="L124" s="1"/>
      <c r="M124" s="1"/>
      <c r="N124" s="1"/>
      <c r="O124" s="1"/>
      <c r="P124" s="1"/>
      <c r="Q124" s="1"/>
    </row>
    <row r="125" spans="1:17">
      <c r="A125" s="10" t="s">
        <v>3245</v>
      </c>
      <c r="B125" s="10" t="s">
        <v>102</v>
      </c>
      <c r="C125" s="10" t="s">
        <v>3342</v>
      </c>
      <c r="D125" s="17" t="s">
        <v>3489</v>
      </c>
      <c r="E125" s="10">
        <f>IFERROR(MATCH(B125,'02_ツリー'!$E$5:$E$679,0)+4,"")</f>
        <v>98</v>
      </c>
      <c r="F125" s="10">
        <f>IFERROR(INDEX('03_ダッシュボード'!$F$11:$F$412,MATCH(B125,'03_ダッシュボード'!$A$11:$A$412,0)),0)</f>
        <v>0</v>
      </c>
      <c r="G125" s="10">
        <f>IFERROR(INDEX('03_ダッシュボード'!$G$11:$G$412,MATCH(B125,'03_ダッシュボード'!$A$11:$A$412,0)),0)</f>
        <v>0</v>
      </c>
      <c r="H125" s="10">
        <f t="shared" si="6"/>
        <v>0</v>
      </c>
      <c r="I125" s="14" t="str">
        <f t="shared" si="7"/>
        <v>参照済</v>
      </c>
      <c r="J125" s="1"/>
      <c r="K125" s="1"/>
      <c r="L125" s="1"/>
      <c r="M125" s="1"/>
      <c r="N125" s="1"/>
      <c r="O125" s="1"/>
      <c r="P125" s="1"/>
      <c r="Q125" s="1"/>
    </row>
    <row r="126" spans="1:17">
      <c r="A126" s="10" t="s">
        <v>3245</v>
      </c>
      <c r="B126" s="10" t="s">
        <v>1116</v>
      </c>
      <c r="C126" s="10" t="s">
        <v>3342</v>
      </c>
      <c r="D126" s="17" t="s">
        <v>3490</v>
      </c>
      <c r="E126" s="10">
        <f>IFERROR(MATCH(B126,'02_ツリー'!$E$5:$E$679,0)+4,"")</f>
        <v>521</v>
      </c>
      <c r="F126" s="10">
        <f>IFERROR(INDEX('03_ダッシュボード'!$F$11:$F$412,MATCH(B126,'03_ダッシュボード'!$A$11:$A$412,0)),0)</f>
        <v>1</v>
      </c>
      <c r="G126" s="10">
        <f>IFERROR(INDEX('03_ダッシュボード'!$G$11:$G$412,MATCH(B126,'03_ダッシュボード'!$A$11:$A$412,0)),0)</f>
        <v>1</v>
      </c>
      <c r="H126" s="10">
        <f t="shared" si="6"/>
        <v>-1</v>
      </c>
      <c r="I126" s="14" t="str">
        <f t="shared" si="7"/>
        <v>参照済</v>
      </c>
      <c r="J126" s="1"/>
      <c r="K126" s="1"/>
      <c r="L126" s="1"/>
      <c r="M126" s="1"/>
      <c r="N126" s="1"/>
      <c r="O126" s="1"/>
      <c r="P126" s="1"/>
      <c r="Q126" s="1"/>
    </row>
    <row r="127" spans="1:17">
      <c r="A127" s="10" t="s">
        <v>3245</v>
      </c>
      <c r="B127" s="10" t="s">
        <v>1210</v>
      </c>
      <c r="C127" s="10" t="s">
        <v>3342</v>
      </c>
      <c r="D127" s="17" t="s">
        <v>3491</v>
      </c>
      <c r="E127" s="10">
        <f>IFERROR(MATCH(B127,'02_ツリー'!$E$5:$E$679,0)+4,"")</f>
        <v>531</v>
      </c>
      <c r="F127" s="10">
        <f>IFERROR(INDEX('03_ダッシュボード'!$F$11:$F$412,MATCH(B127,'03_ダッシュボード'!$A$11:$A$412,0)),0)</f>
        <v>1</v>
      </c>
      <c r="G127" s="10">
        <f>IFERROR(INDEX('03_ダッシュボード'!$G$11:$G$412,MATCH(B127,'03_ダッシュボード'!$A$11:$A$412,0)),0)</f>
        <v>1</v>
      </c>
      <c r="H127" s="10">
        <f t="shared" si="6"/>
        <v>-1</v>
      </c>
      <c r="I127" s="14" t="str">
        <f t="shared" si="7"/>
        <v>参照済</v>
      </c>
      <c r="J127" s="1"/>
      <c r="K127" s="1"/>
      <c r="L127" s="1"/>
      <c r="M127" s="1"/>
      <c r="N127" s="1"/>
      <c r="O127" s="1"/>
      <c r="P127" s="1"/>
      <c r="Q127" s="1"/>
    </row>
    <row r="128" spans="1:17">
      <c r="A128" s="10" t="s">
        <v>3245</v>
      </c>
      <c r="B128" s="10" t="s">
        <v>987</v>
      </c>
      <c r="C128" s="10" t="s">
        <v>3342</v>
      </c>
      <c r="D128" s="17" t="s">
        <v>3492</v>
      </c>
      <c r="E128" s="10" t="str">
        <f>IFERROR(MATCH(B128,'02_ツリー'!$E$5:$E$679,0)+4,"")</f>
        <v/>
      </c>
      <c r="F128" s="10">
        <f>IFERROR(INDEX('03_ダッシュボード'!$F$11:$F$412,MATCH(B128,'03_ダッシュボード'!$A$11:$A$412,0)),0)</f>
        <v>0</v>
      </c>
      <c r="G128" s="10">
        <f>IFERROR(INDEX('03_ダッシュボード'!$G$11:$G$412,MATCH(B128,'03_ダッシュボード'!$A$11:$A$412,0)),0)</f>
        <v>0</v>
      </c>
      <c r="H128" s="10">
        <f t="shared" si="6"/>
        <v>0</v>
      </c>
      <c r="I128" s="14" t="str">
        <f t="shared" si="7"/>
        <v>未参照</v>
      </c>
      <c r="J128" s="1"/>
      <c r="K128" s="1"/>
      <c r="L128" s="1"/>
      <c r="M128" s="1"/>
      <c r="N128" s="1"/>
      <c r="O128" s="1"/>
      <c r="P128" s="1"/>
      <c r="Q128" s="1"/>
    </row>
    <row r="129" spans="1:17">
      <c r="A129" s="10" t="s">
        <v>3251</v>
      </c>
      <c r="B129" s="10" t="s">
        <v>2593</v>
      </c>
      <c r="C129" s="10" t="s">
        <v>3342</v>
      </c>
      <c r="D129" s="17" t="s">
        <v>3493</v>
      </c>
      <c r="E129" s="10">
        <f>IFERROR(MATCH(B129,'02_ツリー'!$E$5:$E$679,0)+4,"")</f>
        <v>561</v>
      </c>
      <c r="F129" s="10">
        <f>IFERROR(INDEX('03_ダッシュボード'!$F$11:$F$412,MATCH(B129,'03_ダッシュボード'!$A$11:$A$412,0)),0)</f>
        <v>0</v>
      </c>
      <c r="G129" s="10">
        <f>IFERROR(INDEX('03_ダッシュボード'!$G$11:$G$412,MATCH(B129,'03_ダッシュボード'!$A$11:$A$412,0)),0)</f>
        <v>0</v>
      </c>
      <c r="H129" s="10">
        <f t="shared" si="6"/>
        <v>0</v>
      </c>
      <c r="I129" s="14" t="str">
        <f t="shared" si="7"/>
        <v>参照済</v>
      </c>
      <c r="J129" s="1"/>
      <c r="K129" s="1"/>
      <c r="L129" s="1"/>
      <c r="M129" s="1"/>
      <c r="N129" s="1"/>
      <c r="O129" s="1"/>
      <c r="P129" s="1"/>
      <c r="Q129" s="1"/>
    </row>
    <row r="130" spans="1:17">
      <c r="A130" s="10" t="s">
        <v>3251</v>
      </c>
      <c r="B130" s="10" t="s">
        <v>1248</v>
      </c>
      <c r="C130" s="10" t="s">
        <v>3342</v>
      </c>
      <c r="D130" s="17" t="s">
        <v>3494</v>
      </c>
      <c r="E130" s="10">
        <f>IFERROR(MATCH(B130,'02_ツリー'!$E$5:$E$679,0)+4,"")</f>
        <v>569</v>
      </c>
      <c r="F130" s="10">
        <f>IFERROR(INDEX('03_ダッシュボード'!$F$11:$F$412,MATCH(B130,'03_ダッシュボード'!$A$11:$A$412,0)),0)</f>
        <v>0</v>
      </c>
      <c r="G130" s="10">
        <f>IFERROR(INDEX('03_ダッシュボード'!$G$11:$G$412,MATCH(B130,'03_ダッシュボード'!$A$11:$A$412,0)),0)</f>
        <v>0</v>
      </c>
      <c r="H130" s="10">
        <f t="shared" ref="H130:H161" si="8">IF(C130="増加",F130,IF(C130="減少",-G130,MIN(F130,-G130)))</f>
        <v>0</v>
      </c>
      <c r="I130" s="14" t="str">
        <f t="shared" ref="I130:I161" si="9">IF(E130="","未参照","参照済")</f>
        <v>参照済</v>
      </c>
      <c r="J130" s="1"/>
      <c r="K130" s="1"/>
      <c r="L130" s="1"/>
      <c r="M130" s="1"/>
      <c r="N130" s="1"/>
      <c r="O130" s="1"/>
      <c r="P130" s="1"/>
      <c r="Q130" s="1"/>
    </row>
    <row r="131" spans="1:17">
      <c r="A131" s="10" t="s">
        <v>3251</v>
      </c>
      <c r="B131" s="10" t="s">
        <v>72</v>
      </c>
      <c r="C131" s="10" t="s">
        <v>3338</v>
      </c>
      <c r="D131" s="17" t="s">
        <v>3495</v>
      </c>
      <c r="E131" s="10">
        <f>IFERROR(MATCH(B131,'02_ツリー'!$E$5:$E$679,0)+4,"")</f>
        <v>57</v>
      </c>
      <c r="F131" s="10">
        <f>IFERROR(INDEX('03_ダッシュボード'!$F$11:$F$412,MATCH(B131,'03_ダッシュボード'!$A$11:$A$412,0)),0)</f>
        <v>1</v>
      </c>
      <c r="G131" s="10">
        <f>IFERROR(INDEX('03_ダッシュボード'!$G$11:$G$412,MATCH(B131,'03_ダッシュボード'!$A$11:$A$412,0)),0)</f>
        <v>0</v>
      </c>
      <c r="H131" s="10">
        <f t="shared" si="8"/>
        <v>1</v>
      </c>
      <c r="I131" s="14" t="str">
        <f t="shared" si="9"/>
        <v>参照済</v>
      </c>
      <c r="J131" s="1"/>
      <c r="K131" s="1"/>
      <c r="L131" s="1"/>
      <c r="M131" s="1"/>
      <c r="N131" s="1"/>
      <c r="O131" s="1"/>
      <c r="P131" s="1"/>
      <c r="Q131" s="1"/>
    </row>
    <row r="132" spans="1:17">
      <c r="A132" s="10" t="s">
        <v>3251</v>
      </c>
      <c r="B132" s="10" t="s">
        <v>2606</v>
      </c>
      <c r="C132" s="10" t="s">
        <v>3342</v>
      </c>
      <c r="D132" s="17" t="s">
        <v>3496</v>
      </c>
      <c r="E132" s="10">
        <f>IFERROR(MATCH(B132,'02_ツリー'!$E$5:$E$679,0)+4,"")</f>
        <v>564</v>
      </c>
      <c r="F132" s="10">
        <f>IFERROR(INDEX('03_ダッシュボード'!$F$11:$F$412,MATCH(B132,'03_ダッシュボード'!$A$11:$A$412,0)),0)</f>
        <v>0</v>
      </c>
      <c r="G132" s="10">
        <f>IFERROR(INDEX('03_ダッシュボード'!$G$11:$G$412,MATCH(B132,'03_ダッシュボード'!$A$11:$A$412,0)),0)</f>
        <v>0</v>
      </c>
      <c r="H132" s="10">
        <f t="shared" si="8"/>
        <v>0</v>
      </c>
      <c r="I132" s="14" t="str">
        <f t="shared" si="9"/>
        <v>参照済</v>
      </c>
      <c r="J132" s="1"/>
      <c r="K132" s="1"/>
      <c r="L132" s="1"/>
      <c r="M132" s="1"/>
      <c r="N132" s="1"/>
      <c r="O132" s="1"/>
      <c r="P132" s="1"/>
      <c r="Q132" s="1"/>
    </row>
    <row r="133" spans="1:17" ht="42.75">
      <c r="A133" s="10" t="s">
        <v>3251</v>
      </c>
      <c r="B133" s="10" t="s">
        <v>3497</v>
      </c>
      <c r="C133" s="10" t="s">
        <v>3342</v>
      </c>
      <c r="D133" s="17" t="s">
        <v>3498</v>
      </c>
      <c r="E133" s="10" t="str">
        <f>IFERROR(MATCH(B133,'02_ツリー'!$E$5:$E$679,0)+4,"")</f>
        <v/>
      </c>
      <c r="F133" s="10">
        <f>IFERROR(INDEX('03_ダッシュボード'!$F$11:$F$412,MATCH(B133,'03_ダッシュボード'!$A$11:$A$412,0)),0)</f>
        <v>0</v>
      </c>
      <c r="G133" s="10">
        <f>IFERROR(INDEX('03_ダッシュボード'!$G$11:$G$412,MATCH(B133,'03_ダッシュボード'!$A$11:$A$412,0)),0)</f>
        <v>0</v>
      </c>
      <c r="H133" s="10">
        <f t="shared" si="8"/>
        <v>0</v>
      </c>
      <c r="I133" s="14" t="str">
        <f t="shared" si="9"/>
        <v>未参照</v>
      </c>
      <c r="J133" s="1" t="s">
        <v>3463</v>
      </c>
      <c r="K133" s="1" t="s">
        <v>3499</v>
      </c>
      <c r="L133" s="1" t="s">
        <v>3500</v>
      </c>
      <c r="M133" s="1"/>
      <c r="N133" s="1"/>
      <c r="O133" s="1"/>
      <c r="P133" s="1"/>
      <c r="Q133" s="1"/>
    </row>
    <row r="134" spans="1:17">
      <c r="A134" s="10" t="s">
        <v>3257</v>
      </c>
      <c r="B134" s="10" t="s">
        <v>987</v>
      </c>
      <c r="C134" s="10" t="s">
        <v>3342</v>
      </c>
      <c r="D134" s="17" t="s">
        <v>3501</v>
      </c>
      <c r="E134" s="10" t="str">
        <f>IFERROR(MATCH(B134,'02_ツリー'!$E$5:$E$679,0)+4,"")</f>
        <v/>
      </c>
      <c r="F134" s="10">
        <f>IFERROR(INDEX('03_ダッシュボード'!$F$11:$F$412,MATCH(B134,'03_ダッシュボード'!$A$11:$A$412,0)),0)</f>
        <v>0</v>
      </c>
      <c r="G134" s="10">
        <f>IFERROR(INDEX('03_ダッシュボード'!$G$11:$G$412,MATCH(B134,'03_ダッシュボード'!$A$11:$A$412,0)),0)</f>
        <v>0</v>
      </c>
      <c r="H134" s="10">
        <f t="shared" si="8"/>
        <v>0</v>
      </c>
      <c r="I134" s="14" t="str">
        <f t="shared" si="9"/>
        <v>未参照</v>
      </c>
      <c r="J134" s="1"/>
      <c r="K134" s="1"/>
      <c r="L134" s="1"/>
      <c r="M134" s="1"/>
      <c r="N134" s="1"/>
      <c r="O134" s="1"/>
      <c r="P134" s="1"/>
      <c r="Q134" s="1"/>
    </row>
    <row r="135" spans="1:17">
      <c r="A135" s="10" t="s">
        <v>3257</v>
      </c>
      <c r="B135" s="10" t="s">
        <v>973</v>
      </c>
      <c r="C135" s="10" t="s">
        <v>3342</v>
      </c>
      <c r="D135" s="17" t="s">
        <v>3502</v>
      </c>
      <c r="E135" s="10">
        <f>IFERROR(MATCH(B135,'02_ツリー'!$E$5:$E$679,0)+4,"")</f>
        <v>480</v>
      </c>
      <c r="F135" s="10">
        <f>IFERROR(INDEX('03_ダッシュボード'!$F$11:$F$412,MATCH(B135,'03_ダッシュボード'!$A$11:$A$412,0)),0)</f>
        <v>0</v>
      </c>
      <c r="G135" s="10">
        <f>IFERROR(INDEX('03_ダッシュボード'!$G$11:$G$412,MATCH(B135,'03_ダッシュボード'!$A$11:$A$412,0)),0)</f>
        <v>1</v>
      </c>
      <c r="H135" s="10">
        <f t="shared" si="8"/>
        <v>-1</v>
      </c>
      <c r="I135" s="14" t="str">
        <f t="shared" si="9"/>
        <v>参照済</v>
      </c>
      <c r="J135" s="1"/>
      <c r="K135" s="1"/>
      <c r="L135" s="1"/>
      <c r="M135" s="1"/>
      <c r="N135" s="1"/>
      <c r="O135" s="1"/>
      <c r="P135" s="1"/>
      <c r="Q135" s="1"/>
    </row>
    <row r="136" spans="1:17">
      <c r="A136" s="10" t="s">
        <v>3257</v>
      </c>
      <c r="B136" s="10" t="s">
        <v>1001</v>
      </c>
      <c r="C136" s="10" t="s">
        <v>3342</v>
      </c>
      <c r="D136" s="17" t="s">
        <v>3503</v>
      </c>
      <c r="E136" s="10">
        <f>IFERROR(MATCH(B136,'02_ツリー'!$E$5:$E$679,0)+4,"")</f>
        <v>486</v>
      </c>
      <c r="F136" s="10">
        <f>IFERROR(INDEX('03_ダッシュボード'!$F$11:$F$412,MATCH(B136,'03_ダッシュボード'!$A$11:$A$412,0)),0)</f>
        <v>0</v>
      </c>
      <c r="G136" s="10">
        <f>IFERROR(INDEX('03_ダッシュボード'!$G$11:$G$412,MATCH(B136,'03_ダッシュボード'!$A$11:$A$412,0)),0)</f>
        <v>1</v>
      </c>
      <c r="H136" s="10">
        <f t="shared" si="8"/>
        <v>-1</v>
      </c>
      <c r="I136" s="14" t="str">
        <f t="shared" si="9"/>
        <v>参照済</v>
      </c>
      <c r="J136" s="1"/>
      <c r="K136" s="1"/>
      <c r="L136" s="1"/>
      <c r="M136" s="1"/>
      <c r="N136" s="1"/>
      <c r="O136" s="1"/>
      <c r="P136" s="1"/>
      <c r="Q136" s="1"/>
    </row>
    <row r="137" spans="1:17">
      <c r="A137" s="10" t="s">
        <v>3257</v>
      </c>
      <c r="B137" s="10" t="s">
        <v>95</v>
      </c>
      <c r="C137" s="10" t="s">
        <v>3338</v>
      </c>
      <c r="D137" s="17" t="s">
        <v>3504</v>
      </c>
      <c r="E137" s="10">
        <f>IFERROR(MATCH(B137,'02_ツリー'!$E$5:$E$679,0)+4,"")</f>
        <v>81</v>
      </c>
      <c r="F137" s="10">
        <f>IFERROR(INDEX('03_ダッシュボード'!$F$11:$F$412,MATCH(B137,'03_ダッシュボード'!$A$11:$A$412,0)),0)</f>
        <v>1</v>
      </c>
      <c r="G137" s="10">
        <f>IFERROR(INDEX('03_ダッシュボード'!$G$11:$G$412,MATCH(B137,'03_ダッシュボード'!$A$11:$A$412,0)),0)</f>
        <v>0</v>
      </c>
      <c r="H137" s="10">
        <f t="shared" si="8"/>
        <v>1</v>
      </c>
      <c r="I137" s="14" t="str">
        <f t="shared" si="9"/>
        <v>参照済</v>
      </c>
      <c r="J137" s="1"/>
      <c r="K137" s="1"/>
      <c r="L137" s="1"/>
      <c r="M137" s="1"/>
      <c r="N137" s="1"/>
      <c r="O137" s="1"/>
      <c r="P137" s="1"/>
      <c r="Q137" s="1"/>
    </row>
    <row r="138" spans="1:17" ht="28.5">
      <c r="A138" s="10" t="s">
        <v>3257</v>
      </c>
      <c r="B138" s="10" t="s">
        <v>3505</v>
      </c>
      <c r="C138" s="10" t="s">
        <v>3342</v>
      </c>
      <c r="D138" s="17" t="s">
        <v>3506</v>
      </c>
      <c r="E138" s="10" t="str">
        <f>IFERROR(MATCH(B138,'02_ツリー'!$E$5:$E$679,0)+4,"")</f>
        <v/>
      </c>
      <c r="F138" s="10">
        <f>IFERROR(INDEX('03_ダッシュボード'!$F$11:$F$412,MATCH(B138,'03_ダッシュボード'!$A$11:$A$412,0)),0)</f>
        <v>0</v>
      </c>
      <c r="G138" s="10">
        <f>IFERROR(INDEX('03_ダッシュボード'!$G$11:$G$412,MATCH(B138,'03_ダッシュボード'!$A$11:$A$412,0)),0)</f>
        <v>0</v>
      </c>
      <c r="H138" s="10">
        <f t="shared" si="8"/>
        <v>0</v>
      </c>
      <c r="I138" s="14" t="str">
        <f t="shared" si="9"/>
        <v>未参照</v>
      </c>
      <c r="J138" s="1" t="s">
        <v>3507</v>
      </c>
      <c r="K138" s="1" t="s">
        <v>3508</v>
      </c>
      <c r="L138" s="1" t="s">
        <v>3509</v>
      </c>
      <c r="M138" s="1"/>
      <c r="N138" s="1"/>
      <c r="O138" s="1"/>
      <c r="P138" s="1"/>
      <c r="Q138" s="1"/>
    </row>
    <row r="139" spans="1:17">
      <c r="A139" s="10" t="s">
        <v>3263</v>
      </c>
      <c r="B139" s="10" t="s">
        <v>987</v>
      </c>
      <c r="C139" s="10" t="s">
        <v>3342</v>
      </c>
      <c r="D139" s="17" t="s">
        <v>3510</v>
      </c>
      <c r="E139" s="10" t="str">
        <f>IFERROR(MATCH(B139,'02_ツリー'!$E$5:$E$679,0)+4,"")</f>
        <v/>
      </c>
      <c r="F139" s="10">
        <f>IFERROR(INDEX('03_ダッシュボード'!$F$11:$F$412,MATCH(B139,'03_ダッシュボード'!$A$11:$A$412,0)),0)</f>
        <v>0</v>
      </c>
      <c r="G139" s="10">
        <f>IFERROR(INDEX('03_ダッシュボード'!$G$11:$G$412,MATCH(B139,'03_ダッシュボード'!$A$11:$A$412,0)),0)</f>
        <v>0</v>
      </c>
      <c r="H139" s="10">
        <f t="shared" si="8"/>
        <v>0</v>
      </c>
      <c r="I139" s="14" t="str">
        <f t="shared" si="9"/>
        <v>未参照</v>
      </c>
      <c r="J139" s="1"/>
      <c r="K139" s="1"/>
      <c r="L139" s="1"/>
      <c r="M139" s="1"/>
      <c r="N139" s="1"/>
      <c r="O139" s="1"/>
      <c r="P139" s="1"/>
      <c r="Q139" s="1"/>
    </row>
    <row r="140" spans="1:17">
      <c r="A140" s="10" t="s">
        <v>3263</v>
      </c>
      <c r="B140" s="10" t="s">
        <v>1001</v>
      </c>
      <c r="C140" s="10" t="s">
        <v>3342</v>
      </c>
      <c r="D140" s="17" t="s">
        <v>3511</v>
      </c>
      <c r="E140" s="10">
        <f>IFERROR(MATCH(B140,'02_ツリー'!$E$5:$E$679,0)+4,"")</f>
        <v>486</v>
      </c>
      <c r="F140" s="10">
        <f>IFERROR(INDEX('03_ダッシュボード'!$F$11:$F$412,MATCH(B140,'03_ダッシュボード'!$A$11:$A$412,0)),0)</f>
        <v>0</v>
      </c>
      <c r="G140" s="10">
        <f>IFERROR(INDEX('03_ダッシュボード'!$G$11:$G$412,MATCH(B140,'03_ダッシュボード'!$A$11:$A$412,0)),0)</f>
        <v>1</v>
      </c>
      <c r="H140" s="10">
        <f t="shared" si="8"/>
        <v>-1</v>
      </c>
      <c r="I140" s="14" t="str">
        <f t="shared" si="9"/>
        <v>参照済</v>
      </c>
      <c r="J140" s="1"/>
      <c r="K140" s="1"/>
      <c r="L140" s="1"/>
      <c r="M140" s="1"/>
      <c r="N140" s="1"/>
      <c r="O140" s="1"/>
      <c r="P140" s="1"/>
      <c r="Q140" s="1"/>
    </row>
    <row r="141" spans="1:17">
      <c r="A141" s="10" t="s">
        <v>3263</v>
      </c>
      <c r="B141" s="10" t="s">
        <v>973</v>
      </c>
      <c r="C141" s="10" t="s">
        <v>3342</v>
      </c>
      <c r="D141" s="17" t="s">
        <v>3512</v>
      </c>
      <c r="E141" s="10">
        <f>IFERROR(MATCH(B141,'02_ツリー'!$E$5:$E$679,0)+4,"")</f>
        <v>480</v>
      </c>
      <c r="F141" s="10">
        <f>IFERROR(INDEX('03_ダッシュボード'!$F$11:$F$412,MATCH(B141,'03_ダッシュボード'!$A$11:$A$412,0)),0)</f>
        <v>0</v>
      </c>
      <c r="G141" s="10">
        <f>IFERROR(INDEX('03_ダッシュボード'!$G$11:$G$412,MATCH(B141,'03_ダッシュボード'!$A$11:$A$412,0)),0)</f>
        <v>1</v>
      </c>
      <c r="H141" s="10">
        <f t="shared" si="8"/>
        <v>-1</v>
      </c>
      <c r="I141" s="14" t="str">
        <f t="shared" si="9"/>
        <v>参照済</v>
      </c>
      <c r="J141" s="1"/>
      <c r="K141" s="1"/>
      <c r="L141" s="1"/>
      <c r="M141" s="1"/>
      <c r="N141" s="1"/>
      <c r="O141" s="1"/>
      <c r="P141" s="1"/>
      <c r="Q141" s="1"/>
    </row>
    <row r="142" spans="1:17" ht="42.75">
      <c r="A142" s="10" t="s">
        <v>3263</v>
      </c>
      <c r="B142" s="10" t="s">
        <v>3513</v>
      </c>
      <c r="C142" s="10" t="s">
        <v>3342</v>
      </c>
      <c r="D142" s="17" t="s">
        <v>3514</v>
      </c>
      <c r="E142" s="10" t="str">
        <f>IFERROR(MATCH(B142,'02_ツリー'!$E$5:$E$679,0)+4,"")</f>
        <v/>
      </c>
      <c r="F142" s="10">
        <f>IFERROR(INDEX('03_ダッシュボード'!$F$11:$F$412,MATCH(B142,'03_ダッシュボード'!$A$11:$A$412,0)),0)</f>
        <v>0</v>
      </c>
      <c r="G142" s="10">
        <f>IFERROR(INDEX('03_ダッシュボード'!$G$11:$G$412,MATCH(B142,'03_ダッシュボード'!$A$11:$A$412,0)),0)</f>
        <v>0</v>
      </c>
      <c r="H142" s="10">
        <f t="shared" si="8"/>
        <v>0</v>
      </c>
      <c r="I142" s="14" t="str">
        <f t="shared" si="9"/>
        <v>未参照</v>
      </c>
      <c r="J142" s="1" t="s">
        <v>3515</v>
      </c>
      <c r="K142" s="1" t="s">
        <v>3516</v>
      </c>
      <c r="L142" s="1" t="s">
        <v>3517</v>
      </c>
      <c r="M142" s="1"/>
      <c r="N142" s="1"/>
      <c r="O142" s="1"/>
      <c r="P142" s="1"/>
      <c r="Q142" s="1"/>
    </row>
    <row r="143" spans="1:17">
      <c r="A143" s="10" t="s">
        <v>3269</v>
      </c>
      <c r="B143" s="10" t="s">
        <v>987</v>
      </c>
      <c r="C143" s="10" t="s">
        <v>3338</v>
      </c>
      <c r="D143" s="17" t="s">
        <v>3518</v>
      </c>
      <c r="E143" s="10" t="str">
        <f>IFERROR(MATCH(B143,'02_ツリー'!$E$5:$E$679,0)+4,"")</f>
        <v/>
      </c>
      <c r="F143" s="10">
        <f>IFERROR(INDEX('03_ダッシュボード'!$F$11:$F$412,MATCH(B143,'03_ダッシュボード'!$A$11:$A$412,0)),0)</f>
        <v>0</v>
      </c>
      <c r="G143" s="10">
        <f>IFERROR(INDEX('03_ダッシュボード'!$G$11:$G$412,MATCH(B143,'03_ダッシュボード'!$A$11:$A$412,0)),0)</f>
        <v>0</v>
      </c>
      <c r="H143" s="10">
        <f t="shared" si="8"/>
        <v>0</v>
      </c>
      <c r="I143" s="14" t="str">
        <f t="shared" si="9"/>
        <v>未参照</v>
      </c>
      <c r="J143" s="1"/>
      <c r="K143" s="1"/>
      <c r="L143" s="1"/>
      <c r="M143" s="1"/>
      <c r="N143" s="1"/>
      <c r="O143" s="1"/>
      <c r="P143" s="1"/>
      <c r="Q143" s="1"/>
    </row>
    <row r="144" spans="1:17">
      <c r="A144" s="10" t="s">
        <v>3269</v>
      </c>
      <c r="B144" s="10" t="s">
        <v>973</v>
      </c>
      <c r="C144" s="10" t="s">
        <v>3338</v>
      </c>
      <c r="D144" s="17" t="s">
        <v>3519</v>
      </c>
      <c r="E144" s="10">
        <f>IFERROR(MATCH(B144,'02_ツリー'!$E$5:$E$679,0)+4,"")</f>
        <v>480</v>
      </c>
      <c r="F144" s="10">
        <f>IFERROR(INDEX('03_ダッシュボード'!$F$11:$F$412,MATCH(B144,'03_ダッシュボード'!$A$11:$A$412,0)),0)</f>
        <v>0</v>
      </c>
      <c r="G144" s="10">
        <f>IFERROR(INDEX('03_ダッシュボード'!$G$11:$G$412,MATCH(B144,'03_ダッシュボード'!$A$11:$A$412,0)),0)</f>
        <v>1</v>
      </c>
      <c r="H144" s="10">
        <f t="shared" si="8"/>
        <v>0</v>
      </c>
      <c r="I144" s="14" t="str">
        <f t="shared" si="9"/>
        <v>参照済</v>
      </c>
      <c r="J144" s="1"/>
      <c r="K144" s="1"/>
      <c r="L144" s="1"/>
      <c r="M144" s="1"/>
      <c r="N144" s="1"/>
      <c r="O144" s="1"/>
      <c r="P144" s="1"/>
      <c r="Q144" s="1"/>
    </row>
    <row r="145" spans="1:17">
      <c r="A145" s="10" t="s">
        <v>3269</v>
      </c>
      <c r="B145" s="10" t="s">
        <v>844</v>
      </c>
      <c r="C145" s="10" t="s">
        <v>3338</v>
      </c>
      <c r="D145" s="17" t="s">
        <v>3520</v>
      </c>
      <c r="E145" s="10">
        <f>IFERROR(MATCH(B145,'02_ツリー'!$E$5:$E$679,0)+4,"")</f>
        <v>426</v>
      </c>
      <c r="F145" s="10">
        <f>IFERROR(INDEX('03_ダッシュボード'!$F$11:$F$412,MATCH(B145,'03_ダッシュボード'!$A$11:$A$412,0)),0)</f>
        <v>1</v>
      </c>
      <c r="G145" s="10">
        <f>IFERROR(INDEX('03_ダッシュボード'!$G$11:$G$412,MATCH(B145,'03_ダッシュボード'!$A$11:$A$412,0)),0)</f>
        <v>1</v>
      </c>
      <c r="H145" s="10">
        <f t="shared" si="8"/>
        <v>1</v>
      </c>
      <c r="I145" s="14" t="str">
        <f t="shared" si="9"/>
        <v>参照済</v>
      </c>
      <c r="J145" s="1"/>
      <c r="K145" s="1"/>
      <c r="L145" s="1"/>
      <c r="M145" s="1"/>
      <c r="N145" s="1"/>
      <c r="O145" s="1"/>
      <c r="P145" s="1"/>
      <c r="Q145" s="1"/>
    </row>
    <row r="146" spans="1:17">
      <c r="A146" s="10" t="s">
        <v>3269</v>
      </c>
      <c r="B146" s="10" t="s">
        <v>1001</v>
      </c>
      <c r="C146" s="10" t="s">
        <v>3338</v>
      </c>
      <c r="D146" s="17" t="s">
        <v>3521</v>
      </c>
      <c r="E146" s="10">
        <f>IFERROR(MATCH(B146,'02_ツリー'!$E$5:$E$679,0)+4,"")</f>
        <v>486</v>
      </c>
      <c r="F146" s="10">
        <f>IFERROR(INDEX('03_ダッシュボード'!$F$11:$F$412,MATCH(B146,'03_ダッシュボード'!$A$11:$A$412,0)),0)</f>
        <v>0</v>
      </c>
      <c r="G146" s="10">
        <f>IFERROR(INDEX('03_ダッシュボード'!$G$11:$G$412,MATCH(B146,'03_ダッシュボード'!$A$11:$A$412,0)),0)</f>
        <v>1</v>
      </c>
      <c r="H146" s="10">
        <f t="shared" si="8"/>
        <v>0</v>
      </c>
      <c r="I146" s="14" t="str">
        <f t="shared" si="9"/>
        <v>参照済</v>
      </c>
      <c r="J146" s="1"/>
      <c r="K146" s="1"/>
      <c r="L146" s="1"/>
      <c r="M146" s="1"/>
      <c r="N146" s="1"/>
      <c r="O146" s="1"/>
      <c r="P146" s="1"/>
      <c r="Q146" s="1"/>
    </row>
    <row r="147" spans="1:17">
      <c r="A147" s="10" t="s">
        <v>3269</v>
      </c>
      <c r="B147" s="10" t="s">
        <v>361</v>
      </c>
      <c r="C147" s="10" t="s">
        <v>3342</v>
      </c>
      <c r="D147" s="17" t="s">
        <v>3522</v>
      </c>
      <c r="E147" s="10">
        <f>IFERROR(MATCH(B147,'02_ツリー'!$E$5:$E$679,0)+4,"")</f>
        <v>143</v>
      </c>
      <c r="F147" s="10">
        <f>IFERROR(INDEX('03_ダッシュボード'!$F$11:$F$412,MATCH(B147,'03_ダッシュボード'!$A$11:$A$412,0)),0)</f>
        <v>0</v>
      </c>
      <c r="G147" s="10">
        <f>IFERROR(INDEX('03_ダッシュボード'!$G$11:$G$412,MATCH(B147,'03_ダッシュボード'!$A$11:$A$412,0)),0)</f>
        <v>0</v>
      </c>
      <c r="H147" s="10">
        <f t="shared" si="8"/>
        <v>0</v>
      </c>
      <c r="I147" s="14" t="str">
        <f t="shared" si="9"/>
        <v>参照済</v>
      </c>
      <c r="J147" s="1"/>
      <c r="K147" s="1"/>
      <c r="L147" s="1"/>
      <c r="M147" s="1"/>
      <c r="N147" s="1"/>
      <c r="O147" s="1"/>
      <c r="P147" s="1"/>
      <c r="Q147" s="1"/>
    </row>
    <row r="148" spans="1:17">
      <c r="A148" s="10" t="s">
        <v>3275</v>
      </c>
      <c r="B148" s="10" t="s">
        <v>1001</v>
      </c>
      <c r="C148" s="10" t="s">
        <v>3342</v>
      </c>
      <c r="D148" s="17" t="s">
        <v>3523</v>
      </c>
      <c r="E148" s="10">
        <f>IFERROR(MATCH(B148,'02_ツリー'!$E$5:$E$679,0)+4,"")</f>
        <v>486</v>
      </c>
      <c r="F148" s="10">
        <f>IFERROR(INDEX('03_ダッシュボード'!$F$11:$F$412,MATCH(B148,'03_ダッシュボード'!$A$11:$A$412,0)),0)</f>
        <v>0</v>
      </c>
      <c r="G148" s="10">
        <f>IFERROR(INDEX('03_ダッシュボード'!$G$11:$G$412,MATCH(B148,'03_ダッシュボード'!$A$11:$A$412,0)),0)</f>
        <v>1</v>
      </c>
      <c r="H148" s="10">
        <f t="shared" si="8"/>
        <v>-1</v>
      </c>
      <c r="I148" s="14" t="str">
        <f t="shared" si="9"/>
        <v>参照済</v>
      </c>
      <c r="J148" s="1"/>
      <c r="K148" s="1"/>
      <c r="L148" s="1"/>
      <c r="M148" s="1"/>
      <c r="N148" s="1"/>
      <c r="O148" s="1"/>
      <c r="P148" s="1"/>
      <c r="Q148" s="1"/>
    </row>
    <row r="149" spans="1:17">
      <c r="A149" s="10" t="s">
        <v>3275</v>
      </c>
      <c r="B149" s="10" t="s">
        <v>973</v>
      </c>
      <c r="C149" s="10" t="s">
        <v>3342</v>
      </c>
      <c r="D149" s="17" t="s">
        <v>3524</v>
      </c>
      <c r="E149" s="10">
        <f>IFERROR(MATCH(B149,'02_ツリー'!$E$5:$E$679,0)+4,"")</f>
        <v>480</v>
      </c>
      <c r="F149" s="10">
        <f>IFERROR(INDEX('03_ダッシュボード'!$F$11:$F$412,MATCH(B149,'03_ダッシュボード'!$A$11:$A$412,0)),0)</f>
        <v>0</v>
      </c>
      <c r="G149" s="10">
        <f>IFERROR(INDEX('03_ダッシュボード'!$G$11:$G$412,MATCH(B149,'03_ダッシュボード'!$A$11:$A$412,0)),0)</f>
        <v>1</v>
      </c>
      <c r="H149" s="10">
        <f t="shared" si="8"/>
        <v>-1</v>
      </c>
      <c r="I149" s="14" t="str">
        <f t="shared" si="9"/>
        <v>参照済</v>
      </c>
      <c r="J149" s="1"/>
      <c r="K149" s="1"/>
      <c r="L149" s="1"/>
      <c r="M149" s="1"/>
      <c r="N149" s="1"/>
      <c r="O149" s="1"/>
      <c r="P149" s="1"/>
      <c r="Q149" s="1"/>
    </row>
    <row r="150" spans="1:17">
      <c r="A150" s="10" t="s">
        <v>3275</v>
      </c>
      <c r="B150" s="10" t="s">
        <v>987</v>
      </c>
      <c r="C150" s="10" t="s">
        <v>3342</v>
      </c>
      <c r="D150" s="17" t="s">
        <v>3525</v>
      </c>
      <c r="E150" s="10" t="str">
        <f>IFERROR(MATCH(B150,'02_ツリー'!$E$5:$E$679,0)+4,"")</f>
        <v/>
      </c>
      <c r="F150" s="10">
        <f>IFERROR(INDEX('03_ダッシュボード'!$F$11:$F$412,MATCH(B150,'03_ダッシュボード'!$A$11:$A$412,0)),0)</f>
        <v>0</v>
      </c>
      <c r="G150" s="10">
        <f>IFERROR(INDEX('03_ダッシュボード'!$G$11:$G$412,MATCH(B150,'03_ダッシュボード'!$A$11:$A$412,0)),0)</f>
        <v>0</v>
      </c>
      <c r="H150" s="10">
        <f t="shared" si="8"/>
        <v>0</v>
      </c>
      <c r="I150" s="14" t="str">
        <f t="shared" si="9"/>
        <v>未参照</v>
      </c>
      <c r="J150" s="1"/>
      <c r="K150" s="1"/>
      <c r="L150" s="1"/>
      <c r="M150" s="1"/>
      <c r="N150" s="1"/>
      <c r="O150" s="1"/>
      <c r="P150" s="1"/>
      <c r="Q150" s="1"/>
    </row>
    <row r="151" spans="1:17">
      <c r="A151" s="10" t="s">
        <v>3275</v>
      </c>
      <c r="B151" s="10" t="s">
        <v>1131</v>
      </c>
      <c r="C151" s="10" t="s">
        <v>3342</v>
      </c>
      <c r="D151" s="17" t="s">
        <v>3526</v>
      </c>
      <c r="E151" s="10">
        <f>IFERROR(MATCH(B151,'02_ツリー'!$E$5:$E$679,0)+4,"")</f>
        <v>545</v>
      </c>
      <c r="F151" s="10">
        <f>IFERROR(INDEX('03_ダッシュボード'!$F$11:$F$412,MATCH(B151,'03_ダッシュボード'!$A$11:$A$412,0)),0)</f>
        <v>0</v>
      </c>
      <c r="G151" s="10">
        <f>IFERROR(INDEX('03_ダッシュボード'!$G$11:$G$412,MATCH(B151,'03_ダッシュボード'!$A$11:$A$412,0)),0)</f>
        <v>0</v>
      </c>
      <c r="H151" s="10">
        <f t="shared" si="8"/>
        <v>0</v>
      </c>
      <c r="I151" s="14" t="str">
        <f t="shared" si="9"/>
        <v>参照済</v>
      </c>
      <c r="J151" s="1"/>
      <c r="K151" s="1"/>
      <c r="L151" s="1"/>
      <c r="M151" s="1"/>
      <c r="N151" s="1"/>
      <c r="O151" s="1"/>
      <c r="P151" s="1"/>
      <c r="Q151" s="1"/>
    </row>
    <row r="152" spans="1:17">
      <c r="A152" s="10" t="s">
        <v>3275</v>
      </c>
      <c r="B152" s="10" t="s">
        <v>3527</v>
      </c>
      <c r="C152" s="10" t="s">
        <v>3342</v>
      </c>
      <c r="D152" s="17" t="s">
        <v>3528</v>
      </c>
      <c r="E152" s="10" t="str">
        <f>IFERROR(MATCH(B152,'02_ツリー'!$E$5:$E$679,0)+4,"")</f>
        <v/>
      </c>
      <c r="F152" s="10">
        <f>IFERROR(INDEX('03_ダッシュボード'!$F$11:$F$412,MATCH(B152,'03_ダッシュボード'!$A$11:$A$412,0)),0)</f>
        <v>0</v>
      </c>
      <c r="G152" s="10">
        <f>IFERROR(INDEX('03_ダッシュボード'!$G$11:$G$412,MATCH(B152,'03_ダッシュボード'!$A$11:$A$412,0)),0)</f>
        <v>0</v>
      </c>
      <c r="H152" s="10">
        <f t="shared" si="8"/>
        <v>0</v>
      </c>
      <c r="I152" s="14" t="str">
        <f t="shared" si="9"/>
        <v>未参照</v>
      </c>
      <c r="J152" s="1" t="s">
        <v>3415</v>
      </c>
      <c r="K152" s="1" t="s">
        <v>3529</v>
      </c>
      <c r="L152" s="1" t="s">
        <v>3530</v>
      </c>
      <c r="M152" s="1"/>
      <c r="N152" s="1"/>
      <c r="O152" s="1"/>
      <c r="P152" s="1"/>
      <c r="Q152" s="1"/>
    </row>
    <row r="153" spans="1:17" ht="28.5">
      <c r="A153" s="10" t="s">
        <v>3275</v>
      </c>
      <c r="B153" s="10" t="s">
        <v>3531</v>
      </c>
      <c r="C153" s="10" t="s">
        <v>3342</v>
      </c>
      <c r="D153" s="17" t="s">
        <v>3532</v>
      </c>
      <c r="E153" s="10" t="str">
        <f>IFERROR(MATCH(B153,'02_ツリー'!$E$5:$E$679,0)+4,"")</f>
        <v/>
      </c>
      <c r="F153" s="10">
        <f>IFERROR(INDEX('03_ダッシュボード'!$F$11:$F$412,MATCH(B153,'03_ダッシュボード'!$A$11:$A$412,0)),0)</f>
        <v>0</v>
      </c>
      <c r="G153" s="10">
        <f>IFERROR(INDEX('03_ダッシュボード'!$G$11:$G$412,MATCH(B153,'03_ダッシュボード'!$A$11:$A$412,0)),0)</f>
        <v>0</v>
      </c>
      <c r="H153" s="10">
        <f t="shared" si="8"/>
        <v>0</v>
      </c>
      <c r="I153" s="14" t="str">
        <f t="shared" si="9"/>
        <v>未参照</v>
      </c>
      <c r="J153" s="1" t="s">
        <v>3445</v>
      </c>
      <c r="K153" s="1" t="s">
        <v>3533</v>
      </c>
      <c r="L153" s="1" t="s">
        <v>3534</v>
      </c>
      <c r="M153" s="1"/>
      <c r="N153" s="1"/>
      <c r="O153" s="1"/>
      <c r="P153" s="1"/>
      <c r="Q153" s="1"/>
    </row>
    <row r="154" spans="1:17">
      <c r="A154" s="10" t="s">
        <v>3281</v>
      </c>
      <c r="B154" s="10" t="s">
        <v>783</v>
      </c>
      <c r="C154" s="10" t="s">
        <v>3338</v>
      </c>
      <c r="D154" s="17" t="s">
        <v>3535</v>
      </c>
      <c r="E154" s="10">
        <f>IFERROR(MATCH(B154,'02_ツリー'!$E$5:$E$679,0)+4,"")</f>
        <v>363</v>
      </c>
      <c r="F154" s="10">
        <f>IFERROR(INDEX('03_ダッシュボード'!$F$11:$F$412,MATCH(B154,'03_ダッシュボード'!$A$11:$A$412,0)),0)</f>
        <v>0</v>
      </c>
      <c r="G154" s="10">
        <f>IFERROR(INDEX('03_ダッシュボード'!$G$11:$G$412,MATCH(B154,'03_ダッシュボード'!$A$11:$A$412,0)),0)</f>
        <v>1</v>
      </c>
      <c r="H154" s="10">
        <f t="shared" si="8"/>
        <v>0</v>
      </c>
      <c r="I154" s="14" t="str">
        <f t="shared" si="9"/>
        <v>参照済</v>
      </c>
      <c r="J154" s="1"/>
      <c r="K154" s="1"/>
      <c r="L154" s="1"/>
      <c r="M154" s="1"/>
      <c r="N154" s="1"/>
      <c r="O154" s="1"/>
      <c r="P154" s="1"/>
      <c r="Q154" s="1"/>
    </row>
    <row r="155" spans="1:17">
      <c r="A155" s="10" t="s">
        <v>3281</v>
      </c>
      <c r="B155" s="10" t="s">
        <v>987</v>
      </c>
      <c r="C155" s="10" t="s">
        <v>3342</v>
      </c>
      <c r="D155" s="17" t="s">
        <v>3536</v>
      </c>
      <c r="E155" s="10" t="str">
        <f>IFERROR(MATCH(B155,'02_ツリー'!$E$5:$E$679,0)+4,"")</f>
        <v/>
      </c>
      <c r="F155" s="10">
        <f>IFERROR(INDEX('03_ダッシュボード'!$F$11:$F$412,MATCH(B155,'03_ダッシュボード'!$A$11:$A$412,0)),0)</f>
        <v>0</v>
      </c>
      <c r="G155" s="10">
        <f>IFERROR(INDEX('03_ダッシュボード'!$G$11:$G$412,MATCH(B155,'03_ダッシュボード'!$A$11:$A$412,0)),0)</f>
        <v>0</v>
      </c>
      <c r="H155" s="10">
        <f t="shared" si="8"/>
        <v>0</v>
      </c>
      <c r="I155" s="14" t="str">
        <f t="shared" si="9"/>
        <v>未参照</v>
      </c>
      <c r="J155" s="1"/>
      <c r="K155" s="1"/>
      <c r="L155" s="1"/>
      <c r="M155" s="1"/>
      <c r="N155" s="1"/>
      <c r="O155" s="1"/>
      <c r="P155" s="1"/>
      <c r="Q155" s="1"/>
    </row>
    <row r="156" spans="1:17">
      <c r="A156" s="10" t="s">
        <v>3281</v>
      </c>
      <c r="B156" s="10" t="s">
        <v>1001</v>
      </c>
      <c r="C156" s="10" t="s">
        <v>3342</v>
      </c>
      <c r="D156" s="17" t="s">
        <v>3537</v>
      </c>
      <c r="E156" s="10">
        <f>IFERROR(MATCH(B156,'02_ツリー'!$E$5:$E$679,0)+4,"")</f>
        <v>486</v>
      </c>
      <c r="F156" s="10">
        <f>IFERROR(INDEX('03_ダッシュボード'!$F$11:$F$412,MATCH(B156,'03_ダッシュボード'!$A$11:$A$412,0)),0)</f>
        <v>0</v>
      </c>
      <c r="G156" s="10">
        <f>IFERROR(INDEX('03_ダッシュボード'!$G$11:$G$412,MATCH(B156,'03_ダッシュボード'!$A$11:$A$412,0)),0)</f>
        <v>1</v>
      </c>
      <c r="H156" s="10">
        <f t="shared" si="8"/>
        <v>-1</v>
      </c>
      <c r="I156" s="14" t="str">
        <f t="shared" si="9"/>
        <v>参照済</v>
      </c>
      <c r="J156" s="1"/>
      <c r="K156" s="1"/>
      <c r="L156" s="1"/>
      <c r="M156" s="1"/>
      <c r="N156" s="1"/>
      <c r="O156" s="1"/>
      <c r="P156" s="1"/>
      <c r="Q156" s="1"/>
    </row>
    <row r="157" spans="1:17">
      <c r="A157" s="10" t="s">
        <v>3281</v>
      </c>
      <c r="B157" s="10" t="s">
        <v>973</v>
      </c>
      <c r="C157" s="10" t="s">
        <v>3342</v>
      </c>
      <c r="D157" s="17" t="s">
        <v>3538</v>
      </c>
      <c r="E157" s="10">
        <f>IFERROR(MATCH(B157,'02_ツリー'!$E$5:$E$679,0)+4,"")</f>
        <v>480</v>
      </c>
      <c r="F157" s="10">
        <f>IFERROR(INDEX('03_ダッシュボード'!$F$11:$F$412,MATCH(B157,'03_ダッシュボード'!$A$11:$A$412,0)),0)</f>
        <v>0</v>
      </c>
      <c r="G157" s="10">
        <f>IFERROR(INDEX('03_ダッシュボード'!$G$11:$G$412,MATCH(B157,'03_ダッシュボード'!$A$11:$A$412,0)),0)</f>
        <v>1</v>
      </c>
      <c r="H157" s="10">
        <f t="shared" si="8"/>
        <v>-1</v>
      </c>
      <c r="I157" s="14" t="str">
        <f t="shared" si="9"/>
        <v>参照済</v>
      </c>
      <c r="J157" s="1"/>
      <c r="K157" s="1"/>
      <c r="L157" s="1"/>
      <c r="M157" s="1"/>
      <c r="N157" s="1"/>
      <c r="O157" s="1"/>
      <c r="P157" s="1"/>
      <c r="Q157" s="1"/>
    </row>
    <row r="158" spans="1:17">
      <c r="A158" s="10" t="s">
        <v>3287</v>
      </c>
      <c r="B158" s="10" t="s">
        <v>1497</v>
      </c>
      <c r="C158" s="10" t="s">
        <v>3342</v>
      </c>
      <c r="D158" s="17" t="s">
        <v>3539</v>
      </c>
      <c r="E158" s="10">
        <f>IFERROR(MATCH(B158,'02_ツリー'!$E$5:$E$679,0)+4,"")</f>
        <v>12</v>
      </c>
      <c r="F158" s="10">
        <f>IFERROR(INDEX('03_ダッシュボード'!$F$11:$F$412,MATCH(B158,'03_ダッシュボード'!$A$11:$A$412,0)),0)</f>
        <v>1</v>
      </c>
      <c r="G158" s="10">
        <f>IFERROR(INDEX('03_ダッシュボード'!$G$11:$G$412,MATCH(B158,'03_ダッシュボード'!$A$11:$A$412,0)),0)</f>
        <v>0</v>
      </c>
      <c r="H158" s="10">
        <f t="shared" si="8"/>
        <v>0</v>
      </c>
      <c r="I158" s="14" t="str">
        <f t="shared" si="9"/>
        <v>参照済</v>
      </c>
      <c r="J158" s="1"/>
      <c r="K158" s="1"/>
      <c r="L158" s="1"/>
      <c r="M158" s="1"/>
      <c r="N158" s="1"/>
      <c r="O158" s="1"/>
      <c r="P158" s="1"/>
      <c r="Q158" s="1"/>
    </row>
    <row r="159" spans="1:17">
      <c r="A159" s="10" t="s">
        <v>3287</v>
      </c>
      <c r="B159" s="10" t="s">
        <v>365</v>
      </c>
      <c r="C159" s="10" t="s">
        <v>3342</v>
      </c>
      <c r="D159" s="17" t="s">
        <v>3540</v>
      </c>
      <c r="E159" s="10">
        <f>IFERROR(MATCH(B159,'02_ツリー'!$E$5:$E$679,0)+4,"")</f>
        <v>148</v>
      </c>
      <c r="F159" s="10">
        <f>IFERROR(INDEX('03_ダッシュボード'!$F$11:$F$412,MATCH(B159,'03_ダッシュボード'!$A$11:$A$412,0)),0)</f>
        <v>0</v>
      </c>
      <c r="G159" s="10">
        <f>IFERROR(INDEX('03_ダッシュボード'!$G$11:$G$412,MATCH(B159,'03_ダッシュボード'!$A$11:$A$412,0)),0)</f>
        <v>0</v>
      </c>
      <c r="H159" s="10">
        <f t="shared" si="8"/>
        <v>0</v>
      </c>
      <c r="I159" s="14" t="str">
        <f t="shared" si="9"/>
        <v>参照済</v>
      </c>
      <c r="J159" s="1"/>
      <c r="K159" s="1"/>
      <c r="L159" s="1"/>
      <c r="M159" s="1"/>
      <c r="N159" s="1"/>
      <c r="O159" s="1"/>
      <c r="P159" s="1"/>
      <c r="Q159" s="1"/>
    </row>
    <row r="160" spans="1:17">
      <c r="A160" s="10" t="s">
        <v>3287</v>
      </c>
      <c r="B160" s="10" t="s">
        <v>402</v>
      </c>
      <c r="C160" s="10" t="s">
        <v>3342</v>
      </c>
      <c r="D160" s="17" t="s">
        <v>3541</v>
      </c>
      <c r="E160" s="10">
        <f>IFERROR(MATCH(B160,'02_ツリー'!$E$5:$E$679,0)+4,"")</f>
        <v>180</v>
      </c>
      <c r="F160" s="10">
        <f>IFERROR(INDEX('03_ダッシュボード'!$F$11:$F$412,MATCH(B160,'03_ダッシュボード'!$A$11:$A$412,0)),0)</f>
        <v>1</v>
      </c>
      <c r="G160" s="10">
        <f>IFERROR(INDEX('03_ダッシュボード'!$G$11:$G$412,MATCH(B160,'03_ダッシュボード'!$A$11:$A$412,0)),0)</f>
        <v>0</v>
      </c>
      <c r="H160" s="10">
        <f t="shared" si="8"/>
        <v>0</v>
      </c>
      <c r="I160" s="14" t="str">
        <f t="shared" si="9"/>
        <v>参照済</v>
      </c>
      <c r="J160" s="1"/>
      <c r="K160" s="1"/>
      <c r="L160" s="1"/>
      <c r="M160" s="1"/>
      <c r="N160" s="1"/>
      <c r="O160" s="1"/>
      <c r="P160" s="1"/>
      <c r="Q160" s="1"/>
    </row>
    <row r="161" spans="1:17" ht="42.75">
      <c r="A161" s="10" t="s">
        <v>3287</v>
      </c>
      <c r="B161" s="10" t="s">
        <v>3542</v>
      </c>
      <c r="C161" s="10" t="s">
        <v>3338</v>
      </c>
      <c r="D161" s="17" t="s">
        <v>3543</v>
      </c>
      <c r="E161" s="10" t="str">
        <f>IFERROR(MATCH(B161,'02_ツリー'!$E$5:$E$679,0)+4,"")</f>
        <v/>
      </c>
      <c r="F161" s="10">
        <f>IFERROR(INDEX('03_ダッシュボード'!$F$11:$F$412,MATCH(B161,'03_ダッシュボード'!$A$11:$A$412,0)),0)</f>
        <v>0</v>
      </c>
      <c r="G161" s="10">
        <f>IFERROR(INDEX('03_ダッシュボード'!$G$11:$G$412,MATCH(B161,'03_ダッシュボード'!$A$11:$A$412,0)),0)</f>
        <v>0</v>
      </c>
      <c r="H161" s="10">
        <f t="shared" si="8"/>
        <v>0</v>
      </c>
      <c r="I161" s="14" t="str">
        <f t="shared" si="9"/>
        <v>未参照</v>
      </c>
      <c r="J161" s="1" t="s">
        <v>3544</v>
      </c>
      <c r="K161" s="1" t="s">
        <v>3545</v>
      </c>
      <c r="L161" s="1" t="s">
        <v>3546</v>
      </c>
      <c r="M161" s="1"/>
      <c r="N161" s="1"/>
      <c r="O161" s="1"/>
      <c r="P161" s="1"/>
      <c r="Q161" s="1"/>
    </row>
    <row r="162" spans="1:17">
      <c r="A162" s="10" t="s">
        <v>3293</v>
      </c>
      <c r="B162" s="10" t="s">
        <v>973</v>
      </c>
      <c r="C162" s="10" t="s">
        <v>3342</v>
      </c>
      <c r="D162" s="17" t="s">
        <v>3547</v>
      </c>
      <c r="E162" s="10">
        <f>IFERROR(MATCH(B162,'02_ツリー'!$E$5:$E$679,0)+4,"")</f>
        <v>480</v>
      </c>
      <c r="F162" s="10">
        <f>IFERROR(INDEX('03_ダッシュボード'!$F$11:$F$412,MATCH(B162,'03_ダッシュボード'!$A$11:$A$412,0)),0)</f>
        <v>0</v>
      </c>
      <c r="G162" s="10">
        <f>IFERROR(INDEX('03_ダッシュボード'!$G$11:$G$412,MATCH(B162,'03_ダッシュボード'!$A$11:$A$412,0)),0)</f>
        <v>1</v>
      </c>
      <c r="H162" s="10">
        <f t="shared" ref="H162:H193" si="10">IF(C162="増加",F162,IF(C162="減少",-G162,MIN(F162,-G162)))</f>
        <v>-1</v>
      </c>
      <c r="I162" s="14" t="str">
        <f t="shared" ref="I162:I189" si="11">IF(E162="","未参照","参照済")</f>
        <v>参照済</v>
      </c>
      <c r="J162" s="1"/>
      <c r="K162" s="1"/>
      <c r="L162" s="1"/>
      <c r="M162" s="1"/>
      <c r="N162" s="1"/>
      <c r="O162" s="1"/>
      <c r="P162" s="1"/>
      <c r="Q162" s="1"/>
    </row>
    <row r="163" spans="1:17">
      <c r="A163" s="10" t="s">
        <v>3293</v>
      </c>
      <c r="B163" s="10" t="s">
        <v>987</v>
      </c>
      <c r="C163" s="10" t="s">
        <v>3342</v>
      </c>
      <c r="D163" s="17" t="s">
        <v>3548</v>
      </c>
      <c r="E163" s="10" t="str">
        <f>IFERROR(MATCH(B163,'02_ツリー'!$E$5:$E$679,0)+4,"")</f>
        <v/>
      </c>
      <c r="F163" s="10">
        <f>IFERROR(INDEX('03_ダッシュボード'!$F$11:$F$412,MATCH(B163,'03_ダッシュボード'!$A$11:$A$412,0)),0)</f>
        <v>0</v>
      </c>
      <c r="G163" s="10">
        <f>IFERROR(INDEX('03_ダッシュボード'!$G$11:$G$412,MATCH(B163,'03_ダッシュボード'!$A$11:$A$412,0)),0)</f>
        <v>0</v>
      </c>
      <c r="H163" s="10">
        <f t="shared" si="10"/>
        <v>0</v>
      </c>
      <c r="I163" s="14" t="str">
        <f t="shared" si="11"/>
        <v>未参照</v>
      </c>
      <c r="J163" s="1"/>
      <c r="K163" s="1"/>
      <c r="L163" s="1"/>
      <c r="M163" s="1"/>
      <c r="N163" s="1"/>
      <c r="O163" s="1"/>
      <c r="P163" s="1"/>
      <c r="Q163" s="1"/>
    </row>
    <row r="164" spans="1:17">
      <c r="A164" s="10" t="s">
        <v>3293</v>
      </c>
      <c r="B164" s="10" t="s">
        <v>121</v>
      </c>
      <c r="C164" s="10" t="s">
        <v>3342</v>
      </c>
      <c r="D164" s="17" t="s">
        <v>3549</v>
      </c>
      <c r="E164" s="10">
        <f>IFERROR(MATCH(B164,'02_ツリー'!$E$5:$E$679,0)+4,"")</f>
        <v>55</v>
      </c>
      <c r="F164" s="10">
        <f>IFERROR(INDEX('03_ダッシュボード'!$F$11:$F$412,MATCH(B164,'03_ダッシュボード'!$A$11:$A$412,0)),0)</f>
        <v>1</v>
      </c>
      <c r="G164" s="10">
        <f>IFERROR(INDEX('03_ダッシュボード'!$G$11:$G$412,MATCH(B164,'03_ダッシュボード'!$A$11:$A$412,0)),0)</f>
        <v>0</v>
      </c>
      <c r="H164" s="10">
        <f t="shared" si="10"/>
        <v>0</v>
      </c>
      <c r="I164" s="14" t="str">
        <f t="shared" si="11"/>
        <v>参照済</v>
      </c>
      <c r="J164" s="1"/>
      <c r="K164" s="1"/>
      <c r="L164" s="1"/>
      <c r="M164" s="1"/>
      <c r="N164" s="1"/>
      <c r="O164" s="1"/>
      <c r="P164" s="1"/>
      <c r="Q164" s="1"/>
    </row>
    <row r="165" spans="1:17" ht="28.5">
      <c r="A165" s="10" t="s">
        <v>3293</v>
      </c>
      <c r="B165" s="10" t="s">
        <v>3443</v>
      </c>
      <c r="C165" s="10" t="s">
        <v>3342</v>
      </c>
      <c r="D165" s="17" t="s">
        <v>3550</v>
      </c>
      <c r="E165" s="10" t="str">
        <f>IFERROR(MATCH(B165,'02_ツリー'!$E$5:$E$679,0)+4,"")</f>
        <v/>
      </c>
      <c r="F165" s="10">
        <f>IFERROR(INDEX('03_ダッシュボード'!$F$11:$F$412,MATCH(B165,'03_ダッシュボード'!$A$11:$A$412,0)),0)</f>
        <v>0</v>
      </c>
      <c r="G165" s="10">
        <f>IFERROR(INDEX('03_ダッシュボード'!$G$11:$G$412,MATCH(B165,'03_ダッシュボード'!$A$11:$A$412,0)),0)</f>
        <v>0</v>
      </c>
      <c r="H165" s="10">
        <f t="shared" si="10"/>
        <v>0</v>
      </c>
      <c r="I165" s="14" t="str">
        <f t="shared" si="11"/>
        <v>未参照</v>
      </c>
      <c r="J165" s="1" t="s">
        <v>3445</v>
      </c>
      <c r="K165" s="1" t="s">
        <v>3446</v>
      </c>
      <c r="L165" s="1" t="s">
        <v>3551</v>
      </c>
      <c r="M165" s="1"/>
      <c r="N165" s="1"/>
      <c r="O165" s="1"/>
      <c r="P165" s="1"/>
      <c r="Q165" s="1"/>
    </row>
    <row r="166" spans="1:17" ht="28.5">
      <c r="A166" s="10" t="s">
        <v>3293</v>
      </c>
      <c r="B166" s="10" t="s">
        <v>3552</v>
      </c>
      <c r="C166" s="10" t="s">
        <v>3342</v>
      </c>
      <c r="D166" s="17" t="s">
        <v>3553</v>
      </c>
      <c r="E166" s="10" t="str">
        <f>IFERROR(MATCH(B166,'02_ツリー'!$E$5:$E$679,0)+4,"")</f>
        <v/>
      </c>
      <c r="F166" s="10">
        <f>IFERROR(INDEX('03_ダッシュボード'!$F$11:$F$412,MATCH(B166,'03_ダッシュボード'!$A$11:$A$412,0)),0)</f>
        <v>0</v>
      </c>
      <c r="G166" s="10">
        <f>IFERROR(INDEX('03_ダッシュボード'!$G$11:$G$412,MATCH(B166,'03_ダッシュボード'!$A$11:$A$412,0)),0)</f>
        <v>0</v>
      </c>
      <c r="H166" s="10">
        <f t="shared" si="10"/>
        <v>0</v>
      </c>
      <c r="I166" s="14" t="str">
        <f t="shared" si="11"/>
        <v>未参照</v>
      </c>
      <c r="J166" s="1" t="s">
        <v>3463</v>
      </c>
      <c r="K166" s="1" t="s">
        <v>3554</v>
      </c>
      <c r="L166" s="1" t="s">
        <v>3555</v>
      </c>
      <c r="M166" s="1"/>
      <c r="N166" s="1"/>
      <c r="O166" s="1"/>
      <c r="P166" s="1"/>
      <c r="Q166" s="1"/>
    </row>
    <row r="167" spans="1:17">
      <c r="A167" s="10" t="s">
        <v>3298</v>
      </c>
      <c r="B167" s="10" t="s">
        <v>365</v>
      </c>
      <c r="C167" s="10" t="s">
        <v>3342</v>
      </c>
      <c r="D167" s="17" t="s">
        <v>3556</v>
      </c>
      <c r="E167" s="10">
        <f>IFERROR(MATCH(B167,'02_ツリー'!$E$5:$E$679,0)+4,"")</f>
        <v>148</v>
      </c>
      <c r="F167" s="10">
        <f>IFERROR(INDEX('03_ダッシュボード'!$F$11:$F$412,MATCH(B167,'03_ダッシュボード'!$A$11:$A$412,0)),0)</f>
        <v>0</v>
      </c>
      <c r="G167" s="10">
        <f>IFERROR(INDEX('03_ダッシュボード'!$G$11:$G$412,MATCH(B167,'03_ダッシュボード'!$A$11:$A$412,0)),0)</f>
        <v>0</v>
      </c>
      <c r="H167" s="10">
        <f t="shared" si="10"/>
        <v>0</v>
      </c>
      <c r="I167" s="14" t="str">
        <f t="shared" si="11"/>
        <v>参照済</v>
      </c>
      <c r="J167" s="1"/>
      <c r="K167" s="1"/>
      <c r="L167" s="1"/>
      <c r="M167" s="1"/>
      <c r="N167" s="1"/>
      <c r="O167" s="1"/>
      <c r="P167" s="1"/>
      <c r="Q167" s="1"/>
    </row>
    <row r="168" spans="1:17">
      <c r="A168" s="10" t="s">
        <v>3298</v>
      </c>
      <c r="B168" s="10" t="s">
        <v>102</v>
      </c>
      <c r="C168" s="10" t="s">
        <v>3342</v>
      </c>
      <c r="D168" s="17" t="s">
        <v>3557</v>
      </c>
      <c r="E168" s="10">
        <f>IFERROR(MATCH(B168,'02_ツリー'!$E$5:$E$679,0)+4,"")</f>
        <v>98</v>
      </c>
      <c r="F168" s="10">
        <f>IFERROR(INDEX('03_ダッシュボード'!$F$11:$F$412,MATCH(B168,'03_ダッシュボード'!$A$11:$A$412,0)),0)</f>
        <v>0</v>
      </c>
      <c r="G168" s="10">
        <f>IFERROR(INDEX('03_ダッシュボード'!$G$11:$G$412,MATCH(B168,'03_ダッシュボード'!$A$11:$A$412,0)),0)</f>
        <v>0</v>
      </c>
      <c r="H168" s="10">
        <f t="shared" si="10"/>
        <v>0</v>
      </c>
      <c r="I168" s="14" t="str">
        <f t="shared" si="11"/>
        <v>参照済</v>
      </c>
      <c r="J168" s="1"/>
      <c r="K168" s="1"/>
      <c r="L168" s="1"/>
      <c r="M168" s="1"/>
      <c r="N168" s="1"/>
      <c r="O168" s="1"/>
      <c r="P168" s="1"/>
      <c r="Q168" s="1"/>
    </row>
    <row r="169" spans="1:17">
      <c r="A169" s="10" t="s">
        <v>3298</v>
      </c>
      <c r="B169" s="10" t="s">
        <v>813</v>
      </c>
      <c r="C169" s="10" t="s">
        <v>3342</v>
      </c>
      <c r="D169" s="17" t="s">
        <v>3558</v>
      </c>
      <c r="E169" s="10">
        <f>IFERROR(MATCH(B169,'02_ツリー'!$E$5:$E$679,0)+4,"")</f>
        <v>375</v>
      </c>
      <c r="F169" s="10">
        <f>IFERROR(INDEX('03_ダッシュボード'!$F$11:$F$412,MATCH(B169,'03_ダッシュボード'!$A$11:$A$412,0)),0)</f>
        <v>0</v>
      </c>
      <c r="G169" s="10">
        <f>IFERROR(INDEX('03_ダッシュボード'!$G$11:$G$412,MATCH(B169,'03_ダッシュボード'!$A$11:$A$412,0)),0)</f>
        <v>0</v>
      </c>
      <c r="H169" s="10">
        <f t="shared" si="10"/>
        <v>0</v>
      </c>
      <c r="I169" s="14" t="str">
        <f t="shared" si="11"/>
        <v>参照済</v>
      </c>
      <c r="J169" s="1"/>
      <c r="K169" s="1"/>
      <c r="L169" s="1"/>
      <c r="M169" s="1"/>
      <c r="N169" s="1"/>
      <c r="O169" s="1"/>
      <c r="P169" s="1"/>
      <c r="Q169" s="1"/>
    </row>
    <row r="170" spans="1:17">
      <c r="A170" s="10" t="s">
        <v>3298</v>
      </c>
      <c r="B170" s="10" t="s">
        <v>361</v>
      </c>
      <c r="C170" s="10" t="s">
        <v>3342</v>
      </c>
      <c r="D170" s="17" t="s">
        <v>3559</v>
      </c>
      <c r="E170" s="10">
        <f>IFERROR(MATCH(B170,'02_ツリー'!$E$5:$E$679,0)+4,"")</f>
        <v>143</v>
      </c>
      <c r="F170" s="10">
        <f>IFERROR(INDEX('03_ダッシュボード'!$F$11:$F$412,MATCH(B170,'03_ダッシュボード'!$A$11:$A$412,0)),0)</f>
        <v>0</v>
      </c>
      <c r="G170" s="10">
        <f>IFERROR(INDEX('03_ダッシュボード'!$G$11:$G$412,MATCH(B170,'03_ダッシュボード'!$A$11:$A$412,0)),0)</f>
        <v>0</v>
      </c>
      <c r="H170" s="10">
        <f t="shared" si="10"/>
        <v>0</v>
      </c>
      <c r="I170" s="14" t="str">
        <f t="shared" si="11"/>
        <v>参照済</v>
      </c>
      <c r="J170" s="1"/>
      <c r="K170" s="1"/>
      <c r="L170" s="1"/>
      <c r="M170" s="1"/>
      <c r="N170" s="1"/>
      <c r="O170" s="1"/>
      <c r="P170" s="1"/>
      <c r="Q170" s="1"/>
    </row>
    <row r="171" spans="1:17">
      <c r="A171" s="10" t="s">
        <v>3298</v>
      </c>
      <c r="B171" s="10" t="s">
        <v>95</v>
      </c>
      <c r="C171" s="10" t="s">
        <v>3342</v>
      </c>
      <c r="D171" s="17" t="s">
        <v>3560</v>
      </c>
      <c r="E171" s="10">
        <f>IFERROR(MATCH(B171,'02_ツリー'!$E$5:$E$679,0)+4,"")</f>
        <v>81</v>
      </c>
      <c r="F171" s="10">
        <f>IFERROR(INDEX('03_ダッシュボード'!$F$11:$F$412,MATCH(B171,'03_ダッシュボード'!$A$11:$A$412,0)),0)</f>
        <v>1</v>
      </c>
      <c r="G171" s="10">
        <f>IFERROR(INDEX('03_ダッシュボード'!$G$11:$G$412,MATCH(B171,'03_ダッシュボード'!$A$11:$A$412,0)),0)</f>
        <v>0</v>
      </c>
      <c r="H171" s="10">
        <f t="shared" si="10"/>
        <v>0</v>
      </c>
      <c r="I171" s="14" t="str">
        <f t="shared" si="11"/>
        <v>参照済</v>
      </c>
      <c r="J171" s="1"/>
      <c r="K171" s="1"/>
      <c r="L171" s="1"/>
      <c r="M171" s="1"/>
      <c r="N171" s="1"/>
      <c r="O171" s="1"/>
      <c r="P171" s="1"/>
      <c r="Q171" s="1"/>
    </row>
    <row r="172" spans="1:17">
      <c r="A172" s="10" t="s">
        <v>3304</v>
      </c>
      <c r="B172" s="10" t="s">
        <v>361</v>
      </c>
      <c r="C172" s="10" t="s">
        <v>3342</v>
      </c>
      <c r="D172" s="17" t="s">
        <v>3561</v>
      </c>
      <c r="E172" s="10">
        <f>IFERROR(MATCH(B172,'02_ツリー'!$E$5:$E$679,0)+4,"")</f>
        <v>143</v>
      </c>
      <c r="F172" s="10">
        <f>IFERROR(INDEX('03_ダッシュボード'!$F$11:$F$412,MATCH(B172,'03_ダッシュボード'!$A$11:$A$412,0)),0)</f>
        <v>0</v>
      </c>
      <c r="G172" s="10">
        <f>IFERROR(INDEX('03_ダッシュボード'!$G$11:$G$412,MATCH(B172,'03_ダッシュボード'!$A$11:$A$412,0)),0)</f>
        <v>0</v>
      </c>
      <c r="H172" s="10">
        <f t="shared" si="10"/>
        <v>0</v>
      </c>
      <c r="I172" s="14" t="str">
        <f t="shared" si="11"/>
        <v>参照済</v>
      </c>
      <c r="J172" s="1"/>
      <c r="K172" s="1"/>
      <c r="L172" s="1"/>
      <c r="M172" s="1"/>
      <c r="N172" s="1"/>
      <c r="O172" s="1"/>
      <c r="P172" s="1"/>
      <c r="Q172" s="1"/>
    </row>
    <row r="173" spans="1:17">
      <c r="A173" s="10" t="s">
        <v>3304</v>
      </c>
      <c r="B173" s="10" t="s">
        <v>1827</v>
      </c>
      <c r="C173" s="10" t="s">
        <v>3342</v>
      </c>
      <c r="D173" s="17" t="s">
        <v>3562</v>
      </c>
      <c r="E173" s="10">
        <f>IFERROR(MATCH(B173,'02_ツリー'!$E$5:$E$679,0)+4,"")</f>
        <v>160</v>
      </c>
      <c r="F173" s="10">
        <f>IFERROR(INDEX('03_ダッシュボード'!$F$11:$F$412,MATCH(B173,'03_ダッシュボード'!$A$11:$A$412,0)),0)</f>
        <v>0</v>
      </c>
      <c r="G173" s="10">
        <f>IFERROR(INDEX('03_ダッシュボード'!$G$11:$G$412,MATCH(B173,'03_ダッシュボード'!$A$11:$A$412,0)),0)</f>
        <v>0</v>
      </c>
      <c r="H173" s="10">
        <f t="shared" si="10"/>
        <v>0</v>
      </c>
      <c r="I173" s="14" t="str">
        <f t="shared" si="11"/>
        <v>参照済</v>
      </c>
      <c r="J173" s="1"/>
      <c r="K173" s="1"/>
      <c r="L173" s="1"/>
      <c r="M173" s="1"/>
      <c r="N173" s="1"/>
      <c r="O173" s="1"/>
      <c r="P173" s="1"/>
      <c r="Q173" s="1"/>
    </row>
    <row r="174" spans="1:17">
      <c r="A174" s="10" t="s">
        <v>3304</v>
      </c>
      <c r="B174" s="10" t="s">
        <v>1445</v>
      </c>
      <c r="C174" s="10" t="s">
        <v>3342</v>
      </c>
      <c r="D174" s="17" t="s">
        <v>3563</v>
      </c>
      <c r="E174" s="10">
        <f>IFERROR(MATCH(B174,'02_ツリー'!$E$5:$E$679,0)+4,"")</f>
        <v>672</v>
      </c>
      <c r="F174" s="10">
        <f>IFERROR(INDEX('03_ダッシュボード'!$F$11:$F$412,MATCH(B174,'03_ダッシュボード'!$A$11:$A$412,0)),0)</f>
        <v>0</v>
      </c>
      <c r="G174" s="10">
        <f>IFERROR(INDEX('03_ダッシュボード'!$G$11:$G$412,MATCH(B174,'03_ダッシュボード'!$A$11:$A$412,0)),0)</f>
        <v>0</v>
      </c>
      <c r="H174" s="10">
        <f t="shared" si="10"/>
        <v>0</v>
      </c>
      <c r="I174" s="14" t="str">
        <f t="shared" si="11"/>
        <v>参照済</v>
      </c>
      <c r="J174" s="1" t="s">
        <v>3564</v>
      </c>
      <c r="K174" s="1" t="s">
        <v>3565</v>
      </c>
      <c r="L174" s="1" t="s">
        <v>3566</v>
      </c>
      <c r="M174" s="1"/>
      <c r="N174" s="1"/>
      <c r="O174" s="1"/>
      <c r="P174" s="1"/>
      <c r="Q174" s="1"/>
    </row>
    <row r="175" spans="1:17">
      <c r="A175" s="10" t="s">
        <v>3304</v>
      </c>
      <c r="B175" s="10" t="s">
        <v>1449</v>
      </c>
      <c r="C175" s="10" t="s">
        <v>3342</v>
      </c>
      <c r="D175" s="17" t="s">
        <v>3567</v>
      </c>
      <c r="E175" s="10">
        <f>IFERROR(MATCH(B175,'02_ツリー'!$E$5:$E$679,0)+4,"")</f>
        <v>675</v>
      </c>
      <c r="F175" s="10">
        <f>IFERROR(INDEX('03_ダッシュボード'!$F$11:$F$412,MATCH(B175,'03_ダッシュボード'!$A$11:$A$412,0)),0)</f>
        <v>0</v>
      </c>
      <c r="G175" s="10">
        <f>IFERROR(INDEX('03_ダッシュボード'!$G$11:$G$412,MATCH(B175,'03_ダッシュボード'!$A$11:$A$412,0)),0)</f>
        <v>0</v>
      </c>
      <c r="H175" s="10">
        <f t="shared" si="10"/>
        <v>0</v>
      </c>
      <c r="I175" s="14" t="str">
        <f t="shared" si="11"/>
        <v>参照済</v>
      </c>
      <c r="J175" s="1" t="s">
        <v>3564</v>
      </c>
      <c r="K175" s="1" t="s">
        <v>3568</v>
      </c>
      <c r="L175" s="1" t="s">
        <v>3569</v>
      </c>
      <c r="M175" s="1"/>
      <c r="N175" s="1"/>
      <c r="O175" s="1"/>
      <c r="P175" s="1"/>
      <c r="Q175" s="1"/>
    </row>
    <row r="176" spans="1:17">
      <c r="A176" s="10" t="s">
        <v>3309</v>
      </c>
      <c r="B176" s="10" t="s">
        <v>402</v>
      </c>
      <c r="C176" s="10" t="s">
        <v>3342</v>
      </c>
      <c r="D176" s="17" t="s">
        <v>3570</v>
      </c>
      <c r="E176" s="10">
        <f>IFERROR(MATCH(B176,'02_ツリー'!$E$5:$E$679,0)+4,"")</f>
        <v>180</v>
      </c>
      <c r="F176" s="10">
        <f>IFERROR(INDEX('03_ダッシュボード'!$F$11:$F$412,MATCH(B176,'03_ダッシュボード'!$A$11:$A$412,0)),0)</f>
        <v>1</v>
      </c>
      <c r="G176" s="10">
        <f>IFERROR(INDEX('03_ダッシュボード'!$G$11:$G$412,MATCH(B176,'03_ダッシュボード'!$A$11:$A$412,0)),0)</f>
        <v>0</v>
      </c>
      <c r="H176" s="10">
        <f t="shared" si="10"/>
        <v>0</v>
      </c>
      <c r="I176" s="14" t="str">
        <f t="shared" si="11"/>
        <v>参照済</v>
      </c>
      <c r="J176" s="1"/>
      <c r="K176" s="1"/>
      <c r="L176" s="1"/>
      <c r="M176" s="1"/>
      <c r="N176" s="1"/>
      <c r="O176" s="1"/>
      <c r="P176" s="1"/>
      <c r="Q176" s="1"/>
    </row>
    <row r="177" spans="1:17">
      <c r="A177" s="10" t="s">
        <v>3309</v>
      </c>
      <c r="B177" s="10" t="s">
        <v>167</v>
      </c>
      <c r="C177" s="10" t="s">
        <v>3342</v>
      </c>
      <c r="D177" s="17" t="s">
        <v>3571</v>
      </c>
      <c r="E177" s="10">
        <f>IFERROR(MATCH(B177,'02_ツリー'!$E$5:$E$679,0)+4,"")</f>
        <v>20</v>
      </c>
      <c r="F177" s="10">
        <f>IFERROR(INDEX('03_ダッシュボード'!$F$11:$F$412,MATCH(B177,'03_ダッシュボード'!$A$11:$A$412,0)),0)</f>
        <v>1</v>
      </c>
      <c r="G177" s="10">
        <f>IFERROR(INDEX('03_ダッシュボード'!$G$11:$G$412,MATCH(B177,'03_ダッシュボード'!$A$11:$A$412,0)),0)</f>
        <v>0</v>
      </c>
      <c r="H177" s="10">
        <f t="shared" si="10"/>
        <v>0</v>
      </c>
      <c r="I177" s="14" t="str">
        <f t="shared" si="11"/>
        <v>参照済</v>
      </c>
      <c r="J177" s="1"/>
      <c r="K177" s="1"/>
      <c r="L177" s="1"/>
      <c r="M177" s="1"/>
      <c r="N177" s="1"/>
      <c r="O177" s="1"/>
      <c r="P177" s="1"/>
      <c r="Q177" s="1"/>
    </row>
    <row r="178" spans="1:17" ht="42.75">
      <c r="A178" s="10" t="s">
        <v>3309</v>
      </c>
      <c r="B178" s="10" t="s">
        <v>3572</v>
      </c>
      <c r="C178" s="10" t="s">
        <v>3342</v>
      </c>
      <c r="D178" s="17" t="s">
        <v>3573</v>
      </c>
      <c r="E178" s="10" t="str">
        <f>IFERROR(MATCH(B178,'02_ツリー'!$E$5:$E$679,0)+4,"")</f>
        <v/>
      </c>
      <c r="F178" s="10">
        <f>IFERROR(INDEX('03_ダッシュボード'!$F$11:$F$412,MATCH(B178,'03_ダッシュボード'!$A$11:$A$412,0)),0)</f>
        <v>0</v>
      </c>
      <c r="G178" s="10">
        <f>IFERROR(INDEX('03_ダッシュボード'!$G$11:$G$412,MATCH(B178,'03_ダッシュボード'!$A$11:$A$412,0)),0)</f>
        <v>0</v>
      </c>
      <c r="H178" s="10">
        <f t="shared" si="10"/>
        <v>0</v>
      </c>
      <c r="I178" s="14" t="str">
        <f t="shared" si="11"/>
        <v>未参照</v>
      </c>
      <c r="J178" s="1" t="s">
        <v>3574</v>
      </c>
      <c r="K178" s="1" t="s">
        <v>3575</v>
      </c>
      <c r="L178" s="1" t="s">
        <v>3576</v>
      </c>
      <c r="M178" s="1"/>
      <c r="N178" s="1"/>
      <c r="O178" s="1"/>
      <c r="P178" s="1"/>
      <c r="Q178" s="1"/>
    </row>
    <row r="179" spans="1:17" ht="42.75">
      <c r="A179" s="10" t="s">
        <v>3309</v>
      </c>
      <c r="B179" s="10" t="s">
        <v>3577</v>
      </c>
      <c r="C179" s="10" t="s">
        <v>3342</v>
      </c>
      <c r="D179" s="17" t="s">
        <v>3578</v>
      </c>
      <c r="E179" s="10" t="str">
        <f>IFERROR(MATCH(B179,'02_ツリー'!$E$5:$E$679,0)+4,"")</f>
        <v/>
      </c>
      <c r="F179" s="10">
        <f>IFERROR(INDEX('03_ダッシュボード'!$F$11:$F$412,MATCH(B179,'03_ダッシュボード'!$A$11:$A$412,0)),0)</f>
        <v>0</v>
      </c>
      <c r="G179" s="10">
        <f>IFERROR(INDEX('03_ダッシュボード'!$G$11:$G$412,MATCH(B179,'03_ダッシュボード'!$A$11:$A$412,0)),0)</f>
        <v>0</v>
      </c>
      <c r="H179" s="10">
        <f t="shared" si="10"/>
        <v>0</v>
      </c>
      <c r="I179" s="14" t="str">
        <f t="shared" si="11"/>
        <v>未参照</v>
      </c>
      <c r="J179" s="1" t="s">
        <v>3445</v>
      </c>
      <c r="K179" s="1" t="s">
        <v>3579</v>
      </c>
      <c r="L179" s="1" t="s">
        <v>3580</v>
      </c>
      <c r="M179" s="1"/>
      <c r="N179" s="1"/>
      <c r="O179" s="1"/>
      <c r="P179" s="1"/>
      <c r="Q179" s="1"/>
    </row>
    <row r="180" spans="1:17">
      <c r="A180" s="10" t="s">
        <v>3315</v>
      </c>
      <c r="B180" s="10" t="s">
        <v>365</v>
      </c>
      <c r="C180" s="10" t="s">
        <v>3342</v>
      </c>
      <c r="D180" s="17" t="s">
        <v>3581</v>
      </c>
      <c r="E180" s="10">
        <f>IFERROR(MATCH(B180,'02_ツリー'!$E$5:$E$679,0)+4,"")</f>
        <v>148</v>
      </c>
      <c r="F180" s="10">
        <f>IFERROR(INDEX('03_ダッシュボード'!$F$11:$F$412,MATCH(B180,'03_ダッシュボード'!$A$11:$A$412,0)),0)</f>
        <v>0</v>
      </c>
      <c r="G180" s="10">
        <f>IFERROR(INDEX('03_ダッシュボード'!$G$11:$G$412,MATCH(B180,'03_ダッシュボード'!$A$11:$A$412,0)),0)</f>
        <v>0</v>
      </c>
      <c r="H180" s="10">
        <f t="shared" si="10"/>
        <v>0</v>
      </c>
      <c r="I180" s="14" t="str">
        <f t="shared" si="11"/>
        <v>参照済</v>
      </c>
      <c r="J180" s="1"/>
      <c r="K180" s="1"/>
      <c r="L180" s="1"/>
      <c r="M180" s="1"/>
      <c r="N180" s="1"/>
      <c r="O180" s="1"/>
      <c r="P180" s="1"/>
      <c r="Q180" s="1"/>
    </row>
    <row r="181" spans="1:17">
      <c r="A181" s="10" t="s">
        <v>3315</v>
      </c>
      <c r="B181" s="10" t="s">
        <v>361</v>
      </c>
      <c r="C181" s="10" t="s">
        <v>3342</v>
      </c>
      <c r="D181" s="17" t="s">
        <v>3582</v>
      </c>
      <c r="E181" s="10">
        <f>IFERROR(MATCH(B181,'02_ツリー'!$E$5:$E$679,0)+4,"")</f>
        <v>143</v>
      </c>
      <c r="F181" s="10">
        <f>IFERROR(INDEX('03_ダッシュボード'!$F$11:$F$412,MATCH(B181,'03_ダッシュボード'!$A$11:$A$412,0)),0)</f>
        <v>0</v>
      </c>
      <c r="G181" s="10">
        <f>IFERROR(INDEX('03_ダッシュボード'!$G$11:$G$412,MATCH(B181,'03_ダッシュボード'!$A$11:$A$412,0)),0)</f>
        <v>0</v>
      </c>
      <c r="H181" s="10">
        <f t="shared" si="10"/>
        <v>0</v>
      </c>
      <c r="I181" s="14" t="str">
        <f t="shared" si="11"/>
        <v>参照済</v>
      </c>
      <c r="J181" s="1"/>
      <c r="K181" s="1"/>
      <c r="L181" s="1"/>
      <c r="M181" s="1"/>
      <c r="N181" s="1"/>
      <c r="O181" s="1"/>
      <c r="P181" s="1"/>
      <c r="Q181" s="1"/>
    </row>
    <row r="182" spans="1:17">
      <c r="A182" s="10" t="s">
        <v>3315</v>
      </c>
      <c r="B182" s="10" t="s">
        <v>987</v>
      </c>
      <c r="C182" s="10" t="s">
        <v>3342</v>
      </c>
      <c r="D182" s="17" t="s">
        <v>3583</v>
      </c>
      <c r="E182" s="10" t="str">
        <f>IFERROR(MATCH(B182,'02_ツリー'!$E$5:$E$679,0)+4,"")</f>
        <v/>
      </c>
      <c r="F182" s="10">
        <f>IFERROR(INDEX('03_ダッシュボード'!$F$11:$F$412,MATCH(B182,'03_ダッシュボード'!$A$11:$A$412,0)),0)</f>
        <v>0</v>
      </c>
      <c r="G182" s="10">
        <f>IFERROR(INDEX('03_ダッシュボード'!$G$11:$G$412,MATCH(B182,'03_ダッシュボード'!$A$11:$A$412,0)),0)</f>
        <v>0</v>
      </c>
      <c r="H182" s="10">
        <f t="shared" si="10"/>
        <v>0</v>
      </c>
      <c r="I182" s="14" t="str">
        <f t="shared" si="11"/>
        <v>未参照</v>
      </c>
      <c r="J182" s="1"/>
      <c r="K182" s="1"/>
      <c r="L182" s="1"/>
      <c r="M182" s="1"/>
      <c r="N182" s="1"/>
      <c r="O182" s="1"/>
      <c r="P182" s="1"/>
      <c r="Q182" s="1"/>
    </row>
    <row r="183" spans="1:17">
      <c r="A183" s="10" t="s">
        <v>3315</v>
      </c>
      <c r="B183" s="10" t="s">
        <v>973</v>
      </c>
      <c r="C183" s="10" t="s">
        <v>3342</v>
      </c>
      <c r="D183" s="17" t="s">
        <v>3584</v>
      </c>
      <c r="E183" s="10">
        <f>IFERROR(MATCH(B183,'02_ツリー'!$E$5:$E$679,0)+4,"")</f>
        <v>480</v>
      </c>
      <c r="F183" s="10">
        <f>IFERROR(INDEX('03_ダッシュボード'!$F$11:$F$412,MATCH(B183,'03_ダッシュボード'!$A$11:$A$412,0)),0)</f>
        <v>0</v>
      </c>
      <c r="G183" s="10">
        <f>IFERROR(INDEX('03_ダッシュボード'!$G$11:$G$412,MATCH(B183,'03_ダッシュボード'!$A$11:$A$412,0)),0)</f>
        <v>1</v>
      </c>
      <c r="H183" s="10">
        <f t="shared" si="10"/>
        <v>-1</v>
      </c>
      <c r="I183" s="14" t="str">
        <f t="shared" si="11"/>
        <v>参照済</v>
      </c>
      <c r="J183" s="1"/>
      <c r="K183" s="1"/>
      <c r="L183" s="1"/>
      <c r="M183" s="1"/>
      <c r="N183" s="1"/>
      <c r="O183" s="1"/>
      <c r="P183" s="1"/>
      <c r="Q183" s="1"/>
    </row>
    <row r="184" spans="1:17" ht="28.5">
      <c r="A184" s="10" t="s">
        <v>3315</v>
      </c>
      <c r="B184" s="10" t="s">
        <v>3505</v>
      </c>
      <c r="C184" s="10" t="s">
        <v>3342</v>
      </c>
      <c r="D184" s="17" t="s">
        <v>3585</v>
      </c>
      <c r="E184" s="10" t="str">
        <f>IFERROR(MATCH(B184,'02_ツリー'!$E$5:$E$679,0)+4,"")</f>
        <v/>
      </c>
      <c r="F184" s="10">
        <f>IFERROR(INDEX('03_ダッシュボード'!$F$11:$F$412,MATCH(B184,'03_ダッシュボード'!$A$11:$A$412,0)),0)</f>
        <v>0</v>
      </c>
      <c r="G184" s="10">
        <f>IFERROR(INDEX('03_ダッシュボード'!$G$11:$G$412,MATCH(B184,'03_ダッシュボード'!$A$11:$A$412,0)),0)</f>
        <v>0</v>
      </c>
      <c r="H184" s="10">
        <f t="shared" si="10"/>
        <v>0</v>
      </c>
      <c r="I184" s="14" t="str">
        <f t="shared" si="11"/>
        <v>未参照</v>
      </c>
      <c r="J184" s="1" t="s">
        <v>3507</v>
      </c>
      <c r="K184" s="1" t="s">
        <v>3508</v>
      </c>
      <c r="L184" s="1" t="s">
        <v>3586</v>
      </c>
      <c r="M184" s="1"/>
      <c r="N184" s="1"/>
      <c r="O184" s="1"/>
      <c r="P184" s="1"/>
      <c r="Q184" s="1"/>
    </row>
    <row r="185" spans="1:17">
      <c r="A185" s="10" t="s">
        <v>3321</v>
      </c>
      <c r="B185" s="10" t="s">
        <v>1272</v>
      </c>
      <c r="C185" s="10" t="s">
        <v>3342</v>
      </c>
      <c r="D185" s="17" t="s">
        <v>3587</v>
      </c>
      <c r="E185" s="10">
        <f>IFERROR(MATCH(B185,'02_ツリー'!$E$5:$E$679,0)+4,"")</f>
        <v>585</v>
      </c>
      <c r="F185" s="10">
        <f>IFERROR(INDEX('03_ダッシュボード'!$F$11:$F$412,MATCH(B185,'03_ダッシュボード'!$A$11:$A$412,0)),0)</f>
        <v>0</v>
      </c>
      <c r="G185" s="10">
        <f>IFERROR(INDEX('03_ダッシュボード'!$G$11:$G$412,MATCH(B185,'03_ダッシュボード'!$A$11:$A$412,0)),0)</f>
        <v>0</v>
      </c>
      <c r="H185" s="10">
        <f t="shared" si="10"/>
        <v>0</v>
      </c>
      <c r="I185" s="14" t="str">
        <f t="shared" si="11"/>
        <v>参照済</v>
      </c>
      <c r="J185" s="1"/>
      <c r="K185" s="1"/>
      <c r="L185" s="1"/>
      <c r="M185" s="1"/>
      <c r="N185" s="1"/>
      <c r="O185" s="1"/>
      <c r="P185" s="1"/>
      <c r="Q185" s="1"/>
    </row>
    <row r="186" spans="1:17" ht="57">
      <c r="A186" s="10" t="s">
        <v>3321</v>
      </c>
      <c r="B186" s="10" t="s">
        <v>1276</v>
      </c>
      <c r="C186" s="10" t="s">
        <v>3342</v>
      </c>
      <c r="D186" s="17" t="s">
        <v>3588</v>
      </c>
      <c r="E186" s="10" t="str">
        <f>IFERROR(MATCH(B186,'02_ツリー'!$E$5:$E$679,0)+4,"")</f>
        <v/>
      </c>
      <c r="F186" s="10">
        <f>IFERROR(INDEX('03_ダッシュボード'!$F$11:$F$412,MATCH(B186,'03_ダッシュボード'!$A$11:$A$412,0)),0)</f>
        <v>0</v>
      </c>
      <c r="G186" s="10">
        <f>IFERROR(INDEX('03_ダッシュボード'!$G$11:$G$412,MATCH(B186,'03_ダッシュボード'!$A$11:$A$412,0)),0)</f>
        <v>0</v>
      </c>
      <c r="H186" s="10">
        <f t="shared" si="10"/>
        <v>0</v>
      </c>
      <c r="I186" s="14" t="str">
        <f t="shared" si="11"/>
        <v>未参照</v>
      </c>
      <c r="J186" s="1" t="s">
        <v>3415</v>
      </c>
      <c r="K186" s="1" t="s">
        <v>3589</v>
      </c>
      <c r="L186" s="1" t="s">
        <v>3590</v>
      </c>
      <c r="M186" s="1"/>
      <c r="N186" s="1"/>
      <c r="O186" s="1"/>
      <c r="P186" s="1"/>
      <c r="Q186" s="1"/>
    </row>
    <row r="187" spans="1:17">
      <c r="A187" s="10" t="s">
        <v>3321</v>
      </c>
      <c r="B187" s="10" t="s">
        <v>1279</v>
      </c>
      <c r="C187" s="10" t="s">
        <v>3342</v>
      </c>
      <c r="D187" s="17" t="s">
        <v>3591</v>
      </c>
      <c r="E187" s="10">
        <f>IFERROR(MATCH(B187,'02_ツリー'!$E$5:$E$679,0)+4,"")</f>
        <v>589</v>
      </c>
      <c r="F187" s="10">
        <f>IFERROR(INDEX('03_ダッシュボード'!$F$11:$F$412,MATCH(B187,'03_ダッシュボード'!$A$11:$A$412,0)),0)</f>
        <v>0</v>
      </c>
      <c r="G187" s="10">
        <f>IFERROR(INDEX('03_ダッシュボード'!$G$11:$G$412,MATCH(B187,'03_ダッシュボード'!$A$11:$A$412,0)),0)</f>
        <v>0</v>
      </c>
      <c r="H187" s="10">
        <f t="shared" si="10"/>
        <v>0</v>
      </c>
      <c r="I187" s="14" t="str">
        <f t="shared" si="11"/>
        <v>参照済</v>
      </c>
      <c r="J187" s="1"/>
      <c r="K187" s="1"/>
      <c r="L187" s="1"/>
      <c r="M187" s="1"/>
      <c r="N187" s="1"/>
      <c r="O187" s="1"/>
      <c r="P187" s="1"/>
      <c r="Q187" s="1"/>
    </row>
    <row r="188" spans="1:17">
      <c r="A188" s="10" t="s">
        <v>3321</v>
      </c>
      <c r="B188" s="10" t="s">
        <v>1282</v>
      </c>
      <c r="C188" s="10" t="s">
        <v>3342</v>
      </c>
      <c r="D188" s="17" t="s">
        <v>3592</v>
      </c>
      <c r="E188" s="10">
        <f>IFERROR(MATCH(B188,'02_ツリー'!$E$5:$E$679,0)+4,"")</f>
        <v>591</v>
      </c>
      <c r="F188" s="10">
        <f>IFERROR(INDEX('03_ダッシュボード'!$F$11:$F$412,MATCH(B188,'03_ダッシュボード'!$A$11:$A$412,0)),0)</f>
        <v>0</v>
      </c>
      <c r="G188" s="10">
        <f>IFERROR(INDEX('03_ダッシュボード'!$G$11:$G$412,MATCH(B188,'03_ダッシュボード'!$A$11:$A$412,0)),0)</f>
        <v>0</v>
      </c>
      <c r="H188" s="10">
        <f t="shared" si="10"/>
        <v>0</v>
      </c>
      <c r="I188" s="14" t="str">
        <f t="shared" si="11"/>
        <v>参照済</v>
      </c>
      <c r="J188" s="1"/>
      <c r="K188" s="1"/>
      <c r="L188" s="1"/>
      <c r="M188" s="1"/>
      <c r="N188" s="1"/>
      <c r="O188" s="1"/>
      <c r="P188" s="1"/>
      <c r="Q188" s="1"/>
    </row>
    <row r="189" spans="1:17">
      <c r="A189" s="10" t="s">
        <v>3321</v>
      </c>
      <c r="B189" s="10" t="s">
        <v>1285</v>
      </c>
      <c r="C189" s="10" t="s">
        <v>3342</v>
      </c>
      <c r="D189" s="17" t="s">
        <v>3593</v>
      </c>
      <c r="E189" s="10">
        <f>IFERROR(MATCH(B189,'02_ツリー'!$E$5:$E$679,0)+4,"")</f>
        <v>593</v>
      </c>
      <c r="F189" s="10">
        <f>IFERROR(INDEX('03_ダッシュボード'!$F$11:$F$412,MATCH(B189,'03_ダッシュボード'!$A$11:$A$412,0)),0)</f>
        <v>0</v>
      </c>
      <c r="G189" s="10">
        <f>IFERROR(INDEX('03_ダッシュボード'!$G$11:$G$412,MATCH(B189,'03_ダッシュボード'!$A$11:$A$412,0)),0)</f>
        <v>0</v>
      </c>
      <c r="H189" s="10">
        <f t="shared" si="10"/>
        <v>0</v>
      </c>
      <c r="I189" s="14" t="str">
        <f t="shared" si="11"/>
        <v>参照済</v>
      </c>
      <c r="J189" s="1"/>
      <c r="K189" s="1"/>
      <c r="L189" s="1"/>
      <c r="M189" s="1"/>
      <c r="N189" s="1"/>
      <c r="O189" s="1"/>
      <c r="P189" s="1"/>
      <c r="Q189" s="1"/>
    </row>
    <row r="190" spans="1:17">
      <c r="A190" s="10" t="s">
        <v>3309</v>
      </c>
      <c r="B190" s="10" t="s">
        <v>1372</v>
      </c>
      <c r="C190" s="10" t="s">
        <v>3338</v>
      </c>
      <c r="D190" s="17" t="s">
        <v>3594</v>
      </c>
      <c r="E190" s="10">
        <f>IFERROR(MATCH(B190,'02_ツリー'!$E$5:$E$679,0)+4,"")</f>
        <v>649</v>
      </c>
      <c r="F190" s="10">
        <v>0</v>
      </c>
      <c r="G190" s="10">
        <v>0</v>
      </c>
      <c r="H190" s="10">
        <v>0</v>
      </c>
      <c r="I190" s="14" t="s">
        <v>3595</v>
      </c>
      <c r="J190" s="1"/>
      <c r="K190" s="1"/>
      <c r="L190" s="1"/>
      <c r="M190" s="1"/>
      <c r="N190" s="1"/>
      <c r="O190" s="1"/>
      <c r="P190" s="1"/>
      <c r="Q190" s="1"/>
    </row>
    <row r="191" spans="1:17">
      <c r="A191" s="10" t="s">
        <v>3309</v>
      </c>
      <c r="B191" s="10" t="s">
        <v>1384</v>
      </c>
      <c r="C191" s="10" t="s">
        <v>3342</v>
      </c>
      <c r="D191" s="17" t="s">
        <v>3596</v>
      </c>
      <c r="E191" s="10">
        <f>IFERROR(MATCH(B191,'02_ツリー'!$E$5:$E$679,0)+4,"")</f>
        <v>650</v>
      </c>
      <c r="F191" s="10">
        <v>1</v>
      </c>
      <c r="G191" s="10">
        <v>0</v>
      </c>
      <c r="H191" s="10">
        <v>0</v>
      </c>
      <c r="I191" s="14" t="s">
        <v>3595</v>
      </c>
      <c r="J191" s="1"/>
      <c r="K191" s="1"/>
      <c r="L191" s="1"/>
      <c r="M191" s="1"/>
      <c r="N191" s="1"/>
      <c r="O191" s="1"/>
      <c r="P191" s="1"/>
      <c r="Q191" s="1"/>
    </row>
    <row r="192" spans="1:17">
      <c r="A192" s="10" t="s">
        <v>3309</v>
      </c>
      <c r="B192" s="10" t="s">
        <v>1383</v>
      </c>
      <c r="C192" s="10" t="s">
        <v>3342</v>
      </c>
      <c r="D192" s="17" t="s">
        <v>3597</v>
      </c>
      <c r="E192" s="10">
        <f>IFERROR(MATCH(B192,'02_ツリー'!$E$5:$E$679,0)+4,"")</f>
        <v>651</v>
      </c>
      <c r="F192" s="10">
        <v>1</v>
      </c>
      <c r="G192" s="10">
        <v>0</v>
      </c>
      <c r="H192" s="10">
        <v>0</v>
      </c>
      <c r="I192" s="14" t="s">
        <v>3595</v>
      </c>
      <c r="J192" s="1"/>
      <c r="K192" s="1"/>
      <c r="L192" s="1"/>
      <c r="M192" s="1"/>
      <c r="N192" s="1"/>
      <c r="O192" s="1"/>
      <c r="P192" s="1"/>
      <c r="Q192" s="1"/>
    </row>
    <row r="193" spans="1:17">
      <c r="A193" s="10" t="s">
        <v>3309</v>
      </c>
      <c r="B193" s="10" t="s">
        <v>1388</v>
      </c>
      <c r="C193" s="10" t="s">
        <v>3342</v>
      </c>
      <c r="D193" s="17" t="s">
        <v>3598</v>
      </c>
      <c r="E193" s="10">
        <f>IFERROR(MATCH(B193,'02_ツリー'!$E$5:$E$679,0)+4,"")</f>
        <v>652</v>
      </c>
      <c r="F193" s="10">
        <v>1</v>
      </c>
      <c r="G193" s="10">
        <v>0</v>
      </c>
      <c r="H193" s="10">
        <v>0</v>
      </c>
      <c r="I193" s="14" t="s">
        <v>3595</v>
      </c>
      <c r="J193" s="1"/>
      <c r="K193" s="1"/>
      <c r="L193" s="1"/>
      <c r="M193" s="1"/>
      <c r="N193" s="1"/>
      <c r="O193" s="1"/>
      <c r="P193" s="1"/>
      <c r="Q193" s="1"/>
    </row>
    <row r="194" spans="1:17">
      <c r="A194" s="10" t="s">
        <v>3309</v>
      </c>
      <c r="B194" s="10" t="s">
        <v>1405</v>
      </c>
      <c r="C194" s="10" t="s">
        <v>3342</v>
      </c>
      <c r="D194" s="17" t="s">
        <v>3599</v>
      </c>
      <c r="E194" s="10">
        <f>IFERROR(MATCH(B194,'02_ツリー'!$E$5:$E$679,0)+4,"")</f>
        <v>653</v>
      </c>
      <c r="F194" s="10">
        <v>1</v>
      </c>
      <c r="G194" s="10">
        <v>0</v>
      </c>
      <c r="H194" s="10">
        <v>0</v>
      </c>
      <c r="I194" s="14" t="s">
        <v>3595</v>
      </c>
      <c r="J194" s="1"/>
      <c r="K194" s="1"/>
      <c r="L194" s="1"/>
      <c r="M194" s="1"/>
      <c r="N194" s="1"/>
      <c r="O194" s="1"/>
      <c r="P194" s="1"/>
      <c r="Q194" s="1"/>
    </row>
    <row r="195" spans="1:17">
      <c r="A195" s="10" t="s">
        <v>3309</v>
      </c>
      <c r="B195" s="10" t="s">
        <v>1404</v>
      </c>
      <c r="C195" s="10" t="s">
        <v>3342</v>
      </c>
      <c r="D195" s="17" t="s">
        <v>3600</v>
      </c>
      <c r="E195" s="10">
        <f>IFERROR(MATCH(B195,'02_ツリー'!$E$5:$E$679,0)+4,"")</f>
        <v>654</v>
      </c>
      <c r="F195" s="10">
        <v>1</v>
      </c>
      <c r="G195" s="10">
        <v>0</v>
      </c>
      <c r="H195" s="10">
        <v>0</v>
      </c>
      <c r="I195" s="14" t="s">
        <v>3595</v>
      </c>
      <c r="J195" s="1"/>
      <c r="K195" s="1"/>
      <c r="L195" s="1"/>
      <c r="M195" s="1"/>
      <c r="N195" s="1"/>
      <c r="O195" s="1"/>
      <c r="P195" s="1"/>
      <c r="Q195" s="1"/>
    </row>
    <row r="196" spans="1:17">
      <c r="A196" s="10" t="s">
        <v>3309</v>
      </c>
      <c r="B196" s="10" t="s">
        <v>1395</v>
      </c>
      <c r="C196" s="10" t="s">
        <v>3342</v>
      </c>
      <c r="D196" s="17" t="s">
        <v>3601</v>
      </c>
      <c r="E196" s="10">
        <f>IFERROR(MATCH(B196,'02_ツリー'!$E$5:$E$679,0)+4,"")</f>
        <v>655</v>
      </c>
      <c r="F196" s="10">
        <v>1</v>
      </c>
      <c r="G196" s="10">
        <v>0</v>
      </c>
      <c r="H196" s="10">
        <v>0</v>
      </c>
      <c r="I196" s="14" t="s">
        <v>3595</v>
      </c>
      <c r="J196" s="1"/>
      <c r="K196" s="1"/>
      <c r="L196" s="1"/>
      <c r="M196" s="1"/>
      <c r="N196" s="1"/>
      <c r="O196" s="1"/>
      <c r="P196" s="1"/>
      <c r="Q196" s="1"/>
    </row>
    <row r="197" spans="1:17">
      <c r="A197" s="10" t="s">
        <v>3309</v>
      </c>
      <c r="B197" s="10" t="s">
        <v>1400</v>
      </c>
      <c r="C197" s="10" t="s">
        <v>3342</v>
      </c>
      <c r="D197" s="17" t="s">
        <v>3602</v>
      </c>
      <c r="E197" s="10">
        <f>IFERROR(MATCH(B197,'02_ツリー'!$E$5:$E$679,0)+4,"")</f>
        <v>656</v>
      </c>
      <c r="F197" s="10">
        <v>1</v>
      </c>
      <c r="G197" s="10">
        <v>0</v>
      </c>
      <c r="H197" s="10">
        <v>0</v>
      </c>
      <c r="I197" s="14" t="s">
        <v>3595</v>
      </c>
      <c r="J197" s="1"/>
      <c r="K197" s="1"/>
      <c r="L197" s="1"/>
      <c r="M197" s="1"/>
      <c r="N197" s="1"/>
      <c r="O197" s="1"/>
      <c r="P197" s="1"/>
      <c r="Q197" s="1"/>
    </row>
    <row r="198" spans="1:17">
      <c r="A198" s="10" t="s">
        <v>3309</v>
      </c>
      <c r="B198" s="10" t="s">
        <v>1402</v>
      </c>
      <c r="C198" s="10" t="s">
        <v>3342</v>
      </c>
      <c r="D198" s="17" t="s">
        <v>3603</v>
      </c>
      <c r="E198" s="10">
        <f>IFERROR(MATCH(B198,'02_ツリー'!$E$5:$E$679,0)+4,"")</f>
        <v>657</v>
      </c>
      <c r="F198" s="10">
        <v>1</v>
      </c>
      <c r="G198" s="10">
        <v>0</v>
      </c>
      <c r="H198" s="10">
        <v>0</v>
      </c>
      <c r="I198" s="14" t="s">
        <v>3595</v>
      </c>
      <c r="J198" s="1"/>
      <c r="K198" s="1"/>
      <c r="L198" s="1"/>
      <c r="M198" s="1"/>
      <c r="N198" s="1"/>
      <c r="O198" s="1"/>
      <c r="P198" s="1"/>
      <c r="Q198" s="1"/>
    </row>
    <row r="199" spans="1:17">
      <c r="A199" s="10" t="s">
        <v>3309</v>
      </c>
      <c r="B199" s="10" t="s">
        <v>1418</v>
      </c>
      <c r="C199" s="10" t="s">
        <v>3342</v>
      </c>
      <c r="D199" s="17" t="s">
        <v>3604</v>
      </c>
      <c r="E199" s="10">
        <f>IFERROR(MATCH(B199,'02_ツリー'!$E$5:$E$679,0)+4,"")</f>
        <v>659</v>
      </c>
      <c r="F199" s="10">
        <v>1</v>
      </c>
      <c r="G199" s="10">
        <v>0</v>
      </c>
      <c r="H199" s="10">
        <v>0</v>
      </c>
      <c r="I199" s="14" t="s">
        <v>3595</v>
      </c>
      <c r="J199" s="1"/>
      <c r="K199" s="1"/>
      <c r="L199" s="1"/>
      <c r="M199" s="1"/>
      <c r="N199" s="1"/>
      <c r="O199" s="1"/>
      <c r="P199" s="1"/>
      <c r="Q199" s="1"/>
    </row>
    <row r="200" spans="1:17">
      <c r="A200" s="10" t="s">
        <v>3309</v>
      </c>
      <c r="B200" s="10" t="s">
        <v>1422</v>
      </c>
      <c r="C200" s="10" t="s">
        <v>3342</v>
      </c>
      <c r="D200" s="17" t="s">
        <v>3605</v>
      </c>
      <c r="E200" s="10">
        <f>IFERROR(MATCH(B200,'02_ツリー'!$E$5:$E$679,0)+4,"")</f>
        <v>660</v>
      </c>
      <c r="F200" s="10">
        <v>1</v>
      </c>
      <c r="G200" s="10">
        <v>0</v>
      </c>
      <c r="H200" s="10">
        <v>0</v>
      </c>
      <c r="I200" s="14" t="s">
        <v>3595</v>
      </c>
      <c r="J200" s="1"/>
      <c r="K200" s="1"/>
      <c r="L200" s="1"/>
      <c r="M200" s="1"/>
      <c r="N200" s="1"/>
      <c r="O200" s="1"/>
      <c r="P200" s="1"/>
      <c r="Q200" s="1"/>
    </row>
    <row r="201" spans="1:17">
      <c r="A201" s="10" t="s">
        <v>3309</v>
      </c>
      <c r="B201" s="10" t="s">
        <v>1413</v>
      </c>
      <c r="C201" s="10" t="s">
        <v>3342</v>
      </c>
      <c r="D201" s="17" t="s">
        <v>3606</v>
      </c>
      <c r="E201" s="10">
        <f>IFERROR(MATCH(B201,'02_ツリー'!$E$5:$E$679,0)+4,"")</f>
        <v>661</v>
      </c>
      <c r="F201" s="10">
        <v>1</v>
      </c>
      <c r="G201" s="10">
        <v>0</v>
      </c>
      <c r="H201" s="10">
        <v>0</v>
      </c>
      <c r="I201" s="14" t="s">
        <v>3595</v>
      </c>
      <c r="J201" s="1"/>
      <c r="K201" s="1"/>
      <c r="L201" s="1"/>
      <c r="M201" s="1"/>
      <c r="N201" s="1"/>
      <c r="O201" s="1"/>
      <c r="P201" s="1"/>
      <c r="Q201" s="1"/>
    </row>
    <row r="202" spans="1:17">
      <c r="A202" s="10" t="s">
        <v>3309</v>
      </c>
      <c r="B202" s="10" t="s">
        <v>1426</v>
      </c>
      <c r="C202" s="10" t="s">
        <v>3338</v>
      </c>
      <c r="D202" s="17" t="s">
        <v>3607</v>
      </c>
      <c r="E202" s="10" t="str">
        <f>IFERROR(MATCH(B202,'02_ツリー'!$E$5:$E$679,0)+4,"")</f>
        <v/>
      </c>
      <c r="F202" s="10">
        <v>0</v>
      </c>
      <c r="G202" s="10">
        <v>0</v>
      </c>
      <c r="H202" s="10">
        <v>0</v>
      </c>
      <c r="I202" s="14" t="s">
        <v>3595</v>
      </c>
      <c r="J202" s="1"/>
      <c r="K202" s="1"/>
      <c r="L202" s="1"/>
      <c r="M202" s="1"/>
      <c r="N202" s="1"/>
      <c r="O202" s="1"/>
      <c r="P202" s="1"/>
      <c r="Q202" s="1"/>
    </row>
    <row r="203" spans="1:17">
      <c r="A203" s="10" t="s">
        <v>3309</v>
      </c>
      <c r="B203" s="10" t="s">
        <v>1427</v>
      </c>
      <c r="C203" s="10" t="s">
        <v>3338</v>
      </c>
      <c r="D203" s="17" t="s">
        <v>3608</v>
      </c>
      <c r="E203" s="10" t="str">
        <f>IFERROR(MATCH(B203,'02_ツリー'!$E$5:$E$679,0)+4,"")</f>
        <v/>
      </c>
      <c r="F203" s="10">
        <v>0</v>
      </c>
      <c r="G203" s="10">
        <v>0</v>
      </c>
      <c r="H203" s="10">
        <v>0</v>
      </c>
      <c r="I203" s="14" t="s">
        <v>3595</v>
      </c>
      <c r="J203" s="1"/>
      <c r="K203" s="1"/>
      <c r="L203" s="1"/>
      <c r="M203" s="1"/>
      <c r="N203" s="1"/>
      <c r="O203" s="1"/>
      <c r="P203" s="1"/>
      <c r="Q203" s="1"/>
    </row>
    <row r="204" spans="1:17">
      <c r="A204" s="10" t="s">
        <v>3309</v>
      </c>
      <c r="B204" s="10" t="s">
        <v>1431</v>
      </c>
      <c r="C204" s="10" t="s">
        <v>3338</v>
      </c>
      <c r="D204" s="17" t="s">
        <v>3609</v>
      </c>
      <c r="E204" s="10" t="str">
        <f>IFERROR(MATCH(B204,'02_ツリー'!$E$5:$E$679,0)+4,"")</f>
        <v/>
      </c>
      <c r="F204" s="10">
        <v>0</v>
      </c>
      <c r="G204" s="10">
        <v>0</v>
      </c>
      <c r="H204" s="10">
        <v>0</v>
      </c>
      <c r="I204" s="14" t="s">
        <v>3595</v>
      </c>
      <c r="J204" s="1"/>
      <c r="K204" s="1"/>
      <c r="L204" s="1"/>
      <c r="M204" s="1"/>
      <c r="N204" s="1"/>
      <c r="O204" s="1"/>
      <c r="P204" s="1"/>
      <c r="Q204" s="1"/>
    </row>
    <row r="205" spans="1:17">
      <c r="A205" s="10" t="s">
        <v>3309</v>
      </c>
      <c r="B205" s="10" t="s">
        <v>1435</v>
      </c>
      <c r="C205" s="10" t="s">
        <v>3342</v>
      </c>
      <c r="D205" s="17" t="s">
        <v>3610</v>
      </c>
      <c r="E205" s="10">
        <f>IFERROR(MATCH(B205,'02_ツリー'!$E$5:$E$679,0)+4,"")</f>
        <v>666</v>
      </c>
      <c r="F205" s="10">
        <v>0</v>
      </c>
      <c r="G205" s="10">
        <v>0</v>
      </c>
      <c r="H205" s="10">
        <v>0</v>
      </c>
      <c r="I205" s="14" t="s">
        <v>3595</v>
      </c>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2:I205">
    <cfRule type="expression" dxfId="1" priority="1">
      <formula>MOD(ROW(),2)=0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00"/>
  <sheetViews>
    <sheetView workbookViewId="0"/>
  </sheetViews>
  <sheetFormatPr defaultRowHeight="14.25"/>
  <cols>
    <col min="1" max="1" width="10" customWidth="1"/>
    <col min="2" max="2" width="18" customWidth="1"/>
    <col min="3" max="3" width="54" customWidth="1"/>
    <col min="4" max="4" width="34" customWidth="1"/>
    <col min="5" max="5" width="10" customWidth="1"/>
    <col min="6" max="6" width="72" customWidth="1"/>
    <col min="7" max="7" width="68" customWidth="1"/>
  </cols>
  <sheetData>
    <row r="1" spans="1:17" ht="15">
      <c r="A1" s="16" t="s">
        <v>3611</v>
      </c>
      <c r="B1" s="16" t="s">
        <v>3612</v>
      </c>
      <c r="C1" s="16" t="s">
        <v>3613</v>
      </c>
      <c r="D1" s="16" t="s">
        <v>3614</v>
      </c>
      <c r="E1" s="16" t="s">
        <v>3615</v>
      </c>
      <c r="F1" s="16" t="s">
        <v>3616</v>
      </c>
      <c r="G1" s="16" t="s">
        <v>3617</v>
      </c>
      <c r="H1" s="1"/>
      <c r="I1" s="1"/>
      <c r="J1" s="1"/>
      <c r="K1" s="1"/>
      <c r="L1" s="1"/>
      <c r="M1" s="1"/>
      <c r="N1" s="1"/>
      <c r="O1" s="1"/>
      <c r="P1" s="1"/>
      <c r="Q1" s="1"/>
    </row>
    <row r="2" spans="1:17" ht="28.5">
      <c r="A2" s="10" t="s">
        <v>3618</v>
      </c>
      <c r="B2" s="10" t="s">
        <v>3619</v>
      </c>
      <c r="C2" s="10" t="s">
        <v>3620</v>
      </c>
      <c r="D2" s="10" t="s">
        <v>3621</v>
      </c>
      <c r="E2" s="10" t="s">
        <v>3622</v>
      </c>
      <c r="F2" s="14" t="s">
        <v>3623</v>
      </c>
      <c r="G2" s="14" t="s">
        <v>3624</v>
      </c>
      <c r="H2" s="1"/>
      <c r="I2" s="1"/>
      <c r="J2" s="1"/>
      <c r="K2" s="1"/>
      <c r="L2" s="1"/>
      <c r="M2" s="1"/>
      <c r="N2" s="1"/>
      <c r="O2" s="1"/>
      <c r="P2" s="1"/>
      <c r="Q2" s="1"/>
    </row>
    <row r="3" spans="1:17" ht="28.5">
      <c r="A3" s="10" t="s">
        <v>3625</v>
      </c>
      <c r="B3" s="10" t="s">
        <v>3626</v>
      </c>
      <c r="C3" s="10" t="s">
        <v>3627</v>
      </c>
      <c r="D3" s="10" t="s">
        <v>3628</v>
      </c>
      <c r="E3" s="10" t="s">
        <v>3629</v>
      </c>
      <c r="F3" s="14" t="s">
        <v>3630</v>
      </c>
      <c r="G3" s="14" t="s">
        <v>3631</v>
      </c>
      <c r="H3" s="1"/>
      <c r="I3" s="1"/>
      <c r="J3" s="1"/>
      <c r="K3" s="1"/>
      <c r="L3" s="1"/>
      <c r="M3" s="1"/>
      <c r="N3" s="1"/>
      <c r="O3" s="1"/>
      <c r="P3" s="1"/>
      <c r="Q3" s="1"/>
    </row>
    <row r="4" spans="1:17" ht="28.5">
      <c r="A4" s="10" t="s">
        <v>3632</v>
      </c>
      <c r="B4" s="10" t="s">
        <v>3633</v>
      </c>
      <c r="C4" s="10" t="s">
        <v>3634</v>
      </c>
      <c r="D4" s="10" t="s">
        <v>3635</v>
      </c>
      <c r="E4" s="10" t="s">
        <v>3636</v>
      </c>
      <c r="F4" s="14" t="s">
        <v>3637</v>
      </c>
      <c r="G4" s="14" t="s">
        <v>3638</v>
      </c>
      <c r="H4" s="1"/>
      <c r="I4" s="1"/>
      <c r="J4" s="1"/>
      <c r="K4" s="1"/>
      <c r="L4" s="1"/>
      <c r="M4" s="1"/>
      <c r="N4" s="1"/>
      <c r="O4" s="1"/>
      <c r="P4" s="1"/>
      <c r="Q4" s="1"/>
    </row>
    <row r="5" spans="1:17" ht="42.75">
      <c r="A5" s="10" t="s">
        <v>3639</v>
      </c>
      <c r="B5" s="10" t="s">
        <v>3633</v>
      </c>
      <c r="C5" s="10" t="s">
        <v>3640</v>
      </c>
      <c r="D5" s="10" t="s">
        <v>3641</v>
      </c>
      <c r="E5" s="10" t="s">
        <v>3642</v>
      </c>
      <c r="F5" s="14" t="s">
        <v>3643</v>
      </c>
      <c r="G5" s="14" t="s">
        <v>3644</v>
      </c>
      <c r="H5" s="1"/>
      <c r="I5" s="1"/>
      <c r="J5" s="1"/>
      <c r="K5" s="1"/>
      <c r="L5" s="1"/>
      <c r="M5" s="1"/>
      <c r="N5" s="1"/>
      <c r="O5" s="1"/>
      <c r="P5" s="1"/>
      <c r="Q5" s="1"/>
    </row>
    <row r="6" spans="1:17" ht="28.5">
      <c r="A6" s="10" t="s">
        <v>3645</v>
      </c>
      <c r="B6" s="10" t="s">
        <v>3633</v>
      </c>
      <c r="C6" s="10" t="s">
        <v>3646</v>
      </c>
      <c r="D6" s="10" t="s">
        <v>3635</v>
      </c>
      <c r="E6" s="10" t="s">
        <v>3642</v>
      </c>
      <c r="F6" s="14" t="s">
        <v>3647</v>
      </c>
      <c r="G6" s="14" t="s">
        <v>3648</v>
      </c>
      <c r="H6" s="1"/>
      <c r="I6" s="1"/>
      <c r="J6" s="1"/>
      <c r="K6" s="1"/>
      <c r="L6" s="1"/>
      <c r="M6" s="1"/>
      <c r="N6" s="1"/>
      <c r="O6" s="1"/>
      <c r="P6" s="1"/>
      <c r="Q6" s="1"/>
    </row>
    <row r="7" spans="1:17" ht="28.5">
      <c r="A7" s="10" t="s">
        <v>3206</v>
      </c>
      <c r="B7" s="10" t="s">
        <v>3201</v>
      </c>
      <c r="C7" s="10" t="s">
        <v>3649</v>
      </c>
      <c r="D7" s="10" t="s">
        <v>3650</v>
      </c>
      <c r="E7" s="10" t="s">
        <v>3651</v>
      </c>
      <c r="F7" s="14" t="s">
        <v>3652</v>
      </c>
      <c r="G7" s="14" t="s">
        <v>3653</v>
      </c>
      <c r="H7" s="1"/>
      <c r="I7" s="1"/>
      <c r="J7" s="1"/>
      <c r="K7" s="1"/>
      <c r="L7" s="1"/>
      <c r="M7" s="1"/>
      <c r="N7" s="1"/>
      <c r="O7" s="1"/>
      <c r="P7" s="1"/>
      <c r="Q7" s="1"/>
    </row>
    <row r="8" spans="1:17" ht="28.5">
      <c r="A8" s="10" t="s">
        <v>3211</v>
      </c>
      <c r="B8" s="10" t="s">
        <v>3207</v>
      </c>
      <c r="C8" s="10" t="s">
        <v>3654</v>
      </c>
      <c r="D8" s="10" t="s">
        <v>3655</v>
      </c>
      <c r="E8" s="10" t="s">
        <v>3642</v>
      </c>
      <c r="F8" s="14" t="s">
        <v>3656</v>
      </c>
      <c r="G8" s="14" t="s">
        <v>3657</v>
      </c>
      <c r="H8" s="1"/>
      <c r="I8" s="1"/>
      <c r="J8" s="1"/>
      <c r="K8" s="1"/>
      <c r="L8" s="1"/>
      <c r="M8" s="1"/>
      <c r="N8" s="1"/>
      <c r="O8" s="1"/>
      <c r="P8" s="1"/>
      <c r="Q8" s="1"/>
    </row>
    <row r="9" spans="1:17" ht="28.5">
      <c r="A9" s="10" t="s">
        <v>3658</v>
      </c>
      <c r="B9" s="10" t="s">
        <v>3212</v>
      </c>
      <c r="C9" s="10" t="s">
        <v>3659</v>
      </c>
      <c r="D9" s="10" t="s">
        <v>3650</v>
      </c>
      <c r="E9" s="10" t="s">
        <v>3642</v>
      </c>
      <c r="F9" s="14" t="s">
        <v>3660</v>
      </c>
      <c r="G9" s="14" t="s">
        <v>3661</v>
      </c>
      <c r="H9" s="1"/>
      <c r="I9" s="1"/>
      <c r="J9" s="1"/>
      <c r="K9" s="1"/>
      <c r="L9" s="1"/>
      <c r="M9" s="1"/>
      <c r="N9" s="1"/>
      <c r="O9" s="1"/>
      <c r="P9" s="1"/>
      <c r="Q9" s="1"/>
    </row>
    <row r="10" spans="1:17" ht="28.5">
      <c r="A10" s="10" t="s">
        <v>3662</v>
      </c>
      <c r="B10" s="10" t="s">
        <v>3212</v>
      </c>
      <c r="C10" s="10" t="s">
        <v>3663</v>
      </c>
      <c r="D10" s="10" t="s">
        <v>3664</v>
      </c>
      <c r="E10" s="10" t="s">
        <v>3642</v>
      </c>
      <c r="F10" s="14" t="s">
        <v>3665</v>
      </c>
      <c r="G10" s="14" t="s">
        <v>3666</v>
      </c>
      <c r="H10" s="1"/>
      <c r="I10" s="1"/>
      <c r="J10" s="1"/>
      <c r="K10" s="1"/>
      <c r="L10" s="1"/>
      <c r="M10" s="1"/>
      <c r="N10" s="1"/>
      <c r="O10" s="1"/>
      <c r="P10" s="1"/>
      <c r="Q10" s="1"/>
    </row>
    <row r="11" spans="1:17" ht="28.5">
      <c r="A11" s="10" t="s">
        <v>3667</v>
      </c>
      <c r="B11" s="10" t="s">
        <v>3668</v>
      </c>
      <c r="C11" s="10" t="s">
        <v>3669</v>
      </c>
      <c r="D11" s="10" t="s">
        <v>3664</v>
      </c>
      <c r="E11" s="10" t="s">
        <v>3642</v>
      </c>
      <c r="F11" s="14" t="s">
        <v>3670</v>
      </c>
      <c r="G11" s="14" t="s">
        <v>3671</v>
      </c>
      <c r="H11" s="1"/>
      <c r="I11" s="1"/>
      <c r="J11" s="1"/>
      <c r="K11" s="1"/>
      <c r="L11" s="1"/>
      <c r="M11" s="1"/>
      <c r="N11" s="1"/>
      <c r="O11" s="1"/>
      <c r="P11" s="1"/>
      <c r="Q11" s="1"/>
    </row>
    <row r="12" spans="1:17" ht="42.75">
      <c r="A12" s="10" t="s">
        <v>3672</v>
      </c>
      <c r="B12" s="10" t="s">
        <v>3217</v>
      </c>
      <c r="C12" s="10" t="s">
        <v>3673</v>
      </c>
      <c r="D12" s="10" t="s">
        <v>3655</v>
      </c>
      <c r="E12" s="10" t="s">
        <v>3636</v>
      </c>
      <c r="F12" s="14" t="s">
        <v>3674</v>
      </c>
      <c r="G12" s="14" t="s">
        <v>3675</v>
      </c>
      <c r="H12" s="1"/>
      <c r="I12" s="1"/>
      <c r="J12" s="1"/>
      <c r="K12" s="1"/>
      <c r="L12" s="1"/>
      <c r="M12" s="1"/>
      <c r="N12" s="1"/>
      <c r="O12" s="1"/>
      <c r="P12" s="1"/>
      <c r="Q12" s="1"/>
    </row>
    <row r="13" spans="1:17" ht="28.5">
      <c r="A13" s="10" t="s">
        <v>3676</v>
      </c>
      <c r="B13" s="10" t="s">
        <v>3223</v>
      </c>
      <c r="C13" s="10" t="s">
        <v>3677</v>
      </c>
      <c r="D13" s="10" t="s">
        <v>3678</v>
      </c>
      <c r="E13" s="10" t="s">
        <v>3679</v>
      </c>
      <c r="F13" s="14" t="s">
        <v>3680</v>
      </c>
      <c r="G13" s="14" t="s">
        <v>3681</v>
      </c>
      <c r="H13" s="1"/>
      <c r="I13" s="1"/>
      <c r="J13" s="1"/>
      <c r="K13" s="1"/>
      <c r="L13" s="1"/>
      <c r="M13" s="1"/>
      <c r="N13" s="1"/>
      <c r="O13" s="1"/>
      <c r="P13" s="1"/>
      <c r="Q13" s="1"/>
    </row>
    <row r="14" spans="1:17" ht="28.5">
      <c r="A14" s="10" t="s">
        <v>3682</v>
      </c>
      <c r="B14" s="10" t="s">
        <v>3223</v>
      </c>
      <c r="C14" s="10" t="s">
        <v>3683</v>
      </c>
      <c r="D14" s="10" t="s">
        <v>3621</v>
      </c>
      <c r="E14" s="10" t="s">
        <v>3684</v>
      </c>
      <c r="F14" s="14" t="s">
        <v>3685</v>
      </c>
      <c r="G14" s="14" t="s">
        <v>3686</v>
      </c>
      <c r="H14" s="1"/>
      <c r="I14" s="1"/>
      <c r="J14" s="1"/>
      <c r="K14" s="1"/>
      <c r="L14" s="1"/>
      <c r="M14" s="1"/>
      <c r="N14" s="1"/>
      <c r="O14" s="1"/>
      <c r="P14" s="1"/>
      <c r="Q14" s="1"/>
    </row>
    <row r="15" spans="1:17" ht="42.75">
      <c r="A15" s="10" t="s">
        <v>3687</v>
      </c>
      <c r="B15" s="10" t="s">
        <v>3228</v>
      </c>
      <c r="C15" s="10" t="s">
        <v>3688</v>
      </c>
      <c r="D15" s="10" t="s">
        <v>3621</v>
      </c>
      <c r="E15" s="10" t="s">
        <v>3642</v>
      </c>
      <c r="F15" s="14" t="s">
        <v>3689</v>
      </c>
      <c r="G15" s="14" t="s">
        <v>3690</v>
      </c>
      <c r="H15" s="1"/>
      <c r="I15" s="1"/>
      <c r="J15" s="1"/>
      <c r="K15" s="1"/>
      <c r="L15" s="1"/>
      <c r="M15" s="1"/>
      <c r="N15" s="1"/>
      <c r="O15" s="1"/>
      <c r="P15" s="1"/>
      <c r="Q15" s="1"/>
    </row>
    <row r="16" spans="1:17" ht="28.5">
      <c r="A16" s="10" t="s">
        <v>3691</v>
      </c>
      <c r="B16" s="10" t="s">
        <v>3228</v>
      </c>
      <c r="C16" s="10" t="s">
        <v>3692</v>
      </c>
      <c r="D16" s="10" t="s">
        <v>3628</v>
      </c>
      <c r="E16" s="10" t="s">
        <v>3622</v>
      </c>
      <c r="F16" s="14" t="s">
        <v>3693</v>
      </c>
      <c r="G16" s="14" t="s">
        <v>3694</v>
      </c>
      <c r="H16" s="1"/>
      <c r="I16" s="1"/>
      <c r="J16" s="1"/>
      <c r="K16" s="1"/>
      <c r="L16" s="1"/>
      <c r="M16" s="1"/>
      <c r="N16" s="1"/>
      <c r="O16" s="1"/>
      <c r="P16" s="1"/>
      <c r="Q16" s="1"/>
    </row>
    <row r="17" spans="1:17" ht="42.75">
      <c r="A17" s="10" t="s">
        <v>3238</v>
      </c>
      <c r="B17" s="10" t="s">
        <v>3234</v>
      </c>
      <c r="C17" s="10" t="s">
        <v>3695</v>
      </c>
      <c r="D17" s="10" t="s">
        <v>3664</v>
      </c>
      <c r="E17" s="10" t="s">
        <v>3642</v>
      </c>
      <c r="F17" s="14" t="s">
        <v>3696</v>
      </c>
      <c r="G17" s="14" t="s">
        <v>3697</v>
      </c>
      <c r="H17" s="1"/>
      <c r="I17" s="1"/>
      <c r="J17" s="1"/>
      <c r="K17" s="1"/>
      <c r="L17" s="1"/>
      <c r="M17" s="1"/>
      <c r="N17" s="1"/>
      <c r="O17" s="1"/>
      <c r="P17" s="1"/>
      <c r="Q17" s="1"/>
    </row>
    <row r="18" spans="1:17" ht="42.75">
      <c r="A18" s="10" t="s">
        <v>3698</v>
      </c>
      <c r="B18" s="10" t="s">
        <v>3239</v>
      </c>
      <c r="C18" s="10" t="s">
        <v>3699</v>
      </c>
      <c r="D18" s="10" t="s">
        <v>3700</v>
      </c>
      <c r="E18" s="10" t="s">
        <v>3701</v>
      </c>
      <c r="F18" s="14" t="s">
        <v>3702</v>
      </c>
      <c r="G18" s="14" t="s">
        <v>3703</v>
      </c>
      <c r="H18" s="1"/>
      <c r="I18" s="1"/>
      <c r="J18" s="1"/>
      <c r="K18" s="1"/>
      <c r="L18" s="1"/>
      <c r="M18" s="1"/>
      <c r="N18" s="1"/>
      <c r="O18" s="1"/>
      <c r="P18" s="1"/>
      <c r="Q18" s="1"/>
    </row>
    <row r="19" spans="1:17">
      <c r="A19" s="10" t="s">
        <v>3704</v>
      </c>
      <c r="B19" s="10" t="s">
        <v>3239</v>
      </c>
      <c r="C19" s="10" t="s">
        <v>3705</v>
      </c>
      <c r="D19" s="10" t="s">
        <v>3621</v>
      </c>
      <c r="E19" s="10" t="s">
        <v>3636</v>
      </c>
      <c r="F19" s="14" t="s">
        <v>3706</v>
      </c>
      <c r="G19" s="14" t="s">
        <v>3707</v>
      </c>
      <c r="H19" s="1"/>
      <c r="I19" s="1"/>
      <c r="J19" s="1"/>
      <c r="K19" s="1"/>
      <c r="L19" s="1"/>
      <c r="M19" s="1"/>
      <c r="N19" s="1"/>
      <c r="O19" s="1"/>
      <c r="P19" s="1"/>
      <c r="Q19" s="1"/>
    </row>
    <row r="20" spans="1:17" ht="28.5">
      <c r="A20" s="10" t="s">
        <v>3250</v>
      </c>
      <c r="B20" s="10" t="s">
        <v>3708</v>
      </c>
      <c r="C20" s="10" t="s">
        <v>3709</v>
      </c>
      <c r="D20" s="10" t="s">
        <v>3621</v>
      </c>
      <c r="E20" s="10" t="s">
        <v>3684</v>
      </c>
      <c r="F20" s="14" t="s">
        <v>3710</v>
      </c>
      <c r="G20" s="14" t="s">
        <v>3711</v>
      </c>
      <c r="H20" s="1"/>
      <c r="I20" s="1"/>
      <c r="J20" s="1"/>
      <c r="K20" s="1"/>
      <c r="L20" s="1"/>
      <c r="M20" s="1"/>
      <c r="N20" s="1"/>
      <c r="O20" s="1"/>
      <c r="P20" s="1"/>
      <c r="Q20" s="1"/>
    </row>
    <row r="21" spans="1:17" ht="42.75">
      <c r="A21" s="10" t="s">
        <v>3256</v>
      </c>
      <c r="B21" s="10" t="s">
        <v>3251</v>
      </c>
      <c r="C21" s="10" t="s">
        <v>3712</v>
      </c>
      <c r="D21" s="10" t="s">
        <v>3621</v>
      </c>
      <c r="E21" s="10" t="s">
        <v>3629</v>
      </c>
      <c r="F21" s="14" t="s">
        <v>3713</v>
      </c>
      <c r="G21" s="14" t="s">
        <v>3714</v>
      </c>
      <c r="H21" s="1"/>
      <c r="I21" s="1"/>
      <c r="J21" s="1"/>
      <c r="K21" s="1"/>
      <c r="L21" s="1"/>
      <c r="M21" s="1"/>
      <c r="N21" s="1"/>
      <c r="O21" s="1"/>
      <c r="P21" s="1"/>
      <c r="Q21" s="1"/>
    </row>
    <row r="22" spans="1:17" ht="28.5">
      <c r="A22" s="10" t="s">
        <v>3262</v>
      </c>
      <c r="B22" s="10" t="s">
        <v>3257</v>
      </c>
      <c r="C22" s="10" t="s">
        <v>3715</v>
      </c>
      <c r="D22" s="10" t="s">
        <v>3650</v>
      </c>
      <c r="E22" s="10" t="s">
        <v>3679</v>
      </c>
      <c r="F22" s="14" t="s">
        <v>3716</v>
      </c>
      <c r="G22" s="14" t="s">
        <v>3717</v>
      </c>
      <c r="H22" s="1"/>
      <c r="I22" s="1"/>
      <c r="J22" s="1"/>
      <c r="K22" s="1"/>
      <c r="L22" s="1"/>
      <c r="M22" s="1"/>
      <c r="N22" s="1"/>
      <c r="O22" s="1"/>
      <c r="P22" s="1"/>
      <c r="Q22" s="1"/>
    </row>
    <row r="23" spans="1:17" ht="28.5">
      <c r="A23" s="10" t="s">
        <v>3268</v>
      </c>
      <c r="B23" s="10" t="s">
        <v>3718</v>
      </c>
      <c r="C23" s="10" t="s">
        <v>3719</v>
      </c>
      <c r="D23" s="10" t="s">
        <v>3720</v>
      </c>
      <c r="E23" s="10" t="s">
        <v>3622</v>
      </c>
      <c r="F23" s="14" t="s">
        <v>3721</v>
      </c>
      <c r="G23" s="14" t="s">
        <v>3722</v>
      </c>
      <c r="H23" s="1"/>
      <c r="I23" s="1"/>
      <c r="J23" s="1"/>
      <c r="K23" s="1"/>
      <c r="L23" s="1"/>
      <c r="M23" s="1"/>
      <c r="N23" s="1"/>
      <c r="O23" s="1"/>
      <c r="P23" s="1"/>
      <c r="Q23" s="1"/>
    </row>
    <row r="24" spans="1:17" ht="28.5">
      <c r="A24" s="10" t="s">
        <v>3723</v>
      </c>
      <c r="B24" s="10" t="s">
        <v>3269</v>
      </c>
      <c r="C24" s="10" t="s">
        <v>3724</v>
      </c>
      <c r="D24" s="10" t="s">
        <v>3621</v>
      </c>
      <c r="E24" s="10" t="s">
        <v>3629</v>
      </c>
      <c r="F24" s="14" t="s">
        <v>3725</v>
      </c>
      <c r="G24" s="14" t="s">
        <v>3726</v>
      </c>
      <c r="H24" s="1"/>
      <c r="I24" s="1"/>
      <c r="J24" s="1"/>
      <c r="K24" s="1"/>
      <c r="L24" s="1"/>
      <c r="M24" s="1"/>
      <c r="N24" s="1"/>
      <c r="O24" s="1"/>
      <c r="P24" s="1"/>
      <c r="Q24" s="1"/>
    </row>
    <row r="25" spans="1:17" ht="28.5">
      <c r="A25" s="10" t="s">
        <v>3727</v>
      </c>
      <c r="B25" s="10" t="s">
        <v>3275</v>
      </c>
      <c r="C25" s="10" t="s">
        <v>3728</v>
      </c>
      <c r="D25" s="10" t="s">
        <v>3621</v>
      </c>
      <c r="E25" s="10" t="s">
        <v>3629</v>
      </c>
      <c r="F25" s="14" t="s">
        <v>3729</v>
      </c>
      <c r="G25" s="14" t="s">
        <v>3730</v>
      </c>
      <c r="H25" s="1"/>
      <c r="I25" s="1"/>
      <c r="J25" s="1"/>
      <c r="K25" s="1"/>
      <c r="L25" s="1"/>
      <c r="M25" s="1"/>
      <c r="N25" s="1"/>
      <c r="O25" s="1"/>
      <c r="P25" s="1"/>
      <c r="Q25" s="1"/>
    </row>
    <row r="26" spans="1:17" ht="28.5">
      <c r="A26" s="10" t="s">
        <v>3731</v>
      </c>
      <c r="B26" s="10" t="s">
        <v>3275</v>
      </c>
      <c r="C26" s="10" t="s">
        <v>3732</v>
      </c>
      <c r="D26" s="10" t="s">
        <v>3733</v>
      </c>
      <c r="E26" s="10" t="s">
        <v>3734</v>
      </c>
      <c r="F26" s="14" t="s">
        <v>3735</v>
      </c>
      <c r="G26" s="14" t="s">
        <v>3736</v>
      </c>
      <c r="H26" s="1"/>
      <c r="I26" s="1"/>
      <c r="J26" s="1"/>
      <c r="K26" s="1"/>
      <c r="L26" s="1"/>
      <c r="M26" s="1"/>
      <c r="N26" s="1"/>
      <c r="O26" s="1"/>
      <c r="P26" s="1"/>
      <c r="Q26" s="1"/>
    </row>
    <row r="27" spans="1:17" ht="42.75">
      <c r="A27" s="10" t="s">
        <v>3737</v>
      </c>
      <c r="B27" s="10" t="s">
        <v>3281</v>
      </c>
      <c r="C27" s="10" t="s">
        <v>3738</v>
      </c>
      <c r="D27" s="10" t="s">
        <v>3739</v>
      </c>
      <c r="E27" s="10" t="s">
        <v>3651</v>
      </c>
      <c r="F27" s="14" t="s">
        <v>3740</v>
      </c>
      <c r="G27" s="14" t="s">
        <v>3741</v>
      </c>
      <c r="H27" s="1"/>
      <c r="I27" s="1"/>
      <c r="J27" s="1"/>
      <c r="K27" s="1"/>
      <c r="L27" s="1"/>
      <c r="M27" s="1"/>
      <c r="N27" s="1"/>
      <c r="O27" s="1"/>
      <c r="P27" s="1"/>
      <c r="Q27" s="1"/>
    </row>
    <row r="28" spans="1:17" ht="28.5">
      <c r="A28" s="10" t="s">
        <v>3742</v>
      </c>
      <c r="B28" s="10" t="s">
        <v>3281</v>
      </c>
      <c r="C28" s="10" t="s">
        <v>3743</v>
      </c>
      <c r="D28" s="10" t="s">
        <v>3621</v>
      </c>
      <c r="E28" s="10" t="s">
        <v>3651</v>
      </c>
      <c r="F28" s="14" t="s">
        <v>3744</v>
      </c>
      <c r="G28" s="14" t="s">
        <v>3745</v>
      </c>
      <c r="H28" s="1"/>
      <c r="I28" s="1"/>
      <c r="J28" s="1"/>
      <c r="K28" s="1"/>
      <c r="L28" s="1"/>
      <c r="M28" s="1"/>
      <c r="N28" s="1"/>
      <c r="O28" s="1"/>
      <c r="P28" s="1"/>
      <c r="Q28" s="1"/>
    </row>
    <row r="29" spans="1:17" ht="28.5">
      <c r="A29" s="10" t="s">
        <v>3746</v>
      </c>
      <c r="B29" s="10" t="s">
        <v>3287</v>
      </c>
      <c r="C29" s="10" t="s">
        <v>3747</v>
      </c>
      <c r="D29" s="10" t="s">
        <v>3628</v>
      </c>
      <c r="E29" s="10" t="s">
        <v>3629</v>
      </c>
      <c r="F29" s="14" t="s">
        <v>3748</v>
      </c>
      <c r="G29" s="14" t="s">
        <v>3749</v>
      </c>
      <c r="H29" s="1"/>
      <c r="I29" s="1"/>
      <c r="J29" s="1"/>
      <c r="K29" s="1"/>
      <c r="L29" s="1"/>
      <c r="M29" s="1"/>
      <c r="N29" s="1"/>
      <c r="O29" s="1"/>
      <c r="P29" s="1"/>
      <c r="Q29" s="1"/>
    </row>
    <row r="30" spans="1:17" ht="42.75">
      <c r="A30" s="10" t="s">
        <v>3750</v>
      </c>
      <c r="B30" s="10" t="s">
        <v>3293</v>
      </c>
      <c r="C30" s="10" t="s">
        <v>3751</v>
      </c>
      <c r="D30" s="10" t="s">
        <v>3621</v>
      </c>
      <c r="E30" s="10" t="s">
        <v>3651</v>
      </c>
      <c r="F30" s="14" t="s">
        <v>3752</v>
      </c>
      <c r="G30" s="14" t="s">
        <v>3753</v>
      </c>
      <c r="H30" s="1"/>
      <c r="I30" s="1"/>
      <c r="J30" s="1"/>
      <c r="K30" s="1"/>
      <c r="L30" s="1"/>
      <c r="M30" s="1"/>
      <c r="N30" s="1"/>
      <c r="O30" s="1"/>
      <c r="P30" s="1"/>
      <c r="Q30" s="1"/>
    </row>
    <row r="31" spans="1:17" ht="28.5">
      <c r="A31" s="10" t="s">
        <v>3303</v>
      </c>
      <c r="B31" s="10" t="s">
        <v>3298</v>
      </c>
      <c r="C31" s="10" t="s">
        <v>3754</v>
      </c>
      <c r="D31" s="10" t="s">
        <v>3755</v>
      </c>
      <c r="E31" s="10" t="s">
        <v>3679</v>
      </c>
      <c r="F31" s="14" t="s">
        <v>3756</v>
      </c>
      <c r="G31" s="14" t="s">
        <v>3757</v>
      </c>
      <c r="H31" s="1"/>
      <c r="I31" s="1"/>
      <c r="J31" s="1"/>
      <c r="K31" s="1"/>
      <c r="L31" s="1"/>
      <c r="M31" s="1"/>
      <c r="N31" s="1"/>
      <c r="O31" s="1"/>
      <c r="P31" s="1"/>
      <c r="Q31" s="1"/>
    </row>
    <row r="32" spans="1:17" ht="28.5">
      <c r="A32" s="10" t="s">
        <v>3758</v>
      </c>
      <c r="B32" s="10" t="s">
        <v>3304</v>
      </c>
      <c r="C32" s="10" t="s">
        <v>3759</v>
      </c>
      <c r="D32" s="10" t="s">
        <v>3650</v>
      </c>
      <c r="E32" s="10" t="s">
        <v>3642</v>
      </c>
      <c r="F32" s="14" t="s">
        <v>3760</v>
      </c>
      <c r="G32" s="14" t="s">
        <v>3761</v>
      </c>
      <c r="H32" s="1"/>
      <c r="I32" s="1"/>
      <c r="J32" s="1"/>
      <c r="K32" s="1"/>
      <c r="L32" s="1"/>
      <c r="M32" s="1"/>
      <c r="N32" s="1"/>
      <c r="O32" s="1"/>
      <c r="P32" s="1"/>
      <c r="Q32" s="1"/>
    </row>
    <row r="33" spans="1:17" ht="28.5">
      <c r="A33" s="10" t="s">
        <v>3320</v>
      </c>
      <c r="B33" s="10" t="s">
        <v>3315</v>
      </c>
      <c r="C33" s="10" t="s">
        <v>3762</v>
      </c>
      <c r="D33" s="10" t="s">
        <v>3650</v>
      </c>
      <c r="E33" s="10" t="s">
        <v>3679</v>
      </c>
      <c r="F33" s="14" t="s">
        <v>3763</v>
      </c>
      <c r="G33" s="14" t="s">
        <v>3764</v>
      </c>
      <c r="H33" s="1"/>
      <c r="I33" s="1"/>
      <c r="J33" s="1"/>
      <c r="K33" s="1"/>
      <c r="L33" s="1"/>
      <c r="M33" s="1"/>
      <c r="N33" s="1"/>
      <c r="O33" s="1"/>
      <c r="P33" s="1"/>
      <c r="Q33" s="1"/>
    </row>
    <row r="34" spans="1:17" ht="28.5">
      <c r="A34" s="10" t="s">
        <v>3765</v>
      </c>
      <c r="B34" s="10"/>
      <c r="C34" s="10" t="s">
        <v>3766</v>
      </c>
      <c r="D34" s="10" t="s">
        <v>3621</v>
      </c>
      <c r="E34" s="10" t="s">
        <v>3642</v>
      </c>
      <c r="F34" s="14" t="s">
        <v>3767</v>
      </c>
      <c r="G34" s="14" t="s">
        <v>3768</v>
      </c>
      <c r="H34" s="1"/>
      <c r="I34" s="1"/>
      <c r="J34" s="1"/>
      <c r="K34" s="1"/>
      <c r="L34" s="1"/>
      <c r="M34" s="1"/>
      <c r="N34" s="1"/>
      <c r="O34" s="1"/>
      <c r="P34" s="1"/>
      <c r="Q34" s="1"/>
    </row>
    <row r="35" spans="1:17" ht="42.75">
      <c r="A35" s="10" t="s">
        <v>3769</v>
      </c>
      <c r="B35" s="10"/>
      <c r="C35" s="10" t="s">
        <v>3770</v>
      </c>
      <c r="D35" s="10" t="s">
        <v>3771</v>
      </c>
      <c r="E35" s="10" t="s">
        <v>3679</v>
      </c>
      <c r="F35" s="14" t="s">
        <v>3772</v>
      </c>
      <c r="G35" s="14" t="s">
        <v>3773</v>
      </c>
      <c r="H35" s="1"/>
      <c r="I35" s="1"/>
      <c r="J35" s="1"/>
      <c r="K35" s="1"/>
      <c r="L35" s="1"/>
      <c r="M35" s="1"/>
      <c r="N35" s="1"/>
      <c r="O35" s="1"/>
      <c r="P35" s="1"/>
      <c r="Q35" s="1"/>
    </row>
    <row r="36" spans="1:17" ht="28.5">
      <c r="A36" s="10" t="s">
        <v>3774</v>
      </c>
      <c r="B36" s="10" t="s">
        <v>3309</v>
      </c>
      <c r="C36" s="10" t="s">
        <v>3775</v>
      </c>
      <c r="D36" s="10" t="s">
        <v>3776</v>
      </c>
      <c r="E36" s="10" t="s">
        <v>3684</v>
      </c>
      <c r="F36" s="14" t="s">
        <v>3777</v>
      </c>
      <c r="G36" s="14" t="s">
        <v>3778</v>
      </c>
      <c r="H36" s="1"/>
      <c r="I36" s="1"/>
      <c r="J36" s="1"/>
      <c r="K36" s="1"/>
      <c r="L36" s="1"/>
      <c r="M36" s="1"/>
      <c r="N36" s="1"/>
      <c r="O36" s="1"/>
      <c r="P36" s="1"/>
      <c r="Q36" s="1"/>
    </row>
    <row r="37" spans="1:17" ht="28.5">
      <c r="A37" s="10" t="s">
        <v>3779</v>
      </c>
      <c r="B37" s="10" t="s">
        <v>3309</v>
      </c>
      <c r="C37" s="10" t="s">
        <v>3780</v>
      </c>
      <c r="D37" s="10" t="s">
        <v>3781</v>
      </c>
      <c r="E37" s="10" t="s">
        <v>3684</v>
      </c>
      <c r="F37" s="14" t="s">
        <v>3782</v>
      </c>
      <c r="G37" s="14" t="s">
        <v>3783</v>
      </c>
      <c r="H37" s="1"/>
      <c r="I37" s="1"/>
      <c r="J37" s="1"/>
      <c r="K37" s="1"/>
      <c r="L37" s="1"/>
      <c r="M37" s="1"/>
      <c r="N37" s="1"/>
      <c r="O37" s="1"/>
      <c r="P37" s="1"/>
      <c r="Q37" s="1"/>
    </row>
    <row r="38" spans="1:17" ht="28.5">
      <c r="A38" s="10" t="s">
        <v>3784</v>
      </c>
      <c r="B38" s="10" t="s">
        <v>3309</v>
      </c>
      <c r="C38" s="10" t="s">
        <v>3785</v>
      </c>
      <c r="D38" s="10" t="s">
        <v>3786</v>
      </c>
      <c r="E38" s="10" t="s">
        <v>3684</v>
      </c>
      <c r="F38" s="14" t="s">
        <v>3787</v>
      </c>
      <c r="G38" s="14" t="s">
        <v>3788</v>
      </c>
      <c r="H38" s="1"/>
      <c r="I38" s="1"/>
      <c r="J38" s="1"/>
      <c r="K38" s="1"/>
      <c r="L38" s="1"/>
      <c r="M38" s="1"/>
      <c r="N38" s="1"/>
      <c r="O38" s="1"/>
      <c r="P38" s="1"/>
      <c r="Q38" s="1"/>
    </row>
    <row r="39" spans="1:17">
      <c r="A39" s="1"/>
      <c r="B39" s="1"/>
      <c r="C39" s="1"/>
      <c r="D39" s="1"/>
      <c r="E39" s="1"/>
      <c r="F39" s="1"/>
      <c r="G39" s="1"/>
      <c r="H39" s="1"/>
      <c r="I39" s="1"/>
      <c r="J39" s="1"/>
      <c r="K39" s="1"/>
      <c r="L39" s="1"/>
      <c r="M39" s="1"/>
      <c r="N39" s="1"/>
      <c r="O39" s="1"/>
      <c r="P39" s="1"/>
      <c r="Q39" s="1"/>
    </row>
    <row r="40" spans="1:17">
      <c r="A40" s="1"/>
      <c r="B40" s="1"/>
      <c r="C40" s="1"/>
      <c r="D40" s="1"/>
      <c r="E40" s="1"/>
      <c r="F40" s="1"/>
      <c r="G40" s="1"/>
      <c r="H40" s="1"/>
      <c r="I40" s="1"/>
      <c r="J40" s="1"/>
      <c r="K40" s="1"/>
      <c r="L40" s="1"/>
      <c r="M40" s="1"/>
      <c r="N40" s="1"/>
      <c r="O40" s="1"/>
      <c r="P40" s="1"/>
      <c r="Q40" s="1"/>
    </row>
    <row r="41" spans="1:17">
      <c r="A41" s="1"/>
      <c r="B41" s="1"/>
      <c r="C41" s="1"/>
      <c r="D41" s="1"/>
      <c r="E41" s="1"/>
      <c r="F41" s="1"/>
      <c r="G41" s="1"/>
      <c r="H41" s="1"/>
      <c r="I41" s="1"/>
      <c r="J41" s="1"/>
      <c r="K41" s="1"/>
      <c r="L41" s="1"/>
      <c r="M41" s="1"/>
      <c r="N41" s="1"/>
      <c r="O41" s="1"/>
      <c r="P41" s="1"/>
      <c r="Q41" s="1"/>
    </row>
    <row r="42" spans="1:17">
      <c r="A42" s="1"/>
      <c r="B42" s="1"/>
      <c r="C42" s="1"/>
      <c r="D42" s="1"/>
      <c r="E42" s="1"/>
      <c r="F42" s="1"/>
      <c r="G42" s="1"/>
      <c r="H42" s="1"/>
      <c r="I42" s="1"/>
      <c r="J42" s="1"/>
      <c r="K42" s="1"/>
      <c r="L42" s="1"/>
      <c r="M42" s="1"/>
      <c r="N42" s="1"/>
      <c r="O42" s="1"/>
      <c r="P42" s="1"/>
      <c r="Q42" s="1"/>
    </row>
    <row r="43" spans="1:17">
      <c r="A43" s="1"/>
      <c r="B43" s="1"/>
      <c r="C43" s="1"/>
      <c r="D43" s="1"/>
      <c r="E43" s="1"/>
      <c r="F43" s="1"/>
      <c r="G43" s="1"/>
      <c r="H43" s="1"/>
      <c r="I43" s="1"/>
      <c r="J43" s="1"/>
      <c r="K43" s="1"/>
      <c r="L43" s="1"/>
      <c r="M43" s="1"/>
      <c r="N43" s="1"/>
      <c r="O43" s="1"/>
      <c r="P43" s="1"/>
      <c r="Q43" s="1"/>
    </row>
    <row r="44" spans="1:17">
      <c r="A44" s="1"/>
      <c r="B44" s="1"/>
      <c r="C44" s="1"/>
      <c r="D44" s="1"/>
      <c r="E44" s="1"/>
      <c r="F44" s="1"/>
      <c r="G44" s="1"/>
      <c r="H44" s="1"/>
      <c r="I44" s="1"/>
      <c r="J44" s="1"/>
      <c r="K44" s="1"/>
      <c r="L44" s="1"/>
      <c r="M44" s="1"/>
      <c r="N44" s="1"/>
      <c r="O44" s="1"/>
      <c r="P44" s="1"/>
      <c r="Q44" s="1"/>
    </row>
    <row r="45" spans="1:17">
      <c r="A45" s="1"/>
      <c r="B45" s="1"/>
      <c r="C45" s="1"/>
      <c r="D45" s="1"/>
      <c r="E45" s="1"/>
      <c r="F45" s="1"/>
      <c r="G45" s="1"/>
      <c r="H45" s="1"/>
      <c r="I45" s="1"/>
      <c r="J45" s="1"/>
      <c r="K45" s="1"/>
      <c r="L45" s="1"/>
      <c r="M45" s="1"/>
      <c r="N45" s="1"/>
      <c r="O45" s="1"/>
      <c r="P45" s="1"/>
      <c r="Q45" s="1"/>
    </row>
    <row r="46" spans="1:17">
      <c r="A46" s="1"/>
      <c r="B46" s="1"/>
      <c r="C46" s="1"/>
      <c r="D46" s="1"/>
      <c r="E46" s="1"/>
      <c r="F46" s="1"/>
      <c r="G46" s="1"/>
      <c r="H46" s="1"/>
      <c r="I46" s="1"/>
      <c r="J46" s="1"/>
      <c r="K46" s="1"/>
      <c r="L46" s="1"/>
      <c r="M46" s="1"/>
      <c r="N46" s="1"/>
      <c r="O46" s="1"/>
      <c r="P46" s="1"/>
      <c r="Q46" s="1"/>
    </row>
    <row r="47" spans="1:17">
      <c r="A47" s="1"/>
      <c r="B47" s="1"/>
      <c r="C47" s="1"/>
      <c r="D47" s="1"/>
      <c r="E47" s="1"/>
      <c r="F47" s="1"/>
      <c r="G47" s="1"/>
      <c r="H47" s="1"/>
      <c r="I47" s="1"/>
      <c r="J47" s="1"/>
      <c r="K47" s="1"/>
      <c r="L47" s="1"/>
      <c r="M47" s="1"/>
      <c r="N47" s="1"/>
      <c r="O47" s="1"/>
      <c r="P47" s="1"/>
      <c r="Q47" s="1"/>
    </row>
    <row r="48" spans="1:17">
      <c r="A48" s="1"/>
      <c r="B48" s="1"/>
      <c r="C48" s="1"/>
      <c r="D48" s="1"/>
      <c r="E48" s="1"/>
      <c r="F48" s="1"/>
      <c r="G48" s="1"/>
      <c r="H48" s="1"/>
      <c r="I48" s="1"/>
      <c r="J48" s="1"/>
      <c r="K48" s="1"/>
      <c r="L48" s="1"/>
      <c r="M48" s="1"/>
      <c r="N48" s="1"/>
      <c r="O48" s="1"/>
      <c r="P48" s="1"/>
      <c r="Q48" s="1"/>
    </row>
    <row r="49" spans="1:17">
      <c r="A49" s="1"/>
      <c r="B49" s="1"/>
      <c r="C49" s="1"/>
      <c r="D49" s="1"/>
      <c r="E49" s="1"/>
      <c r="F49" s="1"/>
      <c r="G49" s="1"/>
      <c r="H49" s="1"/>
      <c r="I49" s="1"/>
      <c r="J49" s="1"/>
      <c r="K49" s="1"/>
      <c r="L49" s="1"/>
      <c r="M49" s="1"/>
      <c r="N49" s="1"/>
      <c r="O49" s="1"/>
      <c r="P49" s="1"/>
      <c r="Q49" s="1"/>
    </row>
    <row r="50" spans="1:17">
      <c r="A50" s="1"/>
      <c r="B50" s="1"/>
      <c r="C50" s="1"/>
      <c r="D50" s="1"/>
      <c r="E50" s="1"/>
      <c r="F50" s="1"/>
      <c r="G50" s="1"/>
      <c r="H50" s="1"/>
      <c r="I50" s="1"/>
      <c r="J50" s="1"/>
      <c r="K50" s="1"/>
      <c r="L50" s="1"/>
      <c r="M50" s="1"/>
      <c r="N50" s="1"/>
      <c r="O50" s="1"/>
      <c r="P50" s="1"/>
      <c r="Q50" s="1"/>
    </row>
    <row r="51" spans="1:17">
      <c r="A51" s="1"/>
      <c r="B51" s="1"/>
      <c r="C51" s="1"/>
      <c r="D51" s="1"/>
      <c r="E51" s="1"/>
      <c r="F51" s="1"/>
      <c r="G51" s="1"/>
      <c r="H51" s="1"/>
      <c r="I51" s="1"/>
      <c r="J51" s="1"/>
      <c r="K51" s="1"/>
      <c r="L51" s="1"/>
      <c r="M51" s="1"/>
      <c r="N51" s="1"/>
      <c r="O51" s="1"/>
      <c r="P51" s="1"/>
      <c r="Q51" s="1"/>
    </row>
    <row r="52" spans="1:17">
      <c r="A52" s="1"/>
      <c r="B52" s="1"/>
      <c r="C52" s="1"/>
      <c r="D52" s="1"/>
      <c r="E52" s="1"/>
      <c r="F52" s="1"/>
      <c r="G52" s="1"/>
      <c r="H52" s="1"/>
      <c r="I52" s="1"/>
      <c r="J52" s="1"/>
      <c r="K52" s="1"/>
      <c r="L52" s="1"/>
      <c r="M52" s="1"/>
      <c r="N52" s="1"/>
      <c r="O52" s="1"/>
      <c r="P52" s="1"/>
      <c r="Q52" s="1"/>
    </row>
    <row r="53" spans="1:17">
      <c r="A53" s="1"/>
      <c r="B53" s="1"/>
      <c r="C53" s="1"/>
      <c r="D53" s="1"/>
      <c r="E53" s="1"/>
      <c r="F53" s="1"/>
      <c r="G53" s="1"/>
      <c r="H53" s="1"/>
      <c r="I53" s="1"/>
      <c r="J53" s="1"/>
      <c r="K53" s="1"/>
      <c r="L53" s="1"/>
      <c r="M53" s="1"/>
      <c r="N53" s="1"/>
      <c r="O53" s="1"/>
      <c r="P53" s="1"/>
      <c r="Q53" s="1"/>
    </row>
    <row r="54" spans="1:17">
      <c r="A54" s="1"/>
      <c r="B54" s="1"/>
      <c r="C54" s="1"/>
      <c r="D54" s="1"/>
      <c r="E54" s="1"/>
      <c r="F54" s="1"/>
      <c r="G54" s="1"/>
      <c r="H54" s="1"/>
      <c r="I54" s="1"/>
      <c r="J54" s="1"/>
      <c r="K54" s="1"/>
      <c r="L54" s="1"/>
      <c r="M54" s="1"/>
      <c r="N54" s="1"/>
      <c r="O54" s="1"/>
      <c r="P54" s="1"/>
      <c r="Q54" s="1"/>
    </row>
    <row r="55" spans="1:17">
      <c r="A55" s="1"/>
      <c r="B55" s="1"/>
      <c r="C55" s="1"/>
      <c r="D55" s="1"/>
      <c r="E55" s="1"/>
      <c r="F55" s="1"/>
      <c r="G55" s="1"/>
      <c r="H55" s="1"/>
      <c r="I55" s="1"/>
      <c r="J55" s="1"/>
      <c r="K55" s="1"/>
      <c r="L55" s="1"/>
      <c r="M55" s="1"/>
      <c r="N55" s="1"/>
      <c r="O55" s="1"/>
      <c r="P55" s="1"/>
      <c r="Q55" s="1"/>
    </row>
    <row r="56" spans="1:17">
      <c r="A56" s="1"/>
      <c r="B56" s="1"/>
      <c r="C56" s="1"/>
      <c r="D56" s="1"/>
      <c r="E56" s="1"/>
      <c r="F56" s="1"/>
      <c r="G56" s="1"/>
      <c r="H56" s="1"/>
      <c r="I56" s="1"/>
      <c r="J56" s="1"/>
      <c r="K56" s="1"/>
      <c r="L56" s="1"/>
      <c r="M56" s="1"/>
      <c r="N56" s="1"/>
      <c r="O56" s="1"/>
      <c r="P56" s="1"/>
      <c r="Q56" s="1"/>
    </row>
    <row r="57" spans="1:17">
      <c r="A57" s="1"/>
      <c r="B57" s="1"/>
      <c r="C57" s="1"/>
      <c r="D57" s="1"/>
      <c r="E57" s="1"/>
      <c r="F57" s="1"/>
      <c r="G57" s="1"/>
      <c r="H57" s="1"/>
      <c r="I57" s="1"/>
      <c r="J57" s="1"/>
      <c r="K57" s="1"/>
      <c r="L57" s="1"/>
      <c r="M57" s="1"/>
      <c r="N57" s="1"/>
      <c r="O57" s="1"/>
      <c r="P57" s="1"/>
      <c r="Q57" s="1"/>
    </row>
    <row r="58" spans="1:17">
      <c r="A58" s="1"/>
      <c r="B58" s="1"/>
      <c r="C58" s="1"/>
      <c r="D58" s="1"/>
      <c r="E58" s="1"/>
      <c r="F58" s="1"/>
      <c r="G58" s="1"/>
      <c r="H58" s="1"/>
      <c r="I58" s="1"/>
      <c r="J58" s="1"/>
      <c r="K58" s="1"/>
      <c r="L58" s="1"/>
      <c r="M58" s="1"/>
      <c r="N58" s="1"/>
      <c r="O58" s="1"/>
      <c r="P58" s="1"/>
      <c r="Q58" s="1"/>
    </row>
    <row r="59" spans="1:17">
      <c r="A59" s="1"/>
      <c r="B59" s="1"/>
      <c r="C59" s="1"/>
      <c r="D59" s="1"/>
      <c r="E59" s="1"/>
      <c r="F59" s="1"/>
      <c r="G59" s="1"/>
      <c r="H59" s="1"/>
      <c r="I59" s="1"/>
      <c r="J59" s="1"/>
      <c r="K59" s="1"/>
      <c r="L59" s="1"/>
      <c r="M59" s="1"/>
      <c r="N59" s="1"/>
      <c r="O59" s="1"/>
      <c r="P59" s="1"/>
      <c r="Q59" s="1"/>
    </row>
    <row r="60" spans="1:17">
      <c r="A60" s="1"/>
      <c r="B60" s="1"/>
      <c r="C60" s="1"/>
      <c r="D60" s="1"/>
      <c r="E60" s="1"/>
      <c r="F60" s="1"/>
      <c r="G60" s="1"/>
      <c r="H60" s="1"/>
      <c r="I60" s="1"/>
      <c r="J60" s="1"/>
      <c r="K60" s="1"/>
      <c r="L60" s="1"/>
      <c r="M60" s="1"/>
      <c r="N60" s="1"/>
      <c r="O60" s="1"/>
      <c r="P60" s="1"/>
      <c r="Q60" s="1"/>
    </row>
    <row r="61" spans="1:17">
      <c r="A61" s="1"/>
      <c r="B61" s="1"/>
      <c r="C61" s="1"/>
      <c r="D61" s="1"/>
      <c r="E61" s="1"/>
      <c r="F61" s="1"/>
      <c r="G61" s="1"/>
      <c r="H61" s="1"/>
      <c r="I61" s="1"/>
      <c r="J61" s="1"/>
      <c r="K61" s="1"/>
      <c r="L61" s="1"/>
      <c r="M61" s="1"/>
      <c r="N61" s="1"/>
      <c r="O61" s="1"/>
      <c r="P61" s="1"/>
      <c r="Q61" s="1"/>
    </row>
    <row r="62" spans="1:17">
      <c r="A62" s="1"/>
      <c r="B62" s="1"/>
      <c r="C62" s="1"/>
      <c r="D62" s="1"/>
      <c r="E62" s="1"/>
      <c r="F62" s="1"/>
      <c r="G62" s="1"/>
      <c r="H62" s="1"/>
      <c r="I62" s="1"/>
      <c r="J62" s="1"/>
      <c r="K62" s="1"/>
      <c r="L62" s="1"/>
      <c r="M62" s="1"/>
      <c r="N62" s="1"/>
      <c r="O62" s="1"/>
      <c r="P62" s="1"/>
      <c r="Q62" s="1"/>
    </row>
    <row r="63" spans="1:17">
      <c r="A63" s="1"/>
      <c r="B63" s="1"/>
      <c r="C63" s="1"/>
      <c r="D63" s="1"/>
      <c r="E63" s="1"/>
      <c r="F63" s="1"/>
      <c r="G63" s="1"/>
      <c r="H63" s="1"/>
      <c r="I63" s="1"/>
      <c r="J63" s="1"/>
      <c r="K63" s="1"/>
      <c r="L63" s="1"/>
      <c r="M63" s="1"/>
      <c r="N63" s="1"/>
      <c r="O63" s="1"/>
      <c r="P63" s="1"/>
      <c r="Q63" s="1"/>
    </row>
    <row r="64" spans="1:17">
      <c r="A64" s="1"/>
      <c r="B64" s="1"/>
      <c r="C64" s="1"/>
      <c r="D64" s="1"/>
      <c r="E64" s="1"/>
      <c r="F64" s="1"/>
      <c r="G64" s="1"/>
      <c r="H64" s="1"/>
      <c r="I64" s="1"/>
      <c r="J64" s="1"/>
      <c r="K64" s="1"/>
      <c r="L64" s="1"/>
      <c r="M64" s="1"/>
      <c r="N64" s="1"/>
      <c r="O64" s="1"/>
      <c r="P64" s="1"/>
      <c r="Q64" s="1"/>
    </row>
    <row r="65" spans="1:17">
      <c r="A65" s="1"/>
      <c r="B65" s="1"/>
      <c r="C65" s="1"/>
      <c r="D65" s="1"/>
      <c r="E65" s="1"/>
      <c r="F65" s="1"/>
      <c r="G65" s="1"/>
      <c r="H65" s="1"/>
      <c r="I65" s="1"/>
      <c r="J65" s="1"/>
      <c r="K65" s="1"/>
      <c r="L65" s="1"/>
      <c r="M65" s="1"/>
      <c r="N65" s="1"/>
      <c r="O65" s="1"/>
      <c r="P65" s="1"/>
      <c r="Q65" s="1"/>
    </row>
    <row r="66" spans="1:17">
      <c r="A66" s="1"/>
      <c r="B66" s="1"/>
      <c r="C66" s="1"/>
      <c r="D66" s="1"/>
      <c r="E66" s="1"/>
      <c r="F66" s="1"/>
      <c r="G66" s="1"/>
      <c r="H66" s="1"/>
      <c r="I66" s="1"/>
      <c r="J66" s="1"/>
      <c r="K66" s="1"/>
      <c r="L66" s="1"/>
      <c r="M66" s="1"/>
      <c r="N66" s="1"/>
      <c r="O66" s="1"/>
      <c r="P66" s="1"/>
      <c r="Q66" s="1"/>
    </row>
    <row r="67" spans="1:17">
      <c r="A67" s="1"/>
      <c r="B67" s="1"/>
      <c r="C67" s="1"/>
      <c r="D67" s="1"/>
      <c r="E67" s="1"/>
      <c r="F67" s="1"/>
      <c r="G67" s="1"/>
      <c r="H67" s="1"/>
      <c r="I67" s="1"/>
      <c r="J67" s="1"/>
      <c r="K67" s="1"/>
      <c r="L67" s="1"/>
      <c r="M67" s="1"/>
      <c r="N67" s="1"/>
      <c r="O67" s="1"/>
      <c r="P67" s="1"/>
      <c r="Q67" s="1"/>
    </row>
    <row r="68" spans="1:17">
      <c r="A68" s="1"/>
      <c r="B68" s="1"/>
      <c r="C68" s="1"/>
      <c r="D68" s="1"/>
      <c r="E68" s="1"/>
      <c r="F68" s="1"/>
      <c r="G68" s="1"/>
      <c r="H68" s="1"/>
      <c r="I68" s="1"/>
      <c r="J68" s="1"/>
      <c r="K68" s="1"/>
      <c r="L68" s="1"/>
      <c r="M68" s="1"/>
      <c r="N68" s="1"/>
      <c r="O68" s="1"/>
      <c r="P68" s="1"/>
      <c r="Q68" s="1"/>
    </row>
    <row r="69" spans="1:17">
      <c r="A69" s="1"/>
      <c r="B69" s="1"/>
      <c r="C69" s="1"/>
      <c r="D69" s="1"/>
      <c r="E69" s="1"/>
      <c r="F69" s="1"/>
      <c r="G69" s="1"/>
      <c r="H69" s="1"/>
      <c r="I69" s="1"/>
      <c r="J69" s="1"/>
      <c r="K69" s="1"/>
      <c r="L69" s="1"/>
      <c r="M69" s="1"/>
      <c r="N69" s="1"/>
      <c r="O69" s="1"/>
      <c r="P69" s="1"/>
      <c r="Q69" s="1"/>
    </row>
    <row r="70" spans="1:17">
      <c r="A70" s="1"/>
      <c r="B70" s="1"/>
      <c r="C70" s="1"/>
      <c r="D70" s="1"/>
      <c r="E70" s="1"/>
      <c r="F70" s="1"/>
      <c r="G70" s="1"/>
      <c r="H70" s="1"/>
      <c r="I70" s="1"/>
      <c r="J70" s="1"/>
      <c r="K70" s="1"/>
      <c r="L70" s="1"/>
      <c r="M70" s="1"/>
      <c r="N70" s="1"/>
      <c r="O70" s="1"/>
      <c r="P70" s="1"/>
      <c r="Q70" s="1"/>
    </row>
    <row r="71" spans="1:17">
      <c r="A71" s="1"/>
      <c r="B71" s="1"/>
      <c r="C71" s="1"/>
      <c r="D71" s="1"/>
      <c r="E71" s="1"/>
      <c r="F71" s="1"/>
      <c r="G71" s="1"/>
      <c r="H71" s="1"/>
      <c r="I71" s="1"/>
      <c r="J71" s="1"/>
      <c r="K71" s="1"/>
      <c r="L71" s="1"/>
      <c r="M71" s="1"/>
      <c r="N71" s="1"/>
      <c r="O71" s="1"/>
      <c r="P71" s="1"/>
      <c r="Q71" s="1"/>
    </row>
    <row r="72" spans="1:17">
      <c r="A72" s="1"/>
      <c r="B72" s="1"/>
      <c r="C72" s="1"/>
      <c r="D72" s="1"/>
      <c r="E72" s="1"/>
      <c r="F72" s="1"/>
      <c r="G72" s="1"/>
      <c r="H72" s="1"/>
      <c r="I72" s="1"/>
      <c r="J72" s="1"/>
      <c r="K72" s="1"/>
      <c r="L72" s="1"/>
      <c r="M72" s="1"/>
      <c r="N72" s="1"/>
      <c r="O72" s="1"/>
      <c r="P72" s="1"/>
      <c r="Q72" s="1"/>
    </row>
    <row r="73" spans="1:17">
      <c r="A73" s="1"/>
      <c r="B73" s="1"/>
      <c r="C73" s="1"/>
      <c r="D73" s="1"/>
      <c r="E73" s="1"/>
      <c r="F73" s="1"/>
      <c r="G73" s="1"/>
      <c r="H73" s="1"/>
      <c r="I73" s="1"/>
      <c r="J73" s="1"/>
      <c r="K73" s="1"/>
      <c r="L73" s="1"/>
      <c r="M73" s="1"/>
      <c r="N73" s="1"/>
      <c r="O73" s="1"/>
      <c r="P73" s="1"/>
      <c r="Q73" s="1"/>
    </row>
    <row r="74" spans="1:17">
      <c r="A74" s="1"/>
      <c r="B74" s="1"/>
      <c r="C74" s="1"/>
      <c r="D74" s="1"/>
      <c r="E74" s="1"/>
      <c r="F74" s="1"/>
      <c r="G74" s="1"/>
      <c r="H74" s="1"/>
      <c r="I74" s="1"/>
      <c r="J74" s="1"/>
      <c r="K74" s="1"/>
      <c r="L74" s="1"/>
      <c r="M74" s="1"/>
      <c r="N74" s="1"/>
      <c r="O74" s="1"/>
      <c r="P74" s="1"/>
      <c r="Q74" s="1"/>
    </row>
    <row r="75" spans="1:17">
      <c r="A75" s="1"/>
      <c r="B75" s="1"/>
      <c r="C75" s="1"/>
      <c r="D75" s="1"/>
      <c r="E75" s="1"/>
      <c r="F75" s="1"/>
      <c r="G75" s="1"/>
      <c r="H75" s="1"/>
      <c r="I75" s="1"/>
      <c r="J75" s="1"/>
      <c r="K75" s="1"/>
      <c r="L75" s="1"/>
      <c r="M75" s="1"/>
      <c r="N75" s="1"/>
      <c r="O75" s="1"/>
      <c r="P75" s="1"/>
      <c r="Q75" s="1"/>
    </row>
    <row r="76" spans="1:17">
      <c r="A76" s="1"/>
      <c r="B76" s="1"/>
      <c r="C76" s="1"/>
      <c r="D76" s="1"/>
      <c r="E76" s="1"/>
      <c r="F76" s="1"/>
      <c r="G76" s="1"/>
      <c r="H76" s="1"/>
      <c r="I76" s="1"/>
      <c r="J76" s="1"/>
      <c r="K76" s="1"/>
      <c r="L76" s="1"/>
      <c r="M76" s="1"/>
      <c r="N76" s="1"/>
      <c r="O76" s="1"/>
      <c r="P76" s="1"/>
      <c r="Q76" s="1"/>
    </row>
    <row r="77" spans="1:17">
      <c r="A77" s="1"/>
      <c r="B77" s="1"/>
      <c r="C77" s="1"/>
      <c r="D77" s="1"/>
      <c r="E77" s="1"/>
      <c r="F77" s="1"/>
      <c r="G77" s="1"/>
      <c r="H77" s="1"/>
      <c r="I77" s="1"/>
      <c r="J77" s="1"/>
      <c r="K77" s="1"/>
      <c r="L77" s="1"/>
      <c r="M77" s="1"/>
      <c r="N77" s="1"/>
      <c r="O77" s="1"/>
      <c r="P77" s="1"/>
      <c r="Q77" s="1"/>
    </row>
    <row r="78" spans="1:17">
      <c r="A78" s="1"/>
      <c r="B78" s="1"/>
      <c r="C78" s="1"/>
      <c r="D78" s="1"/>
      <c r="E78" s="1"/>
      <c r="F78" s="1"/>
      <c r="G78" s="1"/>
      <c r="H78" s="1"/>
      <c r="I78" s="1"/>
      <c r="J78" s="1"/>
      <c r="K78" s="1"/>
      <c r="L78" s="1"/>
      <c r="M78" s="1"/>
      <c r="N78" s="1"/>
      <c r="O78" s="1"/>
      <c r="P78" s="1"/>
      <c r="Q78" s="1"/>
    </row>
    <row r="79" spans="1:17">
      <c r="A79" s="1"/>
      <c r="B79" s="1"/>
      <c r="C79" s="1"/>
      <c r="D79" s="1"/>
      <c r="E79" s="1"/>
      <c r="F79" s="1"/>
      <c r="G79" s="1"/>
      <c r="H79" s="1"/>
      <c r="I79" s="1"/>
      <c r="J79" s="1"/>
      <c r="K79" s="1"/>
      <c r="L79" s="1"/>
      <c r="M79" s="1"/>
      <c r="N79" s="1"/>
      <c r="O79" s="1"/>
      <c r="P79" s="1"/>
      <c r="Q79" s="1"/>
    </row>
    <row r="80" spans="1:17">
      <c r="A80" s="1"/>
      <c r="B80" s="1"/>
      <c r="C80" s="1"/>
      <c r="D80" s="1"/>
      <c r="E80" s="1"/>
      <c r="F80" s="1"/>
      <c r="G80" s="1"/>
      <c r="H80" s="1"/>
      <c r="I80" s="1"/>
      <c r="J80" s="1"/>
      <c r="K80" s="1"/>
      <c r="L80" s="1"/>
      <c r="M80" s="1"/>
      <c r="N80" s="1"/>
      <c r="O80" s="1"/>
      <c r="P80" s="1"/>
      <c r="Q80" s="1"/>
    </row>
    <row r="81" spans="1:17">
      <c r="A81" s="1"/>
      <c r="B81" s="1"/>
      <c r="C81" s="1"/>
      <c r="D81" s="1"/>
      <c r="E81" s="1"/>
      <c r="F81" s="1"/>
      <c r="G81" s="1"/>
      <c r="H81" s="1"/>
      <c r="I81" s="1"/>
      <c r="J81" s="1"/>
      <c r="K81" s="1"/>
      <c r="L81" s="1"/>
      <c r="M81" s="1"/>
      <c r="N81" s="1"/>
      <c r="O81" s="1"/>
      <c r="P81" s="1"/>
      <c r="Q81" s="1"/>
    </row>
    <row r="82" spans="1:17">
      <c r="A82" s="1"/>
      <c r="B82" s="1"/>
      <c r="C82" s="1"/>
      <c r="D82" s="1"/>
      <c r="E82" s="1"/>
      <c r="F82" s="1"/>
      <c r="G82" s="1"/>
      <c r="H82" s="1"/>
      <c r="I82" s="1"/>
      <c r="J82" s="1"/>
      <c r="K82" s="1"/>
      <c r="L82" s="1"/>
      <c r="M82" s="1"/>
      <c r="N82" s="1"/>
      <c r="O82" s="1"/>
      <c r="P82" s="1"/>
      <c r="Q82" s="1"/>
    </row>
    <row r="83" spans="1:17">
      <c r="A83" s="1"/>
      <c r="B83" s="1"/>
      <c r="C83" s="1"/>
      <c r="D83" s="1"/>
      <c r="E83" s="1"/>
      <c r="F83" s="1"/>
      <c r="G83" s="1"/>
      <c r="H83" s="1"/>
      <c r="I83" s="1"/>
      <c r="J83" s="1"/>
      <c r="K83" s="1"/>
      <c r="L83" s="1"/>
      <c r="M83" s="1"/>
      <c r="N83" s="1"/>
      <c r="O83" s="1"/>
      <c r="P83" s="1"/>
      <c r="Q83" s="1"/>
    </row>
    <row r="84" spans="1:17">
      <c r="A84" s="1"/>
      <c r="B84" s="1"/>
      <c r="C84" s="1"/>
      <c r="D84" s="1"/>
      <c r="E84" s="1"/>
      <c r="F84" s="1"/>
      <c r="G84" s="1"/>
      <c r="H84" s="1"/>
      <c r="I84" s="1"/>
      <c r="J84" s="1"/>
      <c r="K84" s="1"/>
      <c r="L84" s="1"/>
      <c r="M84" s="1"/>
      <c r="N84" s="1"/>
      <c r="O84" s="1"/>
      <c r="P84" s="1"/>
      <c r="Q84" s="1"/>
    </row>
    <row r="85" spans="1:17">
      <c r="A85" s="1"/>
      <c r="B85" s="1"/>
      <c r="C85" s="1"/>
      <c r="D85" s="1"/>
      <c r="E85" s="1"/>
      <c r="F85" s="1"/>
      <c r="G85" s="1"/>
      <c r="H85" s="1"/>
      <c r="I85" s="1"/>
      <c r="J85" s="1"/>
      <c r="K85" s="1"/>
      <c r="L85" s="1"/>
      <c r="M85" s="1"/>
      <c r="N85" s="1"/>
      <c r="O85" s="1"/>
      <c r="P85" s="1"/>
      <c r="Q85" s="1"/>
    </row>
    <row r="86" spans="1:17">
      <c r="A86" s="1"/>
      <c r="B86" s="1"/>
      <c r="C86" s="1"/>
      <c r="D86" s="1"/>
      <c r="E86" s="1"/>
      <c r="F86" s="1"/>
      <c r="G86" s="1"/>
      <c r="H86" s="1"/>
      <c r="I86" s="1"/>
      <c r="J86" s="1"/>
      <c r="K86" s="1"/>
      <c r="L86" s="1"/>
      <c r="M86" s="1"/>
      <c r="N86" s="1"/>
      <c r="O86" s="1"/>
      <c r="P86" s="1"/>
      <c r="Q86" s="1"/>
    </row>
    <row r="87" spans="1:17">
      <c r="A87" s="1"/>
      <c r="B87" s="1"/>
      <c r="C87" s="1"/>
      <c r="D87" s="1"/>
      <c r="E87" s="1"/>
      <c r="F87" s="1"/>
      <c r="G87" s="1"/>
      <c r="H87" s="1"/>
      <c r="I87" s="1"/>
      <c r="J87" s="1"/>
      <c r="K87" s="1"/>
      <c r="L87" s="1"/>
      <c r="M87" s="1"/>
      <c r="N87" s="1"/>
      <c r="O87" s="1"/>
      <c r="P87" s="1"/>
      <c r="Q87" s="1"/>
    </row>
    <row r="88" spans="1:17">
      <c r="A88" s="1"/>
      <c r="B88" s="1"/>
      <c r="C88" s="1"/>
      <c r="D88" s="1"/>
      <c r="E88" s="1"/>
      <c r="F88" s="1"/>
      <c r="G88" s="1"/>
      <c r="H88" s="1"/>
      <c r="I88" s="1"/>
      <c r="J88" s="1"/>
      <c r="K88" s="1"/>
      <c r="L88" s="1"/>
      <c r="M88" s="1"/>
      <c r="N88" s="1"/>
      <c r="O88" s="1"/>
      <c r="P88" s="1"/>
      <c r="Q88" s="1"/>
    </row>
    <row r="89" spans="1:17">
      <c r="A89" s="1"/>
      <c r="B89" s="1"/>
      <c r="C89" s="1"/>
      <c r="D89" s="1"/>
      <c r="E89" s="1"/>
      <c r="F89" s="1"/>
      <c r="G89" s="1"/>
      <c r="H89" s="1"/>
      <c r="I89" s="1"/>
      <c r="J89" s="1"/>
      <c r="K89" s="1"/>
      <c r="L89" s="1"/>
      <c r="M89" s="1"/>
      <c r="N89" s="1"/>
      <c r="O89" s="1"/>
      <c r="P89" s="1"/>
      <c r="Q89" s="1"/>
    </row>
    <row r="90" spans="1:17">
      <c r="A90" s="1"/>
      <c r="B90" s="1"/>
      <c r="C90" s="1"/>
      <c r="D90" s="1"/>
      <c r="E90" s="1"/>
      <c r="F90" s="1"/>
      <c r="G90" s="1"/>
      <c r="H90" s="1"/>
      <c r="I90" s="1"/>
      <c r="J90" s="1"/>
      <c r="K90" s="1"/>
      <c r="L90" s="1"/>
      <c r="M90" s="1"/>
      <c r="N90" s="1"/>
      <c r="O90" s="1"/>
      <c r="P90" s="1"/>
      <c r="Q90" s="1"/>
    </row>
    <row r="91" spans="1:17">
      <c r="A91" s="1"/>
      <c r="B91" s="1"/>
      <c r="C91" s="1"/>
      <c r="D91" s="1"/>
      <c r="E91" s="1"/>
      <c r="F91" s="1"/>
      <c r="G91" s="1"/>
      <c r="H91" s="1"/>
      <c r="I91" s="1"/>
      <c r="J91" s="1"/>
      <c r="K91" s="1"/>
      <c r="L91" s="1"/>
      <c r="M91" s="1"/>
      <c r="N91" s="1"/>
      <c r="O91" s="1"/>
      <c r="P91" s="1"/>
      <c r="Q91" s="1"/>
    </row>
    <row r="92" spans="1:17">
      <c r="A92" s="1"/>
      <c r="B92" s="1"/>
      <c r="C92" s="1"/>
      <c r="D92" s="1"/>
      <c r="E92" s="1"/>
      <c r="F92" s="1"/>
      <c r="G92" s="1"/>
      <c r="H92" s="1"/>
      <c r="I92" s="1"/>
      <c r="J92" s="1"/>
      <c r="K92" s="1"/>
      <c r="L92" s="1"/>
      <c r="M92" s="1"/>
      <c r="N92" s="1"/>
      <c r="O92" s="1"/>
      <c r="P92" s="1"/>
      <c r="Q92" s="1"/>
    </row>
    <row r="93" spans="1:17">
      <c r="A93" s="1"/>
      <c r="B93" s="1"/>
      <c r="C93" s="1"/>
      <c r="D93" s="1"/>
      <c r="E93" s="1"/>
      <c r="F93" s="1"/>
      <c r="G93" s="1"/>
      <c r="H93" s="1"/>
      <c r="I93" s="1"/>
      <c r="J93" s="1"/>
      <c r="K93" s="1"/>
      <c r="L93" s="1"/>
      <c r="M93" s="1"/>
      <c r="N93" s="1"/>
      <c r="O93" s="1"/>
      <c r="P93" s="1"/>
      <c r="Q93" s="1"/>
    </row>
    <row r="94" spans="1:17">
      <c r="A94" s="1"/>
      <c r="B94" s="1"/>
      <c r="C94" s="1"/>
      <c r="D94" s="1"/>
      <c r="E94" s="1"/>
      <c r="F94" s="1"/>
      <c r="G94" s="1"/>
      <c r="H94" s="1"/>
      <c r="I94" s="1"/>
      <c r="J94" s="1"/>
      <c r="K94" s="1"/>
      <c r="L94" s="1"/>
      <c r="M94" s="1"/>
      <c r="N94" s="1"/>
      <c r="O94" s="1"/>
      <c r="P94" s="1"/>
      <c r="Q94" s="1"/>
    </row>
    <row r="95" spans="1:17">
      <c r="A95" s="1"/>
      <c r="B95" s="1"/>
      <c r="C95" s="1"/>
      <c r="D95" s="1"/>
      <c r="E95" s="1"/>
      <c r="F95" s="1"/>
      <c r="G95" s="1"/>
      <c r="H95" s="1"/>
      <c r="I95" s="1"/>
      <c r="J95" s="1"/>
      <c r="K95" s="1"/>
      <c r="L95" s="1"/>
      <c r="M95" s="1"/>
      <c r="N95" s="1"/>
      <c r="O95" s="1"/>
      <c r="P95" s="1"/>
      <c r="Q95" s="1"/>
    </row>
    <row r="96" spans="1:17">
      <c r="A96" s="1"/>
      <c r="B96" s="1"/>
      <c r="C96" s="1"/>
      <c r="D96" s="1"/>
      <c r="E96" s="1"/>
      <c r="F96" s="1"/>
      <c r="G96" s="1"/>
      <c r="H96" s="1"/>
      <c r="I96" s="1"/>
      <c r="J96" s="1"/>
      <c r="K96" s="1"/>
      <c r="L96" s="1"/>
      <c r="M96" s="1"/>
      <c r="N96" s="1"/>
      <c r="O96" s="1"/>
      <c r="P96" s="1"/>
      <c r="Q96" s="1"/>
    </row>
    <row r="97" spans="1:17">
      <c r="A97" s="1"/>
      <c r="B97" s="1"/>
      <c r="C97" s="1"/>
      <c r="D97" s="1"/>
      <c r="E97" s="1"/>
      <c r="F97" s="1"/>
      <c r="G97" s="1"/>
      <c r="H97" s="1"/>
      <c r="I97" s="1"/>
      <c r="J97" s="1"/>
      <c r="K97" s="1"/>
      <c r="L97" s="1"/>
      <c r="M97" s="1"/>
      <c r="N97" s="1"/>
      <c r="O97" s="1"/>
      <c r="P97" s="1"/>
      <c r="Q97" s="1"/>
    </row>
    <row r="98" spans="1:17">
      <c r="A98" s="1"/>
      <c r="B98" s="1"/>
      <c r="C98" s="1"/>
      <c r="D98" s="1"/>
      <c r="E98" s="1"/>
      <c r="F98" s="1"/>
      <c r="G98" s="1"/>
      <c r="H98" s="1"/>
      <c r="I98" s="1"/>
      <c r="J98" s="1"/>
      <c r="K98" s="1"/>
      <c r="L98" s="1"/>
      <c r="M98" s="1"/>
      <c r="N98" s="1"/>
      <c r="O98" s="1"/>
      <c r="P98" s="1"/>
      <c r="Q98" s="1"/>
    </row>
    <row r="99" spans="1:17">
      <c r="A99" s="1"/>
      <c r="B99" s="1"/>
      <c r="C99" s="1"/>
      <c r="D99" s="1"/>
      <c r="E99" s="1"/>
      <c r="F99" s="1"/>
      <c r="G99" s="1"/>
      <c r="H99" s="1"/>
      <c r="I99" s="1"/>
      <c r="J99" s="1"/>
      <c r="K99" s="1"/>
      <c r="L99" s="1"/>
      <c r="M99" s="1"/>
      <c r="N99" s="1"/>
      <c r="O99" s="1"/>
      <c r="P99" s="1"/>
      <c r="Q99" s="1"/>
    </row>
    <row r="100" spans="1:17">
      <c r="A100" s="1"/>
      <c r="B100" s="1"/>
      <c r="C100" s="1"/>
      <c r="D100" s="1"/>
      <c r="E100" s="1"/>
      <c r="F100" s="1"/>
      <c r="G100" s="1"/>
      <c r="H100" s="1"/>
      <c r="I100" s="1"/>
      <c r="J100" s="1"/>
      <c r="K100" s="1"/>
      <c r="L100" s="1"/>
      <c r="M100" s="1"/>
      <c r="N100" s="1"/>
      <c r="O100" s="1"/>
      <c r="P100" s="1"/>
      <c r="Q100" s="1"/>
    </row>
    <row r="101" spans="1:17">
      <c r="A101" s="1"/>
      <c r="B101" s="1"/>
      <c r="C101" s="1"/>
      <c r="D101" s="1"/>
      <c r="E101" s="1"/>
      <c r="F101" s="1"/>
      <c r="G101" s="1"/>
      <c r="H101" s="1"/>
      <c r="I101" s="1"/>
      <c r="J101" s="1"/>
      <c r="K101" s="1"/>
      <c r="L101" s="1"/>
      <c r="M101" s="1"/>
      <c r="N101" s="1"/>
      <c r="O101" s="1"/>
      <c r="P101" s="1"/>
      <c r="Q101" s="1"/>
    </row>
    <row r="102" spans="1:17">
      <c r="A102" s="1"/>
      <c r="B102" s="1"/>
      <c r="C102" s="1"/>
      <c r="D102" s="1"/>
      <c r="E102" s="1"/>
      <c r="F102" s="1"/>
      <c r="G102" s="1"/>
      <c r="H102" s="1"/>
      <c r="I102" s="1"/>
      <c r="J102" s="1"/>
      <c r="K102" s="1"/>
      <c r="L102" s="1"/>
      <c r="M102" s="1"/>
      <c r="N102" s="1"/>
      <c r="O102" s="1"/>
      <c r="P102" s="1"/>
      <c r="Q102" s="1"/>
    </row>
    <row r="103" spans="1:17">
      <c r="A103" s="1"/>
      <c r="B103" s="1"/>
      <c r="C103" s="1"/>
      <c r="D103" s="1"/>
      <c r="E103" s="1"/>
      <c r="F103" s="1"/>
      <c r="G103" s="1"/>
      <c r="H103" s="1"/>
      <c r="I103" s="1"/>
      <c r="J103" s="1"/>
      <c r="K103" s="1"/>
      <c r="L103" s="1"/>
      <c r="M103" s="1"/>
      <c r="N103" s="1"/>
      <c r="O103" s="1"/>
      <c r="P103" s="1"/>
      <c r="Q103" s="1"/>
    </row>
    <row r="104" spans="1:17">
      <c r="A104" s="1"/>
      <c r="B104" s="1"/>
      <c r="C104" s="1"/>
      <c r="D104" s="1"/>
      <c r="E104" s="1"/>
      <c r="F104" s="1"/>
      <c r="G104" s="1"/>
      <c r="H104" s="1"/>
      <c r="I104" s="1"/>
      <c r="J104" s="1"/>
      <c r="K104" s="1"/>
      <c r="L104" s="1"/>
      <c r="M104" s="1"/>
      <c r="N104" s="1"/>
      <c r="O104" s="1"/>
      <c r="P104" s="1"/>
      <c r="Q104" s="1"/>
    </row>
    <row r="105" spans="1:17">
      <c r="A105" s="1"/>
      <c r="B105" s="1"/>
      <c r="C105" s="1"/>
      <c r="D105" s="1"/>
      <c r="E105" s="1"/>
      <c r="F105" s="1"/>
      <c r="G105" s="1"/>
      <c r="H105" s="1"/>
      <c r="I105" s="1"/>
      <c r="J105" s="1"/>
      <c r="K105" s="1"/>
      <c r="L105" s="1"/>
      <c r="M105" s="1"/>
      <c r="N105" s="1"/>
      <c r="O105" s="1"/>
      <c r="P105" s="1"/>
      <c r="Q105" s="1"/>
    </row>
    <row r="106" spans="1:17">
      <c r="A106" s="1"/>
      <c r="B106" s="1"/>
      <c r="C106" s="1"/>
      <c r="D106" s="1"/>
      <c r="E106" s="1"/>
      <c r="F106" s="1"/>
      <c r="G106" s="1"/>
      <c r="H106" s="1"/>
      <c r="I106" s="1"/>
      <c r="J106" s="1"/>
      <c r="K106" s="1"/>
      <c r="L106" s="1"/>
      <c r="M106" s="1"/>
      <c r="N106" s="1"/>
      <c r="O106" s="1"/>
      <c r="P106" s="1"/>
      <c r="Q106" s="1"/>
    </row>
    <row r="107" spans="1:17">
      <c r="A107" s="1"/>
      <c r="B107" s="1"/>
      <c r="C107" s="1"/>
      <c r="D107" s="1"/>
      <c r="E107" s="1"/>
      <c r="F107" s="1"/>
      <c r="G107" s="1"/>
      <c r="H107" s="1"/>
      <c r="I107" s="1"/>
      <c r="J107" s="1"/>
      <c r="K107" s="1"/>
      <c r="L107" s="1"/>
      <c r="M107" s="1"/>
      <c r="N107" s="1"/>
      <c r="O107" s="1"/>
      <c r="P107" s="1"/>
      <c r="Q107" s="1"/>
    </row>
    <row r="108" spans="1:17">
      <c r="A108" s="1"/>
      <c r="B108" s="1"/>
      <c r="C108" s="1"/>
      <c r="D108" s="1"/>
      <c r="E108" s="1"/>
      <c r="F108" s="1"/>
      <c r="G108" s="1"/>
      <c r="H108" s="1"/>
      <c r="I108" s="1"/>
      <c r="J108" s="1"/>
      <c r="K108" s="1"/>
      <c r="L108" s="1"/>
      <c r="M108" s="1"/>
      <c r="N108" s="1"/>
      <c r="O108" s="1"/>
      <c r="P108" s="1"/>
      <c r="Q108" s="1"/>
    </row>
    <row r="109" spans="1:17">
      <c r="A109" s="1"/>
      <c r="B109" s="1"/>
      <c r="C109" s="1"/>
      <c r="D109" s="1"/>
      <c r="E109" s="1"/>
      <c r="F109" s="1"/>
      <c r="G109" s="1"/>
      <c r="H109" s="1"/>
      <c r="I109" s="1"/>
      <c r="J109" s="1"/>
      <c r="K109" s="1"/>
      <c r="L109" s="1"/>
      <c r="M109" s="1"/>
      <c r="N109" s="1"/>
      <c r="O109" s="1"/>
      <c r="P109" s="1"/>
      <c r="Q109" s="1"/>
    </row>
    <row r="110" spans="1:17">
      <c r="A110" s="1"/>
      <c r="B110" s="1"/>
      <c r="C110" s="1"/>
      <c r="D110" s="1"/>
      <c r="E110" s="1"/>
      <c r="F110" s="1"/>
      <c r="G110" s="1"/>
      <c r="H110" s="1"/>
      <c r="I110" s="1"/>
      <c r="J110" s="1"/>
      <c r="K110" s="1"/>
      <c r="L110" s="1"/>
      <c r="M110" s="1"/>
      <c r="N110" s="1"/>
      <c r="O110" s="1"/>
      <c r="P110" s="1"/>
      <c r="Q110" s="1"/>
    </row>
    <row r="111" spans="1:17">
      <c r="A111" s="1"/>
      <c r="B111" s="1"/>
      <c r="C111" s="1"/>
      <c r="D111" s="1"/>
      <c r="E111" s="1"/>
      <c r="F111" s="1"/>
      <c r="G111" s="1"/>
      <c r="H111" s="1"/>
      <c r="I111" s="1"/>
      <c r="J111" s="1"/>
      <c r="K111" s="1"/>
      <c r="L111" s="1"/>
      <c r="M111" s="1"/>
      <c r="N111" s="1"/>
      <c r="O111" s="1"/>
      <c r="P111" s="1"/>
      <c r="Q111" s="1"/>
    </row>
    <row r="112" spans="1:17">
      <c r="A112" s="1"/>
      <c r="B112" s="1"/>
      <c r="C112" s="1"/>
      <c r="D112" s="1"/>
      <c r="E112" s="1"/>
      <c r="F112" s="1"/>
      <c r="G112" s="1"/>
      <c r="H112" s="1"/>
      <c r="I112" s="1"/>
      <c r="J112" s="1"/>
      <c r="K112" s="1"/>
      <c r="L112" s="1"/>
      <c r="M112" s="1"/>
      <c r="N112" s="1"/>
      <c r="O112" s="1"/>
      <c r="P112" s="1"/>
      <c r="Q112" s="1"/>
    </row>
    <row r="113" spans="1:17">
      <c r="A113" s="1"/>
      <c r="B113" s="1"/>
      <c r="C113" s="1"/>
      <c r="D113" s="1"/>
      <c r="E113" s="1"/>
      <c r="F113" s="1"/>
      <c r="G113" s="1"/>
      <c r="H113" s="1"/>
      <c r="I113" s="1"/>
      <c r="J113" s="1"/>
      <c r="K113" s="1"/>
      <c r="L113" s="1"/>
      <c r="M113" s="1"/>
      <c r="N113" s="1"/>
      <c r="O113" s="1"/>
      <c r="P113" s="1"/>
      <c r="Q113" s="1"/>
    </row>
    <row r="114" spans="1:17">
      <c r="A114" s="1"/>
      <c r="B114" s="1"/>
      <c r="C114" s="1"/>
      <c r="D114" s="1"/>
      <c r="E114" s="1"/>
      <c r="F114" s="1"/>
      <c r="G114" s="1"/>
      <c r="H114" s="1"/>
      <c r="I114" s="1"/>
      <c r="J114" s="1"/>
      <c r="K114" s="1"/>
      <c r="L114" s="1"/>
      <c r="M114" s="1"/>
      <c r="N114" s="1"/>
      <c r="O114" s="1"/>
      <c r="P114" s="1"/>
      <c r="Q114" s="1"/>
    </row>
    <row r="115" spans="1:17">
      <c r="A115" s="1"/>
      <c r="B115" s="1"/>
      <c r="C115" s="1"/>
      <c r="D115" s="1"/>
      <c r="E115" s="1"/>
      <c r="F115" s="1"/>
      <c r="G115" s="1"/>
      <c r="H115" s="1"/>
      <c r="I115" s="1"/>
      <c r="J115" s="1"/>
      <c r="K115" s="1"/>
      <c r="L115" s="1"/>
      <c r="M115" s="1"/>
      <c r="N115" s="1"/>
      <c r="O115" s="1"/>
      <c r="P115" s="1"/>
      <c r="Q115" s="1"/>
    </row>
    <row r="116" spans="1:17">
      <c r="A116" s="1"/>
      <c r="B116" s="1"/>
      <c r="C116" s="1"/>
      <c r="D116" s="1"/>
      <c r="E116" s="1"/>
      <c r="F116" s="1"/>
      <c r="G116" s="1"/>
      <c r="H116" s="1"/>
      <c r="I116" s="1"/>
      <c r="J116" s="1"/>
      <c r="K116" s="1"/>
      <c r="L116" s="1"/>
      <c r="M116" s="1"/>
      <c r="N116" s="1"/>
      <c r="O116" s="1"/>
      <c r="P116" s="1"/>
      <c r="Q116" s="1"/>
    </row>
    <row r="117" spans="1:17">
      <c r="A117" s="1"/>
      <c r="B117" s="1"/>
      <c r="C117" s="1"/>
      <c r="D117" s="1"/>
      <c r="E117" s="1"/>
      <c r="F117" s="1"/>
      <c r="G117" s="1"/>
      <c r="H117" s="1"/>
      <c r="I117" s="1"/>
      <c r="J117" s="1"/>
      <c r="K117" s="1"/>
      <c r="L117" s="1"/>
      <c r="M117" s="1"/>
      <c r="N117" s="1"/>
      <c r="O117" s="1"/>
      <c r="P117" s="1"/>
      <c r="Q117" s="1"/>
    </row>
    <row r="118" spans="1:17">
      <c r="A118" s="1"/>
      <c r="B118" s="1"/>
      <c r="C118" s="1"/>
      <c r="D118" s="1"/>
      <c r="E118" s="1"/>
      <c r="F118" s="1"/>
      <c r="G118" s="1"/>
      <c r="H118" s="1"/>
      <c r="I118" s="1"/>
      <c r="J118" s="1"/>
      <c r="K118" s="1"/>
      <c r="L118" s="1"/>
      <c r="M118" s="1"/>
      <c r="N118" s="1"/>
      <c r="O118" s="1"/>
      <c r="P118" s="1"/>
      <c r="Q118" s="1"/>
    </row>
    <row r="119" spans="1:17">
      <c r="A119" s="1"/>
      <c r="B119" s="1"/>
      <c r="C119" s="1"/>
      <c r="D119" s="1"/>
      <c r="E119" s="1"/>
      <c r="F119" s="1"/>
      <c r="G119" s="1"/>
      <c r="H119" s="1"/>
      <c r="I119" s="1"/>
      <c r="J119" s="1"/>
      <c r="K119" s="1"/>
      <c r="L119" s="1"/>
      <c r="M119" s="1"/>
      <c r="N119" s="1"/>
      <c r="O119" s="1"/>
      <c r="P119" s="1"/>
      <c r="Q119" s="1"/>
    </row>
    <row r="120" spans="1:17">
      <c r="A120" s="1"/>
      <c r="B120" s="1"/>
      <c r="C120" s="1"/>
      <c r="D120" s="1"/>
      <c r="E120" s="1"/>
      <c r="F120" s="1"/>
      <c r="G120" s="1"/>
      <c r="H120" s="1"/>
      <c r="I120" s="1"/>
      <c r="J120" s="1"/>
      <c r="K120" s="1"/>
      <c r="L120" s="1"/>
      <c r="M120" s="1"/>
      <c r="N120" s="1"/>
      <c r="O120" s="1"/>
      <c r="P120" s="1"/>
      <c r="Q120" s="1"/>
    </row>
    <row r="121" spans="1:17">
      <c r="A121" s="1"/>
      <c r="B121" s="1"/>
      <c r="C121" s="1"/>
      <c r="D121" s="1"/>
      <c r="E121" s="1"/>
      <c r="F121" s="1"/>
      <c r="G121" s="1"/>
      <c r="H121" s="1"/>
      <c r="I121" s="1"/>
      <c r="J121" s="1"/>
      <c r="K121" s="1"/>
      <c r="L121" s="1"/>
      <c r="M121" s="1"/>
      <c r="N121" s="1"/>
      <c r="O121" s="1"/>
      <c r="P121" s="1"/>
      <c r="Q121" s="1"/>
    </row>
    <row r="122" spans="1:17">
      <c r="A122" s="1"/>
      <c r="B122" s="1"/>
      <c r="C122" s="1"/>
      <c r="D122" s="1"/>
      <c r="E122" s="1"/>
      <c r="F122" s="1"/>
      <c r="G122" s="1"/>
      <c r="H122" s="1"/>
      <c r="I122" s="1"/>
      <c r="J122" s="1"/>
      <c r="K122" s="1"/>
      <c r="L122" s="1"/>
      <c r="M122" s="1"/>
      <c r="N122" s="1"/>
      <c r="O122" s="1"/>
      <c r="P122" s="1"/>
      <c r="Q122" s="1"/>
    </row>
    <row r="123" spans="1:17">
      <c r="A123" s="1"/>
      <c r="B123" s="1"/>
      <c r="C123" s="1"/>
      <c r="D123" s="1"/>
      <c r="E123" s="1"/>
      <c r="F123" s="1"/>
      <c r="G123" s="1"/>
      <c r="H123" s="1"/>
      <c r="I123" s="1"/>
      <c r="J123" s="1"/>
      <c r="K123" s="1"/>
      <c r="L123" s="1"/>
      <c r="M123" s="1"/>
      <c r="N123" s="1"/>
      <c r="O123" s="1"/>
      <c r="P123" s="1"/>
      <c r="Q123" s="1"/>
    </row>
    <row r="124" spans="1:17">
      <c r="A124" s="1"/>
      <c r="B124" s="1"/>
      <c r="C124" s="1"/>
      <c r="D124" s="1"/>
      <c r="E124" s="1"/>
      <c r="F124" s="1"/>
      <c r="G124" s="1"/>
      <c r="H124" s="1"/>
      <c r="I124" s="1"/>
      <c r="J124" s="1"/>
      <c r="K124" s="1"/>
      <c r="L124" s="1"/>
      <c r="M124" s="1"/>
      <c r="N124" s="1"/>
      <c r="O124" s="1"/>
      <c r="P124" s="1"/>
      <c r="Q124" s="1"/>
    </row>
    <row r="125" spans="1:17">
      <c r="A125" s="1"/>
      <c r="B125" s="1"/>
      <c r="C125" s="1"/>
      <c r="D125" s="1"/>
      <c r="E125" s="1"/>
      <c r="F125" s="1"/>
      <c r="G125" s="1"/>
      <c r="H125" s="1"/>
      <c r="I125" s="1"/>
      <c r="J125" s="1"/>
      <c r="K125" s="1"/>
      <c r="L125" s="1"/>
      <c r="M125" s="1"/>
      <c r="N125" s="1"/>
      <c r="O125" s="1"/>
      <c r="P125" s="1"/>
      <c r="Q125" s="1"/>
    </row>
    <row r="126" spans="1:17">
      <c r="A126" s="1"/>
      <c r="B126" s="1"/>
      <c r="C126" s="1"/>
      <c r="D126" s="1"/>
      <c r="E126" s="1"/>
      <c r="F126" s="1"/>
      <c r="G126" s="1"/>
      <c r="H126" s="1"/>
      <c r="I126" s="1"/>
      <c r="J126" s="1"/>
      <c r="K126" s="1"/>
      <c r="L126" s="1"/>
      <c r="M126" s="1"/>
      <c r="N126" s="1"/>
      <c r="O126" s="1"/>
      <c r="P126" s="1"/>
      <c r="Q126" s="1"/>
    </row>
    <row r="127" spans="1:17">
      <c r="A127" s="1"/>
      <c r="B127" s="1"/>
      <c r="C127" s="1"/>
      <c r="D127" s="1"/>
      <c r="E127" s="1"/>
      <c r="F127" s="1"/>
      <c r="G127" s="1"/>
      <c r="H127" s="1"/>
      <c r="I127" s="1"/>
      <c r="J127" s="1"/>
      <c r="K127" s="1"/>
      <c r="L127" s="1"/>
      <c r="M127" s="1"/>
      <c r="N127" s="1"/>
      <c r="O127" s="1"/>
      <c r="P127" s="1"/>
      <c r="Q127" s="1"/>
    </row>
    <row r="128" spans="1:17">
      <c r="A128" s="1"/>
      <c r="B128" s="1"/>
      <c r="C128" s="1"/>
      <c r="D128" s="1"/>
      <c r="E128" s="1"/>
      <c r="F128" s="1"/>
      <c r="G128" s="1"/>
      <c r="H128" s="1"/>
      <c r="I128" s="1"/>
      <c r="J128" s="1"/>
      <c r="K128" s="1"/>
      <c r="L128" s="1"/>
      <c r="M128" s="1"/>
      <c r="N128" s="1"/>
      <c r="O128" s="1"/>
      <c r="P128" s="1"/>
      <c r="Q128" s="1"/>
    </row>
    <row r="129" spans="1:17">
      <c r="A129" s="1"/>
      <c r="B129" s="1"/>
      <c r="C129" s="1"/>
      <c r="D129" s="1"/>
      <c r="E129" s="1"/>
      <c r="F129" s="1"/>
      <c r="G129" s="1"/>
      <c r="H129" s="1"/>
      <c r="I129" s="1"/>
      <c r="J129" s="1"/>
      <c r="K129" s="1"/>
      <c r="L129" s="1"/>
      <c r="M129" s="1"/>
      <c r="N129" s="1"/>
      <c r="O129" s="1"/>
      <c r="P129" s="1"/>
      <c r="Q129" s="1"/>
    </row>
    <row r="130" spans="1:17">
      <c r="A130" s="1"/>
      <c r="B130" s="1"/>
      <c r="C130" s="1"/>
      <c r="D130" s="1"/>
      <c r="E130" s="1"/>
      <c r="F130" s="1"/>
      <c r="G130" s="1"/>
      <c r="H130" s="1"/>
      <c r="I130" s="1"/>
      <c r="J130" s="1"/>
      <c r="K130" s="1"/>
      <c r="L130" s="1"/>
      <c r="M130" s="1"/>
      <c r="N130" s="1"/>
      <c r="O130" s="1"/>
      <c r="P130" s="1"/>
      <c r="Q130" s="1"/>
    </row>
    <row r="131" spans="1:17">
      <c r="A131" s="1"/>
      <c r="B131" s="1"/>
      <c r="C131" s="1"/>
      <c r="D131" s="1"/>
      <c r="E131" s="1"/>
      <c r="F131" s="1"/>
      <c r="G131" s="1"/>
      <c r="H131" s="1"/>
      <c r="I131" s="1"/>
      <c r="J131" s="1"/>
      <c r="K131" s="1"/>
      <c r="L131" s="1"/>
      <c r="M131" s="1"/>
      <c r="N131" s="1"/>
      <c r="O131" s="1"/>
      <c r="P131" s="1"/>
      <c r="Q131" s="1"/>
    </row>
    <row r="132" spans="1:17">
      <c r="A132" s="1"/>
      <c r="B132" s="1"/>
      <c r="C132" s="1"/>
      <c r="D132" s="1"/>
      <c r="E132" s="1"/>
      <c r="F132" s="1"/>
      <c r="G132" s="1"/>
      <c r="H132" s="1"/>
      <c r="I132" s="1"/>
      <c r="J132" s="1"/>
      <c r="K132" s="1"/>
      <c r="L132" s="1"/>
      <c r="M132" s="1"/>
      <c r="N132" s="1"/>
      <c r="O132" s="1"/>
      <c r="P132" s="1"/>
      <c r="Q132" s="1"/>
    </row>
    <row r="133" spans="1:17">
      <c r="A133" s="1"/>
      <c r="B133" s="1"/>
      <c r="C133" s="1"/>
      <c r="D133" s="1"/>
      <c r="E133" s="1"/>
      <c r="F133" s="1"/>
      <c r="G133" s="1"/>
      <c r="H133" s="1"/>
      <c r="I133" s="1"/>
      <c r="J133" s="1"/>
      <c r="K133" s="1"/>
      <c r="L133" s="1"/>
      <c r="M133" s="1"/>
      <c r="N133" s="1"/>
      <c r="O133" s="1"/>
      <c r="P133" s="1"/>
      <c r="Q133" s="1"/>
    </row>
    <row r="134" spans="1:17">
      <c r="A134" s="1"/>
      <c r="B134" s="1"/>
      <c r="C134" s="1"/>
      <c r="D134" s="1"/>
      <c r="E134" s="1"/>
      <c r="F134" s="1"/>
      <c r="G134" s="1"/>
      <c r="H134" s="1"/>
      <c r="I134" s="1"/>
      <c r="J134" s="1"/>
      <c r="K134" s="1"/>
      <c r="L134" s="1"/>
      <c r="M134" s="1"/>
      <c r="N134" s="1"/>
      <c r="O134" s="1"/>
      <c r="P134" s="1"/>
      <c r="Q134" s="1"/>
    </row>
    <row r="135" spans="1:17">
      <c r="A135" s="1"/>
      <c r="B135" s="1"/>
      <c r="C135" s="1"/>
      <c r="D135" s="1"/>
      <c r="E135" s="1"/>
      <c r="F135" s="1"/>
      <c r="G135" s="1"/>
      <c r="H135" s="1"/>
      <c r="I135" s="1"/>
      <c r="J135" s="1"/>
      <c r="K135" s="1"/>
      <c r="L135" s="1"/>
      <c r="M135" s="1"/>
      <c r="N135" s="1"/>
      <c r="O135" s="1"/>
      <c r="P135" s="1"/>
      <c r="Q135" s="1"/>
    </row>
    <row r="136" spans="1:17">
      <c r="A136" s="1"/>
      <c r="B136" s="1"/>
      <c r="C136" s="1"/>
      <c r="D136" s="1"/>
      <c r="E136" s="1"/>
      <c r="F136" s="1"/>
      <c r="G136" s="1"/>
      <c r="H136" s="1"/>
      <c r="I136" s="1"/>
      <c r="J136" s="1"/>
      <c r="K136" s="1"/>
      <c r="L136" s="1"/>
      <c r="M136" s="1"/>
      <c r="N136" s="1"/>
      <c r="O136" s="1"/>
      <c r="P136" s="1"/>
      <c r="Q136" s="1"/>
    </row>
    <row r="137" spans="1:17">
      <c r="A137" s="1"/>
      <c r="B137" s="1"/>
      <c r="C137" s="1"/>
      <c r="D137" s="1"/>
      <c r="E137" s="1"/>
      <c r="F137" s="1"/>
      <c r="G137" s="1"/>
      <c r="H137" s="1"/>
      <c r="I137" s="1"/>
      <c r="J137" s="1"/>
      <c r="K137" s="1"/>
      <c r="L137" s="1"/>
      <c r="M137" s="1"/>
      <c r="N137" s="1"/>
      <c r="O137" s="1"/>
      <c r="P137" s="1"/>
      <c r="Q137" s="1"/>
    </row>
    <row r="138" spans="1:17">
      <c r="A138" s="1"/>
      <c r="B138" s="1"/>
      <c r="C138" s="1"/>
      <c r="D138" s="1"/>
      <c r="E138" s="1"/>
      <c r="F138" s="1"/>
      <c r="G138" s="1"/>
      <c r="H138" s="1"/>
      <c r="I138" s="1"/>
      <c r="J138" s="1"/>
      <c r="K138" s="1"/>
      <c r="L138" s="1"/>
      <c r="M138" s="1"/>
      <c r="N138" s="1"/>
      <c r="O138" s="1"/>
      <c r="P138" s="1"/>
      <c r="Q138" s="1"/>
    </row>
    <row r="139" spans="1:17">
      <c r="A139" s="1"/>
      <c r="B139" s="1"/>
      <c r="C139" s="1"/>
      <c r="D139" s="1"/>
      <c r="E139" s="1"/>
      <c r="F139" s="1"/>
      <c r="G139" s="1"/>
      <c r="H139" s="1"/>
      <c r="I139" s="1"/>
      <c r="J139" s="1"/>
      <c r="K139" s="1"/>
      <c r="L139" s="1"/>
      <c r="M139" s="1"/>
      <c r="N139" s="1"/>
      <c r="O139" s="1"/>
      <c r="P139" s="1"/>
      <c r="Q139" s="1"/>
    </row>
    <row r="140" spans="1:17">
      <c r="A140" s="1"/>
      <c r="B140" s="1"/>
      <c r="C140" s="1"/>
      <c r="D140" s="1"/>
      <c r="E140" s="1"/>
      <c r="F140" s="1"/>
      <c r="G140" s="1"/>
      <c r="H140" s="1"/>
      <c r="I140" s="1"/>
      <c r="J140" s="1"/>
      <c r="K140" s="1"/>
      <c r="L140" s="1"/>
      <c r="M140" s="1"/>
      <c r="N140" s="1"/>
      <c r="O140" s="1"/>
      <c r="P140" s="1"/>
      <c r="Q140" s="1"/>
    </row>
    <row r="141" spans="1:17">
      <c r="A141" s="1"/>
      <c r="B141" s="1"/>
      <c r="C141" s="1"/>
      <c r="D141" s="1"/>
      <c r="E141" s="1"/>
      <c r="F141" s="1"/>
      <c r="G141" s="1"/>
      <c r="H141" s="1"/>
      <c r="I141" s="1"/>
      <c r="J141" s="1"/>
      <c r="K141" s="1"/>
      <c r="L141" s="1"/>
      <c r="M141" s="1"/>
      <c r="N141" s="1"/>
      <c r="O141" s="1"/>
      <c r="P141" s="1"/>
      <c r="Q141" s="1"/>
    </row>
    <row r="142" spans="1:17">
      <c r="A142" s="1"/>
      <c r="B142" s="1"/>
      <c r="C142" s="1"/>
      <c r="D142" s="1"/>
      <c r="E142" s="1"/>
      <c r="F142" s="1"/>
      <c r="G142" s="1"/>
      <c r="H142" s="1"/>
      <c r="I142" s="1"/>
      <c r="J142" s="1"/>
      <c r="K142" s="1"/>
      <c r="L142" s="1"/>
      <c r="M142" s="1"/>
      <c r="N142" s="1"/>
      <c r="O142" s="1"/>
      <c r="P142" s="1"/>
      <c r="Q142" s="1"/>
    </row>
    <row r="143" spans="1:17">
      <c r="A143" s="1"/>
      <c r="B143" s="1"/>
      <c r="C143" s="1"/>
      <c r="D143" s="1"/>
      <c r="E143" s="1"/>
      <c r="F143" s="1"/>
      <c r="G143" s="1"/>
      <c r="H143" s="1"/>
      <c r="I143" s="1"/>
      <c r="J143" s="1"/>
      <c r="K143" s="1"/>
      <c r="L143" s="1"/>
      <c r="M143" s="1"/>
      <c r="N143" s="1"/>
      <c r="O143" s="1"/>
      <c r="P143" s="1"/>
      <c r="Q143" s="1"/>
    </row>
    <row r="144" spans="1:17">
      <c r="A144" s="1"/>
      <c r="B144" s="1"/>
      <c r="C144" s="1"/>
      <c r="D144" s="1"/>
      <c r="E144" s="1"/>
      <c r="F144" s="1"/>
      <c r="G144" s="1"/>
      <c r="H144" s="1"/>
      <c r="I144" s="1"/>
      <c r="J144" s="1"/>
      <c r="K144" s="1"/>
      <c r="L144" s="1"/>
      <c r="M144" s="1"/>
      <c r="N144" s="1"/>
      <c r="O144" s="1"/>
      <c r="P144" s="1"/>
      <c r="Q144" s="1"/>
    </row>
    <row r="145" spans="1:17">
      <c r="A145" s="1"/>
      <c r="B145" s="1"/>
      <c r="C145" s="1"/>
      <c r="D145" s="1"/>
      <c r="E145" s="1"/>
      <c r="F145" s="1"/>
      <c r="G145" s="1"/>
      <c r="H145" s="1"/>
      <c r="I145" s="1"/>
      <c r="J145" s="1"/>
      <c r="K145" s="1"/>
      <c r="L145" s="1"/>
      <c r="M145" s="1"/>
      <c r="N145" s="1"/>
      <c r="O145" s="1"/>
      <c r="P145" s="1"/>
      <c r="Q145" s="1"/>
    </row>
    <row r="146" spans="1:17">
      <c r="A146" s="1"/>
      <c r="B146" s="1"/>
      <c r="C146" s="1"/>
      <c r="D146" s="1"/>
      <c r="E146" s="1"/>
      <c r="F146" s="1"/>
      <c r="G146" s="1"/>
      <c r="H146" s="1"/>
      <c r="I146" s="1"/>
      <c r="J146" s="1"/>
      <c r="K146" s="1"/>
      <c r="L146" s="1"/>
      <c r="M146" s="1"/>
      <c r="N146" s="1"/>
      <c r="O146" s="1"/>
      <c r="P146" s="1"/>
      <c r="Q146" s="1"/>
    </row>
    <row r="147" spans="1:17">
      <c r="A147" s="1"/>
      <c r="B147" s="1"/>
      <c r="C147" s="1"/>
      <c r="D147" s="1"/>
      <c r="E147" s="1"/>
      <c r="F147" s="1"/>
      <c r="G147" s="1"/>
      <c r="H147" s="1"/>
      <c r="I147" s="1"/>
      <c r="J147" s="1"/>
      <c r="K147" s="1"/>
      <c r="L147" s="1"/>
      <c r="M147" s="1"/>
      <c r="N147" s="1"/>
      <c r="O147" s="1"/>
      <c r="P147" s="1"/>
      <c r="Q147" s="1"/>
    </row>
    <row r="148" spans="1:17">
      <c r="A148" s="1"/>
      <c r="B148" s="1"/>
      <c r="C148" s="1"/>
      <c r="D148" s="1"/>
      <c r="E148" s="1"/>
      <c r="F148" s="1"/>
      <c r="G148" s="1"/>
      <c r="H148" s="1"/>
      <c r="I148" s="1"/>
      <c r="J148" s="1"/>
      <c r="K148" s="1"/>
      <c r="L148" s="1"/>
      <c r="M148" s="1"/>
      <c r="N148" s="1"/>
      <c r="O148" s="1"/>
      <c r="P148" s="1"/>
      <c r="Q148" s="1"/>
    </row>
    <row r="149" spans="1:17">
      <c r="A149" s="1"/>
      <c r="B149" s="1"/>
      <c r="C149" s="1"/>
      <c r="D149" s="1"/>
      <c r="E149" s="1"/>
      <c r="F149" s="1"/>
      <c r="G149" s="1"/>
      <c r="H149" s="1"/>
      <c r="I149" s="1"/>
      <c r="J149" s="1"/>
      <c r="K149" s="1"/>
      <c r="L149" s="1"/>
      <c r="M149" s="1"/>
      <c r="N149" s="1"/>
      <c r="O149" s="1"/>
      <c r="P149" s="1"/>
      <c r="Q149" s="1"/>
    </row>
    <row r="150" spans="1:17">
      <c r="A150" s="1"/>
      <c r="B150" s="1"/>
      <c r="C150" s="1"/>
      <c r="D150" s="1"/>
      <c r="E150" s="1"/>
      <c r="F150" s="1"/>
      <c r="G150" s="1"/>
      <c r="H150" s="1"/>
      <c r="I150" s="1"/>
      <c r="J150" s="1"/>
      <c r="K150" s="1"/>
      <c r="L150" s="1"/>
      <c r="M150" s="1"/>
      <c r="N150" s="1"/>
      <c r="O150" s="1"/>
      <c r="P150" s="1"/>
      <c r="Q150" s="1"/>
    </row>
    <row r="151" spans="1:17">
      <c r="A151" s="1"/>
      <c r="B151" s="1"/>
      <c r="C151" s="1"/>
      <c r="D151" s="1"/>
      <c r="E151" s="1"/>
      <c r="F151" s="1"/>
      <c r="G151" s="1"/>
      <c r="H151" s="1"/>
      <c r="I151" s="1"/>
      <c r="J151" s="1"/>
      <c r="K151" s="1"/>
      <c r="L151" s="1"/>
      <c r="M151" s="1"/>
      <c r="N151" s="1"/>
      <c r="O151" s="1"/>
      <c r="P151" s="1"/>
      <c r="Q151" s="1"/>
    </row>
    <row r="152" spans="1:17">
      <c r="A152" s="1"/>
      <c r="B152" s="1"/>
      <c r="C152" s="1"/>
      <c r="D152" s="1"/>
      <c r="E152" s="1"/>
      <c r="F152" s="1"/>
      <c r="G152" s="1"/>
      <c r="H152" s="1"/>
      <c r="I152" s="1"/>
      <c r="J152" s="1"/>
      <c r="K152" s="1"/>
      <c r="L152" s="1"/>
      <c r="M152" s="1"/>
      <c r="N152" s="1"/>
      <c r="O152" s="1"/>
      <c r="P152" s="1"/>
      <c r="Q152" s="1"/>
    </row>
    <row r="153" spans="1:17">
      <c r="A153" s="1"/>
      <c r="B153" s="1"/>
      <c r="C153" s="1"/>
      <c r="D153" s="1"/>
      <c r="E153" s="1"/>
      <c r="F153" s="1"/>
      <c r="G153" s="1"/>
      <c r="H153" s="1"/>
      <c r="I153" s="1"/>
      <c r="J153" s="1"/>
      <c r="K153" s="1"/>
      <c r="L153" s="1"/>
      <c r="M153" s="1"/>
      <c r="N153" s="1"/>
      <c r="O153" s="1"/>
      <c r="P153" s="1"/>
      <c r="Q153" s="1"/>
    </row>
    <row r="154" spans="1:17">
      <c r="A154" s="1"/>
      <c r="B154" s="1"/>
      <c r="C154" s="1"/>
      <c r="D154" s="1"/>
      <c r="E154" s="1"/>
      <c r="F154" s="1"/>
      <c r="G154" s="1"/>
      <c r="H154" s="1"/>
      <c r="I154" s="1"/>
      <c r="J154" s="1"/>
      <c r="K154" s="1"/>
      <c r="L154" s="1"/>
      <c r="M154" s="1"/>
      <c r="N154" s="1"/>
      <c r="O154" s="1"/>
      <c r="P154" s="1"/>
      <c r="Q154" s="1"/>
    </row>
    <row r="155" spans="1:17">
      <c r="A155" s="1"/>
      <c r="B155" s="1"/>
      <c r="C155" s="1"/>
      <c r="D155" s="1"/>
      <c r="E155" s="1"/>
      <c r="F155" s="1"/>
      <c r="G155" s="1"/>
      <c r="H155" s="1"/>
      <c r="I155" s="1"/>
      <c r="J155" s="1"/>
      <c r="K155" s="1"/>
      <c r="L155" s="1"/>
      <c r="M155" s="1"/>
      <c r="N155" s="1"/>
      <c r="O155" s="1"/>
      <c r="P155" s="1"/>
      <c r="Q155" s="1"/>
    </row>
    <row r="156" spans="1:17">
      <c r="A156" s="1"/>
      <c r="B156" s="1"/>
      <c r="C156" s="1"/>
      <c r="D156" s="1"/>
      <c r="E156" s="1"/>
      <c r="F156" s="1"/>
      <c r="G156" s="1"/>
      <c r="H156" s="1"/>
      <c r="I156" s="1"/>
      <c r="J156" s="1"/>
      <c r="K156" s="1"/>
      <c r="L156" s="1"/>
      <c r="M156" s="1"/>
      <c r="N156" s="1"/>
      <c r="O156" s="1"/>
      <c r="P156" s="1"/>
      <c r="Q156" s="1"/>
    </row>
    <row r="157" spans="1:17">
      <c r="A157" s="1"/>
      <c r="B157" s="1"/>
      <c r="C157" s="1"/>
      <c r="D157" s="1"/>
      <c r="E157" s="1"/>
      <c r="F157" s="1"/>
      <c r="G157" s="1"/>
      <c r="H157" s="1"/>
      <c r="I157" s="1"/>
      <c r="J157" s="1"/>
      <c r="K157" s="1"/>
      <c r="L157" s="1"/>
      <c r="M157" s="1"/>
      <c r="N157" s="1"/>
      <c r="O157" s="1"/>
      <c r="P157" s="1"/>
      <c r="Q157" s="1"/>
    </row>
    <row r="158" spans="1:17">
      <c r="A158" s="1"/>
      <c r="B158" s="1"/>
      <c r="C158" s="1"/>
      <c r="D158" s="1"/>
      <c r="E158" s="1"/>
      <c r="F158" s="1"/>
      <c r="G158" s="1"/>
      <c r="H158" s="1"/>
      <c r="I158" s="1"/>
      <c r="J158" s="1"/>
      <c r="K158" s="1"/>
      <c r="L158" s="1"/>
      <c r="M158" s="1"/>
      <c r="N158" s="1"/>
      <c r="O158" s="1"/>
      <c r="P158" s="1"/>
      <c r="Q158" s="1"/>
    </row>
    <row r="159" spans="1:17">
      <c r="A159" s="1"/>
      <c r="B159" s="1"/>
      <c r="C159" s="1"/>
      <c r="D159" s="1"/>
      <c r="E159" s="1"/>
      <c r="F159" s="1"/>
      <c r="G159" s="1"/>
      <c r="H159" s="1"/>
      <c r="I159" s="1"/>
      <c r="J159" s="1"/>
      <c r="K159" s="1"/>
      <c r="L159" s="1"/>
      <c r="M159" s="1"/>
      <c r="N159" s="1"/>
      <c r="O159" s="1"/>
      <c r="P159" s="1"/>
      <c r="Q159" s="1"/>
    </row>
    <row r="160" spans="1:17">
      <c r="A160" s="1"/>
      <c r="B160" s="1"/>
      <c r="C160" s="1"/>
      <c r="D160" s="1"/>
      <c r="E160" s="1"/>
      <c r="F160" s="1"/>
      <c r="G160" s="1"/>
      <c r="H160" s="1"/>
      <c r="I160" s="1"/>
      <c r="J160" s="1"/>
      <c r="K160" s="1"/>
      <c r="L160" s="1"/>
      <c r="M160" s="1"/>
      <c r="N160" s="1"/>
      <c r="O160" s="1"/>
      <c r="P160" s="1"/>
      <c r="Q160" s="1"/>
    </row>
    <row r="161" spans="1:17">
      <c r="A161" s="1"/>
      <c r="B161" s="1"/>
      <c r="C161" s="1"/>
      <c r="D161" s="1"/>
      <c r="E161" s="1"/>
      <c r="F161" s="1"/>
      <c r="G161" s="1"/>
      <c r="H161" s="1"/>
      <c r="I161" s="1"/>
      <c r="J161" s="1"/>
      <c r="K161" s="1"/>
      <c r="L161" s="1"/>
      <c r="M161" s="1"/>
      <c r="N161" s="1"/>
      <c r="O161" s="1"/>
      <c r="P161" s="1"/>
      <c r="Q161" s="1"/>
    </row>
    <row r="162" spans="1:17">
      <c r="A162" s="1"/>
      <c r="B162" s="1"/>
      <c r="C162" s="1"/>
      <c r="D162" s="1"/>
      <c r="E162" s="1"/>
      <c r="F162" s="1"/>
      <c r="G162" s="1"/>
      <c r="H162" s="1"/>
      <c r="I162" s="1"/>
      <c r="J162" s="1"/>
      <c r="K162" s="1"/>
      <c r="L162" s="1"/>
      <c r="M162" s="1"/>
      <c r="N162" s="1"/>
      <c r="O162" s="1"/>
      <c r="P162" s="1"/>
      <c r="Q162" s="1"/>
    </row>
    <row r="163" spans="1:17">
      <c r="A163" s="1"/>
      <c r="B163" s="1"/>
      <c r="C163" s="1"/>
      <c r="D163" s="1"/>
      <c r="E163" s="1"/>
      <c r="F163" s="1"/>
      <c r="G163" s="1"/>
      <c r="H163" s="1"/>
      <c r="I163" s="1"/>
      <c r="J163" s="1"/>
      <c r="K163" s="1"/>
      <c r="L163" s="1"/>
      <c r="M163" s="1"/>
      <c r="N163" s="1"/>
      <c r="O163" s="1"/>
      <c r="P163" s="1"/>
      <c r="Q163" s="1"/>
    </row>
    <row r="164" spans="1:17">
      <c r="A164" s="1"/>
      <c r="B164" s="1"/>
      <c r="C164" s="1"/>
      <c r="D164" s="1"/>
      <c r="E164" s="1"/>
      <c r="F164" s="1"/>
      <c r="G164" s="1"/>
      <c r="H164" s="1"/>
      <c r="I164" s="1"/>
      <c r="J164" s="1"/>
      <c r="K164" s="1"/>
      <c r="L164" s="1"/>
      <c r="M164" s="1"/>
      <c r="N164" s="1"/>
      <c r="O164" s="1"/>
      <c r="P164" s="1"/>
      <c r="Q164" s="1"/>
    </row>
    <row r="165" spans="1:17">
      <c r="A165" s="1"/>
      <c r="B165" s="1"/>
      <c r="C165" s="1"/>
      <c r="D165" s="1"/>
      <c r="E165" s="1"/>
      <c r="F165" s="1"/>
      <c r="G165" s="1"/>
      <c r="H165" s="1"/>
      <c r="I165" s="1"/>
      <c r="J165" s="1"/>
      <c r="K165" s="1"/>
      <c r="L165" s="1"/>
      <c r="M165" s="1"/>
      <c r="N165" s="1"/>
      <c r="O165" s="1"/>
      <c r="P165" s="1"/>
      <c r="Q165" s="1"/>
    </row>
    <row r="166" spans="1:17">
      <c r="A166" s="1"/>
      <c r="B166" s="1"/>
      <c r="C166" s="1"/>
      <c r="D166" s="1"/>
      <c r="E166" s="1"/>
      <c r="F166" s="1"/>
      <c r="G166" s="1"/>
      <c r="H166" s="1"/>
      <c r="I166" s="1"/>
      <c r="J166" s="1"/>
      <c r="K166" s="1"/>
      <c r="L166" s="1"/>
      <c r="M166" s="1"/>
      <c r="N166" s="1"/>
      <c r="O166" s="1"/>
      <c r="P166" s="1"/>
      <c r="Q166" s="1"/>
    </row>
    <row r="167" spans="1:17">
      <c r="A167" s="1"/>
      <c r="B167" s="1"/>
      <c r="C167" s="1"/>
      <c r="D167" s="1"/>
      <c r="E167" s="1"/>
      <c r="F167" s="1"/>
      <c r="G167" s="1"/>
      <c r="H167" s="1"/>
      <c r="I167" s="1"/>
      <c r="J167" s="1"/>
      <c r="K167" s="1"/>
      <c r="L167" s="1"/>
      <c r="M167" s="1"/>
      <c r="N167" s="1"/>
      <c r="O167" s="1"/>
      <c r="P167" s="1"/>
      <c r="Q167" s="1"/>
    </row>
    <row r="168" spans="1:17">
      <c r="A168" s="1"/>
      <c r="B168" s="1"/>
      <c r="C168" s="1"/>
      <c r="D168" s="1"/>
      <c r="E168" s="1"/>
      <c r="F168" s="1"/>
      <c r="G168" s="1"/>
      <c r="H168" s="1"/>
      <c r="I168" s="1"/>
      <c r="J168" s="1"/>
      <c r="K168" s="1"/>
      <c r="L168" s="1"/>
      <c r="M168" s="1"/>
      <c r="N168" s="1"/>
      <c r="O168" s="1"/>
      <c r="P168" s="1"/>
      <c r="Q168" s="1"/>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c r="A171" s="1"/>
      <c r="B171" s="1"/>
      <c r="C171" s="1"/>
      <c r="D171" s="1"/>
      <c r="E171" s="1"/>
      <c r="F171" s="1"/>
      <c r="G171" s="1"/>
      <c r="H171" s="1"/>
      <c r="I171" s="1"/>
      <c r="J171" s="1"/>
      <c r="K171" s="1"/>
      <c r="L171" s="1"/>
      <c r="M171" s="1"/>
      <c r="N171" s="1"/>
      <c r="O171" s="1"/>
      <c r="P171" s="1"/>
      <c r="Q171" s="1"/>
    </row>
    <row r="172" spans="1:17">
      <c r="A172" s="1"/>
      <c r="B172" s="1"/>
      <c r="C172" s="1"/>
      <c r="D172" s="1"/>
      <c r="E172" s="1"/>
      <c r="F172" s="1"/>
      <c r="G172" s="1"/>
      <c r="H172" s="1"/>
      <c r="I172" s="1"/>
      <c r="J172" s="1"/>
      <c r="K172" s="1"/>
      <c r="L172" s="1"/>
      <c r="M172" s="1"/>
      <c r="N172" s="1"/>
      <c r="O172" s="1"/>
      <c r="P172" s="1"/>
      <c r="Q172" s="1"/>
    </row>
    <row r="173" spans="1:17">
      <c r="A173" s="1"/>
      <c r="B173" s="1"/>
      <c r="C173" s="1"/>
      <c r="D173" s="1"/>
      <c r="E173" s="1"/>
      <c r="F173" s="1"/>
      <c r="G173" s="1"/>
      <c r="H173" s="1"/>
      <c r="I173" s="1"/>
      <c r="J173" s="1"/>
      <c r="K173" s="1"/>
      <c r="L173" s="1"/>
      <c r="M173" s="1"/>
      <c r="N173" s="1"/>
      <c r="O173" s="1"/>
      <c r="P173" s="1"/>
      <c r="Q173" s="1"/>
    </row>
    <row r="174" spans="1:17">
      <c r="A174" s="1"/>
      <c r="B174" s="1"/>
      <c r="C174" s="1"/>
      <c r="D174" s="1"/>
      <c r="E174" s="1"/>
      <c r="F174" s="1"/>
      <c r="G174" s="1"/>
      <c r="H174" s="1"/>
      <c r="I174" s="1"/>
      <c r="J174" s="1"/>
      <c r="K174" s="1"/>
      <c r="L174" s="1"/>
      <c r="M174" s="1"/>
      <c r="N174" s="1"/>
      <c r="O174" s="1"/>
      <c r="P174" s="1"/>
      <c r="Q174" s="1"/>
    </row>
    <row r="175" spans="1:17">
      <c r="A175" s="1"/>
      <c r="B175" s="1"/>
      <c r="C175" s="1"/>
      <c r="D175" s="1"/>
      <c r="E175" s="1"/>
      <c r="F175" s="1"/>
      <c r="G175" s="1"/>
      <c r="H175" s="1"/>
      <c r="I175" s="1"/>
      <c r="J175" s="1"/>
      <c r="K175" s="1"/>
      <c r="L175" s="1"/>
      <c r="M175" s="1"/>
      <c r="N175" s="1"/>
      <c r="O175" s="1"/>
      <c r="P175" s="1"/>
      <c r="Q175" s="1"/>
    </row>
    <row r="176" spans="1:17">
      <c r="A176" s="1"/>
      <c r="B176" s="1"/>
      <c r="C176" s="1"/>
      <c r="D176" s="1"/>
      <c r="E176" s="1"/>
      <c r="F176" s="1"/>
      <c r="G176" s="1"/>
      <c r="H176" s="1"/>
      <c r="I176" s="1"/>
      <c r="J176" s="1"/>
      <c r="K176" s="1"/>
      <c r="L176" s="1"/>
      <c r="M176" s="1"/>
      <c r="N176" s="1"/>
      <c r="O176" s="1"/>
      <c r="P176" s="1"/>
      <c r="Q176" s="1"/>
    </row>
    <row r="177" spans="1:17">
      <c r="A177" s="1"/>
      <c r="B177" s="1"/>
      <c r="C177" s="1"/>
      <c r="D177" s="1"/>
      <c r="E177" s="1"/>
      <c r="F177" s="1"/>
      <c r="G177" s="1"/>
      <c r="H177" s="1"/>
      <c r="I177" s="1"/>
      <c r="J177" s="1"/>
      <c r="K177" s="1"/>
      <c r="L177" s="1"/>
      <c r="M177" s="1"/>
      <c r="N177" s="1"/>
      <c r="O177" s="1"/>
      <c r="P177" s="1"/>
      <c r="Q177" s="1"/>
    </row>
    <row r="178" spans="1:17">
      <c r="A178" s="1"/>
      <c r="B178" s="1"/>
      <c r="C178" s="1"/>
      <c r="D178" s="1"/>
      <c r="E178" s="1"/>
      <c r="F178" s="1"/>
      <c r="G178" s="1"/>
      <c r="H178" s="1"/>
      <c r="I178" s="1"/>
      <c r="J178" s="1"/>
      <c r="K178" s="1"/>
      <c r="L178" s="1"/>
      <c r="M178" s="1"/>
      <c r="N178" s="1"/>
      <c r="O178" s="1"/>
      <c r="P178" s="1"/>
      <c r="Q178" s="1"/>
    </row>
    <row r="179" spans="1:17">
      <c r="A179" s="1"/>
      <c r="B179" s="1"/>
      <c r="C179" s="1"/>
      <c r="D179" s="1"/>
      <c r="E179" s="1"/>
      <c r="F179" s="1"/>
      <c r="G179" s="1"/>
      <c r="H179" s="1"/>
      <c r="I179" s="1"/>
      <c r="J179" s="1"/>
      <c r="K179" s="1"/>
      <c r="L179" s="1"/>
      <c r="M179" s="1"/>
      <c r="N179" s="1"/>
      <c r="O179" s="1"/>
      <c r="P179" s="1"/>
      <c r="Q179" s="1"/>
    </row>
    <row r="180" spans="1:17">
      <c r="A180" s="1"/>
      <c r="B180" s="1"/>
      <c r="C180" s="1"/>
      <c r="D180" s="1"/>
      <c r="E180" s="1"/>
      <c r="F180" s="1"/>
      <c r="G180" s="1"/>
      <c r="H180" s="1"/>
      <c r="I180" s="1"/>
      <c r="J180" s="1"/>
      <c r="K180" s="1"/>
      <c r="L180" s="1"/>
      <c r="M180" s="1"/>
      <c r="N180" s="1"/>
      <c r="O180" s="1"/>
      <c r="P180" s="1"/>
      <c r="Q180" s="1"/>
    </row>
    <row r="181" spans="1:17">
      <c r="A181" s="1"/>
      <c r="B181" s="1"/>
      <c r="C181" s="1"/>
      <c r="D181" s="1"/>
      <c r="E181" s="1"/>
      <c r="F181" s="1"/>
      <c r="G181" s="1"/>
      <c r="H181" s="1"/>
      <c r="I181" s="1"/>
      <c r="J181" s="1"/>
      <c r="K181" s="1"/>
      <c r="L181" s="1"/>
      <c r="M181" s="1"/>
      <c r="N181" s="1"/>
      <c r="O181" s="1"/>
      <c r="P181" s="1"/>
      <c r="Q181" s="1"/>
    </row>
    <row r="182" spans="1:17">
      <c r="A182" s="1"/>
      <c r="B182" s="1"/>
      <c r="C182" s="1"/>
      <c r="D182" s="1"/>
      <c r="E182" s="1"/>
      <c r="F182" s="1"/>
      <c r="G182" s="1"/>
      <c r="H182" s="1"/>
      <c r="I182" s="1"/>
      <c r="J182" s="1"/>
      <c r="K182" s="1"/>
      <c r="L182" s="1"/>
      <c r="M182" s="1"/>
      <c r="N182" s="1"/>
      <c r="O182" s="1"/>
      <c r="P182" s="1"/>
      <c r="Q182" s="1"/>
    </row>
    <row r="183" spans="1:17">
      <c r="A183" s="1"/>
      <c r="B183" s="1"/>
      <c r="C183" s="1"/>
      <c r="D183" s="1"/>
      <c r="E183" s="1"/>
      <c r="F183" s="1"/>
      <c r="G183" s="1"/>
      <c r="H183" s="1"/>
      <c r="I183" s="1"/>
      <c r="J183" s="1"/>
      <c r="K183" s="1"/>
      <c r="L183" s="1"/>
      <c r="M183" s="1"/>
      <c r="N183" s="1"/>
      <c r="O183" s="1"/>
      <c r="P183" s="1"/>
      <c r="Q183" s="1"/>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1"/>
      <c r="J188" s="1"/>
      <c r="K188" s="1"/>
      <c r="L188" s="1"/>
      <c r="M188" s="1"/>
      <c r="N188" s="1"/>
      <c r="O188" s="1"/>
      <c r="P188" s="1"/>
      <c r="Q188" s="1"/>
    </row>
    <row r="189" spans="1:17">
      <c r="A189" s="1"/>
      <c r="B189" s="1"/>
      <c r="C189" s="1"/>
      <c r="D189" s="1"/>
      <c r="E189" s="1"/>
      <c r="F189" s="1"/>
      <c r="G189" s="1"/>
      <c r="H189" s="1"/>
      <c r="I189" s="1"/>
      <c r="J189" s="1"/>
      <c r="K189" s="1"/>
      <c r="L189" s="1"/>
      <c r="M189" s="1"/>
      <c r="N189" s="1"/>
      <c r="O189" s="1"/>
      <c r="P189" s="1"/>
      <c r="Q189" s="1"/>
    </row>
    <row r="190" spans="1:17">
      <c r="A190" s="1"/>
      <c r="B190" s="1"/>
      <c r="C190" s="1"/>
      <c r="D190" s="1"/>
      <c r="E190" s="1"/>
      <c r="F190" s="1"/>
      <c r="G190" s="1"/>
      <c r="H190" s="1"/>
      <c r="I190" s="1"/>
      <c r="J190" s="1"/>
      <c r="K190" s="1"/>
      <c r="L190" s="1"/>
      <c r="M190" s="1"/>
      <c r="N190" s="1"/>
      <c r="O190" s="1"/>
      <c r="P190" s="1"/>
      <c r="Q190" s="1"/>
    </row>
    <row r="191" spans="1:17">
      <c r="A191" s="1"/>
      <c r="B191" s="1"/>
      <c r="C191" s="1"/>
      <c r="D191" s="1"/>
      <c r="E191" s="1"/>
      <c r="F191" s="1"/>
      <c r="G191" s="1"/>
      <c r="H191" s="1"/>
      <c r="I191" s="1"/>
      <c r="J191" s="1"/>
      <c r="K191" s="1"/>
      <c r="L191" s="1"/>
      <c r="M191" s="1"/>
      <c r="N191" s="1"/>
      <c r="O191" s="1"/>
      <c r="P191" s="1"/>
      <c r="Q191" s="1"/>
    </row>
    <row r="192" spans="1:17">
      <c r="A192" s="1"/>
      <c r="B192" s="1"/>
      <c r="C192" s="1"/>
      <c r="D192" s="1"/>
      <c r="E192" s="1"/>
      <c r="F192" s="1"/>
      <c r="G192" s="1"/>
      <c r="H192" s="1"/>
      <c r="I192" s="1"/>
      <c r="J192" s="1"/>
      <c r="K192" s="1"/>
      <c r="L192" s="1"/>
      <c r="M192" s="1"/>
      <c r="N192" s="1"/>
      <c r="O192" s="1"/>
      <c r="P192" s="1"/>
      <c r="Q192" s="1"/>
    </row>
    <row r="193" spans="1:17">
      <c r="A193" s="1"/>
      <c r="B193" s="1"/>
      <c r="C193" s="1"/>
      <c r="D193" s="1"/>
      <c r="E193" s="1"/>
      <c r="F193" s="1"/>
      <c r="G193" s="1"/>
      <c r="H193" s="1"/>
      <c r="I193" s="1"/>
      <c r="J193" s="1"/>
      <c r="K193" s="1"/>
      <c r="L193" s="1"/>
      <c r="M193" s="1"/>
      <c r="N193" s="1"/>
      <c r="O193" s="1"/>
      <c r="P193" s="1"/>
      <c r="Q193" s="1"/>
    </row>
    <row r="194" spans="1:17">
      <c r="A194" s="1"/>
      <c r="B194" s="1"/>
      <c r="C194" s="1"/>
      <c r="D194" s="1"/>
      <c r="E194" s="1"/>
      <c r="F194" s="1"/>
      <c r="G194" s="1"/>
      <c r="H194" s="1"/>
      <c r="I194" s="1"/>
      <c r="J194" s="1"/>
      <c r="K194" s="1"/>
      <c r="L194" s="1"/>
      <c r="M194" s="1"/>
      <c r="N194" s="1"/>
      <c r="O194" s="1"/>
      <c r="P194" s="1"/>
      <c r="Q194" s="1"/>
    </row>
    <row r="195" spans="1:17">
      <c r="A195" s="1"/>
      <c r="B195" s="1"/>
      <c r="C195" s="1"/>
      <c r="D195" s="1"/>
      <c r="E195" s="1"/>
      <c r="F195" s="1"/>
      <c r="G195" s="1"/>
      <c r="H195" s="1"/>
      <c r="I195" s="1"/>
      <c r="J195" s="1"/>
      <c r="K195" s="1"/>
      <c r="L195" s="1"/>
      <c r="M195" s="1"/>
      <c r="N195" s="1"/>
      <c r="O195" s="1"/>
      <c r="P195" s="1"/>
      <c r="Q195" s="1"/>
    </row>
    <row r="196" spans="1:17">
      <c r="A196" s="1"/>
      <c r="B196" s="1"/>
      <c r="C196" s="1"/>
      <c r="D196" s="1"/>
      <c r="E196" s="1"/>
      <c r="F196" s="1"/>
      <c r="G196" s="1"/>
      <c r="H196" s="1"/>
      <c r="I196" s="1"/>
      <c r="J196" s="1"/>
      <c r="K196" s="1"/>
      <c r="L196" s="1"/>
      <c r="M196" s="1"/>
      <c r="N196" s="1"/>
      <c r="O196" s="1"/>
      <c r="P196" s="1"/>
      <c r="Q196" s="1"/>
    </row>
    <row r="197" spans="1:17">
      <c r="A197" s="1"/>
      <c r="B197" s="1"/>
      <c r="C197" s="1"/>
      <c r="D197" s="1"/>
      <c r="E197" s="1"/>
      <c r="F197" s="1"/>
      <c r="G197" s="1"/>
      <c r="H197" s="1"/>
      <c r="I197" s="1"/>
      <c r="J197" s="1"/>
      <c r="K197" s="1"/>
      <c r="L197" s="1"/>
      <c r="M197" s="1"/>
      <c r="N197" s="1"/>
      <c r="O197" s="1"/>
      <c r="P197" s="1"/>
      <c r="Q197" s="1"/>
    </row>
    <row r="198" spans="1:17">
      <c r="A198" s="1"/>
      <c r="B198" s="1"/>
      <c r="C198" s="1"/>
      <c r="D198" s="1"/>
      <c r="E198" s="1"/>
      <c r="F198" s="1"/>
      <c r="G198" s="1"/>
      <c r="H198" s="1"/>
      <c r="I198" s="1"/>
      <c r="J198" s="1"/>
      <c r="K198" s="1"/>
      <c r="L198" s="1"/>
      <c r="M198" s="1"/>
      <c r="N198" s="1"/>
      <c r="O198" s="1"/>
      <c r="P198" s="1"/>
      <c r="Q198" s="1"/>
    </row>
    <row r="199" spans="1:17">
      <c r="A199" s="1"/>
      <c r="B199" s="1"/>
      <c r="C199" s="1"/>
      <c r="D199" s="1"/>
      <c r="E199" s="1"/>
      <c r="F199" s="1"/>
      <c r="G199" s="1"/>
      <c r="H199" s="1"/>
      <c r="I199" s="1"/>
      <c r="J199" s="1"/>
      <c r="K199" s="1"/>
      <c r="L199" s="1"/>
      <c r="M199" s="1"/>
      <c r="N199" s="1"/>
      <c r="O199" s="1"/>
      <c r="P199" s="1"/>
      <c r="Q199" s="1"/>
    </row>
    <row r="200" spans="1:17">
      <c r="A200" s="1"/>
      <c r="B200" s="1"/>
      <c r="C200" s="1"/>
      <c r="D200" s="1"/>
      <c r="E200" s="1"/>
      <c r="F200" s="1"/>
      <c r="G200" s="1"/>
      <c r="H200" s="1"/>
      <c r="I200" s="1"/>
      <c r="J200" s="1"/>
      <c r="K200" s="1"/>
      <c r="L200" s="1"/>
      <c r="M200" s="1"/>
      <c r="N200" s="1"/>
      <c r="O200" s="1"/>
      <c r="P200" s="1"/>
      <c r="Q200" s="1"/>
    </row>
    <row r="201" spans="1:17">
      <c r="A201" s="1"/>
      <c r="B201" s="1"/>
      <c r="C201" s="1"/>
      <c r="D201" s="1"/>
      <c r="E201" s="1"/>
      <c r="F201" s="1"/>
      <c r="G201" s="1"/>
      <c r="H201" s="1"/>
      <c r="I201" s="1"/>
      <c r="J201" s="1"/>
      <c r="K201" s="1"/>
      <c r="L201" s="1"/>
      <c r="M201" s="1"/>
      <c r="N201" s="1"/>
      <c r="O201" s="1"/>
      <c r="P201" s="1"/>
      <c r="Q201" s="1"/>
    </row>
    <row r="202" spans="1:17">
      <c r="A202" s="1"/>
      <c r="B202" s="1"/>
      <c r="C202" s="1"/>
      <c r="D202" s="1"/>
      <c r="E202" s="1"/>
      <c r="F202" s="1"/>
      <c r="G202" s="1"/>
      <c r="H202" s="1"/>
      <c r="I202" s="1"/>
      <c r="J202" s="1"/>
      <c r="K202" s="1"/>
      <c r="L202" s="1"/>
      <c r="M202" s="1"/>
      <c r="N202" s="1"/>
      <c r="O202" s="1"/>
      <c r="P202" s="1"/>
      <c r="Q202" s="1"/>
    </row>
    <row r="203" spans="1:17">
      <c r="A203" s="1"/>
      <c r="B203" s="1"/>
      <c r="C203" s="1"/>
      <c r="D203" s="1"/>
      <c r="E203" s="1"/>
      <c r="F203" s="1"/>
      <c r="G203" s="1"/>
      <c r="H203" s="1"/>
      <c r="I203" s="1"/>
      <c r="J203" s="1"/>
      <c r="K203" s="1"/>
      <c r="L203" s="1"/>
      <c r="M203" s="1"/>
      <c r="N203" s="1"/>
      <c r="O203" s="1"/>
      <c r="P203" s="1"/>
      <c r="Q203" s="1"/>
    </row>
    <row r="204" spans="1:17">
      <c r="A204" s="1"/>
      <c r="B204" s="1"/>
      <c r="C204" s="1"/>
      <c r="D204" s="1"/>
      <c r="E204" s="1"/>
      <c r="F204" s="1"/>
      <c r="G204" s="1"/>
      <c r="H204" s="1"/>
      <c r="I204" s="1"/>
      <c r="J204" s="1"/>
      <c r="K204" s="1"/>
      <c r="L204" s="1"/>
      <c r="M204" s="1"/>
      <c r="N204" s="1"/>
      <c r="O204" s="1"/>
      <c r="P204" s="1"/>
      <c r="Q204" s="1"/>
    </row>
    <row r="205" spans="1:17">
      <c r="A205" s="1"/>
      <c r="B205" s="1"/>
      <c r="C205" s="1"/>
      <c r="D205" s="1"/>
      <c r="E205" s="1"/>
      <c r="F205" s="1"/>
      <c r="G205" s="1"/>
      <c r="H205" s="1"/>
      <c r="I205" s="1"/>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sheetData>
  <conditionalFormatting sqref="A2:G38">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00_使い方</vt:lpstr>
      <vt:lpstr>01_入力仕様</vt:lpstr>
      <vt:lpstr>02_ツリー</vt:lpstr>
      <vt:lpstr>03_ダッシュボード</vt:lpstr>
      <vt:lpstr>07_システム要求</vt:lpstr>
      <vt:lpstr>09_基準仕様</vt:lpstr>
      <vt:lpstr>10_シナリオ入力</vt:lpstr>
      <vt:lpstr>11_入力分類一覧</vt:lpstr>
      <vt:lpstr>14_研究要素評価</vt:lpstr>
      <vt:lpstr>15_研究変数マップ</vt:lpstr>
      <vt:lpstr>16_研究文献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Koji Mitsui</cp:lastModifiedBy>
  <dcterms:modified xsi:type="dcterms:W3CDTF">2026-09-30T00:59:18Z</dcterms:modified>
</cp:coreProperties>
</file>